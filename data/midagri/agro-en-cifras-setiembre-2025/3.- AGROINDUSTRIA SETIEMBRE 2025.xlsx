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 2025\EL AGRO EN CIFRA - SETIEMBRE 2025\EL AGRO EN CIFRA - SETIEMBRE 2025\"/>
    </mc:Choice>
  </mc:AlternateContent>
  <xr:revisionPtr revIDLastSave="0" documentId="8_{73BA0469-44FF-4DAB-8DBB-C05348D5757E}" xr6:coauthVersionLast="47" xr6:coauthVersionMax="47" xr10:uidLastSave="{00000000-0000-0000-0000-000000000000}"/>
  <bookViews>
    <workbookView xWindow="-120" yWindow="-120" windowWidth="29040" windowHeight="15720" activeTab="3" xr2:uid="{CD0C1F29-2192-4E18-93AB-6F20B7D67C8A}"/>
  </bookViews>
  <sheets>
    <sheet name="INDICE " sheetId="39" r:id="rId1"/>
    <sheet name="C-49" sheetId="31" r:id="rId2"/>
    <sheet name="C.50" sheetId="37" r:id="rId3"/>
    <sheet name="C.51" sheetId="44" r:id="rId4"/>
  </sheets>
  <externalReferences>
    <externalReference r:id="rId5"/>
    <externalReference r:id="rId6"/>
  </externalReferences>
  <definedNames>
    <definedName name="\a" localSheetId="2">#REF!</definedName>
    <definedName name="\a" localSheetId="1">'C-49'!#REF!</definedName>
    <definedName name="\A">#REF!</definedName>
    <definedName name="\C" localSheetId="2">#REF!</definedName>
    <definedName name="\C">#REF!</definedName>
    <definedName name="\e" localSheetId="2">#REF!</definedName>
    <definedName name="\e">'C-49'!#REF!</definedName>
    <definedName name="\S">#N/A</definedName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1990">#REF!</definedName>
    <definedName name="_xlnm._FilterDatabase" localSheetId="2" hidden="1">'C.50'!#REF!</definedName>
    <definedName name="_Key1" localSheetId="2" hidden="1">'C.50'!#REF!</definedName>
    <definedName name="_Key1" localSheetId="1" hidden="1">'C-49'!#REF!</definedName>
    <definedName name="_Key1" hidden="1">[1]INGUTI!$A$18:$A$30</definedName>
    <definedName name="_Order1" hidden="1">255</definedName>
    <definedName name="_Regression_Int" localSheetId="2" hidden="1">1</definedName>
    <definedName name="_Regression_Int" localSheetId="1" hidden="1">1</definedName>
    <definedName name="_Sort" localSheetId="2" hidden="1">'C.50'!#REF!</definedName>
    <definedName name="_Sort" localSheetId="1" hidden="1">'C-49'!#REF!</definedName>
    <definedName name="_Sort" hidden="1">[1]INGUTI!$A$18:$M$30</definedName>
    <definedName name="A">'C-49'!#REF!</definedName>
    <definedName name="A_IMPRESION_IM">#REF!</definedName>
    <definedName name="A_impresión_IM" localSheetId="2">'C.50'!#REF!</definedName>
    <definedName name="A_impresión_IM" localSheetId="1">'C-49'!#REF!</definedName>
    <definedName name="A_IMPRESIÓN_IM">#REF!</definedName>
    <definedName name="ademas">'[2]C-47'!#REF!</definedName>
    <definedName name="AGO" localSheetId="2">#REF!</definedName>
    <definedName name="AGO">#REF!</definedName>
    <definedName name="Año">#REF!</definedName>
    <definedName name="año1">#REF!</definedName>
    <definedName name="_xlnm.Print_Area" localSheetId="2">'C.50'!$B$1:$O$62</definedName>
    <definedName name="_xlnm.Print_Area" localSheetId="1">'C-49'!$B$1:$O$69</definedName>
    <definedName name="_xlnm.Print_Area">#N/A</definedName>
    <definedName name="cifras">#REF!</definedName>
    <definedName name="codigo_prod">#REF!</definedName>
    <definedName name="CUADRO">'[2]C-47'!#REF!</definedName>
    <definedName name="dias">#REF!</definedName>
    <definedName name="eeeeee">#REF!</definedName>
    <definedName name="fr" hidden="1">#REF!</definedName>
    <definedName name="hoja">#REF!</definedName>
    <definedName name="hugo" hidden="1">#REF!</definedName>
    <definedName name="juan" hidden="1">#REF!</definedName>
    <definedName name="los" hidden="1">#REF!</definedName>
    <definedName name="mara" hidden="1">#REF!</definedName>
    <definedName name="meses">#REF!</definedName>
    <definedName name="mmmmm" hidden="1">#REF!</definedName>
    <definedName name="n">'C-49'!#REF!</definedName>
    <definedName name="set">#REF!</definedName>
    <definedName name="_xlnm.Print_Titles">#REF!</definedName>
    <definedName name="Títulos_a_imprimir_IM" localSheetId="2">'C.50'!#REF!</definedName>
    <definedName name="Títulos_a_imprimir_IM" localSheetId="1">'C-49'!#REF!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" i="44" l="1"/>
  <c r="K20" i="44"/>
</calcChain>
</file>

<file path=xl/sharedStrings.xml><?xml version="1.0" encoding="utf-8"?>
<sst xmlns="http://schemas.openxmlformats.org/spreadsheetml/2006/main" count="300" uniqueCount="202">
  <si>
    <t>Productos</t>
  </si>
  <si>
    <t>Materia Prima</t>
  </si>
  <si>
    <t xml:space="preserve"> Margarina</t>
  </si>
  <si>
    <t>p/ Preliminar.</t>
  </si>
  <si>
    <t>Var. %</t>
  </si>
  <si>
    <t>Fresco</t>
  </si>
  <si>
    <t>Conserva</t>
  </si>
  <si>
    <t>Congelado</t>
  </si>
  <si>
    <t>Torta de cacao</t>
  </si>
  <si>
    <t xml:space="preserve"> 2023</t>
  </si>
  <si>
    <t xml:space="preserve"> 2022</t>
  </si>
  <si>
    <t xml:space="preserve"> 2021</t>
  </si>
  <si>
    <t xml:space="preserve"> 2020</t>
  </si>
  <si>
    <t xml:space="preserve"> 2019</t>
  </si>
  <si>
    <t xml:space="preserve"> 2018</t>
  </si>
  <si>
    <t xml:space="preserve"> 2017</t>
  </si>
  <si>
    <t xml:space="preserve"> 2016</t>
  </si>
  <si>
    <t xml:space="preserve"> 2015</t>
  </si>
  <si>
    <t xml:space="preserve"> 2014</t>
  </si>
  <si>
    <t xml:space="preserve"> 2013</t>
  </si>
  <si>
    <t xml:space="preserve"> 2012</t>
  </si>
  <si>
    <t xml:space="preserve"> 2011</t>
  </si>
  <si>
    <t xml:space="preserve"> 2010</t>
  </si>
  <si>
    <t>Arequipa</t>
  </si>
  <si>
    <t>Lima</t>
  </si>
  <si>
    <t>Ancash</t>
  </si>
  <si>
    <t>Ene-Dic</t>
  </si>
  <si>
    <t>Dic</t>
  </si>
  <si>
    <t>Nov</t>
  </si>
  <si>
    <t>Oct</t>
  </si>
  <si>
    <t>Set</t>
  </si>
  <si>
    <t>Ago</t>
  </si>
  <si>
    <t>Jul</t>
  </si>
  <si>
    <t>Jun</t>
  </si>
  <si>
    <t>May</t>
  </si>
  <si>
    <t>Abr</t>
  </si>
  <si>
    <t>Mar</t>
  </si>
  <si>
    <t>Feb</t>
  </si>
  <si>
    <t>Ene</t>
  </si>
  <si>
    <t>Año</t>
  </si>
  <si>
    <t>Región</t>
  </si>
  <si>
    <t>sigue…</t>
  </si>
  <si>
    <t xml:space="preserve">Lambayeque </t>
  </si>
  <si>
    <t>Nacional</t>
  </si>
  <si>
    <t>Avena</t>
  </si>
  <si>
    <t>Enriquecido de cereales</t>
  </si>
  <si>
    <t xml:space="preserve">Azúcar  </t>
  </si>
  <si>
    <t>Manteca de cacao</t>
  </si>
  <si>
    <t>Cocoa</t>
  </si>
  <si>
    <t>Licor de cacao</t>
  </si>
  <si>
    <t>Chocolate y cobertura</t>
  </si>
  <si>
    <t>Cacao Grano</t>
  </si>
  <si>
    <t>Mantequilla</t>
  </si>
  <si>
    <t>Cremas</t>
  </si>
  <si>
    <t>Yogurt</t>
  </si>
  <si>
    <t>Manjar blanco</t>
  </si>
  <si>
    <t>Ahumado</t>
  </si>
  <si>
    <t>Chorizo</t>
  </si>
  <si>
    <t>Jamón</t>
  </si>
  <si>
    <t>Jamonada</t>
  </si>
  <si>
    <t>Mortadela</t>
  </si>
  <si>
    <t>Pastel</t>
  </si>
  <si>
    <t>Paté</t>
  </si>
  <si>
    <t>Salame</t>
  </si>
  <si>
    <t>Hamburguesa</t>
  </si>
  <si>
    <t>Otros</t>
  </si>
  <si>
    <t>Fideo corriente a granel</t>
  </si>
  <si>
    <t>Fideo envasado</t>
  </si>
  <si>
    <t>Malta de cebada</t>
  </si>
  <si>
    <t>Sémola</t>
  </si>
  <si>
    <t>Sub producto de trigo</t>
  </si>
  <si>
    <t>Condensada</t>
  </si>
  <si>
    <t>Pasteurizada</t>
  </si>
  <si>
    <t>Maiz Amarillo Duro</t>
  </si>
  <si>
    <t>Fruto de palma</t>
    <phoneticPr fontId="30" type="noConversion"/>
  </si>
  <si>
    <t>Crudo de Palma</t>
  </si>
  <si>
    <t>Crudo de algodón</t>
  </si>
  <si>
    <t>Crudo de Soya</t>
  </si>
  <si>
    <t>Crudo de Girasol</t>
  </si>
  <si>
    <t>Crudo de Palmiste</t>
  </si>
  <si>
    <t>Refinado de Soya</t>
  </si>
  <si>
    <t>refinado de Palma</t>
  </si>
  <si>
    <t>Maiz amarillo Duro</t>
  </si>
  <si>
    <t>Melaza</t>
  </si>
  <si>
    <t>Harina de Pescado</t>
  </si>
  <si>
    <t>Soya en grano</t>
    <phoneticPr fontId="30" type="noConversion"/>
  </si>
  <si>
    <t xml:space="preserve">Otros </t>
    <phoneticPr fontId="30" type="noConversion"/>
  </si>
  <si>
    <t>Cebada</t>
  </si>
  <si>
    <t>Kiwicha</t>
  </si>
  <si>
    <t>Quinua</t>
    <phoneticPr fontId="30" type="noConversion"/>
  </si>
  <si>
    <t>Leche en Polvo</t>
  </si>
  <si>
    <t>Trigo</t>
  </si>
  <si>
    <t>Azúcar</t>
  </si>
  <si>
    <t>Maca</t>
  </si>
  <si>
    <t>Soya</t>
  </si>
  <si>
    <t>Licor de Cacao</t>
  </si>
  <si>
    <t>Torta de Cacao</t>
  </si>
  <si>
    <t>Manteca de Cacao</t>
  </si>
  <si>
    <t>Otros</t>
    <phoneticPr fontId="30" type="noConversion"/>
  </si>
  <si>
    <t>Sal</t>
    <phoneticPr fontId="30" type="noConversion"/>
  </si>
  <si>
    <t xml:space="preserve">Maizena </t>
    <phoneticPr fontId="30" type="noConversion"/>
  </si>
  <si>
    <t>Carne de Cerdo</t>
  </si>
  <si>
    <t>Carne Industrial</t>
  </si>
  <si>
    <t xml:space="preserve">  Harina de Trigo</t>
  </si>
  <si>
    <t>Trigo entero</t>
  </si>
  <si>
    <t>Esparrago Fresco</t>
  </si>
  <si>
    <t>Limón</t>
  </si>
  <si>
    <t>Aceituna</t>
  </si>
  <si>
    <t>Aceite de oliva semi refinado</t>
  </si>
  <si>
    <t xml:space="preserve">Sub Sector Agroindustrial </t>
  </si>
  <si>
    <t xml:space="preserve">Perú:  Ingreso  y Utilización de principales materias primas e insumos a las plantas </t>
  </si>
  <si>
    <t xml:space="preserve">Perú:    Producción y Venta  de principales productos Agroindustriales según actividad </t>
  </si>
  <si>
    <t>1/ En la Región Piura se empezó a producir azúcar a partir de enero 2018</t>
  </si>
  <si>
    <t>2/Azúcar obtenido a partir de azúcar cruda importada: 2015= 32 032 t; 2016= 86 981 t; 2017=119 259 t;  2018= 54 699  t. 2020=37 024 t</t>
  </si>
  <si>
    <t>C.49</t>
  </si>
  <si>
    <t>C.50</t>
  </si>
  <si>
    <t>C.51</t>
  </si>
  <si>
    <t>5/   En el año 2022 el azúcar obtenido a partir de azúcar crudo importado  fue : ene=4938.33  t; feb=3756.0 t; mar=2612.31t;  may=1031.31t. Total en el 2022=12 347.96  Actualizado</t>
  </si>
  <si>
    <t xml:space="preserve">   --- sin información</t>
  </si>
  <si>
    <t>continúa C.51</t>
  </si>
  <si>
    <t>Producción</t>
  </si>
  <si>
    <t>Venta</t>
  </si>
  <si>
    <t>Ingreso</t>
  </si>
  <si>
    <t>Utilización</t>
  </si>
  <si>
    <t>Fuente:Direcciones Regionales de Agricultura.</t>
  </si>
  <si>
    <t>Elaboración: Ministerio de Desarrollo Agrario y Riego - MIDAGRI</t>
  </si>
  <si>
    <t>Dirección General de Estadística, Seguimiento y Evaluación de Políticas - DEIA</t>
  </si>
  <si>
    <t>Ene-Ago</t>
  </si>
  <si>
    <t>PROCESAMIENTO DE ACEITES Y GRASAS</t>
  </si>
  <si>
    <t>PROCESAMIENTO DE ALIMENTOS BALANCEADOS</t>
  </si>
  <si>
    <t>PROCESAMIENTO DE AVENA</t>
  </si>
  <si>
    <t>PROCESAMIENTO DEL CACAO</t>
  </si>
  <si>
    <t>PROCESAMIENTO DE EMBUTIDOS Y CARNES PREPARADAS</t>
  </si>
  <si>
    <t>PROCESAMIENTO DE FIDEO</t>
  </si>
  <si>
    <t>PROCESAMIENTO DE MALTA</t>
  </si>
  <si>
    <t>PROCESAMIENTO DE HARINA DE TRIGO</t>
  </si>
  <si>
    <t xml:space="preserve">ACEITE ESENCIAL DE LIMÓN </t>
  </si>
  <si>
    <t>ELABORACIÓN DE ACEITE DE OLIVA</t>
  </si>
  <si>
    <t>Caña de Azúcar</t>
  </si>
  <si>
    <t>Evaporadas</t>
  </si>
  <si>
    <t xml:space="preserve">   Leche evaporada*</t>
  </si>
  <si>
    <t xml:space="preserve">   Mezclas lácteas*       </t>
  </si>
  <si>
    <t>Carne de ave</t>
  </si>
  <si>
    <t>Otros animales 1/</t>
  </si>
  <si>
    <t>Carbonato de calcio</t>
  </si>
  <si>
    <t>Polvillo de arroz</t>
  </si>
  <si>
    <t>Torta de algodón</t>
  </si>
  <si>
    <t>Torta de soya</t>
  </si>
  <si>
    <t>Grasas de pescado</t>
  </si>
  <si>
    <t>Actividad productiva</t>
  </si>
  <si>
    <t>Leche fresca</t>
  </si>
  <si>
    <t>Grasa anhidra de leche (GAL)</t>
  </si>
  <si>
    <t>Leche en polvo entera (LEP)</t>
  </si>
  <si>
    <t>-</t>
  </si>
  <si>
    <t>Aceite de Oliva 2/</t>
  </si>
  <si>
    <t>2/ no se dispone de informaciónn de aceite de oliva</t>
  </si>
  <si>
    <t>Fuente:Direcciones Regionales de Agricultura/Empresas Agroindustriales</t>
  </si>
  <si>
    <r>
      <t>2025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</si>
  <si>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 2024</t>
  </si>
  <si>
    <t xml:space="preserve"> 2025</t>
  </si>
  <si>
    <t>productiva,  Enero - Agosto 2024 - 2025</t>
  </si>
  <si>
    <t>agroindustriales según actividad productiva, Enero - Agosto 2024 - 2025</t>
  </si>
  <si>
    <t>Perú: Producción de Azúcar por región según mes,  Enero 2010 - Agosto 2025</t>
  </si>
  <si>
    <t xml:space="preserve">         (Tonelada)</t>
  </si>
  <si>
    <t>Polvo de cacao</t>
  </si>
  <si>
    <t>Quesos madurados</t>
  </si>
  <si>
    <t>Quesos frescos</t>
  </si>
  <si>
    <t>Queso de chancho</t>
  </si>
  <si>
    <t>Cáscara de limón</t>
  </si>
  <si>
    <t>Var.%</t>
  </si>
  <si>
    <t>1/ Incluye alimentos para conejos, cuyes, peces, equinos, mascotas, ovinos, etc. * Leche evaporada , mezcla láctea, se esta trabajando los meses anteriores</t>
  </si>
  <si>
    <t>C.49  PERÚ: PRODUCCIÓN Y VENTA DE LA  ACTIVIDAD PRODUCTIVA, ENERO-SETIEMBRE 2024-2025</t>
  </si>
  <si>
    <t>C 50  PERÚ: INGRESO Y UTILIZACION DE MATERIA PRIMA SEGÚN ACTIVIDAD PRODUCTIVA, ENERO-SETIEMBRE 2024-2025</t>
  </si>
  <si>
    <t>C.51  PERÚ:PRODUCCIÓN DE AZÚCAR POR MES SEGÚN REGIÓN, ENERO 2010 - SETIEMBRE 2025</t>
  </si>
  <si>
    <t>Enero-Setiembre</t>
  </si>
  <si>
    <t xml:space="preserve"> Setiembre</t>
  </si>
  <si>
    <t>3/  En el año 2020 el azúcar obtenido a partir de azúcar crudo importado  fue ene=1999 t ; feb=3340 t; jjunio=3225 t; julio=7059 t; Setiembre=4164 t;set=4924 t; oct=1546 t; nov=6241 t dic= 4 526 t</t>
  </si>
  <si>
    <t>6/  En el año 2023 el azúcar obtenido a partir de azúcar crudo importado fue : junio =1850.10 t; julio=3733.82 t;Setiembre=3140.06t; setiembre=232,29 t; noviembre=392.78 t; diciembre=37.58 t</t>
  </si>
  <si>
    <t>7/ En el año 2024, el zúcar obtenido a partir de azúcar crudo importado fue:  enero=2292.23 t; febrero=4862.22 t; marzo =3422.95 t;mayo:1340.86 t: junio=931.70; julio=514.998; Setiembre=20.50t</t>
  </si>
  <si>
    <t xml:space="preserve"> Aceite Vegetal</t>
  </si>
  <si>
    <t xml:space="preserve"> Manteca Vegetal</t>
  </si>
  <si>
    <t>Harina de trigo</t>
  </si>
  <si>
    <t>Aceite Esencial de limón</t>
  </si>
  <si>
    <t>Queso mantecoso</t>
  </si>
  <si>
    <t>Hot dog y/o aalchicha</t>
  </si>
  <si>
    <t>Chicharrón de prensa</t>
  </si>
  <si>
    <t>Alim. balanceado para aves carne</t>
  </si>
  <si>
    <t>Alim. balanceado para vacunos</t>
  </si>
  <si>
    <t>Alim. balanceado para porcinos</t>
  </si>
  <si>
    <t>Alim. balanceado para pavos y patos</t>
  </si>
  <si>
    <t>Alim. balanceado p/aves post./repr.</t>
  </si>
  <si>
    <t>PROCESAMIENTO DE AZÚCAR</t>
  </si>
  <si>
    <t>LECHES Y MEZCLAS LÁCTEAS</t>
  </si>
  <si>
    <t>PROCESAMIENTO DE DERIVADOS LÁCTEOS</t>
  </si>
  <si>
    <t>PROCESAMIENTO DEL ESPÁRRAGO</t>
  </si>
  <si>
    <t>Leche en polvo descr. (LPD)</t>
  </si>
  <si>
    <t>PROCESAMIENTO DE DERIVADOS LÁCTEOS,
LECHES Y MEZCLAS LÁCTEAS</t>
  </si>
  <si>
    <r>
      <t>Piura</t>
    </r>
    <r>
      <rPr>
        <b/>
        <vertAlign val="superscript"/>
        <sz val="8"/>
        <color theme="1"/>
        <rFont val="Arial Narrow"/>
        <family val="2"/>
      </rPr>
      <t xml:space="preserve"> 1/</t>
    </r>
  </si>
  <si>
    <r>
      <t>La Libertad</t>
    </r>
    <r>
      <rPr>
        <b/>
        <vertAlign val="superscript"/>
        <sz val="8"/>
        <color theme="1"/>
        <rFont val="Arial Narrow"/>
        <family val="2"/>
      </rPr>
      <t xml:space="preserve"> 2/ 3/ 4/ 5/ 6/ 7/</t>
    </r>
  </si>
  <si>
    <t xml:space="preserve">  b  </t>
  </si>
  <si>
    <t>Carne preparados-cocidos esp.</t>
  </si>
  <si>
    <t>4/   En el año 2021 el azúcar obtenido de azúcar crudo importado fue  6778.79t  : ene= 270.39 t;  feb=1195.52 t; mar=2513.09 t;mayo=134.21t; jun=1514.69 t; julio 420.96 t,ago=4.74 t; diciembre=725.09t.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</si>
</sst>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 &quot;S/.&quot;\ * #,##0.00_ ;_ &quot;S/.&quot;\ * \-#,##0.00_ ;_ &quot;S/.&quot;\ * &quot;-&quot;??_ ;_ @_ "/>
    <numFmt numFmtId="165" formatCode="_ * #,##0.00_ ;_ * \-#,##0.00_ ;_ * &quot;-&quot;??_ ;_ @_ "/>
    <numFmt numFmtId="166" formatCode="_(* #,##0.00_);_(* \(#,##0.00\);_(* &quot;-&quot;??_);_(@_)"/>
    <numFmt numFmtId="167" formatCode="General_)"/>
    <numFmt numFmtId="168" formatCode="0_)"/>
    <numFmt numFmtId="169" formatCode="0.0_)"/>
    <numFmt numFmtId="170" formatCode="#,##0.0"/>
    <numFmt numFmtId="171" formatCode="_-* #,##0.00\ [$€]_-;\-* #,##0.00\ [$€]_-;_-* &quot;-&quot;??\ [$€]_-;_-@_-"/>
    <numFmt numFmtId="172" formatCode="_([$€-2]\ * #,##0.00_);_([$€-2]\ * \(#,##0.00\);_([$€-2]\ * &quot;-&quot;??_)"/>
    <numFmt numFmtId="173" formatCode="#,##0.00\ ;&quot; (&quot;#,##0.00\);&quot; -&quot;#\ ;@\ "/>
    <numFmt numFmtId="174" formatCode="0.0"/>
    <numFmt numFmtId="175" formatCode="#,##0.0;\-#,##0.0"/>
    <numFmt numFmtId="176" formatCode="_-* #,##0.00\ _P_t_s_-;\-* #,##0.00\ _P_t_s_-;_-* &quot;-&quot;??\ _P_t_s_-;_-@_-"/>
    <numFmt numFmtId="177" formatCode="#\ ##0"/>
    <numFmt numFmtId="178" formatCode="_-* #,##0_-;\-* #,##0_-;_-* &quot;-&quot;_-;_-@"/>
  </numFmts>
  <fonts count="65">
    <font>
      <sz val="10"/>
      <name val="Arial"/>
      <family val="2"/>
    </font>
    <font>
      <sz val="10"/>
      <name val="Arial"/>
      <family val="2"/>
    </font>
    <font>
      <b/>
      <u/>
      <sz val="8"/>
      <name val="Times"/>
      <family val="1"/>
    </font>
    <font>
      <sz val="8"/>
      <name val="Times"/>
      <family val="1"/>
    </font>
    <font>
      <b/>
      <i/>
      <sz val="8"/>
      <name val="Times"/>
      <family val="1"/>
    </font>
    <font>
      <b/>
      <sz val="8"/>
      <name val="Times"/>
      <family val="1"/>
    </font>
    <font>
      <b/>
      <sz val="9"/>
      <name val="Bookman"/>
    </font>
    <font>
      <sz val="8"/>
      <name val="Arial"/>
      <family val="2"/>
    </font>
    <font>
      <sz val="8"/>
      <name val="Helvetic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sz val="8"/>
      <name val="Verdana"/>
      <family val="2"/>
    </font>
    <font>
      <b/>
      <sz val="8"/>
      <name val="Arial Narrow"/>
      <family val="2"/>
    </font>
    <font>
      <sz val="8"/>
      <name val="Arial Narrow"/>
      <family val="2"/>
    </font>
    <font>
      <sz val="6"/>
      <name val="Arial Narrow"/>
      <family val="2"/>
    </font>
    <font>
      <b/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sz val="10"/>
      <name val="Arial"/>
      <family val="2"/>
    </font>
    <font>
      <sz val="8"/>
      <name val="Helv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9"/>
      <name val="Geneva"/>
      <family val="2"/>
    </font>
    <font>
      <u/>
      <sz val="9"/>
      <color indexed="12"/>
      <name val="Geneva"/>
      <family val="2"/>
    </font>
    <font>
      <sz val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name val="Arial Narrow"/>
      <family val="2"/>
    </font>
    <font>
      <b/>
      <sz val="9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i/>
      <sz val="7"/>
      <name val="Arial Narrow"/>
      <family val="2"/>
    </font>
    <font>
      <sz val="11"/>
      <color theme="1"/>
      <name val="Calibri"/>
      <family val="2"/>
      <scheme val="minor"/>
    </font>
    <font>
      <sz val="6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7"/>
      <color theme="1"/>
      <name val="Arial Narrow"/>
      <family val="2"/>
    </font>
    <font>
      <sz val="9"/>
      <color theme="1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vertAlign val="superscript"/>
      <sz val="8"/>
      <color theme="1"/>
      <name val="Arial Narrow"/>
      <family val="2"/>
    </font>
    <font>
      <sz val="10"/>
      <name val="Arial Narrow"/>
      <family val="2"/>
    </font>
    <font>
      <u/>
      <sz val="10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gray125">
        <fgColor indexed="8"/>
      </patternFill>
    </fill>
    <fill>
      <patternFill patternType="solid">
        <fgColor indexed="9"/>
        <bgColor indexed="64"/>
      </patternFill>
    </fill>
    <fill>
      <patternFill patternType="solid">
        <fgColor rgb="FFFEF4C2"/>
        <bgColor rgb="FFFEF4C2"/>
      </patternFill>
    </fill>
    <fill>
      <patternFill patternType="solid">
        <fgColor rgb="FFF0EEDB"/>
        <bgColor rgb="FFF0EEDB"/>
      </patternFill>
    </fill>
    <fill>
      <patternFill patternType="solid">
        <fgColor theme="0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1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2" fillId="8" borderId="0" applyNumberFormat="0" applyBorder="0" applyAlignment="0" applyProtection="0"/>
    <xf numFmtId="0" fontId="10" fillId="2" borderId="0" applyNumberFormat="0" applyBorder="0" applyAlignment="0" applyProtection="0"/>
    <xf numFmtId="0" fontId="12" fillId="7" borderId="0" applyNumberFormat="0" applyBorder="0" applyAlignment="0" applyProtection="0"/>
    <xf numFmtId="0" fontId="10" fillId="3" borderId="0" applyNumberFormat="0" applyBorder="0" applyAlignment="0" applyProtection="0"/>
    <xf numFmtId="0" fontId="12" fillId="9" borderId="0" applyNumberFormat="0" applyBorder="0" applyAlignment="0" applyProtection="0"/>
    <xf numFmtId="0" fontId="10" fillId="4" borderId="0" applyNumberFormat="0" applyBorder="0" applyAlignment="0" applyProtection="0"/>
    <xf numFmtId="0" fontId="12" fillId="8" borderId="0" applyNumberFormat="0" applyBorder="0" applyAlignment="0" applyProtection="0"/>
    <xf numFmtId="0" fontId="10" fillId="5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2" fillId="14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5" borderId="0" applyNumberFormat="0" applyBorder="0" applyAlignment="0" applyProtection="0"/>
    <xf numFmtId="0" fontId="10" fillId="12" borderId="0" applyNumberFormat="0" applyBorder="0" applyAlignment="0" applyProtection="0"/>
    <xf numFmtId="0" fontId="12" fillId="14" borderId="0" applyNumberFormat="0" applyBorder="0" applyAlignment="0" applyProtection="0"/>
    <xf numFmtId="0" fontId="10" fillId="5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7" borderId="0" applyNumberFormat="0" applyBorder="0" applyAlignment="0" applyProtection="0"/>
    <xf numFmtId="0" fontId="10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16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7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23" borderId="0" applyNumberFormat="0" applyBorder="0" applyAlignment="0" applyProtection="0"/>
    <xf numFmtId="0" fontId="38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14" borderId="1" applyNumberFormat="0" applyAlignment="0" applyProtection="0"/>
    <xf numFmtId="0" fontId="15" fillId="8" borderId="1" applyNumberFormat="0" applyAlignment="0" applyProtection="0"/>
    <xf numFmtId="0" fontId="15" fillId="14" borderId="1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167" fontId="2" fillId="0" borderId="0"/>
    <xf numFmtId="167" fontId="3" fillId="0" borderId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40" fillId="0" borderId="5" applyNumberFormat="0" applyFill="0" applyAlignment="0" applyProtection="0"/>
    <xf numFmtId="0" fontId="41" fillId="0" borderId="6" applyNumberFormat="0" applyFill="0" applyAlignment="0" applyProtection="0"/>
    <xf numFmtId="0" fontId="37" fillId="0" borderId="7" applyNumberFormat="0" applyFill="0" applyAlignment="0" applyProtection="0"/>
    <xf numFmtId="0" fontId="37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21" fillId="3" borderId="0" applyNumberFormat="0" applyBorder="0" applyAlignment="0" applyProtection="0"/>
    <xf numFmtId="0" fontId="38" fillId="3" borderId="0" applyNumberFormat="0" applyBorder="0" applyAlignment="0" applyProtection="0"/>
    <xf numFmtId="0" fontId="20" fillId="7" borderId="1" applyNumberFormat="0" applyAlignment="0" applyProtection="0"/>
    <xf numFmtId="0" fontId="17" fillId="0" borderId="3" applyNumberFormat="0" applyFill="0" applyAlignment="0" applyProtection="0"/>
    <xf numFmtId="173" fontId="9" fillId="0" borderId="0" applyFill="0" applyBorder="0" applyAlignment="0" applyProtection="0"/>
    <xf numFmtId="165" fontId="4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64" fontId="9" fillId="0" borderId="0" applyFill="0" applyBorder="0" applyAlignment="0" applyProtection="0"/>
    <xf numFmtId="164" fontId="9" fillId="0" borderId="0" applyFill="0" applyBorder="0" applyAlignment="0" applyProtection="0"/>
    <xf numFmtId="164" fontId="9" fillId="0" borderId="0" applyFill="0" applyBorder="0" applyAlignment="0" applyProtection="0"/>
    <xf numFmtId="164" fontId="9" fillId="0" borderId="0" applyFill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9" fillId="0" borderId="0"/>
    <xf numFmtId="0" fontId="10" fillId="0" borderId="0"/>
    <xf numFmtId="0" fontId="42" fillId="0" borderId="0"/>
    <xf numFmtId="0" fontId="9" fillId="0" borderId="0"/>
    <xf numFmtId="0" fontId="52" fillId="0" borderId="0"/>
    <xf numFmtId="0" fontId="35" fillId="0" borderId="0"/>
    <xf numFmtId="168" fontId="36" fillId="0" borderId="0"/>
    <xf numFmtId="168" fontId="8" fillId="0" borderId="0"/>
    <xf numFmtId="168" fontId="8" fillId="0" borderId="0"/>
    <xf numFmtId="168" fontId="8" fillId="0" borderId="0"/>
    <xf numFmtId="0" fontId="11" fillId="0" borderId="0"/>
    <xf numFmtId="0" fontId="9" fillId="9" borderId="8" applyNumberFormat="0" applyFont="0" applyAlignment="0" applyProtection="0"/>
    <xf numFmtId="167" fontId="4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23" fillId="14" borderId="9" applyNumberFormat="0" applyAlignment="0" applyProtection="0"/>
    <xf numFmtId="167" fontId="5" fillId="27" borderId="0"/>
    <xf numFmtId="167" fontId="5" fillId="27" borderId="0"/>
    <xf numFmtId="0" fontId="23" fillId="8" borderId="9" applyNumberFormat="0" applyAlignment="0" applyProtection="0"/>
    <xf numFmtId="0" fontId="23" fillId="14" borderId="9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7" fontId="6" fillId="0" borderId="0"/>
    <xf numFmtId="167" fontId="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41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37" fillId="0" borderId="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8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195">
    <xf numFmtId="0" fontId="0" fillId="0" borderId="0" xfId="0"/>
    <xf numFmtId="168" fontId="31" fillId="0" borderId="0" xfId="128" applyFont="1" applyAlignment="1">
      <alignment vertical="center"/>
    </xf>
    <xf numFmtId="168" fontId="31" fillId="0" borderId="0" xfId="129" applyFont="1" applyAlignment="1">
      <alignment vertical="center"/>
    </xf>
    <xf numFmtId="37" fontId="31" fillId="0" borderId="0" xfId="129" applyNumberFormat="1" applyFont="1" applyAlignment="1">
      <alignment vertical="center"/>
    </xf>
    <xf numFmtId="168" fontId="31" fillId="0" borderId="0" xfId="128" applyFont="1" applyAlignment="1">
      <alignment horizontal="left" vertical="center"/>
    </xf>
    <xf numFmtId="168" fontId="31" fillId="0" borderId="0" xfId="129" applyFont="1" applyAlignment="1">
      <alignment horizontal="center" vertical="center"/>
    </xf>
    <xf numFmtId="167" fontId="32" fillId="0" borderId="0" xfId="0" quotePrefix="1" applyNumberFormat="1" applyFont="1" applyAlignment="1">
      <alignment horizontal="left" vertical="center"/>
    </xf>
    <xf numFmtId="168" fontId="32" fillId="0" borderId="0" xfId="130" applyFont="1" applyAlignment="1">
      <alignment horizontal="left"/>
    </xf>
    <xf numFmtId="169" fontId="31" fillId="0" borderId="0" xfId="129" applyNumberFormat="1" applyFont="1" applyAlignment="1">
      <alignment horizontal="right" vertical="center"/>
    </xf>
    <xf numFmtId="3" fontId="31" fillId="0" borderId="0" xfId="129" applyNumberFormat="1" applyFont="1" applyAlignment="1">
      <alignment vertical="center"/>
    </xf>
    <xf numFmtId="3" fontId="31" fillId="0" borderId="0" xfId="129" applyNumberFormat="1" applyFont="1" applyAlignment="1">
      <alignment horizontal="right" vertical="center"/>
    </xf>
    <xf numFmtId="49" fontId="33" fillId="0" borderId="0" xfId="131" applyNumberFormat="1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177" fontId="53" fillId="0" borderId="0" xfId="0" applyNumberFormat="1" applyFont="1" applyAlignment="1">
      <alignment horizontal="left" vertical="center"/>
    </xf>
    <xf numFmtId="0" fontId="53" fillId="0" borderId="0" xfId="0" applyFont="1" applyAlignment="1">
      <alignment vertical="center"/>
    </xf>
    <xf numFmtId="37" fontId="53" fillId="0" borderId="0" xfId="0" applyNumberFormat="1" applyFont="1" applyAlignment="1">
      <alignment vertical="center"/>
    </xf>
    <xf numFmtId="0" fontId="53" fillId="0" borderId="0" xfId="0" applyFont="1" applyAlignment="1">
      <alignment horizontal="center" vertical="center"/>
    </xf>
    <xf numFmtId="3" fontId="54" fillId="0" borderId="0" xfId="0" applyNumberFormat="1" applyFont="1" applyAlignment="1">
      <alignment horizontal="right" vertical="center"/>
    </xf>
    <xf numFmtId="3" fontId="55" fillId="0" borderId="0" xfId="0" applyNumberFormat="1" applyFont="1" applyAlignment="1">
      <alignment horizontal="right" vertical="center"/>
    </xf>
    <xf numFmtId="174" fontId="56" fillId="0" borderId="0" xfId="0" applyNumberFormat="1" applyFont="1"/>
    <xf numFmtId="3" fontId="56" fillId="0" borderId="0" xfId="0" applyNumberFormat="1" applyFont="1"/>
    <xf numFmtId="0" fontId="56" fillId="0" borderId="0" xfId="0" applyFont="1" applyAlignment="1">
      <alignment vertical="center"/>
    </xf>
    <xf numFmtId="3" fontId="54" fillId="0" borderId="0" xfId="0" applyNumberFormat="1" applyFont="1" applyAlignment="1">
      <alignment vertical="center"/>
    </xf>
    <xf numFmtId="3" fontId="56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7" fillId="0" borderId="0" xfId="0" applyFont="1"/>
    <xf numFmtId="168" fontId="57" fillId="0" borderId="0" xfId="129" applyFont="1"/>
    <xf numFmtId="3" fontId="57" fillId="0" borderId="0" xfId="129" applyNumberFormat="1" applyFont="1" applyAlignment="1">
      <alignment horizontal="right" vertical="center"/>
    </xf>
    <xf numFmtId="169" fontId="57" fillId="0" borderId="0" xfId="129" applyNumberFormat="1" applyFont="1" applyAlignment="1">
      <alignment horizontal="right" vertical="center"/>
    </xf>
    <xf numFmtId="0" fontId="44" fillId="0" borderId="0" xfId="0" applyFont="1"/>
    <xf numFmtId="168" fontId="31" fillId="0" borderId="13" xfId="129" applyFont="1" applyBorder="1" applyAlignment="1">
      <alignment vertical="center"/>
    </xf>
    <xf numFmtId="3" fontId="32" fillId="0" borderId="0" xfId="129" applyNumberFormat="1" applyFont="1" applyAlignment="1">
      <alignment horizontal="right" vertical="center"/>
    </xf>
    <xf numFmtId="169" fontId="32" fillId="0" borderId="0" xfId="129" applyNumberFormat="1" applyFont="1" applyAlignment="1">
      <alignment horizontal="right" vertical="center"/>
    </xf>
    <xf numFmtId="3" fontId="32" fillId="0" borderId="0" xfId="129" applyNumberFormat="1" applyFont="1" applyAlignment="1">
      <alignment vertical="center"/>
    </xf>
    <xf numFmtId="3" fontId="32" fillId="0" borderId="0" xfId="130" applyNumberFormat="1" applyFont="1" applyAlignment="1">
      <alignment vertical="center"/>
    </xf>
    <xf numFmtId="3" fontId="32" fillId="0" borderId="0" xfId="130" applyNumberFormat="1" applyFont="1" applyAlignment="1">
      <alignment horizontal="right" vertical="center"/>
    </xf>
    <xf numFmtId="169" fontId="32" fillId="0" borderId="0" xfId="130" applyNumberFormat="1" applyFont="1" applyAlignment="1">
      <alignment horizontal="right" vertical="center"/>
    </xf>
    <xf numFmtId="0" fontId="58" fillId="0" borderId="0" xfId="0" applyFont="1" applyAlignment="1">
      <alignment vertical="center"/>
    </xf>
    <xf numFmtId="3" fontId="59" fillId="0" borderId="0" xfId="129" applyNumberFormat="1" applyFont="1" applyAlignment="1">
      <alignment horizontal="right" vertical="center"/>
    </xf>
    <xf numFmtId="175" fontId="59" fillId="0" borderId="0" xfId="129" applyNumberFormat="1" applyFont="1" applyAlignment="1">
      <alignment horizontal="right" vertical="center"/>
    </xf>
    <xf numFmtId="1" fontId="57" fillId="0" borderId="0" xfId="0" applyNumberFormat="1" applyFont="1"/>
    <xf numFmtId="169" fontId="31" fillId="0" borderId="0" xfId="129" applyNumberFormat="1" applyFont="1" applyAlignment="1">
      <alignment vertical="center"/>
    </xf>
    <xf numFmtId="168" fontId="30" fillId="0" borderId="0" xfId="128" applyFont="1" applyAlignment="1">
      <alignment vertical="center"/>
    </xf>
    <xf numFmtId="167" fontId="53" fillId="0" borderId="0" xfId="0" quotePrefix="1" applyNumberFormat="1" applyFont="1" applyAlignment="1">
      <alignment horizontal="left" vertical="center"/>
    </xf>
    <xf numFmtId="0" fontId="53" fillId="0" borderId="0" xfId="123" applyFont="1" applyAlignment="1">
      <alignment vertical="center"/>
    </xf>
    <xf numFmtId="0" fontId="53" fillId="0" borderId="0" xfId="121" applyFont="1" applyAlignment="1">
      <alignment vertical="center"/>
    </xf>
    <xf numFmtId="170" fontId="47" fillId="0" borderId="0" xfId="0" applyNumberFormat="1" applyFont="1" applyAlignment="1">
      <alignment vertical="top"/>
    </xf>
    <xf numFmtId="4" fontId="31" fillId="0" borderId="0" xfId="129" applyNumberFormat="1" applyFont="1" applyAlignment="1">
      <alignment vertical="center"/>
    </xf>
    <xf numFmtId="0" fontId="31" fillId="0" borderId="0" xfId="128" applyNumberFormat="1" applyFont="1" applyAlignment="1">
      <alignment vertical="center"/>
    </xf>
    <xf numFmtId="0" fontId="31" fillId="0" borderId="0" xfId="128" applyNumberFormat="1" applyFont="1" applyAlignment="1">
      <alignment horizontal="center" vertical="center"/>
    </xf>
    <xf numFmtId="0" fontId="31" fillId="0" borderId="0" xfId="128" applyNumberFormat="1" applyFont="1" applyAlignment="1">
      <alignment horizontal="right" vertical="center"/>
    </xf>
    <xf numFmtId="0" fontId="47" fillId="0" borderId="0" xfId="0" applyFont="1" applyAlignment="1">
      <alignment vertical="top"/>
    </xf>
    <xf numFmtId="0" fontId="33" fillId="0" borderId="0" xfId="131" applyFont="1" applyAlignment="1">
      <alignment horizontal="center" vertical="center" wrapText="1"/>
    </xf>
    <xf numFmtId="0" fontId="33" fillId="0" borderId="0" xfId="131" applyFont="1" applyAlignment="1">
      <alignment horizontal="right" vertical="center" wrapText="1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0" fontId="32" fillId="0" borderId="0" xfId="128" applyNumberFormat="1" applyFont="1" applyAlignment="1">
      <alignment horizontal="center" vertical="center"/>
    </xf>
    <xf numFmtId="0" fontId="32" fillId="0" borderId="0" xfId="128" applyNumberFormat="1" applyFont="1" applyAlignment="1">
      <alignment horizontal="right" vertical="center"/>
    </xf>
    <xf numFmtId="0" fontId="47" fillId="0" borderId="0" xfId="0" applyFont="1" applyAlignment="1">
      <alignment horizontal="right" vertical="top"/>
    </xf>
    <xf numFmtId="0" fontId="45" fillId="0" borderId="0" xfId="0" applyFont="1"/>
    <xf numFmtId="0" fontId="46" fillId="0" borderId="0" xfId="0" applyFont="1"/>
    <xf numFmtId="0" fontId="45" fillId="0" borderId="14" xfId="0" applyFont="1" applyBorder="1"/>
    <xf numFmtId="0" fontId="57" fillId="0" borderId="0" xfId="0" applyFont="1" applyAlignment="1">
      <alignment horizontal="center" vertical="center"/>
    </xf>
    <xf numFmtId="168" fontId="54" fillId="0" borderId="0" xfId="0" applyNumberFormat="1" applyFont="1" applyAlignment="1">
      <alignment vertical="center"/>
    </xf>
    <xf numFmtId="0" fontId="54" fillId="0" borderId="0" xfId="0" applyFont="1" applyAlignment="1">
      <alignment horizontal="center" vertical="center"/>
    </xf>
    <xf numFmtId="0" fontId="56" fillId="29" borderId="15" xfId="0" applyFont="1" applyFill="1" applyBorder="1" applyAlignment="1">
      <alignment horizontal="center" vertical="center"/>
    </xf>
    <xf numFmtId="167" fontId="56" fillId="29" borderId="15" xfId="0" applyNumberFormat="1" applyFont="1" applyFill="1" applyBorder="1" applyAlignment="1">
      <alignment horizontal="center" vertical="center"/>
    </xf>
    <xf numFmtId="178" fontId="56" fillId="29" borderId="15" xfId="0" applyNumberFormat="1" applyFont="1" applyFill="1" applyBorder="1" applyAlignment="1">
      <alignment horizontal="center" vertical="center"/>
    </xf>
    <xf numFmtId="3" fontId="56" fillId="30" borderId="0" xfId="0" applyNumberFormat="1" applyFont="1" applyFill="1" applyAlignment="1">
      <alignment horizontal="center" vertical="center"/>
    </xf>
    <xf numFmtId="3" fontId="56" fillId="30" borderId="0" xfId="0" applyNumberFormat="1" applyFont="1" applyFill="1" applyAlignment="1">
      <alignment horizontal="right" vertical="center"/>
    </xf>
    <xf numFmtId="3" fontId="56" fillId="30" borderId="0" xfId="0" applyNumberFormat="1" applyFont="1" applyFill="1" applyAlignment="1">
      <alignment vertical="center"/>
    </xf>
    <xf numFmtId="3" fontId="56" fillId="30" borderId="16" xfId="0" applyNumberFormat="1" applyFont="1" applyFill="1" applyBorder="1" applyAlignment="1">
      <alignment vertical="center"/>
    </xf>
    <xf numFmtId="3" fontId="60" fillId="30" borderId="0" xfId="0" applyNumberFormat="1" applyFont="1" applyFill="1" applyAlignment="1">
      <alignment horizontal="right" vertical="center"/>
    </xf>
    <xf numFmtId="3" fontId="56" fillId="30" borderId="17" xfId="0" applyNumberFormat="1" applyFont="1" applyFill="1" applyBorder="1" applyAlignment="1">
      <alignment horizontal="right" vertical="center"/>
    </xf>
    <xf numFmtId="3" fontId="56" fillId="30" borderId="17" xfId="0" applyNumberFormat="1" applyFont="1" applyFill="1" applyBorder="1" applyAlignment="1">
      <alignment horizontal="center" vertical="center"/>
    </xf>
    <xf numFmtId="167" fontId="54" fillId="0" borderId="0" xfId="0" applyNumberFormat="1" applyFont="1" applyAlignment="1">
      <alignment horizontal="center" vertical="center"/>
    </xf>
    <xf numFmtId="3" fontId="61" fillId="0" borderId="0" xfId="0" applyNumberFormat="1" applyFont="1" applyAlignment="1">
      <alignment horizontal="right" vertical="center"/>
    </xf>
    <xf numFmtId="0" fontId="56" fillId="0" borderId="17" xfId="0" applyFont="1" applyBorder="1" applyAlignment="1">
      <alignment vertical="center"/>
    </xf>
    <xf numFmtId="3" fontId="56" fillId="0" borderId="16" xfId="0" applyNumberFormat="1" applyFont="1" applyBorder="1" applyAlignment="1">
      <alignment horizontal="center"/>
    </xf>
    <xf numFmtId="3" fontId="56" fillId="0" borderId="16" xfId="0" applyNumberFormat="1" applyFont="1" applyBorder="1"/>
    <xf numFmtId="174" fontId="56" fillId="0" borderId="16" xfId="0" applyNumberFormat="1" applyFont="1" applyBorder="1"/>
    <xf numFmtId="168" fontId="54" fillId="0" borderId="16" xfId="0" applyNumberFormat="1" applyFont="1" applyBorder="1" applyAlignment="1">
      <alignment vertical="center"/>
    </xf>
    <xf numFmtId="3" fontId="55" fillId="0" borderId="16" xfId="0" applyNumberFormat="1" applyFont="1" applyBorder="1" applyAlignment="1">
      <alignment horizontal="right" vertical="center"/>
    </xf>
    <xf numFmtId="170" fontId="55" fillId="0" borderId="16" xfId="0" applyNumberFormat="1" applyFont="1" applyBorder="1" applyAlignment="1">
      <alignment horizontal="right" vertical="top"/>
    </xf>
    <xf numFmtId="3" fontId="56" fillId="0" borderId="0" xfId="0" applyNumberFormat="1" applyFont="1" applyAlignment="1">
      <alignment horizontal="center"/>
    </xf>
    <xf numFmtId="167" fontId="55" fillId="0" borderId="0" xfId="0" applyNumberFormat="1" applyFont="1" applyAlignment="1">
      <alignment horizontal="center" vertical="center"/>
    </xf>
    <xf numFmtId="167" fontId="55" fillId="30" borderId="0" xfId="0" applyNumberFormat="1" applyFont="1" applyFill="1" applyAlignment="1">
      <alignment horizontal="center" vertical="center"/>
    </xf>
    <xf numFmtId="167" fontId="54" fillId="0" borderId="17" xfId="0" applyNumberFormat="1" applyFont="1" applyBorder="1" applyAlignment="1">
      <alignment horizontal="center" vertical="center"/>
    </xf>
    <xf numFmtId="3" fontId="56" fillId="30" borderId="13" xfId="0" applyNumberFormat="1" applyFont="1" applyFill="1" applyBorder="1" applyAlignment="1">
      <alignment horizontal="right" vertical="center"/>
    </xf>
    <xf numFmtId="3" fontId="61" fillId="0" borderId="17" xfId="0" applyNumberFormat="1" applyFont="1" applyBorder="1" applyAlignment="1">
      <alignment horizontal="right" vertical="center"/>
    </xf>
    <xf numFmtId="168" fontId="54" fillId="0" borderId="17" xfId="0" applyNumberFormat="1" applyFont="1" applyBorder="1" applyAlignment="1">
      <alignment vertical="center"/>
    </xf>
    <xf numFmtId="3" fontId="54" fillId="0" borderId="17" xfId="0" applyNumberFormat="1" applyFont="1" applyBorder="1" applyAlignment="1">
      <alignment horizontal="right" vertical="center"/>
    </xf>
    <xf numFmtId="168" fontId="53" fillId="0" borderId="0" xfId="0" applyNumberFormat="1" applyFont="1" applyAlignment="1">
      <alignment horizontal="center" vertical="center"/>
    </xf>
    <xf numFmtId="168" fontId="53" fillId="0" borderId="0" xfId="0" applyNumberFormat="1" applyFont="1" applyAlignment="1">
      <alignment horizontal="left" vertical="center"/>
    </xf>
    <xf numFmtId="168" fontId="54" fillId="0" borderId="0" xfId="0" applyNumberFormat="1" applyFont="1" applyAlignment="1">
      <alignment horizontal="center" vertical="center"/>
    </xf>
    <xf numFmtId="168" fontId="47" fillId="0" borderId="0" xfId="128" applyFont="1" applyAlignment="1">
      <alignment vertical="center"/>
    </xf>
    <xf numFmtId="0" fontId="56" fillId="29" borderId="32" xfId="0" applyFont="1" applyFill="1" applyBorder="1" applyAlignment="1">
      <alignment horizontal="center" vertical="center" wrapText="1"/>
    </xf>
    <xf numFmtId="0" fontId="60" fillId="29" borderId="32" xfId="0" applyFont="1" applyFill="1" applyBorder="1" applyAlignment="1">
      <alignment horizontal="center" vertical="center" wrapText="1"/>
    </xf>
    <xf numFmtId="0" fontId="60" fillId="29" borderId="33" xfId="0" applyFont="1" applyFill="1" applyBorder="1" applyAlignment="1">
      <alignment horizontal="center" vertical="center" wrapText="1"/>
    </xf>
    <xf numFmtId="0" fontId="60" fillId="29" borderId="34" xfId="0" applyFont="1" applyFill="1" applyBorder="1" applyAlignment="1">
      <alignment horizontal="center" vertical="center" wrapText="1"/>
    </xf>
    <xf numFmtId="168" fontId="48" fillId="0" borderId="0" xfId="128" applyFont="1"/>
    <xf numFmtId="0" fontId="55" fillId="30" borderId="0" xfId="121" applyFont="1" applyFill="1" applyAlignment="1">
      <alignment vertical="center" wrapText="1"/>
    </xf>
    <xf numFmtId="170" fontId="49" fillId="30" borderId="0" xfId="121" applyNumberFormat="1" applyFont="1" applyFill="1" applyAlignment="1">
      <alignment horizontal="right" vertical="center"/>
    </xf>
    <xf numFmtId="0" fontId="49" fillId="31" borderId="0" xfId="0" applyFont="1" applyFill="1" applyAlignment="1">
      <alignment vertical="center" wrapText="1"/>
    </xf>
    <xf numFmtId="170" fontId="49" fillId="31" borderId="0" xfId="127" applyNumberFormat="1" applyFont="1" applyFill="1" applyAlignment="1">
      <alignment horizontal="right" vertical="center"/>
    </xf>
    <xf numFmtId="0" fontId="55" fillId="30" borderId="0" xfId="0" applyFont="1" applyFill="1" applyAlignment="1">
      <alignment vertical="center"/>
    </xf>
    <xf numFmtId="3" fontId="55" fillId="30" borderId="0" xfId="0" applyNumberFormat="1" applyFont="1" applyFill="1" applyAlignment="1">
      <alignment horizontal="right" vertical="center"/>
    </xf>
    <xf numFmtId="1" fontId="49" fillId="31" borderId="0" xfId="0" applyNumberFormat="1" applyFont="1" applyFill="1" applyAlignment="1" applyProtection="1">
      <alignment vertical="center"/>
      <protection locked="0"/>
    </xf>
    <xf numFmtId="0" fontId="55" fillId="30" borderId="0" xfId="0" applyFont="1" applyFill="1" applyAlignment="1">
      <alignment vertical="center" wrapText="1"/>
    </xf>
    <xf numFmtId="0" fontId="49" fillId="31" borderId="0" xfId="0" applyFont="1" applyFill="1" applyAlignment="1">
      <alignment horizontal="left" vertical="center" wrapText="1"/>
    </xf>
    <xf numFmtId="3" fontId="49" fillId="31" borderId="0" xfId="127" applyNumberFormat="1" applyFont="1" applyFill="1" applyAlignment="1">
      <alignment horizontal="right" vertical="center"/>
    </xf>
    <xf numFmtId="168" fontId="31" fillId="31" borderId="0" xfId="128" applyFont="1" applyFill="1" applyAlignment="1">
      <alignment vertical="center"/>
    </xf>
    <xf numFmtId="168" fontId="50" fillId="31" borderId="13" xfId="128" applyFont="1" applyFill="1" applyBorder="1" applyAlignment="1">
      <alignment horizontal="center" vertical="center" wrapText="1"/>
    </xf>
    <xf numFmtId="0" fontId="49" fillId="31" borderId="13" xfId="0" applyFont="1" applyFill="1" applyBorder="1" applyAlignment="1">
      <alignment horizontal="left" vertical="center" wrapText="1"/>
    </xf>
    <xf numFmtId="3" fontId="49" fillId="31" borderId="13" xfId="127" applyNumberFormat="1" applyFont="1" applyFill="1" applyBorder="1" applyAlignment="1">
      <alignment horizontal="right" vertical="center"/>
    </xf>
    <xf numFmtId="0" fontId="49" fillId="32" borderId="0" xfId="0" applyFont="1" applyFill="1" applyAlignment="1">
      <alignment horizontal="left" vertical="center" wrapText="1"/>
    </xf>
    <xf numFmtId="0" fontId="49" fillId="32" borderId="0" xfId="0" applyFont="1" applyFill="1" applyAlignment="1">
      <alignment vertical="center" wrapText="1"/>
    </xf>
    <xf numFmtId="0" fontId="32" fillId="0" borderId="0" xfId="0" applyFont="1" applyAlignment="1">
      <alignment vertical="center"/>
    </xf>
    <xf numFmtId="168" fontId="32" fillId="0" borderId="0" xfId="130" applyFont="1" applyAlignment="1">
      <alignment horizontal="left" vertical="center"/>
    </xf>
    <xf numFmtId="3" fontId="49" fillId="30" borderId="0" xfId="0" applyNumberFormat="1" applyFont="1" applyFill="1" applyAlignment="1">
      <alignment horizontal="right" vertical="center"/>
    </xf>
    <xf numFmtId="37" fontId="55" fillId="30" borderId="0" xfId="0" applyNumberFormat="1" applyFont="1" applyFill="1" applyAlignment="1">
      <alignment vertical="center" wrapText="1"/>
    </xf>
    <xf numFmtId="0" fontId="51" fillId="31" borderId="0" xfId="121" applyFont="1" applyFill="1" applyAlignment="1">
      <alignment horizontal="left" vertical="center" wrapText="1"/>
    </xf>
    <xf numFmtId="37" fontId="55" fillId="0" borderId="0" xfId="0" applyNumberFormat="1" applyFont="1" applyAlignment="1">
      <alignment vertical="center" wrapText="1"/>
    </xf>
    <xf numFmtId="3" fontId="49" fillId="32" borderId="0" xfId="127" applyNumberFormat="1" applyFont="1" applyFill="1" applyAlignment="1">
      <alignment horizontal="right" vertical="center"/>
    </xf>
    <xf numFmtId="3" fontId="55" fillId="32" borderId="0" xfId="127" applyNumberFormat="1" applyFont="1" applyFill="1" applyAlignment="1">
      <alignment horizontal="right" vertical="center"/>
    </xf>
    <xf numFmtId="168" fontId="50" fillId="31" borderId="0" xfId="128" applyFont="1" applyFill="1" applyAlignment="1">
      <alignment horizontal="center" vertical="center" wrapText="1"/>
    </xf>
    <xf numFmtId="3" fontId="49" fillId="30" borderId="0" xfId="121" applyNumberFormat="1" applyFont="1" applyFill="1" applyAlignment="1">
      <alignment horizontal="right" vertical="center"/>
    </xf>
    <xf numFmtId="170" fontId="49" fillId="30" borderId="0" xfId="121" applyNumberFormat="1" applyFont="1" applyFill="1" applyAlignment="1">
      <alignment vertical="center"/>
    </xf>
    <xf numFmtId="170" fontId="49" fillId="31" borderId="0" xfId="127" applyNumberFormat="1" applyFont="1" applyFill="1" applyAlignment="1">
      <alignment vertical="center"/>
    </xf>
    <xf numFmtId="170" fontId="55" fillId="30" borderId="0" xfId="0" applyNumberFormat="1" applyFont="1" applyFill="1" applyAlignment="1">
      <alignment vertical="center"/>
    </xf>
    <xf numFmtId="170" fontId="49" fillId="30" borderId="0" xfId="0" applyNumberFormat="1" applyFont="1" applyFill="1" applyAlignment="1">
      <alignment vertical="center"/>
    </xf>
    <xf numFmtId="170" fontId="55" fillId="0" borderId="0" xfId="0" applyNumberFormat="1" applyFont="1" applyAlignment="1">
      <alignment vertical="center"/>
    </xf>
    <xf numFmtId="170" fontId="49" fillId="32" borderId="0" xfId="127" applyNumberFormat="1" applyFont="1" applyFill="1" applyAlignment="1">
      <alignment vertical="center"/>
    </xf>
    <xf numFmtId="170" fontId="55" fillId="30" borderId="0" xfId="0" applyNumberFormat="1" applyFont="1" applyFill="1" applyAlignment="1">
      <alignment horizontal="right" vertical="center"/>
    </xf>
    <xf numFmtId="170" fontId="49" fillId="30" borderId="0" xfId="0" applyNumberFormat="1" applyFont="1" applyFill="1" applyAlignment="1">
      <alignment horizontal="right" vertical="center"/>
    </xf>
    <xf numFmtId="170" fontId="55" fillId="0" borderId="0" xfId="0" applyNumberFormat="1" applyFont="1" applyAlignment="1">
      <alignment horizontal="right" vertical="center"/>
    </xf>
    <xf numFmtId="170" fontId="49" fillId="32" borderId="0" xfId="127" applyNumberFormat="1" applyFont="1" applyFill="1" applyAlignment="1">
      <alignment horizontal="right" vertical="center"/>
    </xf>
    <xf numFmtId="170" fontId="49" fillId="31" borderId="13" xfId="127" applyNumberFormat="1" applyFont="1" applyFill="1" applyBorder="1" applyAlignment="1">
      <alignment horizontal="right" vertical="center"/>
    </xf>
    <xf numFmtId="1" fontId="49" fillId="33" borderId="0" xfId="0" applyNumberFormat="1" applyFont="1" applyFill="1" applyAlignment="1" applyProtection="1">
      <alignment vertical="center"/>
      <protection locked="0"/>
    </xf>
    <xf numFmtId="3" fontId="49" fillId="33" borderId="0" xfId="127" applyNumberFormat="1" applyFont="1" applyFill="1" applyAlignment="1">
      <alignment horizontal="right" vertical="center"/>
    </xf>
    <xf numFmtId="170" fontId="49" fillId="33" borderId="0" xfId="127" applyNumberFormat="1" applyFont="1" applyFill="1" applyAlignment="1">
      <alignment vertical="center"/>
    </xf>
    <xf numFmtId="3" fontId="49" fillId="33" borderId="0" xfId="129" applyNumberFormat="1" applyFont="1" applyFill="1" applyAlignment="1">
      <alignment vertical="center"/>
    </xf>
    <xf numFmtId="170" fontId="49" fillId="33" borderId="0" xfId="127" applyNumberFormat="1" applyFont="1" applyFill="1" applyAlignment="1">
      <alignment horizontal="right" vertical="center"/>
    </xf>
    <xf numFmtId="3" fontId="49" fillId="31" borderId="0" xfId="129" applyNumberFormat="1" applyFont="1" applyFill="1" applyAlignment="1">
      <alignment vertical="center"/>
    </xf>
    <xf numFmtId="168" fontId="50" fillId="31" borderId="0" xfId="129" applyFont="1" applyFill="1" applyAlignment="1">
      <alignment horizontal="center" vertical="center" wrapText="1"/>
    </xf>
    <xf numFmtId="170" fontId="49" fillId="0" borderId="0" xfId="127" applyNumberFormat="1" applyFont="1" applyAlignment="1">
      <alignment vertical="center"/>
    </xf>
    <xf numFmtId="1" fontId="49" fillId="33" borderId="0" xfId="0" applyNumberFormat="1" applyFont="1" applyFill="1" applyAlignment="1" applyProtection="1">
      <alignment horizontal="left" vertical="center"/>
      <protection locked="0"/>
    </xf>
    <xf numFmtId="1" fontId="49" fillId="31" borderId="0" xfId="0" applyNumberFormat="1" applyFont="1" applyFill="1" applyAlignment="1" applyProtection="1">
      <alignment horizontal="left" vertical="center"/>
      <protection locked="0"/>
    </xf>
    <xf numFmtId="168" fontId="50" fillId="33" borderId="0" xfId="129" applyFont="1" applyFill="1" applyAlignment="1">
      <alignment horizontal="center" vertical="center" wrapText="1"/>
    </xf>
    <xf numFmtId="3" fontId="49" fillId="33" borderId="0" xfId="127" applyNumberFormat="1" applyFont="1" applyFill="1" applyAlignment="1">
      <alignment vertical="center"/>
    </xf>
    <xf numFmtId="3" fontId="49" fillId="0" borderId="0" xfId="127" applyNumberFormat="1" applyFont="1" applyAlignment="1">
      <alignment horizontal="right" vertical="center"/>
    </xf>
    <xf numFmtId="3" fontId="49" fillId="0" borderId="0" xfId="129" applyNumberFormat="1" applyFont="1" applyAlignment="1">
      <alignment vertical="center"/>
    </xf>
    <xf numFmtId="1" fontId="49" fillId="33" borderId="13" xfId="0" applyNumberFormat="1" applyFont="1" applyFill="1" applyBorder="1" applyAlignment="1">
      <alignment horizontal="left" vertical="center"/>
    </xf>
    <xf numFmtId="3" fontId="49" fillId="33" borderId="13" xfId="127" applyNumberFormat="1" applyFont="1" applyFill="1" applyBorder="1" applyAlignment="1">
      <alignment horizontal="right" vertical="center"/>
    </xf>
    <xf numFmtId="0" fontId="63" fillId="0" borderId="0" xfId="0" applyFont="1"/>
    <xf numFmtId="15" fontId="63" fillId="0" borderId="0" xfId="0" applyNumberFormat="1" applyFont="1"/>
    <xf numFmtId="15" fontId="64" fillId="0" borderId="0" xfId="0" applyNumberFormat="1" applyFont="1"/>
    <xf numFmtId="0" fontId="63" fillId="0" borderId="0" xfId="0" applyFont="1" applyAlignment="1">
      <alignment horizontal="center"/>
    </xf>
    <xf numFmtId="0" fontId="45" fillId="28" borderId="14" xfId="0" applyFont="1" applyFill="1" applyBorder="1" applyAlignment="1">
      <alignment horizontal="center" vertical="center" wrapText="1"/>
    </xf>
    <xf numFmtId="168" fontId="45" fillId="0" borderId="14" xfId="129" applyFont="1" applyBorder="1" applyAlignment="1">
      <alignment horizontal="left" vertical="center" wrapText="1"/>
    </xf>
    <xf numFmtId="0" fontId="45" fillId="0" borderId="14" xfId="0" applyFont="1" applyBorder="1" applyAlignment="1">
      <alignment horizontal="center"/>
    </xf>
    <xf numFmtId="170" fontId="45" fillId="0" borderId="14" xfId="0" applyNumberFormat="1" applyFont="1" applyBorder="1" applyAlignment="1">
      <alignment horizontal="left"/>
    </xf>
    <xf numFmtId="170" fontId="45" fillId="0" borderId="14" xfId="0" quotePrefix="1" applyNumberFormat="1" applyFont="1" applyBorder="1" applyAlignment="1">
      <alignment horizontal="left"/>
    </xf>
    <xf numFmtId="168" fontId="50" fillId="32" borderId="0" xfId="128" applyFont="1" applyFill="1" applyAlignment="1">
      <alignment horizontal="center" vertical="center" wrapText="1"/>
    </xf>
    <xf numFmtId="0" fontId="50" fillId="31" borderId="0" xfId="0" applyFont="1" applyFill="1" applyAlignment="1">
      <alignment horizontal="center" vertical="center" wrapText="1"/>
    </xf>
    <xf numFmtId="168" fontId="58" fillId="30" borderId="0" xfId="0" applyNumberFormat="1" applyFont="1" applyFill="1" applyAlignment="1">
      <alignment horizontal="center" vertical="center" wrapText="1"/>
    </xf>
    <xf numFmtId="0" fontId="49" fillId="0" borderId="0" xfId="0" applyFont="1" applyAlignment="1">
      <alignment vertical="center"/>
    </xf>
    <xf numFmtId="168" fontId="50" fillId="31" borderId="0" xfId="128" applyFont="1" applyFill="1" applyAlignment="1">
      <alignment horizontal="center" vertical="center" wrapText="1"/>
    </xf>
    <xf numFmtId="168" fontId="58" fillId="0" borderId="0" xfId="0" applyNumberFormat="1" applyFont="1" applyAlignment="1">
      <alignment horizontal="center" vertical="center" wrapText="1"/>
    </xf>
    <xf numFmtId="0" fontId="60" fillId="29" borderId="24" xfId="0" applyFont="1" applyFill="1" applyBorder="1" applyAlignment="1">
      <alignment horizontal="center" vertical="center"/>
    </xf>
    <xf numFmtId="0" fontId="60" fillId="29" borderId="25" xfId="0" applyFont="1" applyFill="1" applyBorder="1" applyAlignment="1">
      <alignment horizontal="center" vertical="center"/>
    </xf>
    <xf numFmtId="0" fontId="60" fillId="29" borderId="27" xfId="0" applyFont="1" applyFill="1" applyBorder="1" applyAlignment="1">
      <alignment horizontal="center" vertical="center"/>
    </xf>
    <xf numFmtId="0" fontId="56" fillId="29" borderId="18" xfId="0" applyFont="1" applyFill="1" applyBorder="1" applyAlignment="1">
      <alignment horizontal="center" vertical="center"/>
    </xf>
    <xf numFmtId="0" fontId="56" fillId="29" borderId="19" xfId="0" applyFont="1" applyFill="1" applyBorder="1" applyAlignment="1">
      <alignment horizontal="center" vertical="center"/>
    </xf>
    <xf numFmtId="0" fontId="56" fillId="29" borderId="20" xfId="0" applyFont="1" applyFill="1" applyBorder="1" applyAlignment="1">
      <alignment horizontal="center" vertical="center"/>
    </xf>
    <xf numFmtId="0" fontId="56" fillId="29" borderId="29" xfId="0" applyFont="1" applyFill="1" applyBorder="1" applyAlignment="1">
      <alignment horizontal="center" vertical="center"/>
    </xf>
    <xf numFmtId="0" fontId="60" fillId="29" borderId="26" xfId="0" applyFont="1" applyFill="1" applyBorder="1" applyAlignment="1">
      <alignment horizontal="center" vertical="center"/>
    </xf>
    <xf numFmtId="49" fontId="60" fillId="29" borderId="23" xfId="0" applyNumberFormat="1" applyFont="1" applyFill="1" applyBorder="1" applyAlignment="1">
      <alignment horizontal="center" vertical="center"/>
    </xf>
    <xf numFmtId="49" fontId="60" fillId="29" borderId="21" xfId="0" applyNumberFormat="1" applyFont="1" applyFill="1" applyBorder="1" applyAlignment="1">
      <alignment horizontal="center" vertical="center"/>
    </xf>
    <xf numFmtId="49" fontId="60" fillId="29" borderId="31" xfId="0" applyNumberFormat="1" applyFont="1" applyFill="1" applyBorder="1" applyAlignment="1">
      <alignment horizontal="center" vertical="center"/>
    </xf>
    <xf numFmtId="168" fontId="56" fillId="29" borderId="18" xfId="0" applyNumberFormat="1" applyFont="1" applyFill="1" applyBorder="1" applyAlignment="1">
      <alignment horizontal="center" vertical="center"/>
    </xf>
    <xf numFmtId="168" fontId="56" fillId="29" borderId="19" xfId="0" applyNumberFormat="1" applyFont="1" applyFill="1" applyBorder="1" applyAlignment="1">
      <alignment horizontal="center" vertical="center"/>
    </xf>
    <xf numFmtId="168" fontId="56" fillId="29" borderId="20" xfId="0" applyNumberFormat="1" applyFont="1" applyFill="1" applyBorder="1" applyAlignment="1">
      <alignment horizontal="center" vertical="center"/>
    </xf>
    <xf numFmtId="49" fontId="60" fillId="29" borderId="22" xfId="0" applyNumberFormat="1" applyFont="1" applyFill="1" applyBorder="1" applyAlignment="1">
      <alignment horizontal="center" vertical="center"/>
    </xf>
    <xf numFmtId="49" fontId="60" fillId="29" borderId="28" xfId="0" applyNumberFormat="1" applyFont="1" applyFill="1" applyBorder="1" applyAlignment="1">
      <alignment horizontal="center" vertical="center"/>
    </xf>
    <xf numFmtId="49" fontId="60" fillId="29" borderId="30" xfId="0" applyNumberFormat="1" applyFont="1" applyFill="1" applyBorder="1" applyAlignment="1">
      <alignment horizontal="center" vertical="center"/>
    </xf>
    <xf numFmtId="168" fontId="58" fillId="30" borderId="0" xfId="121" applyNumberFormat="1" applyFont="1" applyFill="1" applyAlignment="1">
      <alignment horizontal="center" vertical="center" wrapText="1"/>
    </xf>
    <xf numFmtId="168" fontId="50" fillId="33" borderId="0" xfId="129" applyFont="1" applyFill="1" applyAlignment="1">
      <alignment horizontal="center" vertical="center" wrapText="1"/>
    </xf>
    <xf numFmtId="168" fontId="50" fillId="33" borderId="13" xfId="129" applyFont="1" applyFill="1" applyBorder="1" applyAlignment="1">
      <alignment horizontal="center" vertical="center" wrapText="1"/>
    </xf>
    <xf numFmtId="168" fontId="50" fillId="31" borderId="0" xfId="129" applyFont="1" applyFill="1" applyAlignment="1">
      <alignment horizontal="center" vertical="center" wrapText="1"/>
    </xf>
    <xf numFmtId="168" fontId="50" fillId="33" borderId="0" xfId="129" applyFont="1" applyFill="1" applyAlignment="1">
      <alignment horizontal="center" vertical="center"/>
    </xf>
    <xf numFmtId="0" fontId="56" fillId="30" borderId="16" xfId="0" applyFont="1" applyFill="1" applyBorder="1" applyAlignment="1">
      <alignment horizontal="center" vertical="center" wrapText="1"/>
    </xf>
    <xf numFmtId="0" fontId="56" fillId="30" borderId="0" xfId="0" applyFont="1" applyFill="1" applyAlignment="1">
      <alignment horizontal="center" vertical="center" wrapText="1"/>
    </xf>
    <xf numFmtId="0" fontId="56" fillId="30" borderId="17" xfId="0" applyFont="1" applyFill="1" applyBorder="1" applyAlignment="1">
      <alignment horizontal="center" vertical="center" wrapText="1"/>
    </xf>
  </cellXfs>
  <cellStyles count="215">
    <cellStyle name="20% - Accent1" xfId="1" xr:uid="{A70E26CB-04B1-4900-B8C0-05508E5C28A7}"/>
    <cellStyle name="20% - Accent2" xfId="2" xr:uid="{6A1924B4-667B-45A0-9EDF-053E2E2249FF}"/>
    <cellStyle name="20% - Accent3" xfId="3" xr:uid="{A9F20BDD-3DDB-4822-9525-68A262DEF901}"/>
    <cellStyle name="20% - Accent4" xfId="4" xr:uid="{BA0D7251-C7A3-488A-81B5-50135C3B793F}"/>
    <cellStyle name="20% - Accent5" xfId="5" xr:uid="{9CB6B322-B807-4379-99AD-25FF419EF4D1}"/>
    <cellStyle name="20% - Accent6" xfId="6" xr:uid="{285E2649-F7B2-43FB-93BF-6A9905FA8215}"/>
    <cellStyle name="20% - Énfasis1" xfId="7" xr:uid="{483A5FBA-86DA-47E9-95F2-8372D92D2E54}"/>
    <cellStyle name="20% - Énfasis1 2" xfId="8" xr:uid="{D11CCF0D-E8E6-4C8A-AE55-C11B94410C52}"/>
    <cellStyle name="20% - Énfasis2" xfId="9" xr:uid="{153FFA03-94EC-4AF0-BC13-1CBA9462A0D9}"/>
    <cellStyle name="20% - Énfasis2 2" xfId="10" xr:uid="{1C700D57-8925-421A-83C8-7C8D7EBF5D0E}"/>
    <cellStyle name="20% - Énfasis3" xfId="11" xr:uid="{B26D0AC0-92F6-4688-8814-6B27524793A1}"/>
    <cellStyle name="20% - Énfasis3 2" xfId="12" xr:uid="{05FAE732-89A8-472B-ADFE-3E3DB842131D}"/>
    <cellStyle name="20% - Énfasis4" xfId="13" xr:uid="{09AB6078-CF38-4D74-ACE3-2CAC8929721F}"/>
    <cellStyle name="20% - Énfasis4 2" xfId="14" xr:uid="{08772903-8154-401D-B287-486A8BEF4F15}"/>
    <cellStyle name="20% - Énfasis5" xfId="15" xr:uid="{57103B62-86BB-4D86-8999-DB21F2C89700}"/>
    <cellStyle name="20% - Énfasis5 2" xfId="16" xr:uid="{1228EAD0-0BA9-4379-8954-AF50B50144AA}"/>
    <cellStyle name="20% - Énfasis6" xfId="17" xr:uid="{DA46E5F9-825F-4190-BE88-8597E4F37D48}"/>
    <cellStyle name="20% - Énfasis6 2" xfId="18" xr:uid="{D256A4CD-4F49-4E62-B5D5-D0AF109F1029}"/>
    <cellStyle name="40% - Accent1" xfId="19" xr:uid="{5E419ADB-AFC0-4C34-8EC3-5C7756071952}"/>
    <cellStyle name="40% - Accent2" xfId="20" xr:uid="{FC7BF473-442B-4AFB-8B21-C2CF69C5296E}"/>
    <cellStyle name="40% - Accent3" xfId="21" xr:uid="{6DF8EF0B-2C02-45E6-A2C7-D5E99B027C42}"/>
    <cellStyle name="40% - Accent4" xfId="22" xr:uid="{DC20EF63-B9F7-4888-8F1D-684C0E4205FC}"/>
    <cellStyle name="40% - Accent5" xfId="23" xr:uid="{F5812D0E-8CE3-4A71-B2D6-01A87BF7FA30}"/>
    <cellStyle name="40% - Accent6" xfId="24" xr:uid="{BB75FB16-7BD5-40FC-8322-E3585EC26879}"/>
    <cellStyle name="40% - Énfasis1" xfId="25" xr:uid="{83EBAA6F-6506-46DF-8860-EA981AFE1CE1}"/>
    <cellStyle name="40% - Énfasis1 2" xfId="26" xr:uid="{16BAEEB7-CBDB-422B-9F23-069E2A3307D8}"/>
    <cellStyle name="40% - Énfasis2" xfId="27" xr:uid="{6405D640-2304-47FA-93F9-43B3BE503837}"/>
    <cellStyle name="40% - Énfasis2 2" xfId="28" xr:uid="{7B90EE7A-CFE7-4849-9A19-F73474D23F31}"/>
    <cellStyle name="40% - Énfasis3" xfId="29" xr:uid="{9520E3C0-2D58-409C-A30C-B8F6F94AD735}"/>
    <cellStyle name="40% - Énfasis3 2" xfId="30" xr:uid="{12059E3C-3D28-41F0-A1C4-EEA27F22E309}"/>
    <cellStyle name="40% - Énfasis4" xfId="31" xr:uid="{EE924D73-F25E-456C-808B-573F9AFB093A}"/>
    <cellStyle name="40% - Énfasis4 2" xfId="32" xr:uid="{E26076EE-C400-474A-B74A-695BEF999BDB}"/>
    <cellStyle name="40% - Énfasis5" xfId="33" xr:uid="{1F30D8CF-A100-4D11-836B-AA2917B6BECD}"/>
    <cellStyle name="40% - Énfasis5 2" xfId="34" xr:uid="{45792609-B5C2-4C3B-9C8D-5F70F3551B46}"/>
    <cellStyle name="40% - Énfasis6" xfId="35" xr:uid="{FE566CC2-2471-4E30-8DFE-04C05ECA9F43}"/>
    <cellStyle name="40% - Énfasis6 2" xfId="36" xr:uid="{8FC9CB7B-2BA9-43A3-BAF8-A56ABD5BC2C8}"/>
    <cellStyle name="60% - Accent1" xfId="37" xr:uid="{CD3324A1-95F9-40B4-9F54-605CA392EA74}"/>
    <cellStyle name="60% - Accent2" xfId="38" xr:uid="{A1F4F239-010F-40C2-95BA-CB840C61B814}"/>
    <cellStyle name="60% - Accent3" xfId="39" xr:uid="{7A7EBA86-D406-4D21-AEDC-C1C3DC9BF6DC}"/>
    <cellStyle name="60% - Accent4" xfId="40" xr:uid="{A670C65D-3397-48BA-9CEB-3C76B5ABD134}"/>
    <cellStyle name="60% - Accent5" xfId="41" xr:uid="{F54FEC76-E273-430C-A6A6-482B7BABDDA2}"/>
    <cellStyle name="60% - Accent6" xfId="42" xr:uid="{93B55F50-00CC-476C-A1C9-ABC95635822F}"/>
    <cellStyle name="60% - Énfasis1" xfId="43" xr:uid="{A573BC51-9377-496C-9D88-946CA498ACFF}"/>
    <cellStyle name="60% - Énfasis1 2" xfId="44" xr:uid="{071A9F20-DE3A-4064-8E63-F16D0A50A2DB}"/>
    <cellStyle name="60% - Énfasis2" xfId="45" xr:uid="{DD46C032-E96C-40D1-A28A-B56A53155410}"/>
    <cellStyle name="60% - Énfasis2 2" xfId="46" xr:uid="{E997EAE2-EA82-4E46-93D9-68AF80724583}"/>
    <cellStyle name="60% - Énfasis3" xfId="47" xr:uid="{C5F7EFDC-CF2D-455D-8760-D4811EF2B4BD}"/>
    <cellStyle name="60% - Énfasis3 2" xfId="48" xr:uid="{552C0DFF-859D-447D-A3F8-606E9EFF22FD}"/>
    <cellStyle name="60% - Énfasis4" xfId="49" xr:uid="{E9C4FE70-58D6-48A3-BC7C-1F767B4641A9}"/>
    <cellStyle name="60% - Énfasis4 2" xfId="50" xr:uid="{D76B33BA-E1A9-4C11-9D72-B729E42704FE}"/>
    <cellStyle name="60% - Énfasis5" xfId="51" xr:uid="{D47AAD34-8B0B-4C3F-BA27-53B2613C9C1B}"/>
    <cellStyle name="60% - Énfasis5 2" xfId="52" xr:uid="{65BCE743-708F-4289-833F-A4646940181B}"/>
    <cellStyle name="60% - Énfasis6" xfId="53" xr:uid="{CB985A47-2203-4855-B5B9-66E2994B758B}"/>
    <cellStyle name="60% - Énfasis6 2" xfId="54" xr:uid="{F664F7A8-8AB5-416A-B395-2E47FAAFCD00}"/>
    <cellStyle name="Accent1" xfId="55" xr:uid="{6E15ECC7-7483-4A6B-A49D-7BC5A0896E78}"/>
    <cellStyle name="Accent2" xfId="56" xr:uid="{1AD00681-ECFA-4C1D-824D-FDF4D4BD9C7D}"/>
    <cellStyle name="Accent3" xfId="57" xr:uid="{1128BE79-D012-4677-B0F2-AC47944A02E9}"/>
    <cellStyle name="Accent4" xfId="58" xr:uid="{B76909DF-922F-444A-A0AB-2F37D3B45695}"/>
    <cellStyle name="Accent5" xfId="59" xr:uid="{FFC908B8-51DC-4770-B736-0A4E2A2C48F8}"/>
    <cellStyle name="Accent6" xfId="60" xr:uid="{CD296AF6-EC36-424A-A25C-B4CA546FF3E0}"/>
    <cellStyle name="Bad" xfId="61" xr:uid="{4A5520AC-EA53-412C-8A03-DF970E9DA035}"/>
    <cellStyle name="Buena" xfId="62" xr:uid="{6FDBA2DD-D11B-49CD-AB0F-2902CF4E3BF2}"/>
    <cellStyle name="Bueno 2" xfId="63" xr:uid="{D31F4858-2345-42BF-A347-C5632B2C086A}"/>
    <cellStyle name="Calculation" xfId="64" xr:uid="{11080DAE-E271-49F6-B437-898ACEBC7328}"/>
    <cellStyle name="Cálculo" xfId="65" xr:uid="{6D3E275E-260C-439F-A653-679468F02541}"/>
    <cellStyle name="Cálculo 2" xfId="66" xr:uid="{CB879821-DD7B-4333-8C00-442879E55840}"/>
    <cellStyle name="Celda de comprobación" xfId="67" xr:uid="{0673E6F7-8E4C-4522-B946-D58613C9C64A}"/>
    <cellStyle name="Celda de comprobación 2" xfId="68" xr:uid="{5E7304CD-D185-4F02-AA89-AFF4367BDDD8}"/>
    <cellStyle name="Celda vinculada" xfId="69" xr:uid="{E4C3EB4F-4788-420B-B51D-B814D308C80F}"/>
    <cellStyle name="Celda vinculada 2" xfId="70" xr:uid="{F1D6500E-12F8-401A-A3F5-F10D959E6953}"/>
    <cellStyle name="Check Cell" xfId="71" xr:uid="{5C8A15C8-901C-4D8F-A5F2-4E76EA0AFE5F}"/>
    <cellStyle name="CUADRO - Style1" xfId="72" xr:uid="{4CC15946-A773-4BD6-8D80-819A74DD786F}"/>
    <cellStyle name="CUERPO - Style2" xfId="73" xr:uid="{071702DD-F4B0-4A02-8A2F-52DAF82E630F}"/>
    <cellStyle name="Encabezado 1" xfId="74" xr:uid="{E485ABB5-135D-4D07-A882-19228420FD69}"/>
    <cellStyle name="Encabezado 4" xfId="75" xr:uid="{DD34C41F-70DD-4818-A9AC-1E5C8BD1996E}"/>
    <cellStyle name="Encabezado 4 2" xfId="76" xr:uid="{376AE8C2-8980-469E-A67A-97B4BF803A1D}"/>
    <cellStyle name="Énfasis1" xfId="77" xr:uid="{C581C3A9-DF43-4783-8CAA-78DDA0F8810A}"/>
    <cellStyle name="Énfasis1 2" xfId="78" xr:uid="{A103BC69-7718-412E-8B0B-13BF149C36D8}"/>
    <cellStyle name="Énfasis2" xfId="79" xr:uid="{98318AC4-BF7A-45ED-B317-EAC4F582237C}"/>
    <cellStyle name="Énfasis2 2" xfId="80" xr:uid="{F84687A5-9B22-42C7-A624-C8F6B224C2F5}"/>
    <cellStyle name="Énfasis3" xfId="81" xr:uid="{C9223F5A-578B-488C-8FEE-FAEBB559709E}"/>
    <cellStyle name="Énfasis3 2" xfId="82" xr:uid="{E3E97627-C317-43D7-BAFD-C6CF8F899D6C}"/>
    <cellStyle name="Énfasis4" xfId="83" xr:uid="{0F074B64-77DB-4B40-B0CC-284AAC5EC129}"/>
    <cellStyle name="Énfasis4 2" xfId="84" xr:uid="{A3B35B0B-CEB5-4607-AEF0-F0F6DEF48A51}"/>
    <cellStyle name="Énfasis5" xfId="85" xr:uid="{B6D9D08E-8126-4CB7-98A1-4D5A274EA942}"/>
    <cellStyle name="Énfasis5 2" xfId="86" xr:uid="{6B592914-3F45-4ADE-A0B7-0F9436D82BB0}"/>
    <cellStyle name="Énfasis6" xfId="87" xr:uid="{AEF58AC9-C6D3-4EA3-A17A-7C7AFCE99C54}"/>
    <cellStyle name="Énfasis6 2" xfId="88" xr:uid="{7BBF3DA7-0F80-4082-AADB-C8E393E957DE}"/>
    <cellStyle name="Entrada" xfId="89" xr:uid="{03B3BE2F-BFF8-42F6-8086-904AD275D561}"/>
    <cellStyle name="Entrada 2" xfId="90" xr:uid="{138274EA-05FA-4FFE-92D1-9CDEE32EE88D}"/>
    <cellStyle name="Euro" xfId="91" xr:uid="{7B9822E5-B628-4B9D-9E17-523EECDE8900}"/>
    <cellStyle name="Euro 2" xfId="92" xr:uid="{80C199B7-7600-4365-83B1-B2B3D516CD33}"/>
    <cellStyle name="Euro 2 2" xfId="93" xr:uid="{9AA0725E-83DF-4ACB-B9E7-E8180E9372BF}"/>
    <cellStyle name="Euro 3" xfId="94" xr:uid="{AB7026C3-319A-4A58-A3EA-FE6351366FED}"/>
    <cellStyle name="Euro 4" xfId="95" xr:uid="{32149A76-29DC-4A4E-BECB-60429379EB1C}"/>
    <cellStyle name="Euro 5" xfId="96" xr:uid="{57DDD587-554F-47F0-AF6D-D0CD2C020D05}"/>
    <cellStyle name="Euro 6" xfId="97" xr:uid="{D2BD827B-48D4-4C4D-91DF-66A58FD56557}"/>
    <cellStyle name="Explanatory Text" xfId="98" xr:uid="{605FBD7A-EE38-40FE-925A-885BC032EEFB}"/>
    <cellStyle name="Good" xfId="99" xr:uid="{BE213E6F-7CE1-4FAD-B3FA-4CCD2E6ADAD3}"/>
    <cellStyle name="Heading 1" xfId="100" xr:uid="{A2265F2C-7596-4E81-95C3-64B685EE822A}"/>
    <cellStyle name="Heading 2" xfId="101" xr:uid="{CC374F09-A9E0-46C5-AC57-97EA4F1BE989}"/>
    <cellStyle name="Heading 3" xfId="102" xr:uid="{A1F10F27-599F-485D-8E4F-4CEDBED5C1BF}"/>
    <cellStyle name="Heading 4" xfId="103" xr:uid="{67FC5CFA-5388-4BC3-8ABF-8C0D213E6DFA}"/>
    <cellStyle name="Hipervínculo 2" xfId="104" xr:uid="{990FC409-9F42-418A-BE22-732018ECEBFE}"/>
    <cellStyle name="Incorrecto" xfId="105" xr:uid="{995BEDB7-F8EC-4C4D-8101-4199EEA5DADD}"/>
    <cellStyle name="Incorrecto 2" xfId="106" xr:uid="{300429D4-B941-4116-9707-6D5124A71F34}"/>
    <cellStyle name="Input" xfId="107" xr:uid="{AB4750BE-8336-499C-8818-C588E3046989}"/>
    <cellStyle name="Linked Cell" xfId="108" xr:uid="{417743BF-251E-4AB9-9807-7B4376BF31C9}"/>
    <cellStyle name="Millares 2" xfId="109" xr:uid="{A8FEC616-1FF4-4C22-B43B-C5FDAC2E4BA1}"/>
    <cellStyle name="Millares 2 2" xfId="110" xr:uid="{D361B897-6134-4D9C-91DD-D99BB01F2F93}"/>
    <cellStyle name="Millares 3" xfId="111" xr:uid="{F45B4C36-B1B1-473E-B652-73B23887FC7D}"/>
    <cellStyle name="Millares 3 2" xfId="112" xr:uid="{8DD07994-8179-499E-B4DA-3D2D105D5CCC}"/>
    <cellStyle name="Millares 4" xfId="113" xr:uid="{09CA10DC-02BC-4F3D-A184-CC720F7FDDD9}"/>
    <cellStyle name="Millares 5" xfId="114" xr:uid="{3F72190B-5384-47FF-9181-F01D4EF3516F}"/>
    <cellStyle name="Moneda 2" xfId="115" xr:uid="{9238A73A-4E19-4A58-ABAD-47EB86042266}"/>
    <cellStyle name="Moneda 2 2" xfId="116" xr:uid="{7A0F053F-A6CD-4635-88EF-09B13EDA9550}"/>
    <cellStyle name="Moneda 2 3" xfId="117" xr:uid="{FBF7BD6F-5860-4C9A-A32B-066F07426CAA}"/>
    <cellStyle name="Moneda 2 4" xfId="118" xr:uid="{0BC13044-0524-4287-A874-BD1200954264}"/>
    <cellStyle name="Neutral" xfId="119" xr:uid="{94AB03AF-9BCC-46D5-A5F1-0241A4AE3CC9}"/>
    <cellStyle name="Neutral 2" xfId="120" xr:uid="{FDE034E4-971C-42BE-B1D9-19A045996733}"/>
    <cellStyle name="Normal" xfId="0" builtinId="0"/>
    <cellStyle name="Normal 2" xfId="121" xr:uid="{9766020C-B7D3-4B32-B5DA-483722AB9023}"/>
    <cellStyle name="Normal 2 2" xfId="122" xr:uid="{2B851B41-6728-4A02-B85A-E3BE6737DFE1}"/>
    <cellStyle name="Normal 2 3" xfId="123" xr:uid="{108AB4C0-2E49-4E83-847C-DF5D5B08CA62}"/>
    <cellStyle name="Normal 3" xfId="124" xr:uid="{85088A90-8D97-4A71-A75C-BD26C5071C9F}"/>
    <cellStyle name="Normal 3 2" xfId="125" xr:uid="{B3ADCC9A-6B2C-4493-98ED-61A501ECA271}"/>
    <cellStyle name="Normal 4" xfId="126" xr:uid="{A60E250E-09A4-4A9B-A756-0EBA817CC029}"/>
    <cellStyle name="Normal 5" xfId="127" xr:uid="{9B2A7020-8EC2-4CCF-80A7-000BB26B0BF1}"/>
    <cellStyle name="Normal_cuadro 60" xfId="128" xr:uid="{FBA0A7F8-3544-4FB1-85B6-D30CBB0224B1}"/>
    <cellStyle name="Normal_cuadro 61" xfId="129" xr:uid="{086C9C4D-E205-4812-8567-7797CEBD0219}"/>
    <cellStyle name="Normal_cuadro 7" xfId="130" xr:uid="{95C88CE1-620E-4CCD-9080-424D24C4893C}"/>
    <cellStyle name="Normal_Hoja1" xfId="131" xr:uid="{DFFA4E70-529D-4D4F-AC50-3D0E488E8791}"/>
    <cellStyle name="Notas" xfId="132" xr:uid="{EA3117D1-6DC2-4595-BF0B-734621381B56}"/>
    <cellStyle name="NOTAS - Style3" xfId="133" xr:uid="{62357A13-F3D0-4FEA-AC9B-335A25C0D985}"/>
    <cellStyle name="Notas 10" xfId="134" xr:uid="{7CF5EC54-22F2-457E-8495-09D75AF05B0D}"/>
    <cellStyle name="Notas 11" xfId="135" xr:uid="{2EA91E8E-4885-4365-BB06-20BCD07005A3}"/>
    <cellStyle name="Notas 12" xfId="136" xr:uid="{56D0A104-1E4F-4346-BFD5-3AA3F8BB90BC}"/>
    <cellStyle name="Notas 13" xfId="137" xr:uid="{4088FB68-39B9-4140-B584-80DBDF226AB0}"/>
    <cellStyle name="Notas 14" xfId="138" xr:uid="{EB04D5C9-2B8B-474C-928B-E5CA8F1F8C66}"/>
    <cellStyle name="Notas 15" xfId="139" xr:uid="{73308563-C330-4707-809D-AF6F3C9CB3C1}"/>
    <cellStyle name="Notas 16" xfId="140" xr:uid="{CA3BA883-5E7D-4F26-AD12-79DE8AE24B51}"/>
    <cellStyle name="Notas 17" xfId="141" xr:uid="{954D589E-1D29-4885-A39F-ECF868C47489}"/>
    <cellStyle name="Notas 18" xfId="142" xr:uid="{BF5AB04A-E300-4190-BC44-772C46CD30F4}"/>
    <cellStyle name="Notas 19" xfId="143" xr:uid="{50F5F7DD-6507-4901-87A7-6029572D5277}"/>
    <cellStyle name="Notas 2" xfId="144" xr:uid="{3261DF92-CA0F-4D3D-B0D5-FD24F6584313}"/>
    <cellStyle name="Notas 20" xfId="145" xr:uid="{04E1AE89-9C24-49F3-89A8-2730A8168DF8}"/>
    <cellStyle name="Notas 21" xfId="146" xr:uid="{E3B337C4-D3DC-486A-8333-594CB19185EB}"/>
    <cellStyle name="Notas 22" xfId="147" xr:uid="{5DC7064C-020F-4FDC-BA2A-B91B6A1B5459}"/>
    <cellStyle name="Notas 23" xfId="148" xr:uid="{53C112BA-AE6F-4E80-A050-E8A1FF6A72F4}"/>
    <cellStyle name="Notas 24" xfId="149" xr:uid="{DE365A05-06D7-4A85-9A19-C9651BBB7BE6}"/>
    <cellStyle name="Notas 25" xfId="150" xr:uid="{3CB97D37-3F21-420A-8919-D8A407566CA6}"/>
    <cellStyle name="Notas 26" xfId="151" xr:uid="{A5A60F18-C286-4D51-888F-F96D7E23A623}"/>
    <cellStyle name="Notas 27" xfId="152" xr:uid="{E429B755-A800-40BE-B96E-731D01A347EC}"/>
    <cellStyle name="Notas 28" xfId="153" xr:uid="{D24E9685-3A67-4E8E-94FE-1C006B7E2B98}"/>
    <cellStyle name="Notas 29" xfId="154" xr:uid="{4D3A2B6B-D219-4A18-AAF6-F7E0A3C46066}"/>
    <cellStyle name="Notas 3" xfId="155" xr:uid="{56B4942B-55A8-4DB3-A40F-B07BCE5F2C13}"/>
    <cellStyle name="Notas 30" xfId="156" xr:uid="{86A59091-A8FB-4BC6-ADF9-06CCCFDFBE45}"/>
    <cellStyle name="Notas 31" xfId="157" xr:uid="{6163E297-AF6C-450D-AD12-8FD30999E485}"/>
    <cellStyle name="Notas 4" xfId="158" xr:uid="{7F12E07D-678A-4C08-9C05-336C7B00EFBC}"/>
    <cellStyle name="Notas 5" xfId="159" xr:uid="{5DDB62CF-1D7E-4D37-B2B0-3C62677C4005}"/>
    <cellStyle name="Notas 6" xfId="160" xr:uid="{006FF06F-FF32-4C9B-9855-7A71DCA071C6}"/>
    <cellStyle name="Notas 7" xfId="161" xr:uid="{99F7E7E4-1092-473B-B7E3-68C5A3B17F45}"/>
    <cellStyle name="Notas 8" xfId="162" xr:uid="{3CD84FA5-F5B2-4E87-89A8-1B0EA35A52B0}"/>
    <cellStyle name="Notas 9" xfId="163" xr:uid="{9A8762F3-24E8-430A-870E-7812CA8D07F6}"/>
    <cellStyle name="Note" xfId="164" xr:uid="{585965F3-A1C9-40E2-8ADB-3ADF289CCD11}"/>
    <cellStyle name="Output" xfId="165" xr:uid="{AB66332B-139C-4B39-A1E5-DCFD31CC3A6A}"/>
    <cellStyle name="RECUAD - Style4" xfId="166" xr:uid="{5B967298-096F-479F-9181-4E246085E8CC}"/>
    <cellStyle name="RECUAD - Style5" xfId="167" xr:uid="{AE092C89-E713-4D0B-A4E4-ED9F3146A71E}"/>
    <cellStyle name="Salida" xfId="168" xr:uid="{C8F22A53-2591-4CAA-8334-B2F06BEE96EB}"/>
    <cellStyle name="Salida 2" xfId="169" xr:uid="{1690F485-6613-464F-85CD-75606AF7ACA4}"/>
    <cellStyle name="Texto de advertencia" xfId="170" xr:uid="{700B2081-0AA3-46CF-BBE9-6CE8D15F4CB9}"/>
    <cellStyle name="Texto de advertencia 2" xfId="171" xr:uid="{136D368F-EB02-4B85-BF52-4381E93DD4B5}"/>
    <cellStyle name="Texto explicativo" xfId="172" xr:uid="{B2236FA3-DE7E-472A-A54F-1D9510EFB6B4}"/>
    <cellStyle name="Texto explicativo 2" xfId="173" xr:uid="{0B89FD9A-4C9C-42FE-8B9F-647DB9865812}"/>
    <cellStyle name="Title" xfId="174" xr:uid="{9129CBA8-0C55-4556-8294-7ECAC861F258}"/>
    <cellStyle name="Título" xfId="175" xr:uid="{2B246CC2-4CD3-4412-81C7-8D21D50A6BC5}"/>
    <cellStyle name="TITULO - Style5" xfId="176" xr:uid="{5D69E45F-F0AB-4659-BAF5-A7EBA176A541}"/>
    <cellStyle name="TITULO - Style6" xfId="177" xr:uid="{12B0A400-B77B-47A2-9F09-1FAD6DBA30CA}"/>
    <cellStyle name="Título 10" xfId="178" xr:uid="{DC1BB63F-6AE6-4CC1-9279-ADF24BCC9F9D}"/>
    <cellStyle name="Título 11" xfId="179" xr:uid="{A1F8DC29-48C0-420D-9698-DEA33BCAD447}"/>
    <cellStyle name="Título 12" xfId="180" xr:uid="{3F979771-25CD-4384-A327-F060042E0D3C}"/>
    <cellStyle name="Título 13" xfId="181" xr:uid="{5BB0AA63-E351-49D0-84E8-6529C1CD3D2D}"/>
    <cellStyle name="Título 14" xfId="182" xr:uid="{68802D42-5A59-46F6-8118-3C1D7C95DB73}"/>
    <cellStyle name="Título 15" xfId="183" xr:uid="{3DE673AD-D5EE-4E31-A4B4-F1EE79A2E6B7}"/>
    <cellStyle name="Título 16" xfId="184" xr:uid="{F04DD4C6-3634-42E6-A762-9212DE3CE800}"/>
    <cellStyle name="Título 17" xfId="185" xr:uid="{1962558F-ED82-447F-8F25-7108E1FDFEAA}"/>
    <cellStyle name="Título 18" xfId="186" xr:uid="{F69BA82C-B5CD-46BC-A082-8F38C74EC8D0}"/>
    <cellStyle name="Título 19" xfId="187" xr:uid="{87485F21-9979-4662-9A8F-BCA866C991F1}"/>
    <cellStyle name="Título 2" xfId="188" xr:uid="{70006EE1-9607-4D80-9F17-B25FD05E49F2}"/>
    <cellStyle name="Título 2 2" xfId="189" xr:uid="{85A97087-7487-457E-8B98-D3C6B70690B5}"/>
    <cellStyle name="Título 20" xfId="190" xr:uid="{17BA291F-DD86-4571-B872-3313ADB44B17}"/>
    <cellStyle name="Título 21" xfId="191" xr:uid="{350EF3AA-056D-4115-880B-1B65E145159C}"/>
    <cellStyle name="Título 22" xfId="192" xr:uid="{85168379-D71E-4616-BCB6-066BEA333262}"/>
    <cellStyle name="Título 23" xfId="193" xr:uid="{4F31D8FB-A615-4356-B08B-0A8F6B1CA8A0}"/>
    <cellStyle name="Título 24" xfId="194" xr:uid="{BCFA6F7B-D015-4954-8EDC-4F3D017F7DCE}"/>
    <cellStyle name="Título 25" xfId="195" xr:uid="{0DEE172D-D5E3-4F9F-9A85-8E9FD5BCDF53}"/>
    <cellStyle name="Título 26" xfId="196" xr:uid="{2480A88C-BEB3-4252-B48C-51F8A35555BE}"/>
    <cellStyle name="Título 27" xfId="197" xr:uid="{1EFCC391-1A0B-441D-A46E-BD2D05FA8921}"/>
    <cellStyle name="Título 28" xfId="198" xr:uid="{5C716B3D-6830-46C9-95DD-034092AF07CB}"/>
    <cellStyle name="Título 29" xfId="199" xr:uid="{7C363D6A-DBE0-4C90-BAEE-903272F8B48A}"/>
    <cellStyle name="Título 3" xfId="200" xr:uid="{4D206BE8-B007-477D-ADE3-E4699940FCE9}"/>
    <cellStyle name="Título 3 2" xfId="201" xr:uid="{AE1AE5FA-1546-4061-B788-7DA44EC79740}"/>
    <cellStyle name="Título 30" xfId="202" xr:uid="{A5EAC936-7691-4C5E-89D9-96577E30B2A4}"/>
    <cellStyle name="Título 31" xfId="203" xr:uid="{639DDB51-41E1-4CB6-BD66-7122784010FB}"/>
    <cellStyle name="Título 32" xfId="204" xr:uid="{A43F89CA-9BE9-4C2F-9948-088B0FEF96AF}"/>
    <cellStyle name="Título 33" xfId="205" xr:uid="{2189BCB9-A84A-455E-965F-7DAD5EB9638A}"/>
    <cellStyle name="Título 4" xfId="206" xr:uid="{01463E1C-F5C9-4145-904A-7138EE13251D}"/>
    <cellStyle name="Título 5" xfId="207" xr:uid="{6E6F9523-1908-4A62-B707-536913E4C0EE}"/>
    <cellStyle name="Título 6" xfId="208" xr:uid="{8A81B0F2-C1B5-4C19-A8DA-328D930829A6}"/>
    <cellStyle name="Título 7" xfId="209" xr:uid="{0DF366CB-500B-44A4-BFBD-4F9B6A5B672E}"/>
    <cellStyle name="Título 8" xfId="210" xr:uid="{9F6AB3D8-1AE3-4A9D-AA61-B7521D4730F4}"/>
    <cellStyle name="Título 9" xfId="211" xr:uid="{E101C3ED-E244-4C80-A066-4A56814F2319}"/>
    <cellStyle name="Total" xfId="212" xr:uid="{55F5A431-223D-42B4-AF7C-8E75FBEC7653}"/>
    <cellStyle name="Total 2" xfId="213" xr:uid="{5E14ACE3-B458-4620-8846-B6ED8906DA8E}"/>
    <cellStyle name="Warning Text" xfId="214" xr:uid="{B2002E4C-1D73-4BEE-BB23-AF90019CA219}"/>
  </cellStyles>
  <dxfs count="0"/>
  <tableStyles count="4" defaultTableStyle="TableStyleMedium9">
    <tableStyle name="Estilo de tabla 1" pivot="0" count="0" xr9:uid="{A04F35B2-CFA1-4FFE-A733-551E71119FDB}"/>
    <tableStyle name="Estilo de tabla dinámica 1" table="0" count="0" xr9:uid="{65405045-1484-49A7-8F77-29B921229B3E}"/>
    <tableStyle name="Estilo de tabla dinámica 2" table="0" count="0" xr9:uid="{F75A2942-0864-4F57-A8B7-05E2E87D6E4B}"/>
    <tableStyle name="Estilo de tabla dinámica 3" table="0" count="0" xr9:uid="{79C25E20-86D5-4A19-BCD3-DB494E2FF7E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3E1D5"/>
      <rgbColor rgb="00FDE2AB"/>
      <rgbColor rgb="00FFCC00"/>
      <rgbColor rgb="00FF9900"/>
      <rgbColor rgb="00FF6600"/>
      <rgbColor rgb="00666699"/>
      <rgbColor rgb="00969696"/>
      <rgbColor rgb="00003366"/>
      <rgbColor rgb="00FEE287"/>
      <rgbColor rgb="00003300"/>
      <rgbColor rgb="00333300"/>
      <rgbColor rgb="00993300"/>
      <rgbColor rgb="00993366"/>
      <rgbColor rgb="00333399"/>
      <rgbColor rgb="00333333"/>
    </indexedColors>
    <mruColors>
      <color rgb="FFF0EE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/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Content.Outlook/ZU8A4FEX/04_AGROINDUSTRA%20enero-marzo%202018%20rectifi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UTI"/>
    </sheetNames>
    <sheetDataSet>
      <sheetData sheetId="0"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-47"/>
      <sheetName val="C-48"/>
      <sheetName val="C-49"/>
      <sheetName val="c-50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A5F1-1383-475A-92C1-B2B2E4645AED}">
  <sheetPr published="0"/>
  <dimension ref="A2:F16"/>
  <sheetViews>
    <sheetView showGridLines="0" zoomScale="140" zoomScaleNormal="140" workbookViewId="0">
      <selection activeCell="H14" sqref="H14"/>
    </sheetView>
  </sheetViews>
  <sheetFormatPr baseColWidth="10" defaultRowHeight="12.75"/>
  <sheetData>
    <row r="2" spans="1:6" ht="16.5" customHeight="1">
      <c r="A2" s="30"/>
    </row>
    <row r="9" spans="1:6">
      <c r="A9" s="60"/>
      <c r="B9" s="61"/>
      <c r="C9" s="61"/>
      <c r="D9" s="61"/>
      <c r="E9" s="61"/>
      <c r="F9" s="61"/>
    </row>
    <row r="10" spans="1:6" ht="20.100000000000001" customHeight="1">
      <c r="A10" s="62"/>
      <c r="B10" s="161" t="s">
        <v>109</v>
      </c>
      <c r="C10" s="161"/>
      <c r="D10" s="161"/>
      <c r="E10" s="161"/>
      <c r="F10" s="161"/>
    </row>
    <row r="11" spans="1:6" ht="20.100000000000001" customHeight="1">
      <c r="A11" s="159" t="s">
        <v>114</v>
      </c>
      <c r="B11" s="162" t="s">
        <v>111</v>
      </c>
      <c r="C11" s="163"/>
      <c r="D11" s="163"/>
      <c r="E11" s="163"/>
      <c r="F11" s="163"/>
    </row>
    <row r="12" spans="1:6" ht="20.100000000000001" customHeight="1">
      <c r="A12" s="159"/>
      <c r="B12" s="162" t="s">
        <v>160</v>
      </c>
      <c r="C12" s="163"/>
      <c r="D12" s="163"/>
      <c r="E12" s="163"/>
      <c r="F12" s="163"/>
    </row>
    <row r="13" spans="1:6" ht="20.100000000000001" customHeight="1">
      <c r="A13" s="159" t="s">
        <v>115</v>
      </c>
      <c r="B13" s="162" t="s">
        <v>110</v>
      </c>
      <c r="C13" s="163"/>
      <c r="D13" s="163"/>
      <c r="E13" s="163"/>
      <c r="F13" s="163"/>
    </row>
    <row r="14" spans="1:6" ht="20.100000000000001" customHeight="1">
      <c r="A14" s="159"/>
      <c r="B14" s="162" t="s">
        <v>161</v>
      </c>
      <c r="C14" s="163"/>
      <c r="D14" s="163"/>
      <c r="E14" s="163"/>
      <c r="F14" s="163"/>
    </row>
    <row r="15" spans="1:6" ht="20.100000000000001" customHeight="1">
      <c r="A15" s="159" t="s">
        <v>116</v>
      </c>
      <c r="B15" s="160" t="s">
        <v>162</v>
      </c>
      <c r="C15" s="160"/>
      <c r="D15" s="160"/>
      <c r="E15" s="160"/>
      <c r="F15" s="160"/>
    </row>
    <row r="16" spans="1:6" ht="20.100000000000001" customHeight="1">
      <c r="A16" s="159"/>
      <c r="B16" s="160"/>
      <c r="C16" s="160"/>
      <c r="D16" s="160"/>
      <c r="E16" s="160"/>
      <c r="F16" s="160"/>
    </row>
  </sheetData>
  <mergeCells count="9">
    <mergeCell ref="A15:A16"/>
    <mergeCell ref="B15:F16"/>
    <mergeCell ref="B10:F10"/>
    <mergeCell ref="A11:A12"/>
    <mergeCell ref="B11:F11"/>
    <mergeCell ref="B12:F12"/>
    <mergeCell ref="A13:A14"/>
    <mergeCell ref="B13:F13"/>
    <mergeCell ref="B14:F1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0369-9745-4CBF-96E5-0D0587F669C1}">
  <sheetPr syncVertical="1" syncRef="A15" transitionEvaluation="1" published="0"/>
  <dimension ref="A1:R69"/>
  <sheetViews>
    <sheetView showGridLines="0" topLeftCell="A15" zoomScaleNormal="100" zoomScaleSheetLayoutView="70" zoomScalePageLayoutView="130" workbookViewId="0">
      <selection activeCell="B1" sqref="B1:O69"/>
    </sheetView>
  </sheetViews>
  <sheetFormatPr baseColWidth="10" defaultColWidth="9.85546875" defaultRowHeight="11.1" customHeight="1"/>
  <cols>
    <col min="1" max="1" width="2.140625" style="1" customWidth="1"/>
    <col min="2" max="2" width="16.5703125" style="1" customWidth="1"/>
    <col min="3" max="3" width="22.28515625" style="1" customWidth="1"/>
    <col min="4" max="4" width="7" style="50" customWidth="1"/>
    <col min="5" max="5" width="7.5703125" style="50" bestFit="1" customWidth="1"/>
    <col min="6" max="6" width="4.7109375" style="51" customWidth="1"/>
    <col min="7" max="7" width="6.28515625" style="49" bestFit="1" customWidth="1"/>
    <col min="8" max="8" width="6.5703125" style="49" bestFit="1" customWidth="1"/>
    <col min="9" max="9" width="4.7109375" style="51" bestFit="1" customWidth="1"/>
    <col min="10" max="10" width="6.7109375" style="49" bestFit="1" customWidth="1"/>
    <col min="11" max="11" width="7.5703125" style="49" bestFit="1" customWidth="1"/>
    <col min="12" max="12" width="4.7109375" style="49" bestFit="1" customWidth="1"/>
    <col min="13" max="13" width="6.28515625" style="49" bestFit="1" customWidth="1"/>
    <col min="14" max="14" width="6.5703125" style="49" bestFit="1" customWidth="1"/>
    <col min="15" max="15" width="4.7109375" style="49" bestFit="1" customWidth="1"/>
    <col min="16" max="16384" width="9.85546875" style="1"/>
  </cols>
  <sheetData>
    <row r="1" spans="1:18" ht="16.5" customHeight="1">
      <c r="A1" s="96"/>
      <c r="B1" s="101" t="s">
        <v>171</v>
      </c>
    </row>
    <row r="2" spans="1:18" ht="12" customHeight="1">
      <c r="A2" s="96"/>
      <c r="B2" s="101" t="s">
        <v>163</v>
      </c>
      <c r="C2" s="47"/>
      <c r="D2" s="52"/>
      <c r="E2" s="52"/>
      <c r="F2" s="52"/>
      <c r="G2" s="52"/>
      <c r="H2" s="52"/>
      <c r="I2" s="59"/>
      <c r="J2" s="52"/>
      <c r="K2" s="52"/>
      <c r="L2" s="52"/>
      <c r="M2" s="52"/>
      <c r="N2" s="52"/>
      <c r="O2" s="52"/>
    </row>
    <row r="3" spans="1:18" ht="3.95" customHeight="1">
      <c r="C3" s="4"/>
    </row>
    <row r="4" spans="1:18" ht="14.1" customHeight="1">
      <c r="B4" s="184" t="s">
        <v>149</v>
      </c>
      <c r="C4" s="178" t="s">
        <v>0</v>
      </c>
      <c r="D4" s="170" t="s">
        <v>120</v>
      </c>
      <c r="E4" s="171"/>
      <c r="F4" s="171"/>
      <c r="G4" s="171"/>
      <c r="H4" s="171"/>
      <c r="I4" s="177"/>
      <c r="J4" s="170" t="s">
        <v>121</v>
      </c>
      <c r="K4" s="171"/>
      <c r="L4" s="171"/>
      <c r="M4" s="171"/>
      <c r="N4" s="171"/>
      <c r="O4" s="172"/>
    </row>
    <row r="5" spans="1:18" ht="14.1" customHeight="1">
      <c r="B5" s="185"/>
      <c r="C5" s="179"/>
      <c r="D5" s="173" t="s">
        <v>174</v>
      </c>
      <c r="E5" s="174"/>
      <c r="F5" s="175"/>
      <c r="G5" s="181" t="s">
        <v>175</v>
      </c>
      <c r="H5" s="182"/>
      <c r="I5" s="183"/>
      <c r="J5" s="173" t="s">
        <v>174</v>
      </c>
      <c r="K5" s="174"/>
      <c r="L5" s="175"/>
      <c r="M5" s="173" t="s">
        <v>175</v>
      </c>
      <c r="N5" s="174"/>
      <c r="O5" s="176"/>
    </row>
    <row r="6" spans="1:18" ht="14.1" customHeight="1">
      <c r="B6" s="186"/>
      <c r="C6" s="180"/>
      <c r="D6" s="97">
        <v>2024</v>
      </c>
      <c r="E6" s="97" t="s">
        <v>157</v>
      </c>
      <c r="F6" s="97" t="s">
        <v>169</v>
      </c>
      <c r="G6" s="98">
        <v>2024</v>
      </c>
      <c r="H6" s="97" t="s">
        <v>157</v>
      </c>
      <c r="I6" s="97" t="s">
        <v>169</v>
      </c>
      <c r="J6" s="97">
        <v>2024</v>
      </c>
      <c r="K6" s="97" t="s">
        <v>157</v>
      </c>
      <c r="L6" s="97" t="s">
        <v>169</v>
      </c>
      <c r="M6" s="97">
        <v>2024</v>
      </c>
      <c r="N6" s="97" t="s">
        <v>157</v>
      </c>
      <c r="O6" s="97" t="s">
        <v>169</v>
      </c>
    </row>
    <row r="7" spans="1:18" ht="4.5" customHeight="1">
      <c r="C7" s="11"/>
      <c r="D7" s="53"/>
      <c r="E7" s="53"/>
      <c r="F7" s="54"/>
    </row>
    <row r="8" spans="1:18" ht="9.9499999999999993" customHeight="1">
      <c r="B8" s="187" t="s">
        <v>128</v>
      </c>
      <c r="C8" s="102" t="s">
        <v>179</v>
      </c>
      <c r="D8" s="127">
        <v>200641.3584248524</v>
      </c>
      <c r="E8" s="127">
        <v>201360.61061269999</v>
      </c>
      <c r="F8" s="128">
        <v>0.35847653419720515</v>
      </c>
      <c r="G8" s="127">
        <v>23423.488409999998</v>
      </c>
      <c r="H8" s="127">
        <v>23258.54348</v>
      </c>
      <c r="I8" s="103">
        <v>-0.70418601667195935</v>
      </c>
      <c r="J8" s="127">
        <v>198224.99294199998</v>
      </c>
      <c r="K8" s="127">
        <v>208992.44672099999</v>
      </c>
      <c r="L8" s="103">
        <v>5.4319355088338961</v>
      </c>
      <c r="M8" s="127">
        <v>23614.480677</v>
      </c>
      <c r="N8" s="127">
        <v>23112.847560000002</v>
      </c>
      <c r="O8" s="103">
        <v>-2.1242606342326997</v>
      </c>
      <c r="Q8" s="43"/>
      <c r="R8" s="43"/>
    </row>
    <row r="9" spans="1:18" ht="9.9499999999999993" customHeight="1">
      <c r="B9" s="187"/>
      <c r="C9" s="102" t="s">
        <v>180</v>
      </c>
      <c r="D9" s="127">
        <v>63684.120940000001</v>
      </c>
      <c r="E9" s="127">
        <v>57228.998520000008</v>
      </c>
      <c r="F9" s="128">
        <v>-10.136156901783544</v>
      </c>
      <c r="G9" s="127">
        <v>9250.9945399999997</v>
      </c>
      <c r="H9" s="127">
        <v>6293.2572</v>
      </c>
      <c r="I9" s="103">
        <v>-31.972101239614393</v>
      </c>
      <c r="J9" s="127">
        <v>62177.834000000003</v>
      </c>
      <c r="K9" s="127">
        <v>51294.344159999993</v>
      </c>
      <c r="L9" s="103">
        <v>-17.503809862530773</v>
      </c>
      <c r="M9" s="127">
        <v>8997.4009999999998</v>
      </c>
      <c r="N9" s="127">
        <v>5432.5934400000006</v>
      </c>
      <c r="O9" s="103">
        <v>-39.62041438410936</v>
      </c>
      <c r="Q9" s="43"/>
      <c r="R9" s="43"/>
    </row>
    <row r="10" spans="1:18" ht="9.9499999999999993" customHeight="1">
      <c r="B10" s="187"/>
      <c r="C10" s="102" t="s">
        <v>2</v>
      </c>
      <c r="D10" s="127">
        <v>15787.746999999999</v>
      </c>
      <c r="E10" s="127">
        <v>14485.1</v>
      </c>
      <c r="F10" s="128">
        <v>-8.2509999685198903</v>
      </c>
      <c r="G10" s="127">
        <v>2307.3980000000001</v>
      </c>
      <c r="H10" s="127">
        <v>1442</v>
      </c>
      <c r="I10" s="103">
        <v>-37.505363183984727</v>
      </c>
      <c r="J10" s="127">
        <v>15348.397999999999</v>
      </c>
      <c r="K10" s="127">
        <v>14459.013999999999</v>
      </c>
      <c r="L10" s="103">
        <v>-5.7946373295766795</v>
      </c>
      <c r="M10" s="127">
        <v>2236.5319999999997</v>
      </c>
      <c r="N10" s="127">
        <v>1442</v>
      </c>
      <c r="O10" s="103">
        <v>-35.525179161308664</v>
      </c>
    </row>
    <row r="11" spans="1:18" ht="11.1" customHeight="1">
      <c r="B11" s="165" t="s">
        <v>129</v>
      </c>
      <c r="C11" s="104" t="s">
        <v>186</v>
      </c>
      <c r="D11" s="111">
        <v>1809844.0710000002</v>
      </c>
      <c r="E11" s="111">
        <v>2032707.1780000001</v>
      </c>
      <c r="F11" s="129">
        <v>12.313939668673246</v>
      </c>
      <c r="G11" s="111">
        <v>198898.34700000001</v>
      </c>
      <c r="H11" s="111">
        <v>228404.52299999999</v>
      </c>
      <c r="I11" s="105">
        <v>14.834802020752825</v>
      </c>
      <c r="J11" s="111">
        <v>1816081.8287</v>
      </c>
      <c r="K11" s="111">
        <v>2028928.19</v>
      </c>
      <c r="L11" s="105">
        <v>11.720086503610961</v>
      </c>
      <c r="M11" s="111">
        <v>199235.03199999998</v>
      </c>
      <c r="N11" s="111">
        <v>227789.33000000002</v>
      </c>
      <c r="O11" s="105">
        <v>14.331966478666281</v>
      </c>
    </row>
    <row r="12" spans="1:18" ht="11.1" customHeight="1">
      <c r="B12" s="165"/>
      <c r="C12" s="104" t="s">
        <v>190</v>
      </c>
      <c r="D12" s="111">
        <v>644800.84900000005</v>
      </c>
      <c r="E12" s="111">
        <v>666361.10400000005</v>
      </c>
      <c r="F12" s="129">
        <v>3.3437076011046063</v>
      </c>
      <c r="G12" s="111">
        <v>72055.862999999998</v>
      </c>
      <c r="H12" s="111">
        <v>78173.027999999991</v>
      </c>
      <c r="I12" s="105">
        <v>8.4894757280195243</v>
      </c>
      <c r="J12" s="111">
        <v>644076.005</v>
      </c>
      <c r="K12" s="111">
        <v>667870.69799999986</v>
      </c>
      <c r="L12" s="105">
        <v>3.6943920927468676</v>
      </c>
      <c r="M12" s="111">
        <v>72796.521999999997</v>
      </c>
      <c r="N12" s="111">
        <v>78297.880999999994</v>
      </c>
      <c r="O12" s="105">
        <v>7.5571728550438033</v>
      </c>
    </row>
    <row r="13" spans="1:18" ht="11.1" customHeight="1">
      <c r="B13" s="165"/>
      <c r="C13" s="104" t="s">
        <v>188</v>
      </c>
      <c r="D13" s="111">
        <v>222922.40700000001</v>
      </c>
      <c r="E13" s="111">
        <v>265950.87599999999</v>
      </c>
      <c r="F13" s="129">
        <v>19.30199372017367</v>
      </c>
      <c r="G13" s="111">
        <v>25364.577000000005</v>
      </c>
      <c r="H13" s="111">
        <v>29396.827999999998</v>
      </c>
      <c r="I13" s="105">
        <v>15.89717423633752</v>
      </c>
      <c r="J13" s="111">
        <v>222717.554</v>
      </c>
      <c r="K13" s="111">
        <v>266096.51399999997</v>
      </c>
      <c r="L13" s="105">
        <v>19.477117641117747</v>
      </c>
      <c r="M13" s="111">
        <v>25275.021999999997</v>
      </c>
      <c r="N13" s="111">
        <v>29532.235000000004</v>
      </c>
      <c r="O13" s="105">
        <v>16.843558039237337</v>
      </c>
    </row>
    <row r="14" spans="1:18" ht="11.1" customHeight="1">
      <c r="B14" s="165"/>
      <c r="C14" s="104" t="s">
        <v>187</v>
      </c>
      <c r="D14" s="111">
        <v>74892.19</v>
      </c>
      <c r="E14" s="111">
        <v>72490.581000000006</v>
      </c>
      <c r="F14" s="129">
        <v>-3.2067549366629478</v>
      </c>
      <c r="G14" s="111">
        <v>8343.1189999999988</v>
      </c>
      <c r="H14" s="111">
        <v>8123.4859999999999</v>
      </c>
      <c r="I14" s="105">
        <v>-2.6325047023780801</v>
      </c>
      <c r="J14" s="111">
        <v>74705.888999999996</v>
      </c>
      <c r="K14" s="111">
        <v>72658.651999999987</v>
      </c>
      <c r="L14" s="105">
        <v>-2.7403957404214974</v>
      </c>
      <c r="M14" s="111">
        <v>9054.6820000000007</v>
      </c>
      <c r="N14" s="111">
        <v>8088.3220000000001</v>
      </c>
      <c r="O14" s="105">
        <v>-10.672489657836692</v>
      </c>
    </row>
    <row r="15" spans="1:18" ht="11.1" customHeight="1">
      <c r="B15" s="165"/>
      <c r="C15" s="104" t="s">
        <v>189</v>
      </c>
      <c r="D15" s="111">
        <v>43798.875</v>
      </c>
      <c r="E15" s="111">
        <v>47136.745999999999</v>
      </c>
      <c r="F15" s="129">
        <v>7.6209057881052811</v>
      </c>
      <c r="G15" s="111">
        <v>5961.866</v>
      </c>
      <c r="H15" s="111">
        <v>6417.4859999999999</v>
      </c>
      <c r="I15" s="105">
        <v>7.6422381851588117</v>
      </c>
      <c r="J15" s="111">
        <v>43498.091700000004</v>
      </c>
      <c r="K15" s="111">
        <v>47305.739699999998</v>
      </c>
      <c r="L15" s="105">
        <v>8.7535978043836735</v>
      </c>
      <c r="M15" s="111">
        <v>6035.8849999999993</v>
      </c>
      <c r="N15" s="111">
        <v>6604.4880000000003</v>
      </c>
      <c r="O15" s="105">
        <v>9.4203749740096256</v>
      </c>
    </row>
    <row r="16" spans="1:18" ht="11.1" customHeight="1">
      <c r="B16" s="165"/>
      <c r="C16" s="104" t="s">
        <v>143</v>
      </c>
      <c r="D16" s="111">
        <v>289089.80100000004</v>
      </c>
      <c r="E16" s="111">
        <v>293742.21000000002</v>
      </c>
      <c r="F16" s="129">
        <v>1.6093300365169094</v>
      </c>
      <c r="G16" s="111">
        <v>26746.46</v>
      </c>
      <c r="H16" s="111">
        <v>31389.56</v>
      </c>
      <c r="I16" s="105">
        <v>17.359680496035757</v>
      </c>
      <c r="J16" s="111">
        <v>292748.679</v>
      </c>
      <c r="K16" s="111">
        <v>300736.81000000006</v>
      </c>
      <c r="L16" s="105">
        <v>2.7286650881864549</v>
      </c>
      <c r="M16" s="111">
        <v>28817.545000000002</v>
      </c>
      <c r="N16" s="111">
        <v>29071.942999999999</v>
      </c>
      <c r="O16" s="105">
        <v>0.88278859285202405</v>
      </c>
    </row>
    <row r="17" spans="2:15" ht="11.1" customHeight="1">
      <c r="B17" s="166" t="s">
        <v>130</v>
      </c>
      <c r="C17" s="106" t="s">
        <v>44</v>
      </c>
      <c r="D17" s="107">
        <v>28429.155699999999</v>
      </c>
      <c r="E17" s="107">
        <v>29170.690011149996</v>
      </c>
      <c r="F17" s="130">
        <v>2.608358542107525</v>
      </c>
      <c r="G17" s="107">
        <v>2941.7631000000001</v>
      </c>
      <c r="H17" s="107">
        <v>3481.1611000000003</v>
      </c>
      <c r="I17" s="134">
        <v>18.335874836420384</v>
      </c>
      <c r="J17" s="107">
        <v>27961.714800000002</v>
      </c>
      <c r="K17" s="107">
        <v>27926.8086</v>
      </c>
      <c r="L17" s="134">
        <v>-0.12483569140759876</v>
      </c>
      <c r="M17" s="107">
        <v>2704.9095000000002</v>
      </c>
      <c r="N17" s="107">
        <v>3379.8997000000004</v>
      </c>
      <c r="O17" s="134">
        <v>24.95426187086851</v>
      </c>
    </row>
    <row r="18" spans="2:15" ht="11.1" customHeight="1">
      <c r="B18" s="167"/>
      <c r="C18" s="106" t="s">
        <v>45</v>
      </c>
      <c r="D18" s="107">
        <v>6407.8779999999988</v>
      </c>
      <c r="E18" s="107">
        <v>5145.5853999999999</v>
      </c>
      <c r="F18" s="130">
        <v>-19.699073546656155</v>
      </c>
      <c r="G18" s="107">
        <v>595.21840000000009</v>
      </c>
      <c r="H18" s="107">
        <v>600.71119999999996</v>
      </c>
      <c r="I18" s="134">
        <v>0.92282093429905121</v>
      </c>
      <c r="J18" s="107">
        <v>6548.8441999999995</v>
      </c>
      <c r="K18" s="107">
        <v>5038.3225000000002</v>
      </c>
      <c r="L18" s="134">
        <v>-23.065470087072761</v>
      </c>
      <c r="M18" s="107">
        <v>598.98329999999999</v>
      </c>
      <c r="N18" s="107">
        <v>541.15219999999999</v>
      </c>
      <c r="O18" s="134">
        <v>-9.6548768554983067</v>
      </c>
    </row>
    <row r="19" spans="2:15" ht="24" customHeight="1">
      <c r="B19" s="126" t="s">
        <v>191</v>
      </c>
      <c r="C19" s="108" t="s">
        <v>46</v>
      </c>
      <c r="D19" s="111">
        <v>772806.88</v>
      </c>
      <c r="E19" s="111">
        <v>792466.17163212108</v>
      </c>
      <c r="F19" s="129">
        <v>2.5438815493103561</v>
      </c>
      <c r="G19" s="111">
        <v>103708.04000000001</v>
      </c>
      <c r="H19" s="111">
        <v>117544.64468286723</v>
      </c>
      <c r="I19" s="105">
        <v>13.341882348627188</v>
      </c>
      <c r="J19" s="111">
        <v>772806.88</v>
      </c>
      <c r="K19" s="111">
        <v>792466.17163212108</v>
      </c>
      <c r="L19" s="105">
        <v>2.5438815493103561</v>
      </c>
      <c r="M19" s="111">
        <v>103708.04000000001</v>
      </c>
      <c r="N19" s="111">
        <v>117544.64468286723</v>
      </c>
      <c r="O19" s="105">
        <v>13.341882348627188</v>
      </c>
    </row>
    <row r="20" spans="2:15" ht="11.1" customHeight="1">
      <c r="B20" s="166" t="s">
        <v>131</v>
      </c>
      <c r="C20" s="109" t="s">
        <v>164</v>
      </c>
      <c r="D20" s="107">
        <v>10272.888799999999</v>
      </c>
      <c r="E20" s="107">
        <v>9781.8505599999989</v>
      </c>
      <c r="F20" s="130">
        <v>-4.7799431061689273</v>
      </c>
      <c r="G20" s="107">
        <v>1638.0504999999998</v>
      </c>
      <c r="H20" s="107">
        <v>742.61149999999986</v>
      </c>
      <c r="I20" s="134">
        <v>-54.664920281761773</v>
      </c>
      <c r="J20" s="107">
        <v>11304.681250000001</v>
      </c>
      <c r="K20" s="107">
        <v>11799.14356</v>
      </c>
      <c r="L20" s="134">
        <v>4.3739606545739607</v>
      </c>
      <c r="M20" s="107">
        <v>1700.491</v>
      </c>
      <c r="N20" s="107">
        <v>1401.6334999999999</v>
      </c>
      <c r="O20" s="134">
        <v>-17.574776932074332</v>
      </c>
    </row>
    <row r="21" spans="2:15" ht="11.1" customHeight="1">
      <c r="B21" s="167"/>
      <c r="C21" s="109" t="s">
        <v>47</v>
      </c>
      <c r="D21" s="107">
        <v>16228.168149999998</v>
      </c>
      <c r="E21" s="107">
        <v>14380.696899999999</v>
      </c>
      <c r="F21" s="130">
        <v>-11.384348701119407</v>
      </c>
      <c r="G21" s="107">
        <v>1774.0513999999998</v>
      </c>
      <c r="H21" s="107">
        <v>1796.0346</v>
      </c>
      <c r="I21" s="134">
        <v>1.2391523717971253</v>
      </c>
      <c r="J21" s="107">
        <v>16191.783800000001</v>
      </c>
      <c r="K21" s="107">
        <v>14571.998900000002</v>
      </c>
      <c r="L21" s="134">
        <v>-10.003745850410862</v>
      </c>
      <c r="M21" s="107">
        <v>2427.2484000000004</v>
      </c>
      <c r="N21" s="107">
        <v>1767.0236000000002</v>
      </c>
      <c r="O21" s="134">
        <v>-27.200545275876998</v>
      </c>
    </row>
    <row r="22" spans="2:15" ht="11.1" customHeight="1">
      <c r="B22" s="167"/>
      <c r="C22" s="109" t="s">
        <v>48</v>
      </c>
      <c r="D22" s="107">
        <v>3669</v>
      </c>
      <c r="E22" s="107">
        <v>3739</v>
      </c>
      <c r="F22" s="130">
        <v>1.9078768056691287</v>
      </c>
      <c r="G22" s="107">
        <v>495</v>
      </c>
      <c r="H22" s="107">
        <v>633</v>
      </c>
      <c r="I22" s="134">
        <v>27.878787878787882</v>
      </c>
      <c r="J22" s="107">
        <v>1645</v>
      </c>
      <c r="K22" s="107">
        <v>4079</v>
      </c>
      <c r="L22" s="134">
        <v>147.96352583586625</v>
      </c>
      <c r="M22" s="107">
        <v>592</v>
      </c>
      <c r="N22" s="107">
        <v>501</v>
      </c>
      <c r="O22" s="134">
        <v>-15.371621621621623</v>
      </c>
    </row>
    <row r="23" spans="2:15" ht="11.1" customHeight="1">
      <c r="B23" s="167"/>
      <c r="C23" s="109" t="s">
        <v>8</v>
      </c>
      <c r="D23" s="107">
        <v>11136.328</v>
      </c>
      <c r="E23" s="107">
        <v>11354.1958</v>
      </c>
      <c r="F23" s="130">
        <v>1.9563701787519205</v>
      </c>
      <c r="G23" s="107">
        <v>1449.8199999999997</v>
      </c>
      <c r="H23" s="107">
        <v>1380.4965</v>
      </c>
      <c r="I23" s="134">
        <v>-4.7815246030541552</v>
      </c>
      <c r="J23" s="107">
        <v>10153.432000000001</v>
      </c>
      <c r="K23" s="107">
        <v>13493.739400000002</v>
      </c>
      <c r="L23" s="134">
        <v>32.898308670408213</v>
      </c>
      <c r="M23" s="107">
        <v>1180.67</v>
      </c>
      <c r="N23" s="107">
        <v>1446.5550000000001</v>
      </c>
      <c r="O23" s="134">
        <v>22.519840429586591</v>
      </c>
    </row>
    <row r="24" spans="2:15" ht="11.1" customHeight="1">
      <c r="B24" s="167"/>
      <c r="C24" s="109" t="s">
        <v>49</v>
      </c>
      <c r="D24" s="107">
        <v>8967.9771700000001</v>
      </c>
      <c r="E24" s="107">
        <v>8787.8948999999993</v>
      </c>
      <c r="F24" s="130">
        <v>-2.0080589701144458</v>
      </c>
      <c r="G24" s="107">
        <v>901.09680000000003</v>
      </c>
      <c r="H24" s="107">
        <v>932.01510000000007</v>
      </c>
      <c r="I24" s="134">
        <v>3.431185195641584</v>
      </c>
      <c r="J24" s="107">
        <v>10423.337679999999</v>
      </c>
      <c r="K24" s="107">
        <v>10620.21126</v>
      </c>
      <c r="L24" s="134">
        <v>1.8887767627230989</v>
      </c>
      <c r="M24" s="107">
        <v>1354.6683</v>
      </c>
      <c r="N24" s="107">
        <v>1428.6360999999999</v>
      </c>
      <c r="O24" s="134">
        <v>5.460214873264535</v>
      </c>
    </row>
    <row r="25" spans="2:15" ht="11.1" customHeight="1">
      <c r="B25" s="167"/>
      <c r="C25" s="109" t="s">
        <v>50</v>
      </c>
      <c r="D25" s="107">
        <v>1640.708067</v>
      </c>
      <c r="E25" s="107">
        <v>26.090899999999998</v>
      </c>
      <c r="F25" s="131">
        <v>-98.40977803883743</v>
      </c>
      <c r="G25" s="120">
        <v>532.40899999999999</v>
      </c>
      <c r="H25" s="120">
        <v>1.5000000000000002</v>
      </c>
      <c r="I25" s="135">
        <v>-99.718261712330175</v>
      </c>
      <c r="J25" s="120">
        <v>1611.613053</v>
      </c>
      <c r="K25" s="120">
        <v>23.171800000000001</v>
      </c>
      <c r="L25" s="135">
        <v>-98.562198292147983</v>
      </c>
      <c r="M25" s="120">
        <v>576.72904999999992</v>
      </c>
      <c r="N25" s="120">
        <v>1.3800000000000001</v>
      </c>
      <c r="O25" s="135">
        <v>-99.76071952678646</v>
      </c>
    </row>
    <row r="26" spans="2:15" ht="11.1" customHeight="1">
      <c r="B26" s="167"/>
      <c r="C26" s="109" t="s">
        <v>51</v>
      </c>
      <c r="D26" s="107">
        <v>11238.4403</v>
      </c>
      <c r="E26" s="107">
        <v>5460.5908500000005</v>
      </c>
      <c r="F26" s="131">
        <v>-51.411488567501664</v>
      </c>
      <c r="G26" s="120">
        <v>709.46303999999998</v>
      </c>
      <c r="H26" s="120">
        <v>935.24599999999998</v>
      </c>
      <c r="I26" s="135">
        <v>31.824485176845862</v>
      </c>
      <c r="J26" s="120">
        <v>11415.953299999999</v>
      </c>
      <c r="K26" s="120">
        <v>1237.48253</v>
      </c>
      <c r="L26" s="135">
        <v>-89.160059633390404</v>
      </c>
      <c r="M26" s="120">
        <v>836.46303999999998</v>
      </c>
      <c r="N26" s="120">
        <v>189.72</v>
      </c>
      <c r="O26" s="135">
        <v>-77.318782668508575</v>
      </c>
    </row>
    <row r="27" spans="2:15" ht="11.1" customHeight="1">
      <c r="B27" s="168" t="s">
        <v>192</v>
      </c>
      <c r="C27" s="104" t="s">
        <v>139</v>
      </c>
      <c r="D27" s="111">
        <v>278269.82088000001</v>
      </c>
      <c r="E27" s="111">
        <v>278245.69907999999</v>
      </c>
      <c r="F27" s="129">
        <v>-8.6684930201030852E-3</v>
      </c>
      <c r="G27" s="111">
        <v>28266.495199999998</v>
      </c>
      <c r="H27" s="111">
        <v>33136.99192</v>
      </c>
      <c r="I27" s="105">
        <v>17.230635370740988</v>
      </c>
      <c r="J27" s="111">
        <v>265024.54832999996</v>
      </c>
      <c r="K27" s="111">
        <v>273474.61888999998</v>
      </c>
      <c r="L27" s="105">
        <v>3.1884105126285478</v>
      </c>
      <c r="M27" s="111">
        <v>33228.796370000004</v>
      </c>
      <c r="N27" s="111">
        <v>30287.047280000006</v>
      </c>
      <c r="O27" s="105">
        <v>-8.8530112774590322</v>
      </c>
    </row>
    <row r="28" spans="2:15" ht="11.1" customHeight="1">
      <c r="B28" s="168"/>
      <c r="C28" s="122" t="s">
        <v>140</v>
      </c>
      <c r="D28" s="111">
        <v>45388.294959999999</v>
      </c>
      <c r="E28" s="111">
        <v>37423.829239999999</v>
      </c>
      <c r="F28" s="129">
        <v>-17.547400110576884</v>
      </c>
      <c r="G28" s="111">
        <v>1165.5060000000001</v>
      </c>
      <c r="H28" s="111">
        <v>6408.1850000000004</v>
      </c>
      <c r="I28" s="105">
        <v>449.81999234667177</v>
      </c>
      <c r="J28" s="111">
        <v>43997.96488</v>
      </c>
      <c r="K28" s="111">
        <v>37863.186569999998</v>
      </c>
      <c r="L28" s="105">
        <v>-13.943322893983822</v>
      </c>
      <c r="M28" s="111">
        <v>4724.7860000000001</v>
      </c>
      <c r="N28" s="111">
        <v>5304.7610000000004</v>
      </c>
      <c r="O28" s="105">
        <v>12.275159128900249</v>
      </c>
    </row>
    <row r="29" spans="2:15" ht="11.1" customHeight="1">
      <c r="B29" s="168"/>
      <c r="C29" s="122" t="s">
        <v>141</v>
      </c>
      <c r="D29" s="111">
        <v>232881.52591999999</v>
      </c>
      <c r="E29" s="111">
        <v>240821.86983999997</v>
      </c>
      <c r="F29" s="129">
        <v>3.4096066180568041</v>
      </c>
      <c r="G29" s="111">
        <v>27100.989199999996</v>
      </c>
      <c r="H29" s="111">
        <v>26728.806919999999</v>
      </c>
      <c r="I29" s="105">
        <v>-1.3733162182877012</v>
      </c>
      <c r="J29" s="111">
        <v>221026.58344999998</v>
      </c>
      <c r="K29" s="111">
        <v>235611.43231999996</v>
      </c>
      <c r="L29" s="105">
        <v>6.5986853899405951</v>
      </c>
      <c r="M29" s="111">
        <v>28504.010370000004</v>
      </c>
      <c r="N29" s="111">
        <v>24982.286280000004</v>
      </c>
      <c r="O29" s="105">
        <v>-12.355188074540402</v>
      </c>
    </row>
    <row r="30" spans="2:15" ht="11.1" customHeight="1">
      <c r="B30" s="168"/>
      <c r="C30" s="110" t="s">
        <v>71</v>
      </c>
      <c r="D30" s="111">
        <v>8552.366</v>
      </c>
      <c r="E30" s="111">
        <v>15289.174000000001</v>
      </c>
      <c r="F30" s="129">
        <v>78.771278029962716</v>
      </c>
      <c r="G30" s="111">
        <v>1279.875</v>
      </c>
      <c r="H30" s="111">
        <v>1618.633</v>
      </c>
      <c r="I30" s="105">
        <v>26.46805352085164</v>
      </c>
      <c r="J30" s="111">
        <v>8679.5040000000008</v>
      </c>
      <c r="K30" s="111">
        <v>15260.017</v>
      </c>
      <c r="L30" s="105">
        <v>75.816694133673977</v>
      </c>
      <c r="M30" s="111">
        <v>1420.479</v>
      </c>
      <c r="N30" s="111">
        <v>1809.63</v>
      </c>
      <c r="O30" s="105">
        <v>27.395758754617283</v>
      </c>
    </row>
    <row r="31" spans="2:15" ht="11.1" customHeight="1">
      <c r="B31" s="168"/>
      <c r="C31" s="110" t="s">
        <v>72</v>
      </c>
      <c r="D31" s="111">
        <v>119738.84182962299</v>
      </c>
      <c r="E31" s="111">
        <v>139531.94406315201</v>
      </c>
      <c r="F31" s="129">
        <v>16.530226893035028</v>
      </c>
      <c r="G31" s="111">
        <v>14423.675866923</v>
      </c>
      <c r="H31" s="111">
        <v>15741.391781562999</v>
      </c>
      <c r="I31" s="105">
        <v>9.1357842951937265</v>
      </c>
      <c r="J31" s="111">
        <v>116692.18957940501</v>
      </c>
      <c r="K31" s="111">
        <v>139215.36367177102</v>
      </c>
      <c r="L31" s="105">
        <v>19.301355277972366</v>
      </c>
      <c r="M31" s="111">
        <v>14117.276516304999</v>
      </c>
      <c r="N31" s="111">
        <v>16233.21767238</v>
      </c>
      <c r="O31" s="105">
        <v>14.988309916797027</v>
      </c>
    </row>
    <row r="32" spans="2:15" ht="11.1" customHeight="1">
      <c r="B32" s="166" t="s">
        <v>193</v>
      </c>
      <c r="C32" s="121" t="s">
        <v>165</v>
      </c>
      <c r="D32" s="107">
        <v>7300.4616460714278</v>
      </c>
      <c r="E32" s="107">
        <v>4535.1000000000004</v>
      </c>
      <c r="F32" s="131">
        <v>-37.879270930209486</v>
      </c>
      <c r="G32" s="120">
        <v>786.786861428571</v>
      </c>
      <c r="H32" s="120">
        <v>1137.4586499999998</v>
      </c>
      <c r="I32" s="135">
        <v>44.570112410712227</v>
      </c>
      <c r="J32" s="120">
        <v>7236.8446136428556</v>
      </c>
      <c r="K32" s="120">
        <v>10081.714354599997</v>
      </c>
      <c r="L32" s="135">
        <v>39.310913703936798</v>
      </c>
      <c r="M32" s="120">
        <v>848.73259999999971</v>
      </c>
      <c r="N32" s="120">
        <v>1003.53838</v>
      </c>
      <c r="O32" s="135">
        <v>18.239641083658185</v>
      </c>
    </row>
    <row r="33" spans="2:15" ht="11.1" customHeight="1">
      <c r="B33" s="167"/>
      <c r="C33" s="109" t="s">
        <v>166</v>
      </c>
      <c r="D33" s="107">
        <v>2823.1164842000003</v>
      </c>
      <c r="E33" s="107">
        <v>3331.0889596999996</v>
      </c>
      <c r="F33" s="131">
        <v>17.993323277411477</v>
      </c>
      <c r="G33" s="120">
        <v>302.26805000000002</v>
      </c>
      <c r="H33" s="120">
        <v>321.30271999999997</v>
      </c>
      <c r="I33" s="135">
        <v>6.2972815022957151</v>
      </c>
      <c r="J33" s="120">
        <v>2867.5904141999999</v>
      </c>
      <c r="K33" s="120">
        <v>3327.2865396999996</v>
      </c>
      <c r="L33" s="135">
        <v>16.030745647064304</v>
      </c>
      <c r="M33" s="120">
        <v>330.02398000000005</v>
      </c>
      <c r="N33" s="120">
        <v>324.75205999999997</v>
      </c>
      <c r="O33" s="135">
        <v>-1.5974354348432751</v>
      </c>
    </row>
    <row r="34" spans="2:15" ht="11.1" customHeight="1">
      <c r="B34" s="167"/>
      <c r="C34" s="109" t="s">
        <v>183</v>
      </c>
      <c r="D34" s="107">
        <v>285.28499999999997</v>
      </c>
      <c r="E34" s="107">
        <v>273.32311000000004</v>
      </c>
      <c r="F34" s="131">
        <v>-4.1929614245403428</v>
      </c>
      <c r="G34" s="120">
        <v>34.04099999999999</v>
      </c>
      <c r="H34" s="120">
        <v>27.04</v>
      </c>
      <c r="I34" s="135">
        <v>-20.56637584089772</v>
      </c>
      <c r="J34" s="120">
        <v>283.96600000000001</v>
      </c>
      <c r="K34" s="120">
        <v>280.61655000000002</v>
      </c>
      <c r="L34" s="135">
        <v>-1.1795250135579582</v>
      </c>
      <c r="M34" s="120">
        <v>33.498999999999995</v>
      </c>
      <c r="N34" s="120">
        <v>27.04</v>
      </c>
      <c r="O34" s="135">
        <v>-19.281172572315587</v>
      </c>
    </row>
    <row r="35" spans="2:15" ht="11.1" customHeight="1">
      <c r="B35" s="167"/>
      <c r="C35" s="109" t="s">
        <v>52</v>
      </c>
      <c r="D35" s="107">
        <v>3914.7593439999996</v>
      </c>
      <c r="E35" s="107">
        <v>4535.9328042999996</v>
      </c>
      <c r="F35" s="130">
        <v>15.867475002059805</v>
      </c>
      <c r="G35" s="107">
        <v>536.98370999999997</v>
      </c>
      <c r="H35" s="107">
        <v>557.76315</v>
      </c>
      <c r="I35" s="134">
        <v>3.8696592863124435</v>
      </c>
      <c r="J35" s="107">
        <v>3897.0823459999997</v>
      </c>
      <c r="K35" s="107">
        <v>4472.8653443000003</v>
      </c>
      <c r="L35" s="134">
        <v>14.774719833441274</v>
      </c>
      <c r="M35" s="107">
        <v>526.97064</v>
      </c>
      <c r="N35" s="107">
        <v>567.59410000000003</v>
      </c>
      <c r="O35" s="134">
        <v>7.7088659056982811</v>
      </c>
    </row>
    <row r="36" spans="2:15" ht="11.1" customHeight="1">
      <c r="B36" s="167"/>
      <c r="C36" s="109" t="s">
        <v>53</v>
      </c>
      <c r="D36" s="107">
        <v>5946.3433056350004</v>
      </c>
      <c r="E36" s="107">
        <v>6039.3380621859997</v>
      </c>
      <c r="F36" s="130">
        <v>1.5638982105670385</v>
      </c>
      <c r="G36" s="107">
        <v>628.11718983499998</v>
      </c>
      <c r="H36" s="107">
        <v>720.80987473999994</v>
      </c>
      <c r="I36" s="134">
        <v>14.757227855736499</v>
      </c>
      <c r="J36" s="107">
        <v>5845.9738698000001</v>
      </c>
      <c r="K36" s="107">
        <v>6134.7767628990005</v>
      </c>
      <c r="L36" s="134">
        <v>4.9402015734442584</v>
      </c>
      <c r="M36" s="107">
        <v>605.61497079999992</v>
      </c>
      <c r="N36" s="107">
        <v>683.02140320600006</v>
      </c>
      <c r="O36" s="134">
        <v>12.781459530920847</v>
      </c>
    </row>
    <row r="37" spans="2:15" ht="11.1" customHeight="1">
      <c r="B37" s="167"/>
      <c r="C37" s="109" t="s">
        <v>54</v>
      </c>
      <c r="D37" s="107">
        <v>106873.5938056</v>
      </c>
      <c r="E37" s="107">
        <v>110141.9232650717</v>
      </c>
      <c r="F37" s="130">
        <v>3.0581262808628829</v>
      </c>
      <c r="G37" s="107">
        <v>10637.038976899999</v>
      </c>
      <c r="H37" s="107">
        <v>12895.608349</v>
      </c>
      <c r="I37" s="134">
        <v>21.23306473732811</v>
      </c>
      <c r="J37" s="107">
        <v>106591.22617313998</v>
      </c>
      <c r="K37" s="107">
        <v>109679.405363321</v>
      </c>
      <c r="L37" s="134">
        <v>2.8972170609659509</v>
      </c>
      <c r="M37" s="107">
        <v>11710.878792899999</v>
      </c>
      <c r="N37" s="107">
        <v>13253.084877500001</v>
      </c>
      <c r="O37" s="134">
        <v>13.169003896915088</v>
      </c>
    </row>
    <row r="38" spans="2:15" ht="11.1" customHeight="1">
      <c r="B38" s="167"/>
      <c r="C38" s="109" t="s">
        <v>55</v>
      </c>
      <c r="D38" s="107">
        <v>5986.4173454545453</v>
      </c>
      <c r="E38" s="107">
        <v>6052.8050199999998</v>
      </c>
      <c r="F38" s="130">
        <v>1.1089717056874226</v>
      </c>
      <c r="G38" s="107">
        <v>760.99149090909077</v>
      </c>
      <c r="H38" s="107">
        <v>683.34219999999993</v>
      </c>
      <c r="I38" s="134">
        <v>-10.203700282683837</v>
      </c>
      <c r="J38" s="107">
        <v>5877.1258545454539</v>
      </c>
      <c r="K38" s="107">
        <v>5840.3016499999994</v>
      </c>
      <c r="L38" s="134">
        <v>-0.62656824878054573</v>
      </c>
      <c r="M38" s="107">
        <v>699.27099999999996</v>
      </c>
      <c r="N38" s="107">
        <v>716.61428999999998</v>
      </c>
      <c r="O38" s="134">
        <v>2.4801958039157856</v>
      </c>
    </row>
    <row r="39" spans="2:15" ht="11.1" customHeight="1">
      <c r="B39" s="169" t="s">
        <v>132</v>
      </c>
      <c r="C39" s="123" t="s">
        <v>56</v>
      </c>
      <c r="D39" s="18">
        <v>1800.2846699999998</v>
      </c>
      <c r="E39" s="18">
        <v>1941.6779999999999</v>
      </c>
      <c r="F39" s="132">
        <v>7.8539428989305327</v>
      </c>
      <c r="G39" s="18">
        <v>211.44899999999998</v>
      </c>
      <c r="H39" s="18">
        <v>203.69400000000002</v>
      </c>
      <c r="I39" s="136">
        <v>-3.6675510406764644</v>
      </c>
      <c r="J39" s="18">
        <v>1794.9857</v>
      </c>
      <c r="K39" s="18">
        <v>2334.3139999999999</v>
      </c>
      <c r="L39" s="136">
        <v>30.046384213534406</v>
      </c>
      <c r="M39" s="18">
        <v>208.52199999999999</v>
      </c>
      <c r="N39" s="18">
        <v>274.35199999999998</v>
      </c>
      <c r="O39" s="136">
        <v>31.56981037972011</v>
      </c>
    </row>
    <row r="40" spans="2:15" ht="11.1" customHeight="1">
      <c r="B40" s="169"/>
      <c r="C40" s="123" t="s">
        <v>57</v>
      </c>
      <c r="D40" s="18">
        <v>7869.9377400000003</v>
      </c>
      <c r="E40" s="18">
        <v>7238.2189999999991</v>
      </c>
      <c r="F40" s="132">
        <v>-8.0269852300000721</v>
      </c>
      <c r="G40" s="18">
        <v>677.57299999999998</v>
      </c>
      <c r="H40" s="18">
        <v>815.54</v>
      </c>
      <c r="I40" s="136">
        <v>20.361938861200191</v>
      </c>
      <c r="J40" s="18">
        <v>7816.7639409999983</v>
      </c>
      <c r="K40" s="18">
        <v>7265.49</v>
      </c>
      <c r="L40" s="136">
        <v>-7.0524573232727539</v>
      </c>
      <c r="M40" s="18">
        <v>712.24400000000003</v>
      </c>
      <c r="N40" s="18">
        <v>806.38200000000006</v>
      </c>
      <c r="O40" s="136">
        <v>13.217099757948114</v>
      </c>
    </row>
    <row r="41" spans="2:15" ht="11.1" customHeight="1">
      <c r="B41" s="169"/>
      <c r="C41" s="123" t="s">
        <v>184</v>
      </c>
      <c r="D41" s="18">
        <v>25645.014229999997</v>
      </c>
      <c r="E41" s="18">
        <v>24705.534999999996</v>
      </c>
      <c r="F41" s="132">
        <v>-3.6633991370571439</v>
      </c>
      <c r="G41" s="18">
        <v>2618.7479999999996</v>
      </c>
      <c r="H41" s="18">
        <v>2608.1509999999998</v>
      </c>
      <c r="I41" s="136">
        <v>-0.40465902026464162</v>
      </c>
      <c r="J41" s="18">
        <v>25752.933669999999</v>
      </c>
      <c r="K41" s="18">
        <v>24851.148000000005</v>
      </c>
      <c r="L41" s="136">
        <v>-3.5016813290304816</v>
      </c>
      <c r="M41" s="18">
        <v>2656.4369999999999</v>
      </c>
      <c r="N41" s="18">
        <v>2688.9669999999996</v>
      </c>
      <c r="O41" s="136">
        <v>1.224572613617414</v>
      </c>
    </row>
    <row r="42" spans="2:15" ht="11.1" customHeight="1">
      <c r="B42" s="169"/>
      <c r="C42" s="123" t="s">
        <v>58</v>
      </c>
      <c r="D42" s="18">
        <v>9675.2910499999998</v>
      </c>
      <c r="E42" s="18">
        <v>8903.5081000000009</v>
      </c>
      <c r="F42" s="132">
        <v>-7.9768447895941952</v>
      </c>
      <c r="G42" s="18">
        <v>905.98399999999992</v>
      </c>
      <c r="H42" s="18">
        <v>1032.579</v>
      </c>
      <c r="I42" s="136">
        <v>13.973204824809283</v>
      </c>
      <c r="J42" s="18">
        <v>9790.5760800000007</v>
      </c>
      <c r="K42" s="18">
        <v>8866.8250000000007</v>
      </c>
      <c r="L42" s="136">
        <v>-9.4351044560801789</v>
      </c>
      <c r="M42" s="18">
        <v>933.32799999999997</v>
      </c>
      <c r="N42" s="18">
        <v>1044.31</v>
      </c>
      <c r="O42" s="136">
        <v>11.890996519980114</v>
      </c>
    </row>
    <row r="43" spans="2:15" ht="11.1" customHeight="1">
      <c r="B43" s="169"/>
      <c r="C43" s="123" t="s">
        <v>59</v>
      </c>
      <c r="D43" s="18">
        <v>9363.0823</v>
      </c>
      <c r="E43" s="18">
        <v>8403.7289999999994</v>
      </c>
      <c r="F43" s="132">
        <v>-10.246126961844615</v>
      </c>
      <c r="G43" s="18">
        <v>1152.2429999999999</v>
      </c>
      <c r="H43" s="18">
        <v>1142.3589999999999</v>
      </c>
      <c r="I43" s="136">
        <v>-0.85780516783352523</v>
      </c>
      <c r="J43" s="18">
        <v>9184.3394200000002</v>
      </c>
      <c r="K43" s="18">
        <v>8338.1869999999981</v>
      </c>
      <c r="L43" s="136">
        <v>-9.2129916078384948</v>
      </c>
      <c r="M43" s="18">
        <v>1038.325</v>
      </c>
      <c r="N43" s="18">
        <v>982.15599999999995</v>
      </c>
      <c r="O43" s="136">
        <v>-5.4095779259865751</v>
      </c>
    </row>
    <row r="44" spans="2:15" ht="11.1" customHeight="1">
      <c r="B44" s="169"/>
      <c r="C44" s="123" t="s">
        <v>60</v>
      </c>
      <c r="D44" s="18">
        <v>1265.63861</v>
      </c>
      <c r="E44" s="18">
        <v>992.84999999999991</v>
      </c>
      <c r="F44" s="132">
        <v>-21.553436174011797</v>
      </c>
      <c r="G44" s="18">
        <v>131.73400000000001</v>
      </c>
      <c r="H44" s="18">
        <v>115.47300000000001</v>
      </c>
      <c r="I44" s="136">
        <v>-12.343814049524038</v>
      </c>
      <c r="J44" s="18">
        <v>1271.5749000000001</v>
      </c>
      <c r="K44" s="18">
        <v>1052.3271</v>
      </c>
      <c r="L44" s="136">
        <v>-17.242224583074119</v>
      </c>
      <c r="M44" s="18">
        <v>133.52199999999999</v>
      </c>
      <c r="N44" s="18">
        <v>119.35300000000001</v>
      </c>
      <c r="O44" s="136">
        <v>-10.611734395829886</v>
      </c>
    </row>
    <row r="45" spans="2:15" ht="11.1" customHeight="1">
      <c r="B45" s="169"/>
      <c r="C45" s="123" t="s">
        <v>61</v>
      </c>
      <c r="D45" s="18">
        <v>47.302</v>
      </c>
      <c r="E45" s="18">
        <v>42.762</v>
      </c>
      <c r="F45" s="132">
        <v>-9.5979028370893342</v>
      </c>
      <c r="G45" s="18">
        <v>5.1360000000000001</v>
      </c>
      <c r="H45" s="18">
        <v>5.1360000000000001</v>
      </c>
      <c r="I45" s="136">
        <v>0</v>
      </c>
      <c r="J45" s="18">
        <v>45.22</v>
      </c>
      <c r="K45" s="18">
        <v>43.019999999999996</v>
      </c>
      <c r="L45" s="136">
        <v>-4.8651039363113764</v>
      </c>
      <c r="M45" s="18">
        <v>5.524</v>
      </c>
      <c r="N45" s="18">
        <v>5.524</v>
      </c>
      <c r="O45" s="136">
        <v>0</v>
      </c>
    </row>
    <row r="46" spans="2:15" ht="11.1" customHeight="1">
      <c r="B46" s="169"/>
      <c r="C46" s="123" t="s">
        <v>62</v>
      </c>
      <c r="D46" s="18">
        <v>527.82024000000001</v>
      </c>
      <c r="E46" s="18">
        <v>528.83254999999997</v>
      </c>
      <c r="F46" s="132">
        <v>0.19179067479488943</v>
      </c>
      <c r="G46" s="18">
        <v>74.861999999999995</v>
      </c>
      <c r="H46" s="18">
        <v>46.035999999999994</v>
      </c>
      <c r="I46" s="136">
        <v>-38.505516817611074</v>
      </c>
      <c r="J46" s="18">
        <v>490.82558</v>
      </c>
      <c r="K46" s="18">
        <v>501.49599999999998</v>
      </c>
      <c r="L46" s="136">
        <v>2.1739738992413438</v>
      </c>
      <c r="M46" s="18">
        <v>71.597999999999999</v>
      </c>
      <c r="N46" s="18">
        <v>45.459999999999994</v>
      </c>
      <c r="O46" s="136">
        <v>-36.506606329785754</v>
      </c>
    </row>
    <row r="47" spans="2:15" ht="11.1" customHeight="1">
      <c r="B47" s="169"/>
      <c r="C47" s="123" t="s">
        <v>167</v>
      </c>
      <c r="D47" s="18">
        <v>68.958860000000001</v>
      </c>
      <c r="E47" s="18">
        <v>51.613</v>
      </c>
      <c r="F47" s="132">
        <v>-25.153925108390716</v>
      </c>
      <c r="G47" s="18">
        <v>5.9669999999999996</v>
      </c>
      <c r="H47" s="18">
        <v>7.1999999999999993</v>
      </c>
      <c r="I47" s="136">
        <v>20.663650075414775</v>
      </c>
      <c r="J47" s="18">
        <v>70.046119999999988</v>
      </c>
      <c r="K47" s="18">
        <v>52.712000000000003</v>
      </c>
      <c r="L47" s="136">
        <v>-24.746724015548594</v>
      </c>
      <c r="M47" s="18">
        <v>5.9669999999999996</v>
      </c>
      <c r="N47" s="18">
        <v>7.5</v>
      </c>
      <c r="O47" s="136">
        <v>25.691302161890395</v>
      </c>
    </row>
    <row r="48" spans="2:15" ht="11.1" customHeight="1">
      <c r="B48" s="169"/>
      <c r="C48" s="123" t="s">
        <v>185</v>
      </c>
      <c r="D48" s="18">
        <v>982.95443</v>
      </c>
      <c r="E48" s="18">
        <v>881.00269000000003</v>
      </c>
      <c r="F48" s="132">
        <v>-10.37197014311233</v>
      </c>
      <c r="G48" s="18">
        <v>108.63499999999999</v>
      </c>
      <c r="H48" s="18">
        <v>99.831000000000003</v>
      </c>
      <c r="I48" s="136">
        <v>-8.1042021447967905</v>
      </c>
      <c r="J48" s="18">
        <v>967.55881999999997</v>
      </c>
      <c r="K48" s="18">
        <v>957.67666000000008</v>
      </c>
      <c r="L48" s="136">
        <v>-1.0213497924601467</v>
      </c>
      <c r="M48" s="18">
        <v>118.90199999999999</v>
      </c>
      <c r="N48" s="18">
        <v>106.38399999999999</v>
      </c>
      <c r="O48" s="136">
        <v>-10.527997846966407</v>
      </c>
    </row>
    <row r="49" spans="2:16" ht="11.1" customHeight="1">
      <c r="B49" s="169"/>
      <c r="C49" s="123" t="s">
        <v>63</v>
      </c>
      <c r="D49" s="18">
        <v>106.77115000000001</v>
      </c>
      <c r="E49" s="18">
        <v>136.41</v>
      </c>
      <c r="F49" s="132">
        <v>27.75923084091534</v>
      </c>
      <c r="G49" s="18">
        <v>7.4489999999999998</v>
      </c>
      <c r="H49" s="18">
        <v>18.600000000000001</v>
      </c>
      <c r="I49" s="136">
        <v>149.69794603302461</v>
      </c>
      <c r="J49" s="18">
        <v>105.66900000000001</v>
      </c>
      <c r="K49" s="18">
        <v>134.62899999999999</v>
      </c>
      <c r="L49" s="136">
        <v>27.406334875885996</v>
      </c>
      <c r="M49" s="18">
        <v>7.5490000000000004</v>
      </c>
      <c r="N49" s="18">
        <v>18.7</v>
      </c>
      <c r="O49" s="136">
        <v>147.71492912968603</v>
      </c>
    </row>
    <row r="50" spans="2:16" ht="11.1" customHeight="1">
      <c r="B50" s="169"/>
      <c r="C50" s="123" t="s">
        <v>64</v>
      </c>
      <c r="D50" s="18">
        <v>7525.5187999999998</v>
      </c>
      <c r="E50" s="18">
        <v>6702.1470000000008</v>
      </c>
      <c r="F50" s="132">
        <v>-10.941063624743041</v>
      </c>
      <c r="G50" s="18">
        <v>601.92699999999991</v>
      </c>
      <c r="H50" s="18">
        <v>786.85599999999999</v>
      </c>
      <c r="I50" s="136">
        <v>30.72282851575028</v>
      </c>
      <c r="J50" s="18">
        <v>7626.9121700000005</v>
      </c>
      <c r="K50" s="18">
        <v>6767.277000000001</v>
      </c>
      <c r="L50" s="136">
        <v>-11.271077348724724</v>
      </c>
      <c r="M50" s="18">
        <v>578.17700000000002</v>
      </c>
      <c r="N50" s="18">
        <v>764.81600000000003</v>
      </c>
      <c r="O50" s="136">
        <v>32.280599193672522</v>
      </c>
    </row>
    <row r="51" spans="2:16" ht="11.1" customHeight="1">
      <c r="B51" s="169"/>
      <c r="C51" s="123" t="s">
        <v>200</v>
      </c>
      <c r="D51" s="18">
        <v>3250.1050100000002</v>
      </c>
      <c r="E51" s="18">
        <v>3172.3</v>
      </c>
      <c r="F51" s="132">
        <v>-2.3939229582000454</v>
      </c>
      <c r="G51" s="18">
        <v>478.358</v>
      </c>
      <c r="H51" s="18">
        <v>403.68699999999995</v>
      </c>
      <c r="I51" s="136">
        <v>-15.609857052667675</v>
      </c>
      <c r="J51" s="18">
        <v>3323.6641099999997</v>
      </c>
      <c r="K51" s="18">
        <v>3040.1880000000001</v>
      </c>
      <c r="L51" s="136">
        <v>-8.5290240113944478</v>
      </c>
      <c r="M51" s="18">
        <v>438.24900000000002</v>
      </c>
      <c r="N51" s="18">
        <v>422.02300000000002</v>
      </c>
      <c r="O51" s="136">
        <v>-3.7024613861069811</v>
      </c>
    </row>
    <row r="52" spans="2:16" ht="11.1" customHeight="1">
      <c r="B52" s="169"/>
      <c r="C52" s="123" t="s">
        <v>65</v>
      </c>
      <c r="D52" s="18">
        <v>1715.1335600000002</v>
      </c>
      <c r="E52" s="18">
        <v>1727.4827</v>
      </c>
      <c r="F52" s="132">
        <v>0.72001039965656766</v>
      </c>
      <c r="G52" s="18">
        <v>202.827</v>
      </c>
      <c r="H52" s="18">
        <v>170.50199999999998</v>
      </c>
      <c r="I52" s="136">
        <v>-15.937227292224421</v>
      </c>
      <c r="J52" s="18">
        <v>1702.0585799999999</v>
      </c>
      <c r="K52" s="18">
        <v>1686.9780000000001</v>
      </c>
      <c r="L52" s="136">
        <v>-0.88602003345853442</v>
      </c>
      <c r="M52" s="18">
        <v>203.61599999999996</v>
      </c>
      <c r="N52" s="18">
        <v>172.61699999999999</v>
      </c>
      <c r="O52" s="136">
        <v>-15.224245638849588</v>
      </c>
    </row>
    <row r="53" spans="2:16" ht="11.1" customHeight="1">
      <c r="B53" s="164" t="s">
        <v>133</v>
      </c>
      <c r="C53" s="116" t="s">
        <v>66</v>
      </c>
      <c r="D53" s="124">
        <v>14194.955000000002</v>
      </c>
      <c r="E53" s="124">
        <v>12641.02</v>
      </c>
      <c r="F53" s="133">
        <v>-10.947093527242613</v>
      </c>
      <c r="G53" s="124">
        <v>1444.78</v>
      </c>
      <c r="H53" s="124">
        <v>1378.73</v>
      </c>
      <c r="I53" s="137">
        <v>-4.5716302828112232</v>
      </c>
      <c r="J53" s="124">
        <v>14035.325000000001</v>
      </c>
      <c r="K53" s="124">
        <v>13107.99</v>
      </c>
      <c r="L53" s="137">
        <v>-6.6071501728673931</v>
      </c>
      <c r="M53" s="124">
        <v>1592.0050000000001</v>
      </c>
      <c r="N53" s="124">
        <v>1479.3200000000002</v>
      </c>
      <c r="O53" s="137">
        <v>-7.078181287119067</v>
      </c>
    </row>
    <row r="54" spans="2:16" ht="11.1" customHeight="1">
      <c r="B54" s="164"/>
      <c r="C54" s="116" t="s">
        <v>67</v>
      </c>
      <c r="D54" s="124">
        <v>317265.24538415996</v>
      </c>
      <c r="E54" s="124">
        <v>312139.71832986292</v>
      </c>
      <c r="F54" s="133">
        <v>-1.6155337304881279</v>
      </c>
      <c r="G54" s="124">
        <v>39210.799700000003</v>
      </c>
      <c r="H54" s="124">
        <v>34718.051500000001</v>
      </c>
      <c r="I54" s="137">
        <v>-11.457935656436003</v>
      </c>
      <c r="J54" s="124">
        <v>311663.46986999997</v>
      </c>
      <c r="K54" s="124">
        <v>308729.96021600004</v>
      </c>
      <c r="L54" s="137">
        <v>-0.94124269848614439</v>
      </c>
      <c r="M54" s="124">
        <v>36380.132299999997</v>
      </c>
      <c r="N54" s="124">
        <v>35182.999300000003</v>
      </c>
      <c r="O54" s="137">
        <v>-3.2906229975419699</v>
      </c>
    </row>
    <row r="55" spans="2:16" ht="24" customHeight="1">
      <c r="B55" s="126" t="s">
        <v>134</v>
      </c>
      <c r="C55" s="110" t="s">
        <v>68</v>
      </c>
      <c r="D55" s="111">
        <v>72461.04800000001</v>
      </c>
      <c r="E55" s="111">
        <v>77675.47</v>
      </c>
      <c r="F55" s="129">
        <v>7.1961724870443389</v>
      </c>
      <c r="G55" s="111">
        <v>8278.5</v>
      </c>
      <c r="H55" s="111">
        <v>8942</v>
      </c>
      <c r="I55" s="105">
        <v>8.0147369692577186</v>
      </c>
      <c r="J55" s="111">
        <v>72459.872000000003</v>
      </c>
      <c r="K55" s="111">
        <v>76462.865000000005</v>
      </c>
      <c r="L55" s="105">
        <v>5.5244273685716827</v>
      </c>
      <c r="M55" s="111">
        <v>7942.7269999999999</v>
      </c>
      <c r="N55" s="111">
        <v>8942</v>
      </c>
      <c r="O55" s="105">
        <v>12.580981317877349</v>
      </c>
      <c r="P55" s="112"/>
    </row>
    <row r="56" spans="2:16" ht="11.1" customHeight="1">
      <c r="B56" s="164" t="s">
        <v>135</v>
      </c>
      <c r="C56" s="116" t="s">
        <v>181</v>
      </c>
      <c r="D56" s="124">
        <v>1185273.3313834737</v>
      </c>
      <c r="E56" s="124">
        <v>1172475.2963230016</v>
      </c>
      <c r="F56" s="133">
        <v>-28.173623269902471</v>
      </c>
      <c r="G56" s="124">
        <v>136802.96193947367</v>
      </c>
      <c r="H56" s="124">
        <v>131536.18325499998</v>
      </c>
      <c r="I56" s="137">
        <v>-28.997200701710156</v>
      </c>
      <c r="J56" s="124">
        <v>1174344.991995</v>
      </c>
      <c r="K56" s="124">
        <v>1166404.3434350016</v>
      </c>
      <c r="L56" s="137">
        <v>-27.947405246257883</v>
      </c>
      <c r="M56" s="124">
        <v>131863.81748999999</v>
      </c>
      <c r="N56" s="124">
        <v>131514.96181000001</v>
      </c>
      <c r="O56" s="137">
        <v>-26.846965887230802</v>
      </c>
      <c r="P56" s="112"/>
    </row>
    <row r="57" spans="2:16" ht="11.1" customHeight="1">
      <c r="B57" s="164"/>
      <c r="C57" s="116" t="s">
        <v>69</v>
      </c>
      <c r="D57" s="124">
        <v>4741.7286999999997</v>
      </c>
      <c r="E57" s="124">
        <v>4564.1535000000003</v>
      </c>
      <c r="F57" s="133">
        <v>-3.7449464369397445</v>
      </c>
      <c r="G57" s="124">
        <v>529.72900000000004</v>
      </c>
      <c r="H57" s="124">
        <v>543</v>
      </c>
      <c r="I57" s="137">
        <v>2.5052432470187513</v>
      </c>
      <c r="J57" s="124">
        <v>4700.1959999999999</v>
      </c>
      <c r="K57" s="124">
        <v>4531.6054999999997</v>
      </c>
      <c r="L57" s="137">
        <v>-3.5868823342686151</v>
      </c>
      <c r="M57" s="124">
        <v>502.87</v>
      </c>
      <c r="N57" s="124">
        <v>543</v>
      </c>
      <c r="O57" s="137">
        <v>7.9801936882295532</v>
      </c>
      <c r="P57" s="112"/>
    </row>
    <row r="58" spans="2:16" ht="11.1" customHeight="1">
      <c r="B58" s="164"/>
      <c r="C58" s="116" t="s">
        <v>70</v>
      </c>
      <c r="D58" s="124">
        <v>268544.25425750006</v>
      </c>
      <c r="E58" s="124">
        <v>234368.24460000001</v>
      </c>
      <c r="F58" s="133">
        <v>-12.726397647938349</v>
      </c>
      <c r="G58" s="124">
        <v>32967.439100000003</v>
      </c>
      <c r="H58" s="124">
        <v>27037.16</v>
      </c>
      <c r="I58" s="137">
        <v>-17.988291665639277</v>
      </c>
      <c r="J58" s="124">
        <v>273406.51271000004</v>
      </c>
      <c r="K58" s="124">
        <v>236064.24399999998</v>
      </c>
      <c r="L58" s="137">
        <v>-13.658148937223269</v>
      </c>
      <c r="M58" s="124">
        <v>33179.109210000002</v>
      </c>
      <c r="N58" s="124">
        <v>27199.889999999996</v>
      </c>
      <c r="O58" s="137">
        <v>-18.021035984287071</v>
      </c>
      <c r="P58" s="112"/>
    </row>
    <row r="59" spans="2:16" ht="11.1" customHeight="1">
      <c r="B59" s="168" t="s">
        <v>194</v>
      </c>
      <c r="C59" s="110" t="s">
        <v>5</v>
      </c>
      <c r="D59" s="111">
        <v>20632.732</v>
      </c>
      <c r="E59" s="111">
        <v>21392.871000000003</v>
      </c>
      <c r="F59" s="129">
        <v>3.6841412954910835</v>
      </c>
      <c r="G59" s="111">
        <v>4301.4799999999996</v>
      </c>
      <c r="H59" s="111">
        <v>4185.6819999999998</v>
      </c>
      <c r="I59" s="105">
        <v>-2.6920501780782424</v>
      </c>
      <c r="J59" s="111">
        <v>20226.447</v>
      </c>
      <c r="K59" s="111">
        <v>20921.912999999997</v>
      </c>
      <c r="L59" s="105">
        <v>3.4383992403608898</v>
      </c>
      <c r="M59" s="111">
        <v>4147.9409999999998</v>
      </c>
      <c r="N59" s="111">
        <v>4133.4769999999999</v>
      </c>
      <c r="O59" s="105">
        <v>-0.34870312764815337</v>
      </c>
      <c r="P59" s="112"/>
    </row>
    <row r="60" spans="2:16" ht="11.1" customHeight="1">
      <c r="B60" s="168"/>
      <c r="C60" s="110" t="s">
        <v>6</v>
      </c>
      <c r="D60" s="111">
        <v>7721.7374</v>
      </c>
      <c r="E60" s="111">
        <v>6958.732</v>
      </c>
      <c r="F60" s="129">
        <v>-9.8812658405089024</v>
      </c>
      <c r="G60" s="111">
        <v>1038.607</v>
      </c>
      <c r="H60" s="111">
        <v>705</v>
      </c>
      <c r="I60" s="105">
        <v>-32.120619252518033</v>
      </c>
      <c r="J60" s="111">
        <v>9602.5840000000007</v>
      </c>
      <c r="K60" s="111">
        <v>8113.2499999999991</v>
      </c>
      <c r="L60" s="105">
        <v>-15.509721133394949</v>
      </c>
      <c r="M60" s="111">
        <v>1173.2950000000001</v>
      </c>
      <c r="N60" s="111">
        <v>894</v>
      </c>
      <c r="O60" s="105">
        <v>-23.804328834606814</v>
      </c>
      <c r="P60" s="112"/>
    </row>
    <row r="61" spans="2:16" ht="11.1" customHeight="1">
      <c r="B61" s="168"/>
      <c r="C61" s="110" t="s">
        <v>7</v>
      </c>
      <c r="D61" s="111">
        <v>2043.7249999999999</v>
      </c>
      <c r="E61" s="111">
        <v>3182.7287200000005</v>
      </c>
      <c r="F61" s="129">
        <v>55.731750602453879</v>
      </c>
      <c r="G61" s="111">
        <v>224.38700000000003</v>
      </c>
      <c r="H61" s="111">
        <v>246.94</v>
      </c>
      <c r="I61" s="105">
        <v>10.050938779875818</v>
      </c>
      <c r="J61" s="111">
        <v>1523.2659999999998</v>
      </c>
      <c r="K61" s="111">
        <v>1883.7539999999999</v>
      </c>
      <c r="L61" s="105">
        <v>23.665466175966653</v>
      </c>
      <c r="M61" s="111">
        <v>48.599000000000004</v>
      </c>
      <c r="N61" s="111">
        <v>78.825999999999993</v>
      </c>
      <c r="O61" s="105">
        <v>62.196753019609432</v>
      </c>
      <c r="P61" s="112"/>
    </row>
    <row r="62" spans="2:16" ht="11.1" customHeight="1">
      <c r="B62" s="164" t="s">
        <v>136</v>
      </c>
      <c r="C62" s="117" t="s">
        <v>182</v>
      </c>
      <c r="D62" s="124">
        <v>122.37268</v>
      </c>
      <c r="E62" s="125">
        <v>169.98943999999997</v>
      </c>
      <c r="F62" s="133">
        <v>38.911266795824019</v>
      </c>
      <c r="G62" s="124">
        <v>1</v>
      </c>
      <c r="H62" s="125">
        <v>17</v>
      </c>
      <c r="I62" s="137">
        <v>1600</v>
      </c>
      <c r="J62" s="124">
        <v>87.92</v>
      </c>
      <c r="K62" s="125">
        <v>150.12</v>
      </c>
      <c r="L62" s="137">
        <v>70.746132848043672</v>
      </c>
      <c r="M62" s="124">
        <v>15.72</v>
      </c>
      <c r="N62" s="125">
        <v>17</v>
      </c>
      <c r="O62" s="137">
        <v>8.1424936386768501</v>
      </c>
      <c r="P62" s="112"/>
    </row>
    <row r="63" spans="2:16" ht="11.1" customHeight="1">
      <c r="B63" s="164"/>
      <c r="C63" s="117" t="s">
        <v>168</v>
      </c>
      <c r="D63" s="124">
        <v>2139.9</v>
      </c>
      <c r="E63" s="124">
        <v>1789.55</v>
      </c>
      <c r="F63" s="133">
        <v>-16.372260385999347</v>
      </c>
      <c r="G63" s="124">
        <v>15</v>
      </c>
      <c r="H63" s="124">
        <v>159</v>
      </c>
      <c r="I63" s="137">
        <v>960</v>
      </c>
      <c r="J63" s="124">
        <v>2209.59</v>
      </c>
      <c r="K63" s="124">
        <v>1917.9600000000003</v>
      </c>
      <c r="L63" s="137">
        <v>-13.19837616933458</v>
      </c>
      <c r="M63" s="124">
        <v>39.44</v>
      </c>
      <c r="N63" s="124">
        <v>159</v>
      </c>
      <c r="O63" s="137">
        <v>303.14401622718054</v>
      </c>
      <c r="P63" s="112"/>
    </row>
    <row r="64" spans="2:16" ht="24" customHeight="1">
      <c r="B64" s="113" t="s">
        <v>137</v>
      </c>
      <c r="C64" s="114" t="s">
        <v>154</v>
      </c>
      <c r="D64" s="115" t="s">
        <v>153</v>
      </c>
      <c r="E64" s="115" t="s">
        <v>153</v>
      </c>
      <c r="F64" s="115" t="s">
        <v>153</v>
      </c>
      <c r="G64" s="115" t="s">
        <v>153</v>
      </c>
      <c r="H64" s="115" t="s">
        <v>153</v>
      </c>
      <c r="I64" s="138" t="s">
        <v>153</v>
      </c>
      <c r="J64" s="115" t="s">
        <v>153</v>
      </c>
      <c r="K64" s="115" t="s">
        <v>153</v>
      </c>
      <c r="L64" s="138" t="s">
        <v>153</v>
      </c>
      <c r="M64" s="115" t="s">
        <v>153</v>
      </c>
      <c r="N64" s="115" t="s">
        <v>153</v>
      </c>
      <c r="O64" s="138" t="s">
        <v>153</v>
      </c>
      <c r="P64" s="112"/>
    </row>
    <row r="65" spans="2:11" ht="9" customHeight="1">
      <c r="B65" s="118" t="s">
        <v>118</v>
      </c>
      <c r="C65" s="6" t="s">
        <v>3</v>
      </c>
      <c r="E65" s="55"/>
      <c r="F65" s="56"/>
    </row>
    <row r="66" spans="2:11" ht="9" customHeight="1">
      <c r="B66" s="119" t="s">
        <v>170</v>
      </c>
      <c r="D66" s="57"/>
      <c r="E66" s="57"/>
      <c r="F66" s="58"/>
      <c r="K66" s="7" t="s">
        <v>155</v>
      </c>
    </row>
    <row r="67" spans="2:11" ht="9" customHeight="1">
      <c r="B67" s="44" t="s">
        <v>156</v>
      </c>
    </row>
    <row r="68" spans="2:11" ht="9" customHeight="1">
      <c r="B68" s="45" t="s">
        <v>125</v>
      </c>
    </row>
    <row r="69" spans="2:11" ht="9" customHeight="1">
      <c r="B69" s="46" t="s">
        <v>126</v>
      </c>
    </row>
  </sheetData>
  <mergeCells count="19">
    <mergeCell ref="J4:O4"/>
    <mergeCell ref="J5:L5"/>
    <mergeCell ref="M5:O5"/>
    <mergeCell ref="D4:I4"/>
    <mergeCell ref="B53:B54"/>
    <mergeCell ref="C4:C6"/>
    <mergeCell ref="G5:I5"/>
    <mergeCell ref="D5:F5"/>
    <mergeCell ref="B4:B6"/>
    <mergeCell ref="B8:B10"/>
    <mergeCell ref="B62:B63"/>
    <mergeCell ref="B11:B16"/>
    <mergeCell ref="B17:B18"/>
    <mergeCell ref="B20:B26"/>
    <mergeCell ref="B59:B61"/>
    <mergeCell ref="B32:B38"/>
    <mergeCell ref="B39:B52"/>
    <mergeCell ref="B56:B58"/>
    <mergeCell ref="B27:B31"/>
  </mergeCells>
  <phoneticPr fontId="7" type="noConversion"/>
  <printOptions horizontalCentered="1" verticalCentered="1" gridLinesSet="0"/>
  <pageMargins left="0.3" right="0.19" top="0" bottom="0" header="0" footer="0"/>
  <pageSetup paperSize="9" scale="98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CD39-DCC4-4D47-B5FC-AE11CC6A68AC}">
  <sheetPr syncVertical="1" syncRef="A23" transitionEvaluation="1" published="0">
    <pageSetUpPr fitToPage="1"/>
  </sheetPr>
  <dimension ref="B1:FC62"/>
  <sheetViews>
    <sheetView showGridLines="0" showRuler="0" topLeftCell="A23" zoomScaleNormal="100" workbookViewId="0">
      <selection activeCell="B1" sqref="B1:O62"/>
    </sheetView>
  </sheetViews>
  <sheetFormatPr baseColWidth="10" defaultColWidth="7.28515625" defaultRowHeight="12.75"/>
  <cols>
    <col min="1" max="1" width="3.5703125" style="2" customWidth="1"/>
    <col min="2" max="2" width="17.42578125" style="2" customWidth="1"/>
    <col min="3" max="3" width="18" style="2" customWidth="1"/>
    <col min="4" max="4" width="6.28515625" style="9" customWidth="1"/>
    <col min="5" max="5" width="6.28515625" style="10" customWidth="1"/>
    <col min="6" max="6" width="5.140625" style="8" bestFit="1" customWidth="1"/>
    <col min="7" max="7" width="5.5703125" style="10" bestFit="1" customWidth="1"/>
    <col min="8" max="8" width="6" style="9" bestFit="1" customWidth="1"/>
    <col min="9" max="9" width="5.140625" style="8" bestFit="1" customWidth="1"/>
    <col min="10" max="10" width="6.5703125" style="2" bestFit="1" customWidth="1"/>
    <col min="11" max="11" width="6.28515625" style="2" bestFit="1" customWidth="1"/>
    <col min="12" max="12" width="5.140625" style="2" bestFit="1" customWidth="1"/>
    <col min="13" max="13" width="5.5703125" style="2" bestFit="1" customWidth="1"/>
    <col min="14" max="14" width="6" style="2" bestFit="1" customWidth="1"/>
    <col min="15" max="15" width="5.140625" style="2" bestFit="1" customWidth="1"/>
    <col min="16" max="16384" width="7.28515625" style="2"/>
  </cols>
  <sheetData>
    <row r="1" spans="2:159" ht="24.75" customHeight="1">
      <c r="B1" s="41" t="s">
        <v>172</v>
      </c>
      <c r="D1" s="41"/>
      <c r="E1" s="41"/>
      <c r="F1" s="41"/>
      <c r="G1" s="41"/>
      <c r="H1" s="41"/>
      <c r="I1" s="41"/>
    </row>
    <row r="2" spans="2:159" ht="12" customHeight="1">
      <c r="B2" s="27" t="s">
        <v>163</v>
      </c>
      <c r="D2" s="28"/>
      <c r="E2" s="28"/>
      <c r="F2" s="29"/>
      <c r="G2" s="28"/>
      <c r="H2" s="39"/>
      <c r="I2" s="40"/>
    </row>
    <row r="3" spans="2:159" ht="3.95" customHeight="1">
      <c r="C3" s="5"/>
    </row>
    <row r="4" spans="2:159" ht="14.1" customHeight="1">
      <c r="B4" s="184" t="s">
        <v>149</v>
      </c>
      <c r="C4" s="178" t="s">
        <v>1</v>
      </c>
      <c r="D4" s="170" t="s">
        <v>122</v>
      </c>
      <c r="E4" s="171"/>
      <c r="F4" s="171"/>
      <c r="G4" s="171"/>
      <c r="H4" s="171"/>
      <c r="I4" s="177"/>
      <c r="J4" s="170" t="s">
        <v>123</v>
      </c>
      <c r="K4" s="171"/>
      <c r="L4" s="171"/>
      <c r="M4" s="171"/>
      <c r="N4" s="171"/>
      <c r="O4" s="172"/>
    </row>
    <row r="5" spans="2:159" ht="14.1" customHeight="1">
      <c r="B5" s="185"/>
      <c r="C5" s="179"/>
      <c r="D5" s="173" t="s">
        <v>174</v>
      </c>
      <c r="E5" s="174"/>
      <c r="F5" s="175"/>
      <c r="G5" s="181" t="s">
        <v>175</v>
      </c>
      <c r="H5" s="182"/>
      <c r="I5" s="183"/>
      <c r="J5" s="173" t="s">
        <v>174</v>
      </c>
      <c r="K5" s="174"/>
      <c r="L5" s="175"/>
      <c r="M5" s="173" t="s">
        <v>175</v>
      </c>
      <c r="N5" s="174"/>
      <c r="O5" s="176"/>
    </row>
    <row r="6" spans="2:159" ht="14.1" customHeight="1">
      <c r="B6" s="186"/>
      <c r="C6" s="180"/>
      <c r="D6" s="97">
        <v>2024</v>
      </c>
      <c r="E6" s="97" t="s">
        <v>157</v>
      </c>
      <c r="F6" s="97" t="s">
        <v>4</v>
      </c>
      <c r="G6" s="98">
        <v>2024</v>
      </c>
      <c r="H6" s="97" t="s">
        <v>157</v>
      </c>
      <c r="I6" s="99" t="s">
        <v>4</v>
      </c>
      <c r="J6" s="97">
        <v>2024</v>
      </c>
      <c r="K6" s="97" t="s">
        <v>157</v>
      </c>
      <c r="L6" s="99" t="s">
        <v>4</v>
      </c>
      <c r="M6" s="97">
        <v>2024</v>
      </c>
      <c r="N6" s="97" t="s">
        <v>157</v>
      </c>
      <c r="O6" s="100" t="s">
        <v>4</v>
      </c>
    </row>
    <row r="7" spans="2:159" ht="11.1" customHeight="1">
      <c r="B7" s="188" t="s">
        <v>128</v>
      </c>
      <c r="C7" s="139" t="s">
        <v>73</v>
      </c>
      <c r="D7" s="140">
        <v>37883</v>
      </c>
      <c r="E7" s="140">
        <v>41552.765979999996</v>
      </c>
      <c r="F7" s="141">
        <v>9.6871049811260832</v>
      </c>
      <c r="G7" s="140">
        <v>4300</v>
      </c>
      <c r="H7" s="140">
        <v>4571</v>
      </c>
      <c r="I7" s="141">
        <v>6.3023255813953405</v>
      </c>
      <c r="J7" s="142">
        <v>37670</v>
      </c>
      <c r="K7" s="142">
        <v>41552.765979999996</v>
      </c>
      <c r="L7" s="141">
        <v>10.30731611361826</v>
      </c>
      <c r="M7" s="142">
        <v>4300</v>
      </c>
      <c r="N7" s="142">
        <v>4571</v>
      </c>
      <c r="O7" s="141">
        <v>6.3023255813953405</v>
      </c>
      <c r="P7" s="42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</row>
    <row r="8" spans="2:159" ht="11.1" customHeight="1">
      <c r="B8" s="188"/>
      <c r="C8" s="139" t="s">
        <v>74</v>
      </c>
      <c r="D8" s="140">
        <v>242431</v>
      </c>
      <c r="E8" s="140">
        <v>233474.03</v>
      </c>
      <c r="F8" s="141">
        <v>-3.69464713671106</v>
      </c>
      <c r="G8" s="140">
        <v>28106</v>
      </c>
      <c r="H8" s="140">
        <v>24693</v>
      </c>
      <c r="I8" s="141">
        <v>-12.143314594748455</v>
      </c>
      <c r="J8" s="142">
        <v>242849.78</v>
      </c>
      <c r="K8" s="142">
        <v>232863.389</v>
      </c>
      <c r="L8" s="141">
        <v>-4.1121680241999803</v>
      </c>
      <c r="M8" s="142">
        <v>28125</v>
      </c>
      <c r="N8" s="142">
        <v>24382</v>
      </c>
      <c r="O8" s="141">
        <v>-13.308444444444445</v>
      </c>
      <c r="P8" s="42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</row>
    <row r="9" spans="2:159" ht="11.1" customHeight="1">
      <c r="B9" s="188"/>
      <c r="C9" s="139" t="s">
        <v>75</v>
      </c>
      <c r="D9" s="140">
        <v>184145.61000000002</v>
      </c>
      <c r="E9" s="140">
        <v>190971.85</v>
      </c>
      <c r="F9" s="141">
        <v>3.7069794930218558</v>
      </c>
      <c r="G9" s="140">
        <v>34439.1</v>
      </c>
      <c r="H9" s="140">
        <v>21512</v>
      </c>
      <c r="I9" s="141">
        <v>-37.536114474536205</v>
      </c>
      <c r="J9" s="142">
        <v>190475.96899999998</v>
      </c>
      <c r="K9" s="142">
        <v>198117.53899999999</v>
      </c>
      <c r="L9" s="141">
        <v>4.0118289147540676</v>
      </c>
      <c r="M9" s="142">
        <v>22246.718000000001</v>
      </c>
      <c r="N9" s="142">
        <v>22458</v>
      </c>
      <c r="O9" s="141">
        <v>0.94972211181891808</v>
      </c>
      <c r="P9" s="4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</row>
    <row r="10" spans="2:159" ht="11.1" customHeight="1">
      <c r="B10" s="188"/>
      <c r="C10" s="139" t="s">
        <v>76</v>
      </c>
      <c r="D10" s="140">
        <v>88.4</v>
      </c>
      <c r="E10" s="140">
        <v>303</v>
      </c>
      <c r="F10" s="141">
        <v>242.76018099547508</v>
      </c>
      <c r="G10" s="140">
        <v>0</v>
      </c>
      <c r="H10" s="140">
        <v>58</v>
      </c>
      <c r="I10" s="143" t="s">
        <v>153</v>
      </c>
      <c r="J10" s="142">
        <v>320.72999999999996</v>
      </c>
      <c r="K10" s="142">
        <v>72</v>
      </c>
      <c r="L10" s="141">
        <v>-77.551211299223638</v>
      </c>
      <c r="M10" s="142">
        <v>2</v>
      </c>
      <c r="N10" s="142">
        <v>8</v>
      </c>
      <c r="O10" s="143">
        <v>300</v>
      </c>
      <c r="P10" s="4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</row>
    <row r="11" spans="2:159" ht="11.1" customHeight="1">
      <c r="B11" s="188"/>
      <c r="C11" s="139" t="s">
        <v>77</v>
      </c>
      <c r="D11" s="140">
        <v>119640.47999999998</v>
      </c>
      <c r="E11" s="140">
        <v>162819.86499999999</v>
      </c>
      <c r="F11" s="141">
        <v>36.090949317488551</v>
      </c>
      <c r="G11" s="140">
        <v>12875.18</v>
      </c>
      <c r="H11" s="140">
        <v>16075</v>
      </c>
      <c r="I11" s="143">
        <v>24.852623419633744</v>
      </c>
      <c r="J11" s="142">
        <v>124332.402</v>
      </c>
      <c r="K11" s="142">
        <v>153075.02299999999</v>
      </c>
      <c r="L11" s="141">
        <v>23.117562709035401</v>
      </c>
      <c r="M11" s="142">
        <v>15025.778</v>
      </c>
      <c r="N11" s="142">
        <v>16028</v>
      </c>
      <c r="O11" s="141">
        <v>6.6700173528452256</v>
      </c>
      <c r="P11" s="4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</row>
    <row r="12" spans="2:159" ht="11.1" customHeight="1">
      <c r="B12" s="188"/>
      <c r="C12" s="139" t="s">
        <v>78</v>
      </c>
      <c r="D12" s="140">
        <v>11414.189999999999</v>
      </c>
      <c r="E12" s="140">
        <v>11693.481</v>
      </c>
      <c r="F12" s="141">
        <v>2.4468753367518969</v>
      </c>
      <c r="G12" s="140">
        <v>3690.99</v>
      </c>
      <c r="H12" s="140">
        <v>1460</v>
      </c>
      <c r="I12" s="143">
        <v>-60.444216863226394</v>
      </c>
      <c r="J12" s="142">
        <v>9763.0130000000008</v>
      </c>
      <c r="K12" s="142">
        <v>11515.135</v>
      </c>
      <c r="L12" s="141">
        <v>17.946529416687241</v>
      </c>
      <c r="M12" s="142">
        <v>2065.027</v>
      </c>
      <c r="N12" s="142">
        <v>1460</v>
      </c>
      <c r="O12" s="143">
        <v>-29.29874524643019</v>
      </c>
      <c r="P12" s="42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</row>
    <row r="13" spans="2:159" ht="11.1" customHeight="1">
      <c r="B13" s="188"/>
      <c r="C13" s="139" t="s">
        <v>79</v>
      </c>
      <c r="D13" s="140">
        <v>1430.78</v>
      </c>
      <c r="E13" s="140">
        <v>1868.44</v>
      </c>
      <c r="F13" s="141">
        <v>30.588909545842125</v>
      </c>
      <c r="G13" s="140">
        <v>258.51</v>
      </c>
      <c r="H13" s="140">
        <v>174</v>
      </c>
      <c r="I13" s="143">
        <v>-32.691191830103286</v>
      </c>
      <c r="J13" s="142">
        <v>1722.712</v>
      </c>
      <c r="K13" s="142">
        <v>1143.9809998999999</v>
      </c>
      <c r="L13" s="141">
        <v>-33.594181737864496</v>
      </c>
      <c r="M13" s="142">
        <v>41.268000000000001</v>
      </c>
      <c r="N13" s="142">
        <v>143</v>
      </c>
      <c r="O13" s="141">
        <v>246.51545992051953</v>
      </c>
      <c r="P13" s="42"/>
      <c r="Q13" s="3"/>
      <c r="R13" s="3"/>
      <c r="S13" s="3"/>
      <c r="T13" s="3"/>
      <c r="U13" s="3"/>
      <c r="V13" s="48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</row>
    <row r="14" spans="2:159" ht="11.1" customHeight="1">
      <c r="B14" s="188"/>
      <c r="C14" s="139" t="s">
        <v>80</v>
      </c>
      <c r="D14" s="140">
        <v>21310</v>
      </c>
      <c r="E14" s="140">
        <v>5294.82</v>
      </c>
      <c r="F14" s="143">
        <v>-75.153355232285307</v>
      </c>
      <c r="G14" s="140">
        <v>600</v>
      </c>
      <c r="H14" s="140">
        <v>645</v>
      </c>
      <c r="I14" s="143">
        <v>7.4999999999999956</v>
      </c>
      <c r="J14" s="142">
        <v>22441</v>
      </c>
      <c r="K14" s="142">
        <v>5480</v>
      </c>
      <c r="L14" s="141">
        <v>-75.580410855131234</v>
      </c>
      <c r="M14" s="142">
        <v>620</v>
      </c>
      <c r="N14" s="142">
        <v>820</v>
      </c>
      <c r="O14" s="141">
        <v>32.258064516129025</v>
      </c>
      <c r="P14" s="42"/>
      <c r="Q14" s="3"/>
      <c r="R14" s="3"/>
      <c r="S14" s="3"/>
      <c r="T14" s="3"/>
      <c r="U14" s="3"/>
      <c r="V14" s="48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</row>
    <row r="15" spans="2:159" ht="11.1" customHeight="1">
      <c r="B15" s="188"/>
      <c r="C15" s="139" t="s">
        <v>81</v>
      </c>
      <c r="D15" s="140">
        <v>27482.080000000002</v>
      </c>
      <c r="E15" s="140">
        <v>0</v>
      </c>
      <c r="F15" s="143">
        <v>-100</v>
      </c>
      <c r="G15" s="140">
        <v>10008.07</v>
      </c>
      <c r="H15" s="140">
        <v>0</v>
      </c>
      <c r="I15" s="143">
        <v>-100</v>
      </c>
      <c r="J15" s="142">
        <v>18890.537999999997</v>
      </c>
      <c r="K15" s="142">
        <v>0</v>
      </c>
      <c r="L15" s="141">
        <v>-100</v>
      </c>
      <c r="M15" s="142">
        <v>1534.528</v>
      </c>
      <c r="N15" s="142">
        <v>0</v>
      </c>
      <c r="O15" s="141">
        <v>-100</v>
      </c>
      <c r="P15" s="42"/>
      <c r="Q15" s="3"/>
      <c r="R15" s="3"/>
      <c r="S15" s="3"/>
      <c r="T15" s="3"/>
      <c r="U15" s="3"/>
      <c r="V15" s="48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</row>
    <row r="16" spans="2:159" ht="11.1" customHeight="1">
      <c r="B16" s="190" t="s">
        <v>129</v>
      </c>
      <c r="C16" s="108" t="s">
        <v>82</v>
      </c>
      <c r="D16" s="111">
        <v>1892402.5673499997</v>
      </c>
      <c r="E16" s="111">
        <v>1815242.3501111001</v>
      </c>
      <c r="F16" s="129">
        <v>-4.077368027826644</v>
      </c>
      <c r="G16" s="111">
        <v>209822.26100000003</v>
      </c>
      <c r="H16" s="111">
        <v>230858.42599999998</v>
      </c>
      <c r="I16" s="129">
        <v>10.025706948225066</v>
      </c>
      <c r="J16" s="144">
        <v>1869592.3118199999</v>
      </c>
      <c r="K16" s="144">
        <v>1949354.1134000001</v>
      </c>
      <c r="L16" s="129">
        <v>4.2662670934046742</v>
      </c>
      <c r="M16" s="144">
        <v>210669.663</v>
      </c>
      <c r="N16" s="144">
        <v>221090.717</v>
      </c>
      <c r="O16" s="129">
        <v>4.9466324916464188</v>
      </c>
      <c r="P16" s="42"/>
      <c r="Q16" s="3"/>
      <c r="R16" s="3"/>
      <c r="S16" s="3"/>
      <c r="T16" s="3"/>
      <c r="U16" s="3"/>
      <c r="V16" s="48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</row>
    <row r="17" spans="2:159" ht="11.1" customHeight="1">
      <c r="B17" s="190"/>
      <c r="C17" s="108" t="s">
        <v>70</v>
      </c>
      <c r="D17" s="111">
        <v>114350.17899999999</v>
      </c>
      <c r="E17" s="111">
        <v>131448.67499999999</v>
      </c>
      <c r="F17" s="129">
        <v>14.952749658572895</v>
      </c>
      <c r="G17" s="111">
        <v>16077.164999999999</v>
      </c>
      <c r="H17" s="111">
        <v>9790.3859999999986</v>
      </c>
      <c r="I17" s="129">
        <v>-39.103778557973378</v>
      </c>
      <c r="J17" s="144">
        <v>123116.08099999999</v>
      </c>
      <c r="K17" s="144">
        <v>127651.7164</v>
      </c>
      <c r="L17" s="129">
        <v>3.6840316578953036</v>
      </c>
      <c r="M17" s="144">
        <v>13145.508</v>
      </c>
      <c r="N17" s="144">
        <v>12923.178</v>
      </c>
      <c r="O17" s="129">
        <v>-1.6913001764557123</v>
      </c>
      <c r="P17" s="42"/>
      <c r="Q17" s="3"/>
      <c r="R17" s="3"/>
      <c r="S17" s="3"/>
      <c r="T17" s="3"/>
      <c r="U17" s="3"/>
      <c r="V17" s="3"/>
      <c r="W17" s="3"/>
      <c r="X17" s="48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</row>
    <row r="18" spans="2:159" ht="11.1" customHeight="1">
      <c r="B18" s="190"/>
      <c r="C18" s="108" t="s">
        <v>83</v>
      </c>
      <c r="D18" s="111">
        <v>1661.6629999999998</v>
      </c>
      <c r="E18" s="111">
        <v>1361.13</v>
      </c>
      <c r="F18" s="129">
        <v>-18.086278625690035</v>
      </c>
      <c r="G18" s="111">
        <v>158.32999999999998</v>
      </c>
      <c r="H18" s="111">
        <v>129.4</v>
      </c>
      <c r="I18" s="129">
        <v>-18.271963620286733</v>
      </c>
      <c r="J18" s="144">
        <v>2309.9183000000003</v>
      </c>
      <c r="K18" s="144">
        <v>1925.1109999999999</v>
      </c>
      <c r="L18" s="129">
        <v>-16.65891386721341</v>
      </c>
      <c r="M18" s="144">
        <v>300.57900000000001</v>
      </c>
      <c r="N18" s="144">
        <v>254.52100000000002</v>
      </c>
      <c r="O18" s="129">
        <v>-15.323093096989471</v>
      </c>
      <c r="P18" s="42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</row>
    <row r="19" spans="2:159" ht="11.1" customHeight="1">
      <c r="B19" s="190"/>
      <c r="C19" s="108" t="s">
        <v>84</v>
      </c>
      <c r="D19" s="111">
        <v>16404.506000000001</v>
      </c>
      <c r="E19" s="111">
        <v>25749.492000000002</v>
      </c>
      <c r="F19" s="129">
        <v>56.965970203552608</v>
      </c>
      <c r="G19" s="111">
        <v>1897.068</v>
      </c>
      <c r="H19" s="111">
        <v>3780.8780000000002</v>
      </c>
      <c r="I19" s="129">
        <v>99.301132062741047</v>
      </c>
      <c r="J19" s="144">
        <v>26682.128000000001</v>
      </c>
      <c r="K19" s="144">
        <v>26116.210000000003</v>
      </c>
      <c r="L19" s="129">
        <v>-2.1209627657883923</v>
      </c>
      <c r="M19" s="144">
        <v>1844.877</v>
      </c>
      <c r="N19" s="144">
        <v>2846.86</v>
      </c>
      <c r="O19" s="129">
        <v>54.311642456380582</v>
      </c>
      <c r="P19" s="42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</row>
    <row r="20" spans="2:159" ht="11.1" customHeight="1">
      <c r="B20" s="190"/>
      <c r="C20" s="108" t="s">
        <v>148</v>
      </c>
      <c r="D20" s="111">
        <v>34253.372000000003</v>
      </c>
      <c r="E20" s="111">
        <v>37640.895999999993</v>
      </c>
      <c r="F20" s="129">
        <v>9.8896073647873006</v>
      </c>
      <c r="G20" s="111">
        <v>4086.7229999999995</v>
      </c>
      <c r="H20" s="111">
        <v>4361.9009999999998</v>
      </c>
      <c r="I20" s="129">
        <v>6.7334634620452638</v>
      </c>
      <c r="J20" s="144">
        <v>34623.150999999998</v>
      </c>
      <c r="K20" s="144">
        <v>38673.245999999999</v>
      </c>
      <c r="L20" s="129">
        <v>11.69764993371054</v>
      </c>
      <c r="M20" s="144">
        <v>3867.9540000000002</v>
      </c>
      <c r="N20" s="144">
        <v>4552.4450000000006</v>
      </c>
      <c r="O20" s="129">
        <v>17.69646174695978</v>
      </c>
      <c r="P20" s="42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</row>
    <row r="21" spans="2:159" ht="11.1" customHeight="1">
      <c r="B21" s="190"/>
      <c r="C21" s="108" t="s">
        <v>85</v>
      </c>
      <c r="D21" s="111">
        <v>27342.9</v>
      </c>
      <c r="E21" s="111">
        <v>36855.794999999998</v>
      </c>
      <c r="F21" s="129">
        <v>34.791097506116756</v>
      </c>
      <c r="G21" s="111">
        <v>4518.8500000000004</v>
      </c>
      <c r="H21" s="111">
        <v>3909.5509999999999</v>
      </c>
      <c r="I21" s="129">
        <v>-13.483496907399017</v>
      </c>
      <c r="J21" s="144">
        <v>26975.654000000002</v>
      </c>
      <c r="K21" s="144">
        <v>29746.389000000003</v>
      </c>
      <c r="L21" s="129">
        <v>10.271243099425886</v>
      </c>
      <c r="M21" s="144">
        <v>2236.7110000000002</v>
      </c>
      <c r="N21" s="144">
        <v>3433.3789999999999</v>
      </c>
      <c r="O21" s="129">
        <v>53.501234625304718</v>
      </c>
      <c r="P21" s="42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</row>
    <row r="22" spans="2:159" ht="11.1" customHeight="1">
      <c r="B22" s="190"/>
      <c r="C22" s="108" t="s">
        <v>147</v>
      </c>
      <c r="D22" s="111">
        <v>821165.97400000005</v>
      </c>
      <c r="E22" s="111">
        <v>864313.10399999993</v>
      </c>
      <c r="F22" s="129">
        <v>5.2543738252846639</v>
      </c>
      <c r="G22" s="111">
        <v>84961.025999999998</v>
      </c>
      <c r="H22" s="111">
        <v>93389.015999999974</v>
      </c>
      <c r="I22" s="129">
        <v>9.9198307704052127</v>
      </c>
      <c r="J22" s="144">
        <v>806720.14813800005</v>
      </c>
      <c r="K22" s="144">
        <v>841412.36899999995</v>
      </c>
      <c r="L22" s="129">
        <v>4.3004034226830079</v>
      </c>
      <c r="M22" s="144">
        <v>84461.150000000009</v>
      </c>
      <c r="N22" s="144">
        <v>99374.834000000003</v>
      </c>
      <c r="O22" s="129">
        <v>17.657448424512335</v>
      </c>
      <c r="P22" s="42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</row>
    <row r="23" spans="2:159" ht="11.1" customHeight="1">
      <c r="B23" s="190"/>
      <c r="C23" s="108" t="s">
        <v>144</v>
      </c>
      <c r="D23" s="111">
        <v>39981.887999999999</v>
      </c>
      <c r="E23" s="111">
        <v>42362.954999999994</v>
      </c>
      <c r="F23" s="129">
        <v>5.9553640888594161</v>
      </c>
      <c r="G23" s="111">
        <v>4669.3540000000003</v>
      </c>
      <c r="H23" s="111">
        <v>5629.4750000000004</v>
      </c>
      <c r="I23" s="129">
        <v>20.562180550028984</v>
      </c>
      <c r="J23" s="144">
        <v>39094.775000000001</v>
      </c>
      <c r="K23" s="144">
        <v>42107.418099999995</v>
      </c>
      <c r="L23" s="129">
        <v>7.7059993311126451</v>
      </c>
      <c r="M23" s="144">
        <v>4397.3620000000001</v>
      </c>
      <c r="N23" s="144">
        <v>4940.5010000000002</v>
      </c>
      <c r="O23" s="129">
        <v>12.351473451583029</v>
      </c>
      <c r="P23" s="42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</row>
    <row r="24" spans="2:159" ht="11.1" customHeight="1">
      <c r="B24" s="190"/>
      <c r="C24" s="108" t="s">
        <v>145</v>
      </c>
      <c r="D24" s="111">
        <v>46659.531000000003</v>
      </c>
      <c r="E24" s="111">
        <v>43041.521000000008</v>
      </c>
      <c r="F24" s="129">
        <v>-7.7540642232344688</v>
      </c>
      <c r="G24" s="111">
        <v>4268.1149999999998</v>
      </c>
      <c r="H24" s="111">
        <v>5845.8490000000011</v>
      </c>
      <c r="I24" s="129">
        <v>36.965592539095148</v>
      </c>
      <c r="J24" s="144">
        <v>47452.438000000002</v>
      </c>
      <c r="K24" s="144">
        <v>37852.203000000001</v>
      </c>
      <c r="L24" s="129">
        <v>-20.23127873851287</v>
      </c>
      <c r="M24" s="144">
        <v>4230.741</v>
      </c>
      <c r="N24" s="144">
        <v>4180.0620000000008</v>
      </c>
      <c r="O24" s="129">
        <v>-1.1978752658222125</v>
      </c>
      <c r="P24" s="42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</row>
    <row r="25" spans="2:159" ht="11.1" customHeight="1">
      <c r="B25" s="190"/>
      <c r="C25" s="108" t="s">
        <v>146</v>
      </c>
      <c r="D25" s="111">
        <v>502.29999999999995</v>
      </c>
      <c r="E25" s="111">
        <v>562.69999999999993</v>
      </c>
      <c r="F25" s="129">
        <v>12.024686442365118</v>
      </c>
      <c r="G25" s="111">
        <v>21.2</v>
      </c>
      <c r="H25" s="111">
        <v>62.3</v>
      </c>
      <c r="I25" s="129">
        <v>193.86792452830187</v>
      </c>
      <c r="J25" s="144">
        <v>604.5</v>
      </c>
      <c r="K25" s="144">
        <v>546.79999999999984</v>
      </c>
      <c r="L25" s="129">
        <v>-9.545078577336664</v>
      </c>
      <c r="M25" s="144">
        <v>70.599999999999994</v>
      </c>
      <c r="N25" s="144">
        <v>74.3</v>
      </c>
      <c r="O25" s="129">
        <v>5.2407932011331537</v>
      </c>
      <c r="P25" s="42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</row>
    <row r="26" spans="2:159" ht="11.1" customHeight="1">
      <c r="B26" s="190"/>
      <c r="C26" s="108" t="s">
        <v>86</v>
      </c>
      <c r="D26" s="111">
        <v>239484.8786003</v>
      </c>
      <c r="E26" s="111">
        <v>236508.62300000002</v>
      </c>
      <c r="F26" s="129">
        <v>-1.2427739144513339</v>
      </c>
      <c r="G26" s="111">
        <v>29767.142600300002</v>
      </c>
      <c r="H26" s="111">
        <v>24198.080000000002</v>
      </c>
      <c r="I26" s="129">
        <v>-18.708757757097828</v>
      </c>
      <c r="J26" s="144">
        <v>237388.9760003</v>
      </c>
      <c r="K26" s="144">
        <v>234853.18210000003</v>
      </c>
      <c r="L26" s="129">
        <v>-1.0682020467103537</v>
      </c>
      <c r="M26" s="144">
        <v>27358.919600299996</v>
      </c>
      <c r="N26" s="144">
        <v>25340.063999999998</v>
      </c>
      <c r="O26" s="129">
        <v>-7.3791495782525747</v>
      </c>
      <c r="P26" s="42"/>
    </row>
    <row r="27" spans="2:159" ht="11.1" customHeight="1">
      <c r="B27" s="188" t="s">
        <v>130</v>
      </c>
      <c r="C27" s="139" t="s">
        <v>44</v>
      </c>
      <c r="D27" s="140">
        <v>44067.324999999997</v>
      </c>
      <c r="E27" s="140">
        <v>36658.342999999993</v>
      </c>
      <c r="F27" s="141">
        <v>-16.812869853116808</v>
      </c>
      <c r="G27" s="140">
        <v>9521.5930000000008</v>
      </c>
      <c r="H27" s="140">
        <v>1678.0619999999999</v>
      </c>
      <c r="I27" s="141">
        <v>-82.376247335923722</v>
      </c>
      <c r="J27" s="142">
        <v>39316.989300000001</v>
      </c>
      <c r="K27" s="142">
        <v>40055.692600000002</v>
      </c>
      <c r="L27" s="141">
        <v>1.8788399446444837</v>
      </c>
      <c r="M27" s="142">
        <v>3634.6697999999997</v>
      </c>
      <c r="N27" s="142">
        <v>5463.9011999999993</v>
      </c>
      <c r="O27" s="141">
        <v>50.327306210869558</v>
      </c>
      <c r="P27" s="4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</row>
    <row r="28" spans="2:159" ht="11.1" customHeight="1">
      <c r="B28" s="188"/>
      <c r="C28" s="139" t="s">
        <v>87</v>
      </c>
      <c r="D28" s="140">
        <v>4.6270000000000007</v>
      </c>
      <c r="E28" s="140">
        <v>4.3829999999999991</v>
      </c>
      <c r="F28" s="141">
        <v>-5.2733952885239184</v>
      </c>
      <c r="G28" s="140">
        <v>0.30700000000000005</v>
      </c>
      <c r="H28" s="140">
        <v>0.35000000000000003</v>
      </c>
      <c r="I28" s="141">
        <v>14.006514657980439</v>
      </c>
      <c r="J28" s="142">
        <v>4.4900000000000011</v>
      </c>
      <c r="K28" s="142">
        <v>4.4000000000000004</v>
      </c>
      <c r="L28" s="141">
        <v>-2.0044543429844297</v>
      </c>
      <c r="M28" s="142">
        <v>0.57000000000000006</v>
      </c>
      <c r="N28" s="142">
        <v>0.36000000000000004</v>
      </c>
      <c r="O28" s="141">
        <v>-36.842105263157897</v>
      </c>
      <c r="P28" s="42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</row>
    <row r="29" spans="2:159" ht="11.1" customHeight="1">
      <c r="B29" s="188"/>
      <c r="C29" s="139" t="s">
        <v>88</v>
      </c>
      <c r="D29" s="140">
        <v>249.66200000000003</v>
      </c>
      <c r="E29" s="140">
        <v>226.25800000000001</v>
      </c>
      <c r="F29" s="141">
        <v>-9.3742740184729829</v>
      </c>
      <c r="G29" s="140">
        <v>37.293999999999997</v>
      </c>
      <c r="H29" s="140">
        <v>39.994</v>
      </c>
      <c r="I29" s="141">
        <v>7.2397704724620704</v>
      </c>
      <c r="J29" s="142">
        <v>230.87589999999994</v>
      </c>
      <c r="K29" s="142">
        <v>241.1705</v>
      </c>
      <c r="L29" s="141">
        <v>4.4589322662088371</v>
      </c>
      <c r="M29" s="142">
        <v>9.5469000000000008</v>
      </c>
      <c r="N29" s="142">
        <v>26.721</v>
      </c>
      <c r="O29" s="141">
        <v>179.89190208339875</v>
      </c>
      <c r="P29" s="42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</row>
    <row r="30" spans="2:159" ht="11.1" customHeight="1">
      <c r="B30" s="188"/>
      <c r="C30" s="139" t="s">
        <v>89</v>
      </c>
      <c r="D30" s="140">
        <v>308.36400000000003</v>
      </c>
      <c r="E30" s="140">
        <v>292.46000000000004</v>
      </c>
      <c r="F30" s="141">
        <v>-5.1575410878053169</v>
      </c>
      <c r="G30" s="140">
        <v>19.100000000000001</v>
      </c>
      <c r="H30" s="140">
        <v>46.100999999999999</v>
      </c>
      <c r="I30" s="141">
        <v>141.36649214659681</v>
      </c>
      <c r="J30" s="142">
        <v>318.74099999999999</v>
      </c>
      <c r="K30" s="142">
        <v>294.82299999999998</v>
      </c>
      <c r="L30" s="141">
        <v>-7.5038981492810848</v>
      </c>
      <c r="M30" s="142">
        <v>23.019000000000002</v>
      </c>
      <c r="N30" s="142">
        <v>29.747999999999998</v>
      </c>
      <c r="O30" s="141">
        <v>29.232373256874734</v>
      </c>
      <c r="P30" s="42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</row>
    <row r="31" spans="2:159" ht="11.1" customHeight="1">
      <c r="B31" s="188"/>
      <c r="C31" s="139" t="s">
        <v>90</v>
      </c>
      <c r="D31" s="140">
        <v>7.2439999999999998</v>
      </c>
      <c r="E31" s="140">
        <v>10.215999999999999</v>
      </c>
      <c r="F31" s="141">
        <v>41.027056874654889</v>
      </c>
      <c r="G31" s="140">
        <v>0.65400000000000003</v>
      </c>
      <c r="H31" s="140">
        <v>1.0860000000000001</v>
      </c>
      <c r="I31" s="141">
        <v>66.055045871559642</v>
      </c>
      <c r="J31" s="142">
        <v>8.2079999999999984</v>
      </c>
      <c r="K31" s="142">
        <v>9.8219999999999992</v>
      </c>
      <c r="L31" s="141">
        <v>19.663742690058484</v>
      </c>
      <c r="M31" s="142">
        <v>0.91799999999999993</v>
      </c>
      <c r="N31" s="142">
        <v>1.0409999999999999</v>
      </c>
      <c r="O31" s="141">
        <v>13.398692810457513</v>
      </c>
      <c r="P31" s="42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</row>
    <row r="32" spans="2:159" ht="11.1" customHeight="1">
      <c r="B32" s="188"/>
      <c r="C32" s="139" t="s">
        <v>91</v>
      </c>
      <c r="D32" s="140">
        <v>9.7799999999999994</v>
      </c>
      <c r="E32" s="140">
        <v>6.3069999999999995</v>
      </c>
      <c r="F32" s="141">
        <v>-35.511247443762784</v>
      </c>
      <c r="G32" s="140">
        <v>0.186</v>
      </c>
      <c r="H32" s="140">
        <v>1.623</v>
      </c>
      <c r="I32" s="141">
        <v>772.58064516129036</v>
      </c>
      <c r="J32" s="142">
        <v>10.200000000000001</v>
      </c>
      <c r="K32" s="142">
        <v>6.9849999999999994</v>
      </c>
      <c r="L32" s="141">
        <v>-31.519607843137265</v>
      </c>
      <c r="M32" s="142">
        <v>0.89300000000000002</v>
      </c>
      <c r="N32" s="142">
        <v>1.198</v>
      </c>
      <c r="O32" s="141">
        <v>34.1545352743561</v>
      </c>
      <c r="P32" s="42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</row>
    <row r="33" spans="2:159" ht="11.1" customHeight="1">
      <c r="B33" s="188"/>
      <c r="C33" s="139" t="s">
        <v>92</v>
      </c>
      <c r="D33" s="140">
        <v>45.894999999999996</v>
      </c>
      <c r="E33" s="140">
        <v>17.501999999999999</v>
      </c>
      <c r="F33" s="141">
        <v>-61.865126920143808</v>
      </c>
      <c r="G33" s="140">
        <v>1.101</v>
      </c>
      <c r="H33" s="140">
        <v>1.6140000000000001</v>
      </c>
      <c r="I33" s="141">
        <v>46.594005449591293</v>
      </c>
      <c r="J33" s="142">
        <v>17.244000000000003</v>
      </c>
      <c r="K33" s="142">
        <v>21.384</v>
      </c>
      <c r="L33" s="141">
        <v>24.008350730688921</v>
      </c>
      <c r="M33" s="142">
        <v>2.1969999999999996</v>
      </c>
      <c r="N33" s="142">
        <v>2.3879999999999999</v>
      </c>
      <c r="O33" s="141">
        <v>8.6936731907146338</v>
      </c>
      <c r="P33" s="42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</row>
    <row r="34" spans="2:159" ht="11.1" customHeight="1">
      <c r="B34" s="188"/>
      <c r="C34" s="139" t="s">
        <v>93</v>
      </c>
      <c r="D34" s="140">
        <v>36.243999999999993</v>
      </c>
      <c r="E34" s="140">
        <v>41.430700000000002</v>
      </c>
      <c r="F34" s="141">
        <v>14.310506566604154</v>
      </c>
      <c r="G34" s="140">
        <v>3.2170000000000001</v>
      </c>
      <c r="H34" s="140">
        <v>4.8549999999999995</v>
      </c>
      <c r="I34" s="141">
        <v>50.917003419334762</v>
      </c>
      <c r="J34" s="142">
        <v>36.5047</v>
      </c>
      <c r="K34" s="142">
        <v>39.62276</v>
      </c>
      <c r="L34" s="141">
        <v>8.541530268705122</v>
      </c>
      <c r="M34" s="142">
        <v>4.1096000000000004</v>
      </c>
      <c r="N34" s="142">
        <v>5.0322400000000007</v>
      </c>
      <c r="O34" s="141">
        <v>22.450846797741875</v>
      </c>
      <c r="P34" s="42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</row>
    <row r="35" spans="2:159" ht="11.1" customHeight="1">
      <c r="B35" s="188"/>
      <c r="C35" s="139" t="s">
        <v>94</v>
      </c>
      <c r="D35" s="140">
        <v>12.759</v>
      </c>
      <c r="E35" s="140">
        <v>16.824999999999999</v>
      </c>
      <c r="F35" s="141">
        <v>31.867701230503954</v>
      </c>
      <c r="G35" s="140">
        <v>1.145</v>
      </c>
      <c r="H35" s="140">
        <v>2.9279999999999999</v>
      </c>
      <c r="I35" s="141">
        <v>155.72052401746723</v>
      </c>
      <c r="J35" s="142">
        <v>13.191000000000001</v>
      </c>
      <c r="K35" s="142">
        <v>18.483000000000001</v>
      </c>
      <c r="L35" s="141">
        <v>40.118262451671583</v>
      </c>
      <c r="M35" s="142">
        <v>1.718</v>
      </c>
      <c r="N35" s="142">
        <v>2.1659999999999999</v>
      </c>
      <c r="O35" s="141">
        <v>26.07683352735739</v>
      </c>
      <c r="P35" s="42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</row>
    <row r="36" spans="2:159" ht="24" customHeight="1">
      <c r="B36" s="145" t="s">
        <v>191</v>
      </c>
      <c r="C36" s="108" t="s">
        <v>138</v>
      </c>
      <c r="D36" s="111">
        <v>7200664.3542649318</v>
      </c>
      <c r="E36" s="111">
        <v>7249690.9832489993</v>
      </c>
      <c r="F36" s="129">
        <v>0.6808625783956801</v>
      </c>
      <c r="G36" s="111">
        <v>930572.7440853999</v>
      </c>
      <c r="H36" s="111">
        <v>1077137.2179999999</v>
      </c>
      <c r="I36" s="129">
        <v>15.749921201340221</v>
      </c>
      <c r="J36" s="111">
        <v>7200664.3542649318</v>
      </c>
      <c r="K36" s="111">
        <v>7249690.9832489993</v>
      </c>
      <c r="L36" s="129">
        <v>0.6808625783956801</v>
      </c>
      <c r="M36" s="111">
        <v>930572.7440853999</v>
      </c>
      <c r="N36" s="111">
        <v>1077137.2179999999</v>
      </c>
      <c r="O36" s="146">
        <v>15.749921201340221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</row>
    <row r="37" spans="2:159" ht="11.1" customHeight="1">
      <c r="B37" s="188" t="s">
        <v>131</v>
      </c>
      <c r="C37" s="147" t="s">
        <v>51</v>
      </c>
      <c r="D37" s="140">
        <v>80408.402820999996</v>
      </c>
      <c r="E37" s="140">
        <v>74855.834640000001</v>
      </c>
      <c r="F37" s="141">
        <v>-6.9054576215880843</v>
      </c>
      <c r="G37" s="140">
        <v>5184.7115199999998</v>
      </c>
      <c r="H37" s="140">
        <v>8127.7784000000011</v>
      </c>
      <c r="I37" s="141">
        <v>56.764332376972845</v>
      </c>
      <c r="J37" s="142">
        <v>68722.781426000001</v>
      </c>
      <c r="K37" s="142">
        <v>54365.729849999989</v>
      </c>
      <c r="L37" s="141">
        <v>-20.891255094876428</v>
      </c>
      <c r="M37" s="142">
        <v>8294.4067599999998</v>
      </c>
      <c r="N37" s="142">
        <v>7442.4479000000001</v>
      </c>
      <c r="O37" s="141">
        <v>-10.271486372100702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</row>
    <row r="38" spans="2:159" ht="11.1" customHeight="1">
      <c r="B38" s="188"/>
      <c r="C38" s="147" t="s">
        <v>95</v>
      </c>
      <c r="D38" s="140">
        <v>177.94</v>
      </c>
      <c r="E38" s="140">
        <v>0</v>
      </c>
      <c r="F38" s="141">
        <v>-100</v>
      </c>
      <c r="G38" s="140">
        <v>10.02</v>
      </c>
      <c r="H38" s="140">
        <v>0</v>
      </c>
      <c r="I38" s="143">
        <v>-100</v>
      </c>
      <c r="J38" s="142">
        <v>158.37299999999999</v>
      </c>
      <c r="K38" s="142">
        <v>0</v>
      </c>
      <c r="L38" s="141">
        <v>-100</v>
      </c>
      <c r="M38" s="142">
        <v>19.635999999999999</v>
      </c>
      <c r="N38" s="142">
        <v>0</v>
      </c>
      <c r="O38" s="141">
        <v>-100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</row>
    <row r="39" spans="2:159" ht="11.1" customHeight="1">
      <c r="B39" s="188"/>
      <c r="C39" s="147" t="s">
        <v>96</v>
      </c>
      <c r="D39" s="140">
        <v>15.988500000000002</v>
      </c>
      <c r="E39" s="140">
        <v>13.933999999999997</v>
      </c>
      <c r="F39" s="141">
        <v>-12.849860837476967</v>
      </c>
      <c r="G39" s="140">
        <v>2.8456999999999999</v>
      </c>
      <c r="H39" s="140">
        <v>2.085</v>
      </c>
      <c r="I39" s="141">
        <v>-26.731559897389047</v>
      </c>
      <c r="J39" s="142">
        <v>14.43505</v>
      </c>
      <c r="K39" s="142">
        <v>7.88856</v>
      </c>
      <c r="L39" s="141">
        <v>-45.351349666263715</v>
      </c>
      <c r="M39" s="142">
        <v>0.63788</v>
      </c>
      <c r="N39" s="142">
        <v>0.215</v>
      </c>
      <c r="O39" s="141">
        <v>-66.294600865366533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</row>
    <row r="40" spans="2:159" ht="11.1" customHeight="1">
      <c r="B40" s="188"/>
      <c r="C40" s="147" t="s">
        <v>48</v>
      </c>
      <c r="D40" s="140">
        <v>28</v>
      </c>
      <c r="E40" s="140">
        <v>0</v>
      </c>
      <c r="F40" s="141">
        <v>-100</v>
      </c>
      <c r="G40" s="140">
        <v>0</v>
      </c>
      <c r="H40" s="140">
        <v>0</v>
      </c>
      <c r="I40" s="143" t="s">
        <v>153</v>
      </c>
      <c r="J40" s="142">
        <v>22.486000000000001</v>
      </c>
      <c r="K40" s="142">
        <v>0</v>
      </c>
      <c r="L40" s="141">
        <v>-100</v>
      </c>
      <c r="M40" s="142">
        <v>0.95</v>
      </c>
      <c r="N40" s="142">
        <v>0</v>
      </c>
      <c r="O40" s="141">
        <v>-100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</row>
    <row r="41" spans="2:159" ht="11.1" customHeight="1">
      <c r="B41" s="188"/>
      <c r="C41" s="147" t="s">
        <v>97</v>
      </c>
      <c r="D41" s="140">
        <v>6.3718500000000002</v>
      </c>
      <c r="E41" s="140">
        <v>1.58</v>
      </c>
      <c r="F41" s="141">
        <v>-75.203433853590411</v>
      </c>
      <c r="G41" s="140">
        <v>1.32</v>
      </c>
      <c r="H41" s="140">
        <v>0.22500000000000001</v>
      </c>
      <c r="I41" s="141">
        <v>-82.954545454545453</v>
      </c>
      <c r="J41" s="142">
        <v>9.0171599999999987</v>
      </c>
      <c r="K41" s="142">
        <v>1.9034200000000001</v>
      </c>
      <c r="L41" s="141">
        <v>-78.891136455380632</v>
      </c>
      <c r="M41" s="142">
        <v>0.98894000000000004</v>
      </c>
      <c r="N41" s="142">
        <v>0.39500000000000002</v>
      </c>
      <c r="O41" s="141">
        <v>-60.058244180637857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</row>
    <row r="42" spans="2:159" ht="11.1" customHeight="1">
      <c r="B42" s="190" t="s">
        <v>132</v>
      </c>
      <c r="C42" s="148" t="s">
        <v>102</v>
      </c>
      <c r="D42" s="111">
        <v>8606.3265699999993</v>
      </c>
      <c r="E42" s="111">
        <v>8087.523000000001</v>
      </c>
      <c r="F42" s="129">
        <v>-6.0281650455659914</v>
      </c>
      <c r="G42" s="111">
        <v>833.96799999999996</v>
      </c>
      <c r="H42" s="111">
        <v>556.59</v>
      </c>
      <c r="I42" s="129">
        <v>-33.260029161790371</v>
      </c>
      <c r="J42" s="144">
        <v>8700.0401600000005</v>
      </c>
      <c r="K42" s="144">
        <v>8586.9259999999995</v>
      </c>
      <c r="L42" s="129">
        <v>-1.3001567569775552</v>
      </c>
      <c r="M42" s="144">
        <v>816.97899999999993</v>
      </c>
      <c r="N42" s="144">
        <v>628.55599999999993</v>
      </c>
      <c r="O42" s="129">
        <v>-23.063383514141734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</row>
    <row r="43" spans="2:159" ht="11.1" customHeight="1">
      <c r="B43" s="190"/>
      <c r="C43" s="148" t="s">
        <v>101</v>
      </c>
      <c r="D43" s="111">
        <v>19060.648249999998</v>
      </c>
      <c r="E43" s="111">
        <v>16223.897000000001</v>
      </c>
      <c r="F43" s="129">
        <v>-14.882763759097218</v>
      </c>
      <c r="G43" s="111">
        <v>2246.6639999999998</v>
      </c>
      <c r="H43" s="111">
        <v>1995.713</v>
      </c>
      <c r="I43" s="129">
        <v>-11.169939074111657</v>
      </c>
      <c r="J43" s="144">
        <v>20056.645324000005</v>
      </c>
      <c r="K43" s="144">
        <v>16912.675999999999</v>
      </c>
      <c r="L43" s="129">
        <v>-15.675449574001776</v>
      </c>
      <c r="M43" s="144">
        <v>1758.04</v>
      </c>
      <c r="N43" s="144">
        <v>2131.5619999999999</v>
      </c>
      <c r="O43" s="129">
        <v>21.246501786079939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</row>
    <row r="44" spans="2:159" ht="11.1" customHeight="1">
      <c r="B44" s="190"/>
      <c r="C44" s="148" t="s">
        <v>142</v>
      </c>
      <c r="D44" s="111">
        <v>7081.7919499999998</v>
      </c>
      <c r="E44" s="111">
        <v>7296.517121249999</v>
      </c>
      <c r="F44" s="129">
        <v>3.0320739830545174</v>
      </c>
      <c r="G44" s="111">
        <v>1191.73775</v>
      </c>
      <c r="H44" s="111">
        <v>948.93100000000004</v>
      </c>
      <c r="I44" s="129">
        <v>-20.374176281652566</v>
      </c>
      <c r="J44" s="144">
        <v>8080.2938399999994</v>
      </c>
      <c r="K44" s="144">
        <v>6988.9779999999992</v>
      </c>
      <c r="L44" s="129">
        <v>-13.505892998564518</v>
      </c>
      <c r="M44" s="144">
        <v>995.31000000000017</v>
      </c>
      <c r="N44" s="144">
        <v>945.04875000000004</v>
      </c>
      <c r="O44" s="129">
        <v>-5.0498086023450073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</row>
    <row r="45" spans="2:159" ht="11.1" customHeight="1">
      <c r="B45" s="190"/>
      <c r="C45" s="148" t="s">
        <v>100</v>
      </c>
      <c r="D45" s="111">
        <v>2498.2711199999994</v>
      </c>
      <c r="E45" s="111">
        <v>2353.3649999999998</v>
      </c>
      <c r="F45" s="129">
        <v>-5.8002559786225145</v>
      </c>
      <c r="G45" s="111">
        <v>328.392</v>
      </c>
      <c r="H45" s="111">
        <v>244.10000000000002</v>
      </c>
      <c r="I45" s="129">
        <v>-25.668103973300195</v>
      </c>
      <c r="J45" s="144">
        <v>2437.2659699999999</v>
      </c>
      <c r="K45" s="144">
        <v>2401.7809999999999</v>
      </c>
      <c r="L45" s="129">
        <v>-1.4559334285539571</v>
      </c>
      <c r="M45" s="144">
        <v>257.012</v>
      </c>
      <c r="N45" s="144">
        <v>284.80199999999996</v>
      </c>
      <c r="O45" s="129">
        <v>10.812724697679466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</row>
    <row r="46" spans="2:159" ht="11.1" customHeight="1">
      <c r="B46" s="190"/>
      <c r="C46" s="148" t="s">
        <v>99</v>
      </c>
      <c r="D46" s="111">
        <v>617.30840999999998</v>
      </c>
      <c r="E46" s="111">
        <v>558.04000000000008</v>
      </c>
      <c r="F46" s="129">
        <v>-9.6011019840147487</v>
      </c>
      <c r="G46" s="111">
        <v>79.658999999999992</v>
      </c>
      <c r="H46" s="111">
        <v>83.72</v>
      </c>
      <c r="I46" s="129">
        <v>5.097980140348235</v>
      </c>
      <c r="J46" s="144">
        <v>572.18819000000008</v>
      </c>
      <c r="K46" s="144">
        <v>606.97299999999996</v>
      </c>
      <c r="L46" s="129">
        <v>6.0792603915854837</v>
      </c>
      <c r="M46" s="144">
        <v>50.267000000000003</v>
      </c>
      <c r="N46" s="144">
        <v>71.157000000000011</v>
      </c>
      <c r="O46" s="129">
        <v>41.558079853581887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</row>
    <row r="47" spans="2:159" ht="11.1" customHeight="1">
      <c r="B47" s="190"/>
      <c r="C47" s="148" t="s">
        <v>98</v>
      </c>
      <c r="D47" s="111">
        <v>1458.6322230000001</v>
      </c>
      <c r="E47" s="111">
        <v>1102.4551000000001</v>
      </c>
      <c r="F47" s="129">
        <v>-24.418569491591434</v>
      </c>
      <c r="G47" s="111">
        <v>207.60399999999998</v>
      </c>
      <c r="H47" s="111">
        <v>126.384</v>
      </c>
      <c r="I47" s="129">
        <v>-39.122560258954543</v>
      </c>
      <c r="J47" s="144">
        <v>1527.9811540000001</v>
      </c>
      <c r="K47" s="144">
        <v>1087.4271000000001</v>
      </c>
      <c r="L47" s="129">
        <v>-28.832427209373812</v>
      </c>
      <c r="M47" s="144">
        <v>225.37320000000003</v>
      </c>
      <c r="N47" s="144">
        <v>127.697</v>
      </c>
      <c r="O47" s="129">
        <v>-43.339758232123437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</row>
    <row r="48" spans="2:159" ht="24" customHeight="1">
      <c r="B48" s="149" t="s">
        <v>134</v>
      </c>
      <c r="C48" s="147" t="s">
        <v>87</v>
      </c>
      <c r="D48" s="140">
        <v>95997.85</v>
      </c>
      <c r="E48" s="140">
        <v>93684.78</v>
      </c>
      <c r="F48" s="141">
        <v>-2.409501879469178</v>
      </c>
      <c r="G48" s="140">
        <v>12672.24</v>
      </c>
      <c r="H48" s="140">
        <v>9945</v>
      </c>
      <c r="I48" s="141">
        <v>-21.521372701274601</v>
      </c>
      <c r="J48" s="142">
        <v>89678.032999999996</v>
      </c>
      <c r="K48" s="142">
        <v>90782.469999999987</v>
      </c>
      <c r="L48" s="141">
        <v>1.2315580115366709</v>
      </c>
      <c r="M48" s="142">
        <v>10189.92</v>
      </c>
      <c r="N48" s="142">
        <v>9945</v>
      </c>
      <c r="O48" s="141">
        <v>-2.4035517452541288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</row>
    <row r="49" spans="2:159" ht="24" customHeight="1">
      <c r="B49" s="145" t="s">
        <v>133</v>
      </c>
      <c r="C49" s="148" t="s">
        <v>103</v>
      </c>
      <c r="D49" s="111">
        <v>329094.19402868691</v>
      </c>
      <c r="E49" s="111">
        <v>322453.79662333499</v>
      </c>
      <c r="F49" s="129">
        <v>-2.0177801753540114</v>
      </c>
      <c r="G49" s="111">
        <v>41146.073070707076</v>
      </c>
      <c r="H49" s="111">
        <v>36437.398323232323</v>
      </c>
      <c r="I49" s="129">
        <v>-11.443801063064207</v>
      </c>
      <c r="J49" s="144">
        <v>335795.01670835685</v>
      </c>
      <c r="K49" s="144">
        <v>321117.74883969693</v>
      </c>
      <c r="L49" s="129">
        <v>-4.3709010373454538</v>
      </c>
      <c r="M49" s="144">
        <v>41027.386770707068</v>
      </c>
      <c r="N49" s="144">
        <v>36253.862107070709</v>
      </c>
      <c r="O49" s="129">
        <v>-11.634971270079975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</row>
    <row r="50" spans="2:159" ht="28.5" customHeight="1">
      <c r="B50" s="149" t="s">
        <v>135</v>
      </c>
      <c r="C50" s="147" t="s">
        <v>104</v>
      </c>
      <c r="D50" s="140">
        <v>1932041.3728794872</v>
      </c>
      <c r="E50" s="140">
        <v>2077228.2691593952</v>
      </c>
      <c r="F50" s="141">
        <v>7.5146887803713813</v>
      </c>
      <c r="G50" s="140">
        <v>254805.97749999998</v>
      </c>
      <c r="H50" s="140">
        <v>236870.1969230769</v>
      </c>
      <c r="I50" s="141">
        <v>-7.0389952201663224</v>
      </c>
      <c r="J50" s="142">
        <v>1802167.018517687</v>
      </c>
      <c r="K50" s="142">
        <v>1966938.0276971678</v>
      </c>
      <c r="L50" s="141">
        <v>9.142937779152561</v>
      </c>
      <c r="M50" s="142">
        <v>239359.19689369999</v>
      </c>
      <c r="N50" s="142">
        <v>236572.58692307692</v>
      </c>
      <c r="O50" s="141">
        <v>-1.1641959058964479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</row>
    <row r="51" spans="2:159" ht="24" customHeight="1">
      <c r="B51" s="145" t="s">
        <v>194</v>
      </c>
      <c r="C51" s="148" t="s">
        <v>105</v>
      </c>
      <c r="D51" s="111">
        <v>40605.984945999997</v>
      </c>
      <c r="E51" s="111">
        <v>43098.289000000004</v>
      </c>
      <c r="F51" s="129">
        <v>6.137775151407876</v>
      </c>
      <c r="G51" s="111">
        <v>6775.7169460000005</v>
      </c>
      <c r="H51" s="111">
        <v>6377.9609999999993</v>
      </c>
      <c r="I51" s="129">
        <v>-5.8703152621334631</v>
      </c>
      <c r="J51" s="144">
        <v>40106.019946</v>
      </c>
      <c r="K51" s="144">
        <v>41883.471999999994</v>
      </c>
      <c r="L51" s="129">
        <v>4.4318834339413637</v>
      </c>
      <c r="M51" s="144">
        <v>6241.1549459999997</v>
      </c>
      <c r="N51" s="144">
        <v>6142.4449999999997</v>
      </c>
      <c r="O51" s="129">
        <v>-1.5815974263427623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</row>
    <row r="52" spans="2:159" ht="11.45" customHeight="1">
      <c r="B52" s="188" t="s">
        <v>196</v>
      </c>
      <c r="C52" s="147" t="s">
        <v>150</v>
      </c>
      <c r="D52" s="150">
        <v>482763.27295669925</v>
      </c>
      <c r="E52" s="150">
        <v>526008.76899828296</v>
      </c>
      <c r="F52" s="141">
        <v>8.957909282685339</v>
      </c>
      <c r="G52" s="150">
        <v>65642.165099400008</v>
      </c>
      <c r="H52" s="150">
        <v>71143.31280678499</v>
      </c>
      <c r="I52" s="141">
        <v>8.3805092337444265</v>
      </c>
      <c r="J52" s="150">
        <v>482477.93217296677</v>
      </c>
      <c r="K52" s="150">
        <v>524966.92626106297</v>
      </c>
      <c r="L52" s="141">
        <v>8.8064119112631225</v>
      </c>
      <c r="M52" s="150">
        <v>65083.541640020005</v>
      </c>
      <c r="N52" s="150">
        <v>70429.655730785002</v>
      </c>
      <c r="O52" s="141">
        <v>8.2142335159549162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</row>
    <row r="53" spans="2:159" ht="11.45" customHeight="1">
      <c r="B53" s="191"/>
      <c r="C53" s="147" t="s">
        <v>151</v>
      </c>
      <c r="D53" s="150">
        <v>3423.4399999999996</v>
      </c>
      <c r="E53" s="150">
        <v>4411.4409999999998</v>
      </c>
      <c r="F53" s="141">
        <v>28.859889467903631</v>
      </c>
      <c r="G53" s="150">
        <v>446.46</v>
      </c>
      <c r="H53" s="150">
        <v>487.2</v>
      </c>
      <c r="I53" s="141">
        <v>9.1251175917215441</v>
      </c>
      <c r="J53" s="150">
        <v>2530.0109999999995</v>
      </c>
      <c r="K53" s="150">
        <v>2723.212</v>
      </c>
      <c r="L53" s="141">
        <v>7.6363699604468316</v>
      </c>
      <c r="M53" s="150">
        <v>357.56700000000001</v>
      </c>
      <c r="N53" s="150">
        <v>283.20600000000002</v>
      </c>
      <c r="O53" s="141">
        <v>-20.796382216479703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</row>
    <row r="54" spans="2:159" ht="11.45" customHeight="1">
      <c r="B54" s="191"/>
      <c r="C54" s="147" t="s">
        <v>195</v>
      </c>
      <c r="D54" s="150">
        <v>12143.347</v>
      </c>
      <c r="E54" s="150">
        <v>15679.645999999997</v>
      </c>
      <c r="F54" s="141">
        <v>29.121287565940413</v>
      </c>
      <c r="G54" s="150">
        <v>1154.768</v>
      </c>
      <c r="H54" s="150">
        <v>1708.5050000000001</v>
      </c>
      <c r="I54" s="141">
        <v>47.952229365552213</v>
      </c>
      <c r="J54" s="150">
        <v>11846.777</v>
      </c>
      <c r="K54" s="150">
        <v>13671.468000000001</v>
      </c>
      <c r="L54" s="141">
        <v>15.40242548669568</v>
      </c>
      <c r="M54" s="150">
        <v>1664.2049999999999</v>
      </c>
      <c r="N54" s="150">
        <v>1635.145</v>
      </c>
      <c r="O54" s="141">
        <v>-1.7461791065403576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</row>
    <row r="55" spans="2:159" ht="11.45" customHeight="1">
      <c r="B55" s="191"/>
      <c r="C55" s="147" t="s">
        <v>152</v>
      </c>
      <c r="D55" s="150">
        <v>20120.114000000001</v>
      </c>
      <c r="E55" s="150">
        <v>24850.581999999999</v>
      </c>
      <c r="F55" s="141">
        <v>23.511139151597238</v>
      </c>
      <c r="G55" s="150">
        <v>5560.8939999999993</v>
      </c>
      <c r="H55" s="150">
        <v>3206.3910000000001</v>
      </c>
      <c r="I55" s="141">
        <v>-42.340368293299591</v>
      </c>
      <c r="J55" s="150">
        <v>26397.954000000002</v>
      </c>
      <c r="K55" s="150">
        <v>22993.562300000001</v>
      </c>
      <c r="L55" s="141">
        <v>-12.896422578810462</v>
      </c>
      <c r="M55" s="150">
        <v>3257.7669999999998</v>
      </c>
      <c r="N55" s="150">
        <v>2344.0229999999997</v>
      </c>
      <c r="O55" s="141">
        <v>-28.048169190737092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</row>
    <row r="56" spans="2:159" ht="24" customHeight="1">
      <c r="B56" s="145" t="s">
        <v>136</v>
      </c>
      <c r="C56" s="148" t="s">
        <v>106</v>
      </c>
      <c r="D56" s="151">
        <v>30912.89</v>
      </c>
      <c r="E56" s="151">
        <v>21943.833999999999</v>
      </c>
      <c r="F56" s="146">
        <v>-29.359232139603485</v>
      </c>
      <c r="G56" s="151">
        <v>200</v>
      </c>
      <c r="H56" s="151">
        <v>1753</v>
      </c>
      <c r="I56" s="146">
        <v>776.5</v>
      </c>
      <c r="J56" s="152">
        <v>29757.89</v>
      </c>
      <c r="K56" s="144">
        <v>21943.833999999999</v>
      </c>
      <c r="L56" s="129">
        <v>-26.631285988355337</v>
      </c>
      <c r="M56" s="144">
        <v>200</v>
      </c>
      <c r="N56" s="144">
        <v>1753</v>
      </c>
      <c r="O56" s="129">
        <v>776.5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</row>
    <row r="57" spans="2:159" ht="11.1" customHeight="1">
      <c r="B57" s="188" t="s">
        <v>137</v>
      </c>
      <c r="C57" s="147" t="s">
        <v>107</v>
      </c>
      <c r="D57" s="140" t="s">
        <v>153</v>
      </c>
      <c r="E57" s="140" t="s">
        <v>153</v>
      </c>
      <c r="F57" s="140" t="s">
        <v>153</v>
      </c>
      <c r="G57" s="140" t="s">
        <v>153</v>
      </c>
      <c r="H57" s="140" t="s">
        <v>153</v>
      </c>
      <c r="I57" s="140" t="s">
        <v>153</v>
      </c>
      <c r="J57" s="140" t="s">
        <v>153</v>
      </c>
      <c r="K57" s="140" t="s">
        <v>153</v>
      </c>
      <c r="L57" s="140" t="s">
        <v>153</v>
      </c>
      <c r="M57" s="140" t="s">
        <v>153</v>
      </c>
      <c r="N57" s="140" t="s">
        <v>153</v>
      </c>
      <c r="O57" s="140" t="s">
        <v>153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</row>
    <row r="58" spans="2:159" ht="11.1" customHeight="1">
      <c r="B58" s="189"/>
      <c r="C58" s="153" t="s">
        <v>108</v>
      </c>
      <c r="D58" s="154" t="s">
        <v>153</v>
      </c>
      <c r="E58" s="154" t="s">
        <v>153</v>
      </c>
      <c r="F58" s="154" t="s">
        <v>153</v>
      </c>
      <c r="G58" s="154" t="s">
        <v>153</v>
      </c>
      <c r="H58" s="154" t="s">
        <v>153</v>
      </c>
      <c r="I58" s="154" t="s">
        <v>153</v>
      </c>
      <c r="J58" s="154" t="s">
        <v>153</v>
      </c>
      <c r="K58" s="154" t="s">
        <v>153</v>
      </c>
      <c r="L58" s="154" t="s">
        <v>153</v>
      </c>
      <c r="M58" s="154" t="s">
        <v>153</v>
      </c>
      <c r="N58" s="154" t="s">
        <v>153</v>
      </c>
      <c r="O58" s="154" t="s">
        <v>153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</row>
    <row r="59" spans="2:159" ht="9" customHeight="1">
      <c r="B59" s="6" t="s">
        <v>3</v>
      </c>
      <c r="C59" s="34"/>
      <c r="D59" s="32"/>
      <c r="E59" s="33"/>
      <c r="F59" s="10"/>
      <c r="G59" s="9"/>
      <c r="H59" s="2"/>
    </row>
    <row r="60" spans="2:159" ht="9" customHeight="1">
      <c r="B60" s="44" t="s">
        <v>124</v>
      </c>
      <c r="C60" s="35"/>
      <c r="D60" s="36"/>
      <c r="E60" s="37"/>
      <c r="F60" s="10"/>
      <c r="G60" s="9"/>
      <c r="H60" s="2"/>
    </row>
    <row r="61" spans="2:159" ht="9" customHeight="1">
      <c r="B61" s="45" t="s">
        <v>125</v>
      </c>
      <c r="C61" s="34"/>
      <c r="D61" s="32"/>
      <c r="E61" s="33"/>
      <c r="F61" s="10"/>
      <c r="G61" s="9"/>
      <c r="H61" s="2"/>
    </row>
    <row r="62" spans="2:159" ht="9" customHeight="1">
      <c r="B62" s="46" t="s">
        <v>126</v>
      </c>
      <c r="C62" s="34"/>
      <c r="D62" s="32"/>
      <c r="E62" s="33"/>
      <c r="F62" s="10"/>
      <c r="G62" s="9"/>
      <c r="H62" s="2"/>
    </row>
  </sheetData>
  <mergeCells count="15">
    <mergeCell ref="M5:O5"/>
    <mergeCell ref="J4:O4"/>
    <mergeCell ref="B37:B41"/>
    <mergeCell ref="B52:B55"/>
    <mergeCell ref="B42:B47"/>
    <mergeCell ref="C4:C6"/>
    <mergeCell ref="D5:F5"/>
    <mergeCell ref="G5:I5"/>
    <mergeCell ref="D4:I4"/>
    <mergeCell ref="J5:L5"/>
    <mergeCell ref="B57:B58"/>
    <mergeCell ref="B4:B6"/>
    <mergeCell ref="B7:B15"/>
    <mergeCell ref="B16:B26"/>
    <mergeCell ref="B27:B35"/>
  </mergeCells>
  <phoneticPr fontId="29" type="noConversion"/>
  <printOptions horizontalCentered="1" verticalCentered="1" gridLinesSet="0"/>
  <pageMargins left="0" right="0" top="0" bottom="0" header="0" footer="0"/>
  <pageSetup paperSize="9" scale="81" fitToHeight="0" orientation="portrait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AABC-5EFD-4626-82A8-8AADA625A1F4}">
  <sheetPr published="0"/>
  <dimension ref="A1:R131"/>
  <sheetViews>
    <sheetView showGridLines="0" tabSelected="1" topLeftCell="A46" workbookViewId="0">
      <selection activeCell="A70" sqref="A70"/>
    </sheetView>
  </sheetViews>
  <sheetFormatPr baseColWidth="10" defaultRowHeight="12.75"/>
  <cols>
    <col min="1" max="1" width="14.28515625" style="155" customWidth="1"/>
    <col min="2" max="2" width="4.85546875" style="155" customWidth="1"/>
    <col min="3" max="3" width="6.85546875" style="155" bestFit="1" customWidth="1"/>
    <col min="4" max="15" width="6.28515625" style="155" customWidth="1"/>
    <col min="16" max="16" width="2" style="155" hidden="1" customWidth="1"/>
    <col min="17" max="17" width="1.7109375" style="155" customWidth="1"/>
    <col min="18" max="16384" width="11.42578125" style="155"/>
  </cols>
  <sheetData>
    <row r="1" spans="1:16" ht="13.5">
      <c r="A1" s="26" t="s">
        <v>173</v>
      </c>
      <c r="B1" s="63"/>
      <c r="C1" s="25"/>
      <c r="D1" s="25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64"/>
    </row>
    <row r="2" spans="1:16" ht="12" customHeight="1">
      <c r="A2" s="26" t="s">
        <v>163</v>
      </c>
      <c r="B2" s="63"/>
      <c r="C2" s="25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64"/>
    </row>
    <row r="3" spans="1:16" ht="5.0999999999999996" customHeight="1">
      <c r="A3" s="24"/>
      <c r="B3" s="65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64"/>
    </row>
    <row r="4" spans="1:16" ht="14.1" customHeight="1">
      <c r="A4" s="66" t="s">
        <v>40</v>
      </c>
      <c r="B4" s="67" t="s">
        <v>39</v>
      </c>
      <c r="C4" s="67" t="s">
        <v>26</v>
      </c>
      <c r="D4" s="67" t="s">
        <v>38</v>
      </c>
      <c r="E4" s="67" t="s">
        <v>37</v>
      </c>
      <c r="F4" s="68" t="s">
        <v>36</v>
      </c>
      <c r="G4" s="67" t="s">
        <v>35</v>
      </c>
      <c r="H4" s="67" t="s">
        <v>34</v>
      </c>
      <c r="I4" s="67" t="s">
        <v>33</v>
      </c>
      <c r="J4" s="67" t="s">
        <v>32</v>
      </c>
      <c r="K4" s="67" t="s">
        <v>31</v>
      </c>
      <c r="L4" s="67" t="s">
        <v>30</v>
      </c>
      <c r="M4" s="67" t="s">
        <v>29</v>
      </c>
      <c r="N4" s="67" t="s">
        <v>28</v>
      </c>
      <c r="O4" s="67" t="s">
        <v>27</v>
      </c>
      <c r="P4" s="67" t="s">
        <v>26</v>
      </c>
    </row>
    <row r="5" spans="1:16" ht="11.1" customHeight="1">
      <c r="A5" s="192" t="s">
        <v>43</v>
      </c>
      <c r="B5" s="69" t="s">
        <v>22</v>
      </c>
      <c r="C5" s="70">
        <v>1038176.08344</v>
      </c>
      <c r="D5" s="70">
        <v>87432.687999999995</v>
      </c>
      <c r="E5" s="70">
        <v>65193.004000000001</v>
      </c>
      <c r="F5" s="70">
        <v>76170.803</v>
      </c>
      <c r="G5" s="70">
        <v>70903.402000000002</v>
      </c>
      <c r="H5" s="70">
        <v>70341.908999999985</v>
      </c>
      <c r="I5" s="70">
        <v>83600.281999999992</v>
      </c>
      <c r="J5" s="70">
        <v>90478.902000000002</v>
      </c>
      <c r="K5" s="70">
        <v>100283.63099999999</v>
      </c>
      <c r="L5" s="70">
        <v>94738.319999999992</v>
      </c>
      <c r="M5" s="70">
        <v>92103.590999999986</v>
      </c>
      <c r="N5" s="70">
        <v>103101.80744</v>
      </c>
      <c r="O5" s="71">
        <v>103827.74400000001</v>
      </c>
      <c r="P5" s="72">
        <v>1038176.08344</v>
      </c>
    </row>
    <row r="6" spans="1:16" ht="11.1" customHeight="1">
      <c r="A6" s="193"/>
      <c r="B6" s="69" t="s">
        <v>21</v>
      </c>
      <c r="C6" s="70">
        <v>1076214.6983431999</v>
      </c>
      <c r="D6" s="70">
        <v>89601.808000000005</v>
      </c>
      <c r="E6" s="70">
        <v>70243.905999999988</v>
      </c>
      <c r="F6" s="70">
        <v>93199.5</v>
      </c>
      <c r="G6" s="70">
        <v>77843.426000000007</v>
      </c>
      <c r="H6" s="70">
        <v>79763.676999999996</v>
      </c>
      <c r="I6" s="70">
        <v>70783.942999999999</v>
      </c>
      <c r="J6" s="70">
        <v>80603.454500000007</v>
      </c>
      <c r="K6" s="70">
        <v>101789.019</v>
      </c>
      <c r="L6" s="70">
        <v>90084.203999999983</v>
      </c>
      <c r="M6" s="70">
        <v>103618.81884319999</v>
      </c>
      <c r="N6" s="70">
        <v>106149.052</v>
      </c>
      <c r="O6" s="71">
        <v>112533.88999999998</v>
      </c>
      <c r="P6" s="71">
        <v>1076214.6983431999</v>
      </c>
    </row>
    <row r="7" spans="1:16" ht="11.1" customHeight="1">
      <c r="A7" s="193"/>
      <c r="B7" s="69" t="s">
        <v>20</v>
      </c>
      <c r="C7" s="70">
        <v>1106279.92</v>
      </c>
      <c r="D7" s="70">
        <v>90414.284000000014</v>
      </c>
      <c r="E7" s="70">
        <v>77246.178</v>
      </c>
      <c r="F7" s="70">
        <v>85490.114000000016</v>
      </c>
      <c r="G7" s="70">
        <v>73425.452999999994</v>
      </c>
      <c r="H7" s="70">
        <v>71009.097000000009</v>
      </c>
      <c r="I7" s="70">
        <v>68111.126999999993</v>
      </c>
      <c r="J7" s="70">
        <v>81377.055000000008</v>
      </c>
      <c r="K7" s="70">
        <v>108801.231</v>
      </c>
      <c r="L7" s="70">
        <v>111137.398</v>
      </c>
      <c r="M7" s="70">
        <v>112335.071</v>
      </c>
      <c r="N7" s="70">
        <v>118720.736</v>
      </c>
      <c r="O7" s="71">
        <v>108212.17599999998</v>
      </c>
      <c r="P7" s="71">
        <v>1106279.92</v>
      </c>
    </row>
    <row r="8" spans="1:16" ht="11.1" customHeight="1">
      <c r="A8" s="193"/>
      <c r="B8" s="69" t="s">
        <v>19</v>
      </c>
      <c r="C8" s="70">
        <v>1174068.2660000001</v>
      </c>
      <c r="D8" s="70">
        <v>91108.028999999995</v>
      </c>
      <c r="E8" s="70">
        <v>92478.902000000016</v>
      </c>
      <c r="F8" s="70">
        <v>76980.214999999997</v>
      </c>
      <c r="G8" s="70">
        <v>95550.25999999998</v>
      </c>
      <c r="H8" s="70">
        <v>95536.522000000012</v>
      </c>
      <c r="I8" s="70">
        <v>88951.383000000002</v>
      </c>
      <c r="J8" s="70">
        <v>71652.124000000011</v>
      </c>
      <c r="K8" s="70">
        <v>102139.12799999998</v>
      </c>
      <c r="L8" s="70">
        <v>115160.17799999999</v>
      </c>
      <c r="M8" s="70">
        <v>113974.935</v>
      </c>
      <c r="N8" s="70">
        <v>112802.89200000001</v>
      </c>
      <c r="O8" s="71">
        <v>117733.698</v>
      </c>
      <c r="P8" s="71">
        <v>1174068.2660000001</v>
      </c>
    </row>
    <row r="9" spans="1:16" ht="11.1" customHeight="1">
      <c r="A9" s="193"/>
      <c r="B9" s="69" t="s">
        <v>18</v>
      </c>
      <c r="C9" s="70">
        <v>1203491.736</v>
      </c>
      <c r="D9" s="70">
        <v>96414.092999999993</v>
      </c>
      <c r="E9" s="70">
        <v>98057.237000000008</v>
      </c>
      <c r="F9" s="70">
        <v>94662.452000000005</v>
      </c>
      <c r="G9" s="70">
        <v>98504.077999999994</v>
      </c>
      <c r="H9" s="70">
        <v>96607.417000000001</v>
      </c>
      <c r="I9" s="70">
        <v>78672.275000000009</v>
      </c>
      <c r="J9" s="70">
        <v>72046.497000000003</v>
      </c>
      <c r="K9" s="70">
        <v>105153.855</v>
      </c>
      <c r="L9" s="70">
        <v>112545.80100000001</v>
      </c>
      <c r="M9" s="70">
        <v>117598.87699999998</v>
      </c>
      <c r="N9" s="70">
        <v>115818.93800000001</v>
      </c>
      <c r="O9" s="71">
        <v>117410.216</v>
      </c>
      <c r="P9" s="71">
        <v>1203491.736</v>
      </c>
    </row>
    <row r="10" spans="1:16" ht="11.1" customHeight="1">
      <c r="A10" s="193"/>
      <c r="B10" s="69" t="s">
        <v>17</v>
      </c>
      <c r="C10" s="70">
        <v>1119425.416</v>
      </c>
      <c r="D10" s="70">
        <v>90186.488999999987</v>
      </c>
      <c r="E10" s="70">
        <v>88257.955000000002</v>
      </c>
      <c r="F10" s="70">
        <v>82019.804999999993</v>
      </c>
      <c r="G10" s="70">
        <v>68449.884000000005</v>
      </c>
      <c r="H10" s="70">
        <v>59847.271999999997</v>
      </c>
      <c r="I10" s="70">
        <v>80104.803000000014</v>
      </c>
      <c r="J10" s="70">
        <v>76098.210000000006</v>
      </c>
      <c r="K10" s="70">
        <v>103363.49699999999</v>
      </c>
      <c r="L10" s="70">
        <v>103898.81600000001</v>
      </c>
      <c r="M10" s="70">
        <v>124842.16699999999</v>
      </c>
      <c r="N10" s="70">
        <v>117930.47399999999</v>
      </c>
      <c r="O10" s="71">
        <v>124426.04399999998</v>
      </c>
      <c r="P10" s="71">
        <v>1119425.416</v>
      </c>
    </row>
    <row r="11" spans="1:16" ht="11.1" customHeight="1">
      <c r="A11" s="193"/>
      <c r="B11" s="69" t="s">
        <v>16</v>
      </c>
      <c r="C11" s="70">
        <v>1148321.1059999999</v>
      </c>
      <c r="D11" s="70">
        <v>110748.77899999999</v>
      </c>
      <c r="E11" s="70">
        <v>88611.17</v>
      </c>
      <c r="F11" s="70">
        <v>61944.047999999995</v>
      </c>
      <c r="G11" s="70">
        <v>53462.101999999999</v>
      </c>
      <c r="H11" s="70">
        <v>57751.837999999996</v>
      </c>
      <c r="I11" s="70">
        <v>95946.463999999978</v>
      </c>
      <c r="J11" s="70">
        <v>124994.317</v>
      </c>
      <c r="K11" s="70">
        <v>114941.21</v>
      </c>
      <c r="L11" s="70">
        <v>115863.386</v>
      </c>
      <c r="M11" s="70">
        <v>109218.815</v>
      </c>
      <c r="N11" s="70">
        <v>107510.49099999999</v>
      </c>
      <c r="O11" s="71">
        <v>107328.486</v>
      </c>
      <c r="P11" s="71">
        <v>1148321.1059999999</v>
      </c>
    </row>
    <row r="12" spans="1:16" ht="11.1" customHeight="1">
      <c r="A12" s="193"/>
      <c r="B12" s="69" t="s">
        <v>15</v>
      </c>
      <c r="C12" s="70">
        <v>1080929.9950000001</v>
      </c>
      <c r="D12" s="70">
        <v>102966.08900000001</v>
      </c>
      <c r="E12" s="70">
        <v>77377.828999999998</v>
      </c>
      <c r="F12" s="70">
        <v>34164.558999999994</v>
      </c>
      <c r="G12" s="70">
        <v>59208.74700000001</v>
      </c>
      <c r="H12" s="70">
        <v>77141.653999999995</v>
      </c>
      <c r="I12" s="70">
        <v>68912.183000000005</v>
      </c>
      <c r="J12" s="70">
        <v>93987.407999999996</v>
      </c>
      <c r="K12" s="70">
        <v>111052.26700000001</v>
      </c>
      <c r="L12" s="70">
        <v>120095.19300000001</v>
      </c>
      <c r="M12" s="70">
        <v>125625.93799999999</v>
      </c>
      <c r="N12" s="70">
        <v>112033.322</v>
      </c>
      <c r="O12" s="71">
        <v>98364.805999999997</v>
      </c>
      <c r="P12" s="71">
        <v>1080929.9950000001</v>
      </c>
    </row>
    <row r="13" spans="1:16" ht="11.1" customHeight="1">
      <c r="A13" s="193"/>
      <c r="B13" s="69" t="s">
        <v>14</v>
      </c>
      <c r="C13" s="70">
        <v>1183442.4695000001</v>
      </c>
      <c r="D13" s="70">
        <v>105680.727</v>
      </c>
      <c r="E13" s="70">
        <v>75402.3</v>
      </c>
      <c r="F13" s="70">
        <v>62723.68499999999</v>
      </c>
      <c r="G13" s="70">
        <v>64835.839999999997</v>
      </c>
      <c r="H13" s="70">
        <v>77740.642999999996</v>
      </c>
      <c r="I13" s="70">
        <v>100596.45200000002</v>
      </c>
      <c r="J13" s="70">
        <v>103466.504</v>
      </c>
      <c r="K13" s="70">
        <v>109198.52800000001</v>
      </c>
      <c r="L13" s="70">
        <v>115131.93399999999</v>
      </c>
      <c r="M13" s="70">
        <v>118859.31399999998</v>
      </c>
      <c r="N13" s="70">
        <v>124850.0625</v>
      </c>
      <c r="O13" s="71">
        <v>124956.48</v>
      </c>
      <c r="P13" s="71">
        <v>1183442.4695000001</v>
      </c>
    </row>
    <row r="14" spans="1:16" ht="11.1" customHeight="1">
      <c r="A14" s="193"/>
      <c r="B14" s="69" t="s">
        <v>13</v>
      </c>
      <c r="C14" s="70">
        <v>1196003.0960000001</v>
      </c>
      <c r="D14" s="70">
        <v>93968.155000000013</v>
      </c>
      <c r="E14" s="70">
        <v>80830.178000000014</v>
      </c>
      <c r="F14" s="70">
        <v>89501.141000000003</v>
      </c>
      <c r="G14" s="70">
        <v>72548.312000000005</v>
      </c>
      <c r="H14" s="70">
        <v>79904.78</v>
      </c>
      <c r="I14" s="70">
        <v>82878.8</v>
      </c>
      <c r="J14" s="70">
        <v>116511.40200000003</v>
      </c>
      <c r="K14" s="70">
        <v>117660.04299999999</v>
      </c>
      <c r="L14" s="70">
        <v>117312.61099999999</v>
      </c>
      <c r="M14" s="70">
        <v>120484.39600000002</v>
      </c>
      <c r="N14" s="70">
        <v>115548.41599999998</v>
      </c>
      <c r="O14" s="71">
        <v>108854.86199999999</v>
      </c>
      <c r="P14" s="71">
        <v>1196003.0960000001</v>
      </c>
    </row>
    <row r="15" spans="1:16" ht="11.1" customHeight="1">
      <c r="A15" s="193"/>
      <c r="B15" s="69" t="s">
        <v>12</v>
      </c>
      <c r="C15" s="70">
        <v>1197714.1454723002</v>
      </c>
      <c r="D15" s="70">
        <v>93415.578999999998</v>
      </c>
      <c r="E15" s="70">
        <v>84806.64899999999</v>
      </c>
      <c r="F15" s="70">
        <v>67517.133000000002</v>
      </c>
      <c r="G15" s="70">
        <v>71970.285000000003</v>
      </c>
      <c r="H15" s="70">
        <v>97430.36</v>
      </c>
      <c r="I15" s="70">
        <v>103369.70699999999</v>
      </c>
      <c r="J15" s="70">
        <v>97218.598000000013</v>
      </c>
      <c r="K15" s="70">
        <v>99424.225999999995</v>
      </c>
      <c r="L15" s="70">
        <v>114969.841</v>
      </c>
      <c r="M15" s="70">
        <v>124272.90800000001</v>
      </c>
      <c r="N15" s="70">
        <v>117976.783</v>
      </c>
      <c r="O15" s="71">
        <v>125342.0764723</v>
      </c>
      <c r="P15" s="71">
        <v>1197714.1454723002</v>
      </c>
    </row>
    <row r="16" spans="1:16" ht="11.1" customHeight="1">
      <c r="A16" s="193"/>
      <c r="B16" s="69" t="s">
        <v>11</v>
      </c>
      <c r="C16" s="70">
        <v>1097807.4249211738</v>
      </c>
      <c r="D16" s="70">
        <v>84815.01999999999</v>
      </c>
      <c r="E16" s="70">
        <v>102542.77285499999</v>
      </c>
      <c r="F16" s="70">
        <v>79193.817999999999</v>
      </c>
      <c r="G16" s="70">
        <v>59812.967999999993</v>
      </c>
      <c r="H16" s="70">
        <v>65009.257923168618</v>
      </c>
      <c r="I16" s="70">
        <v>80439.12000000001</v>
      </c>
      <c r="J16" s="70">
        <v>90105.231999999989</v>
      </c>
      <c r="K16" s="70">
        <v>100645.397</v>
      </c>
      <c r="L16" s="70">
        <v>105171.658</v>
      </c>
      <c r="M16" s="70">
        <v>113813.46722600002</v>
      </c>
      <c r="N16" s="70">
        <v>111664.05943061887</v>
      </c>
      <c r="O16" s="71">
        <v>104594.65448638653</v>
      </c>
      <c r="P16" s="71">
        <v>1097807.4249211738</v>
      </c>
    </row>
    <row r="17" spans="1:16" ht="11.1" customHeight="1">
      <c r="A17" s="193"/>
      <c r="B17" s="69" t="s">
        <v>10</v>
      </c>
      <c r="C17" s="70">
        <v>1111550.5347373611</v>
      </c>
      <c r="D17" s="70">
        <v>89862.980546272622</v>
      </c>
      <c r="E17" s="70">
        <v>78517.963168117145</v>
      </c>
      <c r="F17" s="70">
        <v>70780.102999999988</v>
      </c>
      <c r="G17" s="70">
        <v>72576.972562968862</v>
      </c>
      <c r="H17" s="70">
        <v>82819.949000000008</v>
      </c>
      <c r="I17" s="70">
        <v>95552.724460999991</v>
      </c>
      <c r="J17" s="70">
        <v>110294.18919192013</v>
      </c>
      <c r="K17" s="70">
        <v>97397.225005082335</v>
      </c>
      <c r="L17" s="70">
        <v>91078.295515000005</v>
      </c>
      <c r="M17" s="70">
        <v>113809.348287</v>
      </c>
      <c r="N17" s="70">
        <v>104966.07100000001</v>
      </c>
      <c r="O17" s="71">
        <v>103894.713</v>
      </c>
      <c r="P17" s="71">
        <v>1111550.5347373611</v>
      </c>
    </row>
    <row r="18" spans="1:16" ht="11.1" customHeight="1">
      <c r="A18" s="193"/>
      <c r="B18" s="69" t="s">
        <v>9</v>
      </c>
      <c r="C18" s="70">
        <v>1062623.3284511713</v>
      </c>
      <c r="D18" s="70">
        <v>88521.537959999987</v>
      </c>
      <c r="E18" s="70">
        <v>81831.788092126139</v>
      </c>
      <c r="F18" s="70">
        <v>74599.803485196346</v>
      </c>
      <c r="G18" s="70">
        <v>47220.245898000001</v>
      </c>
      <c r="H18" s="70">
        <v>68035.959146000881</v>
      </c>
      <c r="I18" s="70">
        <v>76832.665200977339</v>
      </c>
      <c r="J18" s="70">
        <v>93086.331686671125</v>
      </c>
      <c r="K18" s="70">
        <v>107863.23938</v>
      </c>
      <c r="L18" s="70">
        <v>103633.02644</v>
      </c>
      <c r="M18" s="70">
        <v>113284.98031069447</v>
      </c>
      <c r="N18" s="70">
        <v>101932.610867</v>
      </c>
      <c r="O18" s="73">
        <v>105781.13998450493</v>
      </c>
      <c r="P18" s="71">
        <v>1062623.3284511713</v>
      </c>
    </row>
    <row r="19" spans="1:16" ht="11.1" customHeight="1">
      <c r="A19" s="193"/>
      <c r="B19" s="69" t="s">
        <v>158</v>
      </c>
      <c r="C19" s="70">
        <v>1094278.5460915549</v>
      </c>
      <c r="D19" s="70">
        <v>77170.170656375863</v>
      </c>
      <c r="E19" s="70">
        <v>87359.908277981944</v>
      </c>
      <c r="F19" s="70">
        <v>57790.561963724911</v>
      </c>
      <c r="G19" s="70">
        <v>62032.810000000012</v>
      </c>
      <c r="H19" s="70">
        <v>82088.384541131571</v>
      </c>
      <c r="I19" s="70">
        <v>71459.511455204803</v>
      </c>
      <c r="J19" s="70">
        <v>94653.82443384036</v>
      </c>
      <c r="K19" s="70">
        <v>115811.38684902272</v>
      </c>
      <c r="L19" s="70">
        <v>103708.03548979959</v>
      </c>
      <c r="M19" s="70">
        <v>120409.47673599998</v>
      </c>
      <c r="N19" s="70">
        <v>110458.94406413256</v>
      </c>
      <c r="O19" s="70">
        <v>111335.53162434074</v>
      </c>
      <c r="P19" s="71">
        <v>1094278.5460915549</v>
      </c>
    </row>
    <row r="20" spans="1:16" ht="11.1" customHeight="1">
      <c r="A20" s="194"/>
      <c r="B20" s="75" t="s">
        <v>159</v>
      </c>
      <c r="C20" s="74">
        <v>767794.92240384431</v>
      </c>
      <c r="D20" s="74">
        <v>92658.28132312675</v>
      </c>
      <c r="E20" s="74">
        <v>83251.060565731968</v>
      </c>
      <c r="F20" s="74">
        <v>72183.850221663422</v>
      </c>
      <c r="G20" s="74">
        <v>55837.735612944736</v>
      </c>
      <c r="H20" s="74">
        <v>64136.225701946787</v>
      </c>
      <c r="I20" s="74">
        <v>82322.043095563451</v>
      </c>
      <c r="J20" s="74">
        <v>99904.081200000001</v>
      </c>
      <c r="K20" s="74">
        <f>K36+K52+K68+K88+K104+K120</f>
        <v>99957</v>
      </c>
      <c r="L20" s="74">
        <f>L36+L52+L68+L88+L104+L120</f>
        <v>117544.64468286723</v>
      </c>
      <c r="M20" s="74"/>
      <c r="N20" s="74"/>
      <c r="O20" s="74"/>
      <c r="P20" s="74">
        <v>767794.92240384431</v>
      </c>
    </row>
    <row r="21" spans="1:16" ht="11.1" customHeight="1">
      <c r="A21" s="21" t="s">
        <v>197</v>
      </c>
      <c r="B21" s="76">
        <v>2010</v>
      </c>
      <c r="C21" s="70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70">
        <v>0</v>
      </c>
    </row>
    <row r="22" spans="1:16" ht="11.1" customHeight="1">
      <c r="A22" s="21"/>
      <c r="B22" s="76">
        <v>2011</v>
      </c>
      <c r="C22" s="70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70">
        <v>0</v>
      </c>
    </row>
    <row r="23" spans="1:16" ht="11.1" customHeight="1">
      <c r="A23" s="21"/>
      <c r="B23" s="76">
        <v>2012</v>
      </c>
      <c r="C23" s="70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70">
        <v>0</v>
      </c>
    </row>
    <row r="24" spans="1:16" ht="11.1" customHeight="1">
      <c r="A24" s="21"/>
      <c r="B24" s="76">
        <v>2013</v>
      </c>
      <c r="C24" s="70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70">
        <v>0</v>
      </c>
    </row>
    <row r="25" spans="1:16" ht="11.1" customHeight="1">
      <c r="A25" s="21"/>
      <c r="B25" s="76">
        <v>2014</v>
      </c>
      <c r="C25" s="70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70">
        <v>0</v>
      </c>
    </row>
    <row r="26" spans="1:16" ht="11.1" customHeight="1">
      <c r="A26" s="21"/>
      <c r="B26" s="76">
        <v>2015</v>
      </c>
      <c r="C26" s="70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70">
        <v>0</v>
      </c>
    </row>
    <row r="27" spans="1:16" ht="11.1" customHeight="1">
      <c r="A27" s="21"/>
      <c r="B27" s="76">
        <v>2016</v>
      </c>
      <c r="C27" s="70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70">
        <v>0</v>
      </c>
    </row>
    <row r="28" spans="1:16" ht="11.1" customHeight="1">
      <c r="A28" s="21"/>
      <c r="B28" s="76">
        <v>2017</v>
      </c>
      <c r="C28" s="70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70">
        <v>0</v>
      </c>
    </row>
    <row r="29" spans="1:16" ht="11.1" customHeight="1">
      <c r="A29" s="23"/>
      <c r="B29" s="76">
        <v>2018</v>
      </c>
      <c r="C29" s="70">
        <v>42034.3</v>
      </c>
      <c r="D29" s="17">
        <v>53.25</v>
      </c>
      <c r="E29" s="17">
        <v>528.20000000000005</v>
      </c>
      <c r="F29" s="17">
        <v>481.1</v>
      </c>
      <c r="G29" s="17">
        <v>1681</v>
      </c>
      <c r="H29" s="17">
        <v>4414.5</v>
      </c>
      <c r="I29" s="17">
        <v>6493</v>
      </c>
      <c r="J29" s="17">
        <v>7433.4</v>
      </c>
      <c r="K29" s="17">
        <v>4324.55</v>
      </c>
      <c r="L29" s="17">
        <v>7429.4500000000007</v>
      </c>
      <c r="M29" s="17">
        <v>3127.9</v>
      </c>
      <c r="N29" s="17">
        <v>1856.05</v>
      </c>
      <c r="O29" s="17">
        <v>4211.8999999999996</v>
      </c>
      <c r="P29" s="70">
        <v>42034.3</v>
      </c>
    </row>
    <row r="30" spans="1:16" ht="11.1" customHeight="1">
      <c r="A30" s="21"/>
      <c r="B30" s="76">
        <v>2019</v>
      </c>
      <c r="C30" s="70">
        <v>26683.35</v>
      </c>
      <c r="D30" s="22">
        <v>2247.1999999999998</v>
      </c>
      <c r="E30" s="22">
        <v>392.7</v>
      </c>
      <c r="F30" s="22">
        <v>1179.7</v>
      </c>
      <c r="G30" s="22">
        <v>2095.9499999999998</v>
      </c>
      <c r="H30" s="22">
        <v>2806.8</v>
      </c>
      <c r="I30" s="22">
        <v>1619.6</v>
      </c>
      <c r="J30" s="22">
        <v>1957.4</v>
      </c>
      <c r="K30" s="22">
        <v>2163.85</v>
      </c>
      <c r="L30" s="22">
        <v>2896.75</v>
      </c>
      <c r="M30" s="17">
        <v>2707.15</v>
      </c>
      <c r="N30" s="17">
        <v>3991.75</v>
      </c>
      <c r="O30" s="17">
        <v>2624.5</v>
      </c>
      <c r="P30" s="70">
        <v>26683.35</v>
      </c>
    </row>
    <row r="31" spans="1:16" ht="11.1" customHeight="1">
      <c r="A31" s="21"/>
      <c r="B31" s="76">
        <v>2020</v>
      </c>
      <c r="C31" s="70">
        <v>50532.9</v>
      </c>
      <c r="D31" s="22">
        <v>1587.65</v>
      </c>
      <c r="E31" s="22">
        <v>2667.05</v>
      </c>
      <c r="F31" s="22">
        <v>5066.45</v>
      </c>
      <c r="G31" s="22">
        <v>3162.75</v>
      </c>
      <c r="H31" s="22">
        <v>5168.05</v>
      </c>
      <c r="I31" s="22">
        <v>5082</v>
      </c>
      <c r="J31" s="22">
        <v>2673.25</v>
      </c>
      <c r="K31" s="22">
        <v>3521.8</v>
      </c>
      <c r="L31" s="22">
        <v>3188.45</v>
      </c>
      <c r="M31" s="22">
        <v>5175.9500000000007</v>
      </c>
      <c r="N31" s="17">
        <v>5603.9</v>
      </c>
      <c r="O31" s="17">
        <v>7635.5999999999995</v>
      </c>
      <c r="P31" s="70">
        <v>50532.9</v>
      </c>
    </row>
    <row r="32" spans="1:16" ht="11.1" customHeight="1">
      <c r="A32" s="21"/>
      <c r="B32" s="76">
        <v>2021</v>
      </c>
      <c r="C32" s="70">
        <v>35753.35</v>
      </c>
      <c r="D32" s="22">
        <v>4858.2</v>
      </c>
      <c r="E32" s="22">
        <v>2295.25</v>
      </c>
      <c r="F32" s="22">
        <v>1227.7</v>
      </c>
      <c r="G32" s="22">
        <v>3114.2</v>
      </c>
      <c r="H32" s="22">
        <v>3524.9</v>
      </c>
      <c r="I32" s="22">
        <v>2603.4</v>
      </c>
      <c r="J32" s="22">
        <v>2434.3000000000002</v>
      </c>
      <c r="K32" s="22">
        <v>2474.0500000000002</v>
      </c>
      <c r="L32" s="22">
        <v>2928.9</v>
      </c>
      <c r="M32" s="22">
        <v>3533.85</v>
      </c>
      <c r="N32" s="17">
        <v>3726.4</v>
      </c>
      <c r="O32" s="17">
        <v>3032.2</v>
      </c>
      <c r="P32" s="70">
        <v>35753.35</v>
      </c>
    </row>
    <row r="33" spans="1:18" ht="11.1" customHeight="1">
      <c r="A33" s="21"/>
      <c r="B33" s="76">
        <v>2022</v>
      </c>
      <c r="C33" s="70">
        <v>30307.200000000001</v>
      </c>
      <c r="D33" s="22">
        <v>1990.25</v>
      </c>
      <c r="E33" s="22">
        <v>2783.3</v>
      </c>
      <c r="F33" s="22">
        <v>1359.9</v>
      </c>
      <c r="G33" s="17">
        <v>0</v>
      </c>
      <c r="H33" s="22">
        <v>2590.65</v>
      </c>
      <c r="I33" s="22">
        <v>2659.85</v>
      </c>
      <c r="J33" s="22">
        <v>5182.2</v>
      </c>
      <c r="K33" s="22">
        <v>3636.3</v>
      </c>
      <c r="L33" s="22">
        <v>1241.95</v>
      </c>
      <c r="M33" s="22">
        <v>2184.35</v>
      </c>
      <c r="N33" s="17">
        <v>2900.15</v>
      </c>
      <c r="O33" s="17">
        <v>3778.3</v>
      </c>
      <c r="P33" s="70">
        <v>30307.200000000001</v>
      </c>
    </row>
    <row r="34" spans="1:18" ht="11.1" customHeight="1">
      <c r="A34" s="21"/>
      <c r="B34" s="76">
        <v>2023</v>
      </c>
      <c r="C34" s="70">
        <v>62965.19999999999</v>
      </c>
      <c r="D34" s="22">
        <v>5690</v>
      </c>
      <c r="E34" s="22">
        <v>4781.25</v>
      </c>
      <c r="F34" s="22">
        <v>597.04999999999995</v>
      </c>
      <c r="G34" s="17">
        <v>1375.2</v>
      </c>
      <c r="H34" s="22">
        <v>5197.8500000000004</v>
      </c>
      <c r="I34" s="22">
        <v>4137.3500000000004</v>
      </c>
      <c r="J34" s="22">
        <v>5304</v>
      </c>
      <c r="K34" s="22">
        <v>6374.6</v>
      </c>
      <c r="L34" s="22">
        <v>6874.95</v>
      </c>
      <c r="M34" s="22">
        <v>7558.75</v>
      </c>
      <c r="N34" s="17">
        <v>7537.1</v>
      </c>
      <c r="O34" s="17">
        <v>7537.1</v>
      </c>
      <c r="P34" s="70">
        <v>62965.19999999999</v>
      </c>
    </row>
    <row r="35" spans="1:18" ht="11.1" customHeight="1">
      <c r="A35" s="21"/>
      <c r="B35" s="76">
        <v>2024</v>
      </c>
      <c r="C35" s="70">
        <v>89716.7</v>
      </c>
      <c r="D35" s="22">
        <v>6304.05</v>
      </c>
      <c r="E35" s="22">
        <v>5994.4</v>
      </c>
      <c r="F35" s="22">
        <v>950.75</v>
      </c>
      <c r="G35" s="17">
        <v>6300.95</v>
      </c>
      <c r="H35" s="22">
        <v>7370.35</v>
      </c>
      <c r="I35" s="22">
        <v>7121</v>
      </c>
      <c r="J35" s="22">
        <v>9025.5499999999993</v>
      </c>
      <c r="K35" s="22">
        <v>9624.85</v>
      </c>
      <c r="L35" s="22">
        <v>8346.6</v>
      </c>
      <c r="M35" s="22">
        <v>9255.4500000000007</v>
      </c>
      <c r="N35" s="17">
        <v>9826.4500000000007</v>
      </c>
      <c r="O35" s="17">
        <v>9596.2999999999993</v>
      </c>
      <c r="P35" s="70">
        <v>89716.7</v>
      </c>
    </row>
    <row r="36" spans="1:18" ht="11.1" customHeight="1">
      <c r="A36" s="21"/>
      <c r="B36" s="76">
        <v>2025</v>
      </c>
      <c r="C36" s="70">
        <v>52291.300486288281</v>
      </c>
      <c r="D36" s="22">
        <v>9200.1</v>
      </c>
      <c r="E36" s="22">
        <v>3615.8139999999999</v>
      </c>
      <c r="F36" s="22">
        <v>0</v>
      </c>
      <c r="G36" s="22">
        <v>136.88955279660007</v>
      </c>
      <c r="H36" s="22">
        <v>7738.35</v>
      </c>
      <c r="I36" s="22">
        <v>6677.1469334916783</v>
      </c>
      <c r="J36" s="22">
        <v>9467</v>
      </c>
      <c r="K36" s="22">
        <v>8756</v>
      </c>
      <c r="L36" s="22">
        <v>6700</v>
      </c>
      <c r="M36" s="22"/>
      <c r="N36" s="17"/>
      <c r="O36" s="17"/>
      <c r="P36" s="70">
        <v>52291.300486288281</v>
      </c>
    </row>
    <row r="37" spans="1:18" ht="11.1" customHeight="1">
      <c r="A37" s="21" t="s">
        <v>42</v>
      </c>
      <c r="B37" s="76">
        <v>2010</v>
      </c>
      <c r="C37" s="70">
        <v>286096.17999999993</v>
      </c>
      <c r="D37" s="17">
        <v>25386.780999999999</v>
      </c>
      <c r="E37" s="17">
        <v>19321.835000000003</v>
      </c>
      <c r="F37" s="17">
        <v>8647.9250000000011</v>
      </c>
      <c r="G37" s="17">
        <v>16116.38</v>
      </c>
      <c r="H37" s="17">
        <v>26197.182999999997</v>
      </c>
      <c r="I37" s="17">
        <v>29703.081999999995</v>
      </c>
      <c r="J37" s="17">
        <v>19371.145</v>
      </c>
      <c r="K37" s="17">
        <v>28973.87</v>
      </c>
      <c r="L37" s="17">
        <v>27804.28</v>
      </c>
      <c r="M37" s="17">
        <v>28005.858999999997</v>
      </c>
      <c r="N37" s="17">
        <v>29330.87</v>
      </c>
      <c r="O37" s="17">
        <v>27236.97</v>
      </c>
      <c r="P37" s="70">
        <v>286096.17999999993</v>
      </c>
    </row>
    <row r="38" spans="1:18" ht="11.1" customHeight="1">
      <c r="A38" s="21"/>
      <c r="B38" s="76">
        <v>2011</v>
      </c>
      <c r="C38" s="70">
        <v>291544.49599999998</v>
      </c>
      <c r="D38" s="17">
        <v>18247.080000000002</v>
      </c>
      <c r="E38" s="17">
        <v>6937</v>
      </c>
      <c r="F38" s="17">
        <v>21481.78</v>
      </c>
      <c r="G38" s="17">
        <v>19554.79</v>
      </c>
      <c r="H38" s="17">
        <v>22557.51</v>
      </c>
      <c r="I38" s="17">
        <v>26969.830999999998</v>
      </c>
      <c r="J38" s="17">
        <v>27267.448</v>
      </c>
      <c r="K38" s="17">
        <v>29726.337000000003</v>
      </c>
      <c r="L38" s="17">
        <v>25235.719999999998</v>
      </c>
      <c r="M38" s="17">
        <v>31473.570000000003</v>
      </c>
      <c r="N38" s="17">
        <v>31070.98</v>
      </c>
      <c r="O38" s="17">
        <v>31022.45</v>
      </c>
      <c r="P38" s="70">
        <v>291544.49599999998</v>
      </c>
    </row>
    <row r="39" spans="1:18" ht="11.1" customHeight="1">
      <c r="A39" s="21"/>
      <c r="B39" s="76">
        <v>2012</v>
      </c>
      <c r="C39" s="70">
        <v>279665.61200000002</v>
      </c>
      <c r="D39" s="17">
        <v>24026.595000000001</v>
      </c>
      <c r="E39" s="17">
        <v>10079.129999999999</v>
      </c>
      <c r="F39" s="17">
        <v>13621.35</v>
      </c>
      <c r="G39" s="17">
        <v>15329.249000000002</v>
      </c>
      <c r="H39" s="17">
        <v>15932.539999999999</v>
      </c>
      <c r="I39" s="17">
        <v>21452.34</v>
      </c>
      <c r="J39" s="17">
        <v>23271.200000000001</v>
      </c>
      <c r="K39" s="17">
        <v>25326.593000000001</v>
      </c>
      <c r="L39" s="17">
        <v>31019.010999999999</v>
      </c>
      <c r="M39" s="17">
        <v>31895.274000000001</v>
      </c>
      <c r="N39" s="17">
        <v>35278.51</v>
      </c>
      <c r="O39" s="17">
        <v>32433.82</v>
      </c>
      <c r="P39" s="70">
        <v>279665.61200000002</v>
      </c>
    </row>
    <row r="40" spans="1:18" ht="11.1" customHeight="1">
      <c r="A40" s="21"/>
      <c r="B40" s="76">
        <v>2013</v>
      </c>
      <c r="C40" s="70">
        <v>315953.73500000004</v>
      </c>
      <c r="D40" s="17">
        <v>30438.73</v>
      </c>
      <c r="E40" s="17">
        <v>25855.81</v>
      </c>
      <c r="F40" s="17">
        <v>14348.48</v>
      </c>
      <c r="G40" s="17">
        <v>18969.434999999998</v>
      </c>
      <c r="H40" s="17">
        <v>28346.34</v>
      </c>
      <c r="I40" s="17">
        <v>26534.38</v>
      </c>
      <c r="J40" s="17">
        <v>26682.420000000002</v>
      </c>
      <c r="K40" s="17">
        <v>29274.37</v>
      </c>
      <c r="L40" s="17">
        <v>30232.04</v>
      </c>
      <c r="M40" s="17">
        <v>26411.58</v>
      </c>
      <c r="N40" s="17">
        <v>27809.999999999996</v>
      </c>
      <c r="O40" s="17">
        <v>31050.149999999998</v>
      </c>
      <c r="P40" s="70">
        <v>315953.73500000004</v>
      </c>
    </row>
    <row r="41" spans="1:18" ht="11.1" customHeight="1">
      <c r="A41" s="21"/>
      <c r="B41" s="76">
        <v>2014</v>
      </c>
      <c r="C41" s="70">
        <v>258587.47999999998</v>
      </c>
      <c r="D41" s="17">
        <v>28002.560000000001</v>
      </c>
      <c r="E41" s="17">
        <v>24606.449999999997</v>
      </c>
      <c r="F41" s="17">
        <v>16656.22</v>
      </c>
      <c r="G41" s="17">
        <v>19520.069999999996</v>
      </c>
      <c r="H41" s="17">
        <v>25521.040000000005</v>
      </c>
      <c r="I41" s="17">
        <v>0</v>
      </c>
      <c r="J41" s="17">
        <v>22108.33</v>
      </c>
      <c r="K41" s="17">
        <v>23217.38</v>
      </c>
      <c r="L41" s="17">
        <v>23592.930000000004</v>
      </c>
      <c r="M41" s="17">
        <v>26306.809999999998</v>
      </c>
      <c r="N41" s="17">
        <v>25441.96</v>
      </c>
      <c r="O41" s="17">
        <v>23613.73</v>
      </c>
      <c r="P41" s="70">
        <v>258587.47999999998</v>
      </c>
    </row>
    <row r="42" spans="1:18" ht="11.1" customHeight="1">
      <c r="A42" s="21"/>
      <c r="B42" s="76">
        <v>2015</v>
      </c>
      <c r="C42" s="70">
        <v>193052.76</v>
      </c>
      <c r="D42" s="17">
        <v>16317.73</v>
      </c>
      <c r="E42" s="17">
        <v>13332.520000000002</v>
      </c>
      <c r="F42" s="17">
        <v>8012.73</v>
      </c>
      <c r="G42" s="17">
        <v>7414.6299999999992</v>
      </c>
      <c r="H42" s="17">
        <v>6333.8</v>
      </c>
      <c r="I42" s="17">
        <v>13620.75</v>
      </c>
      <c r="J42" s="17">
        <v>14433.509999999998</v>
      </c>
      <c r="K42" s="17">
        <v>15794.010000000002</v>
      </c>
      <c r="L42" s="17">
        <v>21870.59</v>
      </c>
      <c r="M42" s="17">
        <v>25441.919999999998</v>
      </c>
      <c r="N42" s="17">
        <v>26613.440000000002</v>
      </c>
      <c r="O42" s="17">
        <v>23867.129999999997</v>
      </c>
      <c r="P42" s="70">
        <v>193052.76</v>
      </c>
    </row>
    <row r="43" spans="1:18" ht="11.1" customHeight="1">
      <c r="A43" s="21"/>
      <c r="B43" s="76">
        <v>2016</v>
      </c>
      <c r="C43" s="70">
        <v>226632.73999999996</v>
      </c>
      <c r="D43" s="17">
        <v>22070.43</v>
      </c>
      <c r="E43" s="17">
        <v>14257.809999999998</v>
      </c>
      <c r="F43" s="17">
        <v>9269.5999999999985</v>
      </c>
      <c r="G43" s="17">
        <v>13876.68</v>
      </c>
      <c r="H43" s="17">
        <v>13356.289999999999</v>
      </c>
      <c r="I43" s="17">
        <v>22258.93</v>
      </c>
      <c r="J43" s="17">
        <v>21074.01</v>
      </c>
      <c r="K43" s="17">
        <v>23437.83</v>
      </c>
      <c r="L43" s="17">
        <v>19437.089999999997</v>
      </c>
      <c r="M43" s="17">
        <v>22528.11</v>
      </c>
      <c r="N43" s="17">
        <v>21295.579999999998</v>
      </c>
      <c r="O43" s="17">
        <v>23770.38</v>
      </c>
      <c r="P43" s="70">
        <v>226632.73999999996</v>
      </c>
    </row>
    <row r="44" spans="1:18" ht="11.1" customHeight="1">
      <c r="A44" s="21"/>
      <c r="B44" s="76">
        <v>2017</v>
      </c>
      <c r="C44" s="70">
        <v>218892.19400000002</v>
      </c>
      <c r="D44" s="17">
        <v>19470.259999999998</v>
      </c>
      <c r="E44" s="17">
        <v>6464.4600000000009</v>
      </c>
      <c r="F44" s="17">
        <v>1579.1100000000001</v>
      </c>
      <c r="G44" s="17">
        <v>2639.09</v>
      </c>
      <c r="H44" s="17">
        <v>13407.355</v>
      </c>
      <c r="I44" s="17">
        <v>19725.648999999998</v>
      </c>
      <c r="J44" s="17">
        <v>23234.429999999997</v>
      </c>
      <c r="K44" s="17">
        <v>24897.599999999999</v>
      </c>
      <c r="L44" s="17">
        <v>32825.94</v>
      </c>
      <c r="M44" s="17">
        <v>32321.54</v>
      </c>
      <c r="N44" s="17">
        <v>25157.949999999997</v>
      </c>
      <c r="O44" s="17">
        <v>17168.810000000001</v>
      </c>
      <c r="P44" s="70">
        <v>218892.19400000002</v>
      </c>
    </row>
    <row r="45" spans="1:18" ht="11.1" customHeight="1">
      <c r="A45" s="21"/>
      <c r="B45" s="76">
        <v>2018</v>
      </c>
      <c r="C45" s="70">
        <v>274879.06149999995</v>
      </c>
      <c r="D45" s="17">
        <v>20790.86</v>
      </c>
      <c r="E45" s="17">
        <v>16743.919999999998</v>
      </c>
      <c r="F45" s="17">
        <v>5276.25</v>
      </c>
      <c r="G45" s="17">
        <v>6659</v>
      </c>
      <c r="H45" s="17">
        <v>12766.73</v>
      </c>
      <c r="I45" s="17">
        <v>22177.027000000002</v>
      </c>
      <c r="J45" s="17">
        <v>28676.483</v>
      </c>
      <c r="K45" s="17">
        <v>31771.78</v>
      </c>
      <c r="L45" s="17">
        <v>30984.25</v>
      </c>
      <c r="M45" s="17">
        <v>33516.103999999999</v>
      </c>
      <c r="N45" s="17">
        <v>32835.002500000002</v>
      </c>
      <c r="O45" s="17">
        <v>32681.654999999999</v>
      </c>
      <c r="P45" s="70">
        <v>274879.06149999995</v>
      </c>
    </row>
    <row r="46" spans="1:18" ht="11.1" customHeight="1">
      <c r="A46" s="21"/>
      <c r="B46" s="76">
        <v>2019</v>
      </c>
      <c r="C46" s="70">
        <v>264655.67500000005</v>
      </c>
      <c r="D46" s="17">
        <v>18735.75</v>
      </c>
      <c r="E46" s="17">
        <v>11210.75</v>
      </c>
      <c r="F46" s="17">
        <v>13700.47</v>
      </c>
      <c r="G46" s="17">
        <v>21053.705000000002</v>
      </c>
      <c r="H46" s="17">
        <v>18767.53</v>
      </c>
      <c r="I46" s="17">
        <v>22523.97</v>
      </c>
      <c r="J46" s="17">
        <v>31975.22</v>
      </c>
      <c r="K46" s="17">
        <v>25586.45</v>
      </c>
      <c r="L46" s="17">
        <v>27828</v>
      </c>
      <c r="M46" s="17">
        <v>28103.059999999998</v>
      </c>
      <c r="N46" s="17">
        <v>25387.89</v>
      </c>
      <c r="O46" s="17">
        <v>19782.879999999997</v>
      </c>
      <c r="P46" s="70">
        <v>264655.67500000005</v>
      </c>
    </row>
    <row r="47" spans="1:18" ht="11.1" customHeight="1">
      <c r="A47" s="21"/>
      <c r="B47" s="76">
        <v>2020</v>
      </c>
      <c r="C47" s="70">
        <v>231474.16400000002</v>
      </c>
      <c r="D47" s="17">
        <v>19022.72</v>
      </c>
      <c r="E47" s="17">
        <v>8141.93</v>
      </c>
      <c r="F47" s="17">
        <v>10345.569999999998</v>
      </c>
      <c r="G47" s="17">
        <v>15620.75</v>
      </c>
      <c r="H47" s="17">
        <v>20507.900000000001</v>
      </c>
      <c r="I47" s="17">
        <v>17659.91</v>
      </c>
      <c r="J47" s="17">
        <v>23738.504999999997</v>
      </c>
      <c r="K47" s="17">
        <v>24020.190000000002</v>
      </c>
      <c r="L47" s="17">
        <v>15870.43</v>
      </c>
      <c r="M47" s="17">
        <v>24818.209000000003</v>
      </c>
      <c r="N47" s="17">
        <v>25323.850000000002</v>
      </c>
      <c r="O47" s="17">
        <v>26404.2</v>
      </c>
      <c r="P47" s="70">
        <v>231474.16400000002</v>
      </c>
      <c r="R47" s="156"/>
    </row>
    <row r="48" spans="1:18" ht="11.1" customHeight="1">
      <c r="A48" s="21"/>
      <c r="B48" s="76">
        <v>2021</v>
      </c>
      <c r="C48" s="70">
        <v>243283.37400000001</v>
      </c>
      <c r="D48" s="17">
        <v>19351.689999999999</v>
      </c>
      <c r="E48" s="17">
        <v>21282.075000000001</v>
      </c>
      <c r="F48" s="17">
        <v>8647.4500000000007</v>
      </c>
      <c r="G48" s="17">
        <v>20058.925000000003</v>
      </c>
      <c r="H48" s="17">
        <v>20971</v>
      </c>
      <c r="I48" s="17">
        <v>21725.99</v>
      </c>
      <c r="J48" s="17">
        <v>19814.39</v>
      </c>
      <c r="K48" s="17">
        <v>14713.44</v>
      </c>
      <c r="L48" s="17">
        <v>22492.333999999999</v>
      </c>
      <c r="M48" s="17">
        <v>23044.57</v>
      </c>
      <c r="N48" s="17">
        <v>24918.21</v>
      </c>
      <c r="O48" s="17">
        <v>26263.300000000003</v>
      </c>
      <c r="P48" s="70">
        <v>243283.37400000001</v>
      </c>
    </row>
    <row r="49" spans="1:18" ht="11.1" customHeight="1">
      <c r="A49" s="21"/>
      <c r="B49" s="76">
        <v>2022</v>
      </c>
      <c r="C49" s="70">
        <v>249512.55</v>
      </c>
      <c r="D49" s="17">
        <v>18074</v>
      </c>
      <c r="E49" s="17">
        <v>15317.75</v>
      </c>
      <c r="F49" s="17">
        <v>8291.6</v>
      </c>
      <c r="G49" s="17">
        <v>23135.599999999999</v>
      </c>
      <c r="H49" s="17">
        <v>20310.7</v>
      </c>
      <c r="I49" s="17">
        <v>23284.3</v>
      </c>
      <c r="J49" s="17">
        <v>24078.7</v>
      </c>
      <c r="K49" s="17">
        <v>23566.85</v>
      </c>
      <c r="L49" s="17">
        <v>23820.400000000001</v>
      </c>
      <c r="M49" s="17">
        <v>24497.649999999998</v>
      </c>
      <c r="N49" s="17">
        <v>22076.25</v>
      </c>
      <c r="O49" s="17">
        <v>23058.75</v>
      </c>
      <c r="P49" s="70">
        <v>249512.55</v>
      </c>
    </row>
    <row r="50" spans="1:18" ht="11.1" customHeight="1">
      <c r="A50" s="21"/>
      <c r="B50" s="76">
        <v>2023</v>
      </c>
      <c r="C50" s="70">
        <v>193076.8</v>
      </c>
      <c r="D50" s="77">
        <v>19267.25</v>
      </c>
      <c r="E50" s="77">
        <v>18168.349999999999</v>
      </c>
      <c r="F50" s="77">
        <v>6539.95</v>
      </c>
      <c r="G50" s="77">
        <v>3152.25</v>
      </c>
      <c r="H50" s="17">
        <v>15479.37</v>
      </c>
      <c r="I50" s="17">
        <v>13428.5</v>
      </c>
      <c r="J50" s="17">
        <v>19564.950000000004</v>
      </c>
      <c r="K50" s="17">
        <v>20891.09</v>
      </c>
      <c r="L50" s="17">
        <v>19492</v>
      </c>
      <c r="M50" s="17">
        <v>19278.22</v>
      </c>
      <c r="N50" s="17">
        <v>17559.78</v>
      </c>
      <c r="O50" s="17">
        <v>20255.089999999997</v>
      </c>
      <c r="P50" s="70">
        <v>193076.8</v>
      </c>
    </row>
    <row r="51" spans="1:18" ht="11.1" customHeight="1">
      <c r="A51" s="21"/>
      <c r="B51" s="76">
        <v>2024</v>
      </c>
      <c r="C51" s="70">
        <v>227901.98199999999</v>
      </c>
      <c r="D51" s="77">
        <v>19500.400000000001</v>
      </c>
      <c r="E51" s="77">
        <v>16668.949999999997</v>
      </c>
      <c r="F51" s="77">
        <v>11972.85</v>
      </c>
      <c r="G51" s="77">
        <v>9766.4499999999989</v>
      </c>
      <c r="H51" s="17">
        <v>21407.1</v>
      </c>
      <c r="I51" s="17">
        <v>15709.3</v>
      </c>
      <c r="J51" s="17">
        <v>17558.07</v>
      </c>
      <c r="K51" s="17">
        <v>26831.112000000001</v>
      </c>
      <c r="L51" s="17">
        <v>22262</v>
      </c>
      <c r="M51" s="17">
        <v>23489.9</v>
      </c>
      <c r="N51" s="17">
        <v>20967.400000000001</v>
      </c>
      <c r="O51" s="17">
        <v>21768.45</v>
      </c>
      <c r="P51" s="70">
        <v>227901.98199999999</v>
      </c>
    </row>
    <row r="52" spans="1:18" ht="11.1" customHeight="1">
      <c r="A52" s="21"/>
      <c r="B52" s="76">
        <v>2025</v>
      </c>
      <c r="C52" s="70">
        <v>142006.09672</v>
      </c>
      <c r="D52" s="77">
        <v>16488.400000000001</v>
      </c>
      <c r="E52" s="77">
        <v>9706.1</v>
      </c>
      <c r="F52" s="77">
        <v>11961.45</v>
      </c>
      <c r="G52" s="17">
        <v>10223.299999999999</v>
      </c>
      <c r="H52" s="17">
        <v>9933</v>
      </c>
      <c r="I52" s="17">
        <v>18640</v>
      </c>
      <c r="J52" s="17">
        <v>21918.616719999998</v>
      </c>
      <c r="K52" s="17">
        <v>19420</v>
      </c>
      <c r="L52" s="17">
        <v>23715.23</v>
      </c>
      <c r="M52" s="17"/>
      <c r="N52" s="17"/>
      <c r="O52" s="17"/>
      <c r="P52" s="70">
        <v>142006.09672</v>
      </c>
    </row>
    <row r="53" spans="1:18" ht="11.1" customHeight="1">
      <c r="A53" s="21" t="s">
        <v>198</v>
      </c>
      <c r="B53" s="76">
        <v>2010</v>
      </c>
      <c r="C53" s="70">
        <v>519448.27600000001</v>
      </c>
      <c r="D53" s="17">
        <v>43224.361999999994</v>
      </c>
      <c r="E53" s="17">
        <v>25862.337</v>
      </c>
      <c r="F53" s="17">
        <v>48675.188000000002</v>
      </c>
      <c r="G53" s="17">
        <v>38445.692999999999</v>
      </c>
      <c r="H53" s="17">
        <v>25915.3</v>
      </c>
      <c r="I53" s="17">
        <v>34468.71</v>
      </c>
      <c r="J53" s="17">
        <v>52481.62</v>
      </c>
      <c r="K53" s="17">
        <v>53025.600999999995</v>
      </c>
      <c r="L53" s="17">
        <v>51314.565000000002</v>
      </c>
      <c r="M53" s="17">
        <v>43196.175000000003</v>
      </c>
      <c r="N53" s="17">
        <v>50882.231999999996</v>
      </c>
      <c r="O53" s="17">
        <v>51956.493000000002</v>
      </c>
      <c r="P53" s="70">
        <v>519448.27600000001</v>
      </c>
    </row>
    <row r="54" spans="1:18" ht="11.1" customHeight="1">
      <c r="A54" s="21"/>
      <c r="B54" s="76">
        <v>2011</v>
      </c>
      <c r="C54" s="70">
        <v>543624.49199999997</v>
      </c>
      <c r="D54" s="17">
        <v>49393.745999999999</v>
      </c>
      <c r="E54" s="17">
        <v>45382.788</v>
      </c>
      <c r="F54" s="17">
        <v>49024.544000000002</v>
      </c>
      <c r="G54" s="17">
        <v>38879.100000000006</v>
      </c>
      <c r="H54" s="17">
        <v>36585.936000000002</v>
      </c>
      <c r="I54" s="17">
        <v>24801.47</v>
      </c>
      <c r="J54" s="17">
        <v>35262.89</v>
      </c>
      <c r="K54" s="17">
        <v>51209.213999999993</v>
      </c>
      <c r="L54" s="17">
        <v>49596.123</v>
      </c>
      <c r="M54" s="17">
        <v>53549.675999999999</v>
      </c>
      <c r="N54" s="17">
        <v>55946.17</v>
      </c>
      <c r="O54" s="17">
        <v>53992.834999999992</v>
      </c>
      <c r="P54" s="70">
        <v>543624.49199999997</v>
      </c>
      <c r="R54" s="156"/>
    </row>
    <row r="55" spans="1:18" ht="11.1" customHeight="1">
      <c r="A55" s="21"/>
      <c r="B55" s="76">
        <v>2012</v>
      </c>
      <c r="C55" s="70">
        <v>562107.18300000008</v>
      </c>
      <c r="D55" s="17">
        <v>44828.262999999999</v>
      </c>
      <c r="E55" s="17">
        <v>49159.252</v>
      </c>
      <c r="F55" s="17">
        <v>53216.959000000003</v>
      </c>
      <c r="G55" s="17">
        <v>37501.842999999993</v>
      </c>
      <c r="H55" s="17">
        <v>31609.510000000002</v>
      </c>
      <c r="I55" s="17">
        <v>29765.399999999998</v>
      </c>
      <c r="J55" s="17">
        <v>41804.04</v>
      </c>
      <c r="K55" s="17">
        <v>57024.064000000006</v>
      </c>
      <c r="L55" s="17">
        <v>54264.312000000005</v>
      </c>
      <c r="M55" s="17">
        <v>55480.133999999998</v>
      </c>
      <c r="N55" s="17">
        <v>55597.836000000003</v>
      </c>
      <c r="O55" s="17">
        <v>51855.569999999992</v>
      </c>
      <c r="P55" s="70">
        <v>562107.18300000008</v>
      </c>
    </row>
    <row r="56" spans="1:18" ht="11.1" customHeight="1">
      <c r="A56" s="21"/>
      <c r="B56" s="76">
        <v>2013</v>
      </c>
      <c r="C56" s="70">
        <v>574422.42599999998</v>
      </c>
      <c r="D56" s="17">
        <v>39896.945999999996</v>
      </c>
      <c r="E56" s="17">
        <v>48701.768000000004</v>
      </c>
      <c r="F56" s="17">
        <v>40894.627999999997</v>
      </c>
      <c r="G56" s="17">
        <v>50542.457999999999</v>
      </c>
      <c r="H56" s="17">
        <v>45324.565999999999</v>
      </c>
      <c r="I56" s="17">
        <v>39751.72</v>
      </c>
      <c r="J56" s="17">
        <v>23996.15</v>
      </c>
      <c r="K56" s="17">
        <v>47528.326000000001</v>
      </c>
      <c r="L56" s="17">
        <v>60894.403999999995</v>
      </c>
      <c r="M56" s="17">
        <v>60117.95</v>
      </c>
      <c r="N56" s="17">
        <v>57756.294999999998</v>
      </c>
      <c r="O56" s="17">
        <v>59017.214999999997</v>
      </c>
      <c r="P56" s="70">
        <v>574422.42599999998</v>
      </c>
    </row>
    <row r="57" spans="1:18" ht="11.1" customHeight="1">
      <c r="A57" s="21"/>
      <c r="B57" s="76">
        <v>2014</v>
      </c>
      <c r="C57" s="70">
        <v>633993.71900000004</v>
      </c>
      <c r="D57" s="17">
        <v>45394.806999999993</v>
      </c>
      <c r="E57" s="17">
        <v>52322.743000000002</v>
      </c>
      <c r="F57" s="17">
        <v>52819.895000000004</v>
      </c>
      <c r="G57" s="17">
        <v>55952.570999999996</v>
      </c>
      <c r="H57" s="17">
        <v>48906.565999999999</v>
      </c>
      <c r="I57" s="17">
        <v>32799.228000000003</v>
      </c>
      <c r="J57" s="17">
        <v>30829.702999999998</v>
      </c>
      <c r="K57" s="17">
        <v>61603.122000000003</v>
      </c>
      <c r="L57" s="17">
        <v>62463.898000000001</v>
      </c>
      <c r="M57" s="17">
        <v>64073.948999999993</v>
      </c>
      <c r="N57" s="17">
        <v>63349.305000000008</v>
      </c>
      <c r="O57" s="17">
        <v>63477.932000000001</v>
      </c>
      <c r="P57" s="70">
        <v>633993.71900000004</v>
      </c>
    </row>
    <row r="58" spans="1:18" ht="11.1" customHeight="1">
      <c r="A58" s="21"/>
      <c r="B58" s="76">
        <v>2015</v>
      </c>
      <c r="C58" s="70">
        <v>630030.29</v>
      </c>
      <c r="D58" s="17">
        <v>48668.86</v>
      </c>
      <c r="E58" s="17">
        <v>54243.764999999999</v>
      </c>
      <c r="F58" s="17">
        <v>52777.345000000001</v>
      </c>
      <c r="G58" s="17">
        <v>40924.002</v>
      </c>
      <c r="H58" s="17">
        <v>30094.547999999999</v>
      </c>
      <c r="I58" s="17">
        <v>39816.573000000004</v>
      </c>
      <c r="J58" s="17">
        <v>33069.440999999999</v>
      </c>
      <c r="K58" s="17">
        <v>58811.202999999994</v>
      </c>
      <c r="L58" s="17">
        <v>54337.773999999998</v>
      </c>
      <c r="M58" s="17">
        <v>78053.97099999999</v>
      </c>
      <c r="N58" s="17">
        <v>63830.67</v>
      </c>
      <c r="O58" s="17">
        <v>75402.137999999992</v>
      </c>
      <c r="P58" s="70">
        <v>630030.29</v>
      </c>
    </row>
    <row r="59" spans="1:18" ht="11.1" customHeight="1">
      <c r="A59" s="21"/>
      <c r="B59" s="76">
        <v>2016</v>
      </c>
      <c r="C59" s="70">
        <v>647154.81800000009</v>
      </c>
      <c r="D59" s="17">
        <v>65812.678000000014</v>
      </c>
      <c r="E59" s="17">
        <v>52567.468000000008</v>
      </c>
      <c r="F59" s="17">
        <v>33592.479999999996</v>
      </c>
      <c r="G59" s="17">
        <v>22784.19</v>
      </c>
      <c r="H59" s="17">
        <v>30133.229999999996</v>
      </c>
      <c r="I59" s="17">
        <v>50987.198999999993</v>
      </c>
      <c r="J59" s="17">
        <v>76730.39</v>
      </c>
      <c r="K59" s="17">
        <v>63705.036000000007</v>
      </c>
      <c r="L59" s="17">
        <v>70446.964999999997</v>
      </c>
      <c r="M59" s="17">
        <v>58015.450000000004</v>
      </c>
      <c r="N59" s="17">
        <v>59886.013000000006</v>
      </c>
      <c r="O59" s="17">
        <v>62493.718999999997</v>
      </c>
      <c r="P59" s="70">
        <v>647154.81800000009</v>
      </c>
    </row>
    <row r="60" spans="1:18" ht="11.1" customHeight="1">
      <c r="A60" s="21"/>
      <c r="B60" s="76">
        <v>2017</v>
      </c>
      <c r="C60" s="70">
        <v>595225.59000000008</v>
      </c>
      <c r="D60" s="17">
        <v>61740.472000000002</v>
      </c>
      <c r="E60" s="17">
        <v>51743.362999999998</v>
      </c>
      <c r="F60" s="17">
        <v>18523.031999999999</v>
      </c>
      <c r="G60" s="17">
        <v>39101.408000000003</v>
      </c>
      <c r="H60" s="17">
        <v>39928.391000000003</v>
      </c>
      <c r="I60" s="17">
        <v>25425.17</v>
      </c>
      <c r="J60" s="17">
        <v>51219.503000000004</v>
      </c>
      <c r="K60" s="17">
        <v>64709.964</v>
      </c>
      <c r="L60" s="17">
        <v>60450.195</v>
      </c>
      <c r="M60" s="17">
        <v>65703.26400000001</v>
      </c>
      <c r="N60" s="17">
        <v>57935.864999999998</v>
      </c>
      <c r="O60" s="17">
        <v>58744.963000000003</v>
      </c>
      <c r="P60" s="70">
        <v>595225.59000000008</v>
      </c>
    </row>
    <row r="61" spans="1:18" ht="11.1" customHeight="1">
      <c r="A61" s="21"/>
      <c r="B61" s="76">
        <v>2018</v>
      </c>
      <c r="C61" s="70">
        <v>587844.27500000002</v>
      </c>
      <c r="D61" s="17">
        <v>61322.417000000001</v>
      </c>
      <c r="E61" s="17">
        <v>34674.404999999999</v>
      </c>
      <c r="F61" s="17">
        <v>35212.131999999998</v>
      </c>
      <c r="G61" s="17">
        <v>46970.25</v>
      </c>
      <c r="H61" s="17">
        <v>45370.877999999997</v>
      </c>
      <c r="I61" s="17">
        <v>48212.614000000001</v>
      </c>
      <c r="J61" s="17">
        <v>42599.847999999998</v>
      </c>
      <c r="K61" s="17">
        <v>47023.486999999994</v>
      </c>
      <c r="L61" s="17">
        <v>49653.223999999995</v>
      </c>
      <c r="M61" s="17">
        <v>54511.207999999999</v>
      </c>
      <c r="N61" s="17">
        <v>60309.625</v>
      </c>
      <c r="O61" s="17">
        <v>61984.186999999998</v>
      </c>
      <c r="P61" s="70">
        <v>587844.27500000002</v>
      </c>
    </row>
    <row r="62" spans="1:18" ht="11.1" customHeight="1">
      <c r="A62" s="21"/>
      <c r="B62" s="76">
        <v>2019</v>
      </c>
      <c r="C62" s="70">
        <v>618388.80499999993</v>
      </c>
      <c r="D62" s="17">
        <v>48497.128000000004</v>
      </c>
      <c r="E62" s="17">
        <v>45321.38</v>
      </c>
      <c r="F62" s="17">
        <v>54425.342000000004</v>
      </c>
      <c r="G62" s="17">
        <v>35677.527999999998</v>
      </c>
      <c r="H62" s="17">
        <v>36600.201000000001</v>
      </c>
      <c r="I62" s="17">
        <v>34007.68</v>
      </c>
      <c r="J62" s="17">
        <v>55241.224000000002</v>
      </c>
      <c r="K62" s="17">
        <v>61724.777999999998</v>
      </c>
      <c r="L62" s="17">
        <v>61397.190999999999</v>
      </c>
      <c r="M62" s="17">
        <v>63692.096000000005</v>
      </c>
      <c r="N62" s="17">
        <v>60851.766999999993</v>
      </c>
      <c r="O62" s="17">
        <v>60952.49</v>
      </c>
      <c r="P62" s="70">
        <v>618388.80499999993</v>
      </c>
    </row>
    <row r="63" spans="1:18" ht="11.1" customHeight="1">
      <c r="A63" s="21"/>
      <c r="B63" s="76">
        <v>2020</v>
      </c>
      <c r="C63" s="70">
        <v>638051.78247229999</v>
      </c>
      <c r="D63" s="17">
        <v>47984.493999999999</v>
      </c>
      <c r="E63" s="17">
        <v>54267.934999999998</v>
      </c>
      <c r="F63" s="17">
        <v>31160.215</v>
      </c>
      <c r="G63" s="17">
        <v>32884.487999999998</v>
      </c>
      <c r="H63" s="17">
        <v>49002.694000000003</v>
      </c>
      <c r="I63" s="17">
        <v>56081.743999999999</v>
      </c>
      <c r="J63" s="17">
        <v>58461.594000000005</v>
      </c>
      <c r="K63" s="17">
        <v>56004.697999999997</v>
      </c>
      <c r="L63" s="17">
        <v>65745.702999999994</v>
      </c>
      <c r="M63" s="17">
        <v>63096.368999999999</v>
      </c>
      <c r="N63" s="17">
        <v>58377.739000000001</v>
      </c>
      <c r="O63" s="17">
        <v>64984.109472299999</v>
      </c>
      <c r="P63" s="70">
        <v>638051.78247229999</v>
      </c>
    </row>
    <row r="64" spans="1:18" ht="11.1" customHeight="1">
      <c r="A64" s="21"/>
      <c r="B64" s="76">
        <v>2021</v>
      </c>
      <c r="C64" s="70">
        <v>531566.94298017409</v>
      </c>
      <c r="D64" s="17">
        <v>36992.826999999997</v>
      </c>
      <c r="E64" s="17">
        <v>53374.02</v>
      </c>
      <c r="F64" s="17">
        <v>45363.846000000005</v>
      </c>
      <c r="G64" s="17">
        <v>24114.646999999997</v>
      </c>
      <c r="H64" s="17">
        <v>29821.488923168617</v>
      </c>
      <c r="I64" s="17">
        <v>29432.472999999998</v>
      </c>
      <c r="J64" s="17">
        <v>41434.695</v>
      </c>
      <c r="K64" s="17">
        <v>55863.878000000004</v>
      </c>
      <c r="L64" s="17">
        <v>50796.184000000001</v>
      </c>
      <c r="M64" s="17">
        <v>57641.530000000006</v>
      </c>
      <c r="N64" s="17">
        <v>53346.926147618877</v>
      </c>
      <c r="O64" s="17">
        <v>53384.427909386533</v>
      </c>
      <c r="P64" s="70">
        <v>531566.94298017409</v>
      </c>
    </row>
    <row r="65" spans="1:18" ht="11.1" customHeight="1">
      <c r="A65" s="21"/>
      <c r="B65" s="76">
        <v>2022</v>
      </c>
      <c r="C65" s="70">
        <v>561888.94220736111</v>
      </c>
      <c r="D65" s="17">
        <v>45150.396199272625</v>
      </c>
      <c r="E65" s="17">
        <v>46062.100168117147</v>
      </c>
      <c r="F65" s="17">
        <v>44376.284999999996</v>
      </c>
      <c r="G65" s="17">
        <v>24697.134482968864</v>
      </c>
      <c r="H65" s="17">
        <v>38836.895000000004</v>
      </c>
      <c r="I65" s="17">
        <v>43372.504000000001</v>
      </c>
      <c r="J65" s="17">
        <v>54865.087502920112</v>
      </c>
      <c r="K65" s="17">
        <v>46698.779854082342</v>
      </c>
      <c r="L65" s="17">
        <v>42674.89</v>
      </c>
      <c r="M65" s="17">
        <v>60535.11</v>
      </c>
      <c r="N65" s="17">
        <v>56318.164999999994</v>
      </c>
      <c r="O65" s="17">
        <v>58301.595000000001</v>
      </c>
      <c r="P65" s="70">
        <v>561888.94220736111</v>
      </c>
    </row>
    <row r="66" spans="1:18" ht="11.1" customHeight="1">
      <c r="A66" s="21"/>
      <c r="B66" s="76">
        <v>2023</v>
      </c>
      <c r="C66" s="70">
        <v>549676.94389317126</v>
      </c>
      <c r="D66" s="77">
        <v>44598.729999999996</v>
      </c>
      <c r="E66" s="77">
        <v>47972.763304126143</v>
      </c>
      <c r="F66" s="77">
        <v>45949.840935196342</v>
      </c>
      <c r="G66" s="77">
        <v>24840.436000000002</v>
      </c>
      <c r="H66" s="77">
        <v>32804.284831000878</v>
      </c>
      <c r="I66" s="77">
        <v>37825.033589977342</v>
      </c>
      <c r="J66" s="17">
        <v>51969.929566671111</v>
      </c>
      <c r="K66" s="17">
        <v>55397.385000000002</v>
      </c>
      <c r="L66" s="17">
        <v>48026.6</v>
      </c>
      <c r="M66" s="17">
        <v>57272.373710694475</v>
      </c>
      <c r="N66" s="17">
        <v>49064.258999999998</v>
      </c>
      <c r="O66" s="17">
        <v>53955.307955504919</v>
      </c>
      <c r="P66" s="70">
        <v>549676.94389317126</v>
      </c>
    </row>
    <row r="67" spans="1:18" ht="11.1" customHeight="1">
      <c r="A67" s="21"/>
      <c r="B67" s="76">
        <v>2024</v>
      </c>
      <c r="C67" s="70">
        <v>510236.53483288269</v>
      </c>
      <c r="D67" s="77">
        <v>34247.812656375863</v>
      </c>
      <c r="E67" s="77">
        <v>46157.581149981947</v>
      </c>
      <c r="F67" s="77">
        <v>32939.854574724915</v>
      </c>
      <c r="G67" s="77">
        <v>24203.245000000003</v>
      </c>
      <c r="H67" s="77">
        <v>37071.494541131571</v>
      </c>
      <c r="I67" s="77">
        <v>29699.052735204801</v>
      </c>
      <c r="J67" s="17">
        <v>43411.747374840372</v>
      </c>
      <c r="K67" s="17">
        <v>50281.81034235032</v>
      </c>
      <c r="L67" s="17">
        <v>46288.616903799593</v>
      </c>
      <c r="M67" s="17">
        <v>58995.59199999999</v>
      </c>
      <c r="N67" s="17">
        <v>52549.236362132564</v>
      </c>
      <c r="O67" s="17">
        <v>54390.491192340742</v>
      </c>
      <c r="P67" s="70">
        <v>510236.53483288269</v>
      </c>
    </row>
    <row r="68" spans="1:18" ht="11.1" customHeight="1">
      <c r="A68" s="78"/>
      <c r="B68" s="76">
        <v>2025</v>
      </c>
      <c r="C68" s="70">
        <v>384037.85156080709</v>
      </c>
      <c r="D68" s="77">
        <v>42058.056632542182</v>
      </c>
      <c r="E68" s="77">
        <v>49364.116342789319</v>
      </c>
      <c r="F68" s="77">
        <v>37996.604999999996</v>
      </c>
      <c r="G68" s="77">
        <v>33940.489000000001</v>
      </c>
      <c r="H68" s="77">
        <v>30365.063985205845</v>
      </c>
      <c r="I68" s="77">
        <v>29771.385600269743</v>
      </c>
      <c r="J68" s="17">
        <v>55203.488000000005</v>
      </c>
      <c r="K68" s="17">
        <v>46070</v>
      </c>
      <c r="L68" s="17">
        <v>59268.646999999997</v>
      </c>
      <c r="M68" s="17"/>
      <c r="N68" s="17"/>
      <c r="O68" s="17"/>
      <c r="P68" s="70">
        <v>384037.85156080709</v>
      </c>
    </row>
    <row r="69" spans="1:18" ht="13.5">
      <c r="A69" s="64"/>
      <c r="B69" s="79"/>
      <c r="C69" s="80"/>
      <c r="D69" s="80"/>
      <c r="E69" s="81"/>
      <c r="F69" s="80"/>
      <c r="G69" s="80"/>
      <c r="H69" s="82"/>
      <c r="I69" s="83"/>
      <c r="J69" s="83"/>
      <c r="K69" s="83"/>
      <c r="L69" s="83"/>
      <c r="M69" s="83"/>
      <c r="N69" s="83"/>
      <c r="O69" s="84" t="s">
        <v>41</v>
      </c>
      <c r="P69" s="84" t="s">
        <v>41</v>
      </c>
      <c r="R69" s="157" t="s">
        <v>199</v>
      </c>
    </row>
    <row r="70" spans="1:18" ht="13.5">
      <c r="A70" s="21" t="s">
        <v>119</v>
      </c>
      <c r="B70" s="85"/>
      <c r="C70" s="20"/>
      <c r="D70" s="20"/>
      <c r="E70" s="19"/>
      <c r="F70" s="20"/>
      <c r="G70" s="20"/>
      <c r="H70" s="19"/>
      <c r="I70" s="18"/>
      <c r="J70" s="18"/>
      <c r="K70" s="18"/>
      <c r="L70" s="18"/>
      <c r="M70" s="17"/>
      <c r="N70" s="18"/>
      <c r="O70" s="18"/>
      <c r="P70" s="64"/>
    </row>
    <row r="71" spans="1:18" ht="14.1" customHeight="1">
      <c r="A71" s="66" t="s">
        <v>40</v>
      </c>
      <c r="B71" s="67" t="s">
        <v>39</v>
      </c>
      <c r="C71" s="67" t="s">
        <v>127</v>
      </c>
      <c r="D71" s="67" t="s">
        <v>38</v>
      </c>
      <c r="E71" s="67" t="s">
        <v>37</v>
      </c>
      <c r="F71" s="68" t="s">
        <v>36</v>
      </c>
      <c r="G71" s="67" t="s">
        <v>35</v>
      </c>
      <c r="H71" s="67" t="s">
        <v>34</v>
      </c>
      <c r="I71" s="67" t="s">
        <v>33</v>
      </c>
      <c r="J71" s="67" t="s">
        <v>32</v>
      </c>
      <c r="K71" s="67" t="s">
        <v>31</v>
      </c>
      <c r="L71" s="67" t="s">
        <v>30</v>
      </c>
      <c r="M71" s="67" t="s">
        <v>29</v>
      </c>
      <c r="N71" s="67" t="s">
        <v>28</v>
      </c>
      <c r="O71" s="67" t="s">
        <v>27</v>
      </c>
      <c r="P71" s="67" t="s">
        <v>26</v>
      </c>
    </row>
    <row r="72" spans="1:18" ht="2.25" customHeight="1">
      <c r="A72" s="38"/>
      <c r="B72" s="86"/>
      <c r="C72" s="8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70"/>
    </row>
    <row r="73" spans="1:18" ht="11.85" customHeight="1">
      <c r="A73" s="21" t="s">
        <v>25</v>
      </c>
      <c r="B73" s="76">
        <v>2010</v>
      </c>
      <c r="C73" s="70">
        <v>67928.179000000004</v>
      </c>
      <c r="D73" s="17">
        <v>7068.9</v>
      </c>
      <c r="E73" s="17">
        <v>6714.34</v>
      </c>
      <c r="F73" s="17">
        <v>6158.2039999999997</v>
      </c>
      <c r="G73" s="17">
        <v>3001.3</v>
      </c>
      <c r="H73" s="17">
        <v>6041.8</v>
      </c>
      <c r="I73" s="17">
        <v>5763.7</v>
      </c>
      <c r="J73" s="17">
        <v>5778.5</v>
      </c>
      <c r="K73" s="17">
        <v>4215.25</v>
      </c>
      <c r="L73" s="17">
        <v>269.5</v>
      </c>
      <c r="M73" s="17">
        <v>6733.5290000000005</v>
      </c>
      <c r="N73" s="17">
        <v>7926.768</v>
      </c>
      <c r="O73" s="17">
        <v>8256.3880000000008</v>
      </c>
      <c r="P73" s="70">
        <v>67928.179000000004</v>
      </c>
    </row>
    <row r="74" spans="1:18" ht="11.85" customHeight="1">
      <c r="A74" s="21"/>
      <c r="B74" s="76">
        <v>2011</v>
      </c>
      <c r="C74" s="70">
        <v>80112.424343200008</v>
      </c>
      <c r="D74" s="17">
        <v>8462.0830000000005</v>
      </c>
      <c r="E74" s="17">
        <v>4507.3220000000001</v>
      </c>
      <c r="F74" s="17">
        <v>7845.3230000000003</v>
      </c>
      <c r="G74" s="17">
        <v>8013.6139999999996</v>
      </c>
      <c r="H74" s="17">
        <v>7409.56</v>
      </c>
      <c r="I74" s="17">
        <v>7456.54</v>
      </c>
      <c r="J74" s="17">
        <v>7727.8824999999997</v>
      </c>
      <c r="K74" s="17">
        <v>7574.5150000000003</v>
      </c>
      <c r="L74" s="17">
        <v>0</v>
      </c>
      <c r="M74" s="17">
        <v>5008.5518432000008</v>
      </c>
      <c r="N74" s="17">
        <v>7734.8590000000004</v>
      </c>
      <c r="O74" s="17">
        <v>8372.1740000000009</v>
      </c>
      <c r="P74" s="70">
        <v>80112.424343200008</v>
      </c>
    </row>
    <row r="75" spans="1:18" ht="11.85" customHeight="1">
      <c r="A75" s="21"/>
      <c r="B75" s="76">
        <v>2012</v>
      </c>
      <c r="C75" s="70">
        <v>83717.058000000005</v>
      </c>
      <c r="D75" s="17">
        <v>7866.1760000000004</v>
      </c>
      <c r="E75" s="17">
        <v>7675.2619999999997</v>
      </c>
      <c r="F75" s="17">
        <v>7417.3869999999997</v>
      </c>
      <c r="G75" s="17">
        <v>6033.5950000000003</v>
      </c>
      <c r="H75" s="17">
        <v>7868.1080000000002</v>
      </c>
      <c r="I75" s="17">
        <v>1971.9069999999999</v>
      </c>
      <c r="J75" s="17">
        <v>0</v>
      </c>
      <c r="K75" s="17">
        <v>8771.616</v>
      </c>
      <c r="L75" s="17">
        <v>9518.1239999999998</v>
      </c>
      <c r="M75" s="17">
        <v>8470.7129999999997</v>
      </c>
      <c r="N75" s="17">
        <v>9677.1170000000002</v>
      </c>
      <c r="O75" s="17">
        <v>8447.0529999999999</v>
      </c>
      <c r="P75" s="70">
        <v>83717.058000000005</v>
      </c>
    </row>
    <row r="76" spans="1:18" ht="11.85" customHeight="1">
      <c r="A76" s="21"/>
      <c r="B76" s="76">
        <v>2013</v>
      </c>
      <c r="C76" s="70">
        <v>101305.80699999999</v>
      </c>
      <c r="D76" s="17">
        <v>8281.8220000000001</v>
      </c>
      <c r="E76" s="17">
        <v>8286.2900000000009</v>
      </c>
      <c r="F76" s="17">
        <v>8322.0689999999995</v>
      </c>
      <c r="G76" s="17">
        <v>8584.8320000000003</v>
      </c>
      <c r="H76" s="17">
        <v>8137.9750000000004</v>
      </c>
      <c r="I76" s="17">
        <v>5988.1170000000002</v>
      </c>
      <c r="J76" s="17">
        <v>5987.3119999999999</v>
      </c>
      <c r="K76" s="17">
        <v>9762.2369999999992</v>
      </c>
      <c r="L76" s="17">
        <v>8508.4120000000003</v>
      </c>
      <c r="M76" s="17">
        <v>9453.7070000000003</v>
      </c>
      <c r="N76" s="17">
        <v>9560.8520000000008</v>
      </c>
      <c r="O76" s="17">
        <v>10432.182000000001</v>
      </c>
      <c r="P76" s="70">
        <v>101305.80699999999</v>
      </c>
    </row>
    <row r="77" spans="1:18" ht="11.85" customHeight="1">
      <c r="A77" s="21"/>
      <c r="B77" s="76">
        <v>2014</v>
      </c>
      <c r="C77" s="70">
        <v>96422.314999999988</v>
      </c>
      <c r="D77" s="17">
        <v>7860.9769999999999</v>
      </c>
      <c r="E77" s="17">
        <v>7707.9089999999997</v>
      </c>
      <c r="F77" s="17">
        <v>9605.4979999999996</v>
      </c>
      <c r="G77" s="17">
        <v>8294.5849999999991</v>
      </c>
      <c r="H77" s="17">
        <v>8738.3379999999997</v>
      </c>
      <c r="I77" s="17">
        <v>7756.9560000000001</v>
      </c>
      <c r="J77" s="17">
        <v>1431.6489999999999</v>
      </c>
      <c r="K77" s="17">
        <v>4231.7179999999998</v>
      </c>
      <c r="L77" s="17">
        <v>9699.5709999999999</v>
      </c>
      <c r="M77" s="17">
        <v>10529.536</v>
      </c>
      <c r="N77" s="17">
        <v>9930.1020000000008</v>
      </c>
      <c r="O77" s="17">
        <v>10635.476000000001</v>
      </c>
      <c r="P77" s="70">
        <v>96422.314999999988</v>
      </c>
    </row>
    <row r="78" spans="1:18" ht="11.85" customHeight="1">
      <c r="A78" s="21"/>
      <c r="B78" s="76">
        <v>2015</v>
      </c>
      <c r="C78" s="70">
        <v>108148.73699999999</v>
      </c>
      <c r="D78" s="17">
        <v>10000.824000000001</v>
      </c>
      <c r="E78" s="17">
        <v>7177.96</v>
      </c>
      <c r="F78" s="17">
        <v>9420.6810000000005</v>
      </c>
      <c r="G78" s="17">
        <v>9519.6260000000002</v>
      </c>
      <c r="H78" s="17">
        <v>9589.9709999999995</v>
      </c>
      <c r="I78" s="17">
        <v>8767.92</v>
      </c>
      <c r="J78" s="17">
        <v>10155.468999999999</v>
      </c>
      <c r="K78" s="17">
        <v>9220.2900000000009</v>
      </c>
      <c r="L78" s="17">
        <v>8973.5609999999997</v>
      </c>
      <c r="M78" s="17">
        <v>2930.0129999999999</v>
      </c>
      <c r="N78" s="17">
        <v>11073.4</v>
      </c>
      <c r="O78" s="17">
        <v>11319.022000000001</v>
      </c>
      <c r="P78" s="70">
        <v>108148.73699999999</v>
      </c>
    </row>
    <row r="79" spans="1:18" ht="11.85" customHeight="1">
      <c r="A79" s="21"/>
      <c r="B79" s="76">
        <v>2016</v>
      </c>
      <c r="C79" s="70">
        <v>112847.88500000001</v>
      </c>
      <c r="D79" s="17">
        <v>10083.040999999999</v>
      </c>
      <c r="E79" s="17">
        <v>10362.344999999999</v>
      </c>
      <c r="F79" s="17">
        <v>8889.6759999999995</v>
      </c>
      <c r="G79" s="17">
        <v>4311.201</v>
      </c>
      <c r="H79" s="17">
        <v>0</v>
      </c>
      <c r="I79" s="17">
        <v>6993.5950000000003</v>
      </c>
      <c r="J79" s="17">
        <v>11601.075000000001</v>
      </c>
      <c r="K79" s="17">
        <v>12482.813</v>
      </c>
      <c r="L79" s="17">
        <v>12715.74</v>
      </c>
      <c r="M79" s="17">
        <v>12430.977999999999</v>
      </c>
      <c r="N79" s="17">
        <v>12239.737999999999</v>
      </c>
      <c r="O79" s="17">
        <v>10737.683000000001</v>
      </c>
      <c r="P79" s="70">
        <v>112847.88500000001</v>
      </c>
    </row>
    <row r="80" spans="1:18" ht="11.85" customHeight="1">
      <c r="A80" s="21"/>
      <c r="B80" s="76">
        <v>2017</v>
      </c>
      <c r="C80" s="70">
        <v>96880.21</v>
      </c>
      <c r="D80" s="17">
        <v>8489.8040000000001</v>
      </c>
      <c r="E80" s="17">
        <v>7897.1909999999998</v>
      </c>
      <c r="F80" s="17">
        <v>4772.8980000000001</v>
      </c>
      <c r="G80" s="17">
        <v>9899.8510000000006</v>
      </c>
      <c r="H80" s="17">
        <v>9823.4570000000003</v>
      </c>
      <c r="I80" s="17">
        <v>8984.3770000000004</v>
      </c>
      <c r="J80" s="17">
        <v>929.08299999999997</v>
      </c>
      <c r="K80" s="17">
        <v>4668.9129999999996</v>
      </c>
      <c r="L80" s="17">
        <v>12160.458000000001</v>
      </c>
      <c r="M80" s="17">
        <v>10635.843000000001</v>
      </c>
      <c r="N80" s="17">
        <v>10412.967000000001</v>
      </c>
      <c r="O80" s="17">
        <v>8205.3680000000004</v>
      </c>
      <c r="P80" s="70">
        <v>96880.21</v>
      </c>
    </row>
    <row r="81" spans="1:16" ht="11.85" customHeight="1">
      <c r="A81" s="21"/>
      <c r="B81" s="76">
        <v>2018</v>
      </c>
      <c r="C81" s="70">
        <v>99122.948000000019</v>
      </c>
      <c r="D81" s="17">
        <v>7394.32</v>
      </c>
      <c r="E81" s="17">
        <v>9616.3130000000001</v>
      </c>
      <c r="F81" s="17">
        <v>9094.0499999999993</v>
      </c>
      <c r="G81" s="17">
        <v>0</v>
      </c>
      <c r="H81" s="17">
        <v>0</v>
      </c>
      <c r="I81" s="17">
        <v>9706.2620000000006</v>
      </c>
      <c r="J81" s="17">
        <v>9652.893</v>
      </c>
      <c r="K81" s="17">
        <v>10939.02</v>
      </c>
      <c r="L81" s="17">
        <v>10378.069</v>
      </c>
      <c r="M81" s="17">
        <v>10570.71</v>
      </c>
      <c r="N81" s="17">
        <v>11490.315000000001</v>
      </c>
      <c r="O81" s="17">
        <v>10280.995999999999</v>
      </c>
      <c r="P81" s="70">
        <v>99122.948000000019</v>
      </c>
    </row>
    <row r="82" spans="1:16" ht="11.85" customHeight="1">
      <c r="A82" s="21"/>
      <c r="B82" s="76">
        <v>2019</v>
      </c>
      <c r="C82" s="70">
        <v>105749.53000000001</v>
      </c>
      <c r="D82" s="17">
        <v>9201.9330000000009</v>
      </c>
      <c r="E82" s="17">
        <v>10634.18</v>
      </c>
      <c r="F82" s="17">
        <v>8355.1229999999996</v>
      </c>
      <c r="G82" s="17">
        <v>0</v>
      </c>
      <c r="H82" s="17">
        <v>7232.7550000000001</v>
      </c>
      <c r="I82" s="17">
        <v>9281.77</v>
      </c>
      <c r="J82" s="17">
        <v>11342.581</v>
      </c>
      <c r="K82" s="17">
        <v>11316.548000000001</v>
      </c>
      <c r="L82" s="17">
        <v>8982.5550000000003</v>
      </c>
      <c r="M82" s="17">
        <v>10083.081</v>
      </c>
      <c r="N82" s="17">
        <v>8582.6540000000005</v>
      </c>
      <c r="O82" s="17">
        <v>10736.35</v>
      </c>
      <c r="P82" s="70">
        <v>105749.53000000001</v>
      </c>
    </row>
    <row r="83" spans="1:16" ht="11.85" customHeight="1">
      <c r="A83" s="21"/>
      <c r="B83" s="76">
        <v>2020</v>
      </c>
      <c r="C83" s="70">
        <v>110104.481</v>
      </c>
      <c r="D83" s="17">
        <v>11041.118</v>
      </c>
      <c r="E83" s="17">
        <v>9803.9760000000006</v>
      </c>
      <c r="F83" s="17">
        <v>10161.558000000001</v>
      </c>
      <c r="G83" s="17">
        <v>8862.35</v>
      </c>
      <c r="H83" s="17">
        <v>9892.7250000000004</v>
      </c>
      <c r="I83" s="17">
        <v>9128.9249999999993</v>
      </c>
      <c r="J83" s="17">
        <v>2653.3249999999998</v>
      </c>
      <c r="K83" s="17">
        <v>892.51</v>
      </c>
      <c r="L83" s="17">
        <v>12855.8</v>
      </c>
      <c r="M83" s="17">
        <v>12625.85</v>
      </c>
      <c r="N83" s="17">
        <v>10766.477000000001</v>
      </c>
      <c r="O83" s="17">
        <v>11419.867</v>
      </c>
      <c r="P83" s="70">
        <v>110104.481</v>
      </c>
    </row>
    <row r="84" spans="1:16" ht="11.85" customHeight="1">
      <c r="A84" s="21"/>
      <c r="B84" s="76">
        <v>2021</v>
      </c>
      <c r="C84" s="70">
        <v>103384.814086</v>
      </c>
      <c r="D84" s="17">
        <v>8880.902</v>
      </c>
      <c r="E84" s="17">
        <v>9745.73</v>
      </c>
      <c r="F84" s="17">
        <v>8150.49</v>
      </c>
      <c r="G84" s="17">
        <v>0</v>
      </c>
      <c r="H84" s="17">
        <v>947.95399999999995</v>
      </c>
      <c r="I84" s="17">
        <v>10715.967000000001</v>
      </c>
      <c r="J84" s="17">
        <v>11270.566999999999</v>
      </c>
      <c r="K84" s="17">
        <v>11218.782999999999</v>
      </c>
      <c r="L84" s="17">
        <v>11510.17</v>
      </c>
      <c r="M84" s="17">
        <v>11421.644225999999</v>
      </c>
      <c r="N84" s="17">
        <v>10908.644283</v>
      </c>
      <c r="O84" s="17">
        <v>8613.9625769999984</v>
      </c>
      <c r="P84" s="70">
        <v>103384.814086</v>
      </c>
    </row>
    <row r="85" spans="1:16" ht="11.85" customHeight="1">
      <c r="A85" s="21"/>
      <c r="B85" s="76">
        <v>2022</v>
      </c>
      <c r="C85" s="70">
        <v>94715.919490000015</v>
      </c>
      <c r="D85" s="17">
        <v>9514.5783469999988</v>
      </c>
      <c r="E85" s="17">
        <v>0</v>
      </c>
      <c r="F85" s="17">
        <v>1120.52</v>
      </c>
      <c r="G85" s="17">
        <v>10540.932079999999</v>
      </c>
      <c r="H85" s="17">
        <v>10778.53</v>
      </c>
      <c r="I85" s="17">
        <v>9920.6684609999975</v>
      </c>
      <c r="J85" s="17">
        <v>10450.918648999999</v>
      </c>
      <c r="K85" s="17">
        <v>9687.3531509999993</v>
      </c>
      <c r="L85" s="17">
        <v>7442.2425149999999</v>
      </c>
      <c r="M85" s="17">
        <v>9446.7162869999993</v>
      </c>
      <c r="N85" s="17">
        <v>8197.1</v>
      </c>
      <c r="O85" s="17">
        <v>7616.36</v>
      </c>
      <c r="P85" s="70">
        <v>94715.919490000015</v>
      </c>
    </row>
    <row r="86" spans="1:16" ht="11.85" customHeight="1">
      <c r="A86" s="21"/>
      <c r="B86" s="76">
        <v>2023</v>
      </c>
      <c r="C86" s="70">
        <v>88864.975418000002</v>
      </c>
      <c r="D86" s="77">
        <v>4727.79</v>
      </c>
      <c r="E86" s="77">
        <v>3378.2007880000001</v>
      </c>
      <c r="F86" s="77">
        <v>7902.9833500000004</v>
      </c>
      <c r="G86" s="77">
        <v>7498.8914980000018</v>
      </c>
      <c r="H86" s="77">
        <v>4933.0289149999999</v>
      </c>
      <c r="I86" s="17">
        <v>7944.581411000001</v>
      </c>
      <c r="J86" s="17">
        <v>0</v>
      </c>
      <c r="K86" s="17">
        <v>7002.9</v>
      </c>
      <c r="L86" s="17">
        <v>11997.16</v>
      </c>
      <c r="M86" s="17">
        <v>11241.01</v>
      </c>
      <c r="N86" s="17">
        <v>11237.496867</v>
      </c>
      <c r="O86" s="17">
        <v>11000.932589</v>
      </c>
      <c r="P86" s="70">
        <v>88864.975418000002</v>
      </c>
    </row>
    <row r="87" spans="1:16" ht="11.85" customHeight="1">
      <c r="A87" s="21"/>
      <c r="B87" s="76">
        <v>2024</v>
      </c>
      <c r="C87" s="70">
        <v>94695.227411999993</v>
      </c>
      <c r="D87" s="77">
        <v>5457.0000000000009</v>
      </c>
      <c r="E87" s="77">
        <v>8598.8561279999994</v>
      </c>
      <c r="F87" s="77">
        <v>7493.2653890000001</v>
      </c>
      <c r="G87" s="77">
        <v>8269.64</v>
      </c>
      <c r="H87" s="77">
        <v>0</v>
      </c>
      <c r="I87" s="17">
        <v>3149.1000000000004</v>
      </c>
      <c r="J87" s="17">
        <v>9998.7120589999995</v>
      </c>
      <c r="K87" s="17">
        <v>10621.899380000001</v>
      </c>
      <c r="L87" s="17">
        <v>10582.952585999999</v>
      </c>
      <c r="M87" s="17">
        <v>10851.887735999997</v>
      </c>
      <c r="N87" s="17">
        <v>9109.7167020000015</v>
      </c>
      <c r="O87" s="17">
        <v>10562.197432000001</v>
      </c>
      <c r="P87" s="70">
        <v>94695.227411999993</v>
      </c>
    </row>
    <row r="88" spans="1:16" ht="11.85" customHeight="1">
      <c r="A88" s="21"/>
      <c r="B88" s="76">
        <v>2025</v>
      </c>
      <c r="C88" s="70">
        <v>58590.863223</v>
      </c>
      <c r="D88" s="77">
        <v>9227.3387650000004</v>
      </c>
      <c r="E88" s="77">
        <v>8334.5630949999995</v>
      </c>
      <c r="F88" s="77">
        <v>10024.575030000002</v>
      </c>
      <c r="G88" s="17">
        <v>0</v>
      </c>
      <c r="H88" s="17">
        <v>0</v>
      </c>
      <c r="I88" s="17">
        <v>10412.008927999999</v>
      </c>
      <c r="J88" s="17">
        <v>0</v>
      </c>
      <c r="K88" s="17">
        <v>10046</v>
      </c>
      <c r="L88" s="17">
        <v>10546.377404999999</v>
      </c>
      <c r="M88" s="17"/>
      <c r="N88" s="17"/>
      <c r="O88" s="17"/>
      <c r="P88" s="70">
        <v>58590.863223</v>
      </c>
    </row>
    <row r="89" spans="1:16" ht="11.85" customHeight="1">
      <c r="A89" s="21" t="s">
        <v>24</v>
      </c>
      <c r="B89" s="76">
        <v>2010</v>
      </c>
      <c r="C89" s="70">
        <v>160643.96843999997</v>
      </c>
      <c r="D89" s="17">
        <v>11171.8</v>
      </c>
      <c r="E89" s="17">
        <v>13294.491999999998</v>
      </c>
      <c r="F89" s="17">
        <v>12191.745999999999</v>
      </c>
      <c r="G89" s="17">
        <v>12863.398999999999</v>
      </c>
      <c r="H89" s="17">
        <v>11819.476000000001</v>
      </c>
      <c r="I89" s="17">
        <v>13574.34</v>
      </c>
      <c r="J89" s="17">
        <v>12847.636999999999</v>
      </c>
      <c r="K89" s="17">
        <v>14068.91</v>
      </c>
      <c r="L89" s="17">
        <v>14538.23</v>
      </c>
      <c r="M89" s="17">
        <v>14168.027999999998</v>
      </c>
      <c r="N89" s="17">
        <v>14342.63744</v>
      </c>
      <c r="O89" s="17">
        <v>15763.273000000001</v>
      </c>
      <c r="P89" s="70">
        <v>160643.96843999997</v>
      </c>
    </row>
    <row r="90" spans="1:16" ht="11.85" customHeight="1">
      <c r="A90" s="21"/>
      <c r="B90" s="76">
        <v>2011</v>
      </c>
      <c r="C90" s="70">
        <v>157133.56700000001</v>
      </c>
      <c r="D90" s="17">
        <v>13498.898999999999</v>
      </c>
      <c r="E90" s="17">
        <v>12906.65</v>
      </c>
      <c r="F90" s="17">
        <v>14847.852999999999</v>
      </c>
      <c r="G90" s="17">
        <v>11395.922</v>
      </c>
      <c r="H90" s="17">
        <v>12821.721000000001</v>
      </c>
      <c r="I90" s="17">
        <v>11117.777</v>
      </c>
      <c r="J90" s="17">
        <v>9725.24</v>
      </c>
      <c r="K90" s="17">
        <v>13278.953000000001</v>
      </c>
      <c r="L90" s="17">
        <v>14609.440999999999</v>
      </c>
      <c r="M90" s="17">
        <v>13274.370999999999</v>
      </c>
      <c r="N90" s="17">
        <v>11182.203000000001</v>
      </c>
      <c r="O90" s="17">
        <v>18474.537</v>
      </c>
      <c r="P90" s="70">
        <v>157133.56700000001</v>
      </c>
    </row>
    <row r="91" spans="1:16" ht="11.85" customHeight="1">
      <c r="A91" s="21"/>
      <c r="B91" s="76">
        <v>2012</v>
      </c>
      <c r="C91" s="70">
        <v>175851.717</v>
      </c>
      <c r="D91" s="17">
        <v>13453.7</v>
      </c>
      <c r="E91" s="17">
        <v>9947.384</v>
      </c>
      <c r="F91" s="17">
        <v>10593.368</v>
      </c>
      <c r="G91" s="17">
        <v>14372.926000000001</v>
      </c>
      <c r="H91" s="17">
        <v>15127.854000000001</v>
      </c>
      <c r="I91" s="17">
        <v>14921.48</v>
      </c>
      <c r="J91" s="17">
        <v>15875.47</v>
      </c>
      <c r="K91" s="17">
        <v>17410.657999999999</v>
      </c>
      <c r="L91" s="17">
        <v>15635.551000000001</v>
      </c>
      <c r="M91" s="17">
        <v>16191.099999999999</v>
      </c>
      <c r="N91" s="17">
        <v>17541.393</v>
      </c>
      <c r="O91" s="17">
        <v>14780.832999999999</v>
      </c>
      <c r="P91" s="70">
        <v>175851.717</v>
      </c>
    </row>
    <row r="92" spans="1:16" ht="11.85" customHeight="1">
      <c r="A92" s="21"/>
      <c r="B92" s="76">
        <v>2013</v>
      </c>
      <c r="C92" s="70">
        <v>174192.109</v>
      </c>
      <c r="D92" s="17">
        <v>11851.391</v>
      </c>
      <c r="E92" s="17">
        <v>9054.5840000000007</v>
      </c>
      <c r="F92" s="17">
        <v>13276.522999999999</v>
      </c>
      <c r="G92" s="17">
        <v>16750.385000000002</v>
      </c>
      <c r="H92" s="17">
        <v>13048.628000000001</v>
      </c>
      <c r="I92" s="17">
        <v>16030.616</v>
      </c>
      <c r="J92" s="17">
        <v>14279.892</v>
      </c>
      <c r="K92" s="17">
        <v>14714.795000000002</v>
      </c>
      <c r="L92" s="17">
        <v>14673.636</v>
      </c>
      <c r="M92" s="17">
        <v>17138.698</v>
      </c>
      <c r="N92" s="17">
        <v>16888.91</v>
      </c>
      <c r="O92" s="17">
        <v>16484.050999999999</v>
      </c>
      <c r="P92" s="70">
        <v>174192.109</v>
      </c>
    </row>
    <row r="93" spans="1:16" ht="11.85" customHeight="1">
      <c r="A93" s="21"/>
      <c r="B93" s="76">
        <v>2014</v>
      </c>
      <c r="C93" s="70">
        <v>185304.932</v>
      </c>
      <c r="D93" s="17">
        <v>14475.798999999999</v>
      </c>
      <c r="E93" s="17">
        <v>12724.834999999999</v>
      </c>
      <c r="F93" s="17">
        <v>14912.409</v>
      </c>
      <c r="G93" s="17">
        <v>14289.166999999999</v>
      </c>
      <c r="H93" s="17">
        <v>13071.613000000001</v>
      </c>
      <c r="I93" s="17">
        <v>15414.116000000002</v>
      </c>
      <c r="J93" s="17">
        <v>17001.375</v>
      </c>
      <c r="K93" s="17">
        <v>15504.825000000001</v>
      </c>
      <c r="L93" s="17">
        <v>16202.281999999999</v>
      </c>
      <c r="M93" s="17">
        <v>16085.147000000001</v>
      </c>
      <c r="N93" s="17">
        <v>16560.211000000003</v>
      </c>
      <c r="O93" s="17">
        <v>19063.152999999998</v>
      </c>
      <c r="P93" s="70">
        <v>185304.932</v>
      </c>
    </row>
    <row r="94" spans="1:16" ht="11.85" customHeight="1">
      <c r="A94" s="21"/>
      <c r="B94" s="76">
        <v>2015</v>
      </c>
      <c r="C94" s="70">
        <v>184267.72399999999</v>
      </c>
      <c r="D94" s="17">
        <v>15199.075000000001</v>
      </c>
      <c r="E94" s="17">
        <v>13290.259999999998</v>
      </c>
      <c r="F94" s="17">
        <v>11513.798999999999</v>
      </c>
      <c r="G94" s="17">
        <v>10591.626</v>
      </c>
      <c r="H94" s="17">
        <v>13647.903000000002</v>
      </c>
      <c r="I94" s="17">
        <v>17264.370000000003</v>
      </c>
      <c r="J94" s="17">
        <v>17828.285</v>
      </c>
      <c r="K94" s="17">
        <v>19290.794000000002</v>
      </c>
      <c r="L94" s="17">
        <v>18089.561000000002</v>
      </c>
      <c r="M94" s="17">
        <v>18002.332999999999</v>
      </c>
      <c r="N94" s="17">
        <v>15932.964</v>
      </c>
      <c r="O94" s="17">
        <v>13616.754000000001</v>
      </c>
      <c r="P94" s="70">
        <v>184267.72399999999</v>
      </c>
    </row>
    <row r="95" spans="1:16" ht="11.85" customHeight="1">
      <c r="A95" s="21"/>
      <c r="B95" s="76">
        <v>2016</v>
      </c>
      <c r="C95" s="70">
        <v>159003.92800000001</v>
      </c>
      <c r="D95" s="17">
        <v>12622.230000000001</v>
      </c>
      <c r="E95" s="17">
        <v>11273.097000000002</v>
      </c>
      <c r="F95" s="17">
        <v>10074.392</v>
      </c>
      <c r="G95" s="17">
        <v>12459.731</v>
      </c>
      <c r="H95" s="17">
        <v>14171.817999999999</v>
      </c>
      <c r="I95" s="17">
        <v>15613.59</v>
      </c>
      <c r="J95" s="17">
        <v>15308.172</v>
      </c>
      <c r="K95" s="17">
        <v>15147.731</v>
      </c>
      <c r="L95" s="17">
        <v>12853.136000000002</v>
      </c>
      <c r="M95" s="17">
        <v>15885.476999999999</v>
      </c>
      <c r="N95" s="17">
        <v>13702.46</v>
      </c>
      <c r="O95" s="17">
        <v>9892.094000000001</v>
      </c>
      <c r="P95" s="70">
        <v>159003.92800000001</v>
      </c>
    </row>
    <row r="96" spans="1:16" ht="11.85" customHeight="1">
      <c r="A96" s="21"/>
      <c r="B96" s="76">
        <v>2017</v>
      </c>
      <c r="C96" s="70">
        <v>166676.49599999998</v>
      </c>
      <c r="D96" s="17">
        <v>13265.553</v>
      </c>
      <c r="E96" s="17">
        <v>11091.595000000001</v>
      </c>
      <c r="F96" s="17">
        <v>8856.4290000000001</v>
      </c>
      <c r="G96" s="17">
        <v>7568.3980000000001</v>
      </c>
      <c r="H96" s="17">
        <v>13665.221</v>
      </c>
      <c r="I96" s="17">
        <v>14520.437</v>
      </c>
      <c r="J96" s="17">
        <v>18235.441999999999</v>
      </c>
      <c r="K96" s="17">
        <v>16503.755000000001</v>
      </c>
      <c r="L96" s="17">
        <v>14337.1</v>
      </c>
      <c r="M96" s="17">
        <v>16597.451000000001</v>
      </c>
      <c r="N96" s="17">
        <v>18159.400000000001</v>
      </c>
      <c r="O96" s="17">
        <v>13875.715</v>
      </c>
      <c r="P96" s="70">
        <v>166676.49599999998</v>
      </c>
    </row>
    <row r="97" spans="1:16" ht="11.85" customHeight="1">
      <c r="A97" s="21"/>
      <c r="B97" s="76">
        <v>2018</v>
      </c>
      <c r="C97" s="70">
        <v>175873.22</v>
      </c>
      <c r="D97" s="17">
        <v>16003.834999999999</v>
      </c>
      <c r="E97" s="17">
        <v>13695.612000000001</v>
      </c>
      <c r="F97" s="17">
        <v>12209.288</v>
      </c>
      <c r="G97" s="17">
        <v>9113.494999999999</v>
      </c>
      <c r="H97" s="17">
        <v>15051.92</v>
      </c>
      <c r="I97" s="17">
        <v>13831.699000000001</v>
      </c>
      <c r="J97" s="17">
        <v>14689.58</v>
      </c>
      <c r="K97" s="17">
        <v>14745.811</v>
      </c>
      <c r="L97" s="17">
        <v>16455.475999999999</v>
      </c>
      <c r="M97" s="17">
        <v>16624.316999999999</v>
      </c>
      <c r="N97" s="17">
        <v>18041.82</v>
      </c>
      <c r="O97" s="17">
        <v>15410.366999999998</v>
      </c>
      <c r="P97" s="70">
        <v>175873.22</v>
      </c>
    </row>
    <row r="98" spans="1:16" ht="11.85" customHeight="1">
      <c r="A98" s="21"/>
      <c r="B98" s="76">
        <v>2019</v>
      </c>
      <c r="C98" s="70">
        <v>177008.57700000002</v>
      </c>
      <c r="D98" s="17">
        <v>14891.294</v>
      </c>
      <c r="E98" s="17">
        <v>12998.067999999999</v>
      </c>
      <c r="F98" s="17">
        <v>11573.701000000001</v>
      </c>
      <c r="G98" s="17">
        <v>13516.204</v>
      </c>
      <c r="H98" s="17">
        <v>14269.624</v>
      </c>
      <c r="I98" s="17">
        <v>15211.112999999999</v>
      </c>
      <c r="J98" s="17">
        <v>15687.127</v>
      </c>
      <c r="K98" s="17">
        <v>16577.717000000001</v>
      </c>
      <c r="L98" s="17">
        <v>15869.975</v>
      </c>
      <c r="M98" s="17">
        <v>15552.259000000002</v>
      </c>
      <c r="N98" s="17">
        <v>16394.455000000002</v>
      </c>
      <c r="O98" s="17">
        <v>14467.04</v>
      </c>
      <c r="P98" s="70">
        <v>177008.57700000002</v>
      </c>
    </row>
    <row r="99" spans="1:16" ht="11.85" customHeight="1">
      <c r="A99" s="21"/>
      <c r="B99" s="76">
        <v>2020</v>
      </c>
      <c r="C99" s="70">
        <v>163879.21599999999</v>
      </c>
      <c r="D99" s="17">
        <v>13375.597000000002</v>
      </c>
      <c r="E99" s="17">
        <v>9925.7580000000016</v>
      </c>
      <c r="F99" s="17">
        <v>10725.44</v>
      </c>
      <c r="G99" s="17">
        <v>11244.119999999999</v>
      </c>
      <c r="H99" s="17">
        <v>12446.071</v>
      </c>
      <c r="I99" s="17">
        <v>15112.277999999998</v>
      </c>
      <c r="J99" s="17">
        <v>9336.8389999999999</v>
      </c>
      <c r="K99" s="17">
        <v>14677.567999999999</v>
      </c>
      <c r="L99" s="17">
        <v>16893.758000000002</v>
      </c>
      <c r="M99" s="17">
        <v>18102.27</v>
      </c>
      <c r="N99" s="17">
        <v>17530.917000000001</v>
      </c>
      <c r="O99" s="17">
        <v>14508.6</v>
      </c>
      <c r="P99" s="70">
        <v>163879.21599999999</v>
      </c>
    </row>
    <row r="100" spans="1:16" ht="11.85" customHeight="1">
      <c r="A100" s="21"/>
      <c r="B100" s="76">
        <v>2021</v>
      </c>
      <c r="C100" s="70">
        <v>180731.745</v>
      </c>
      <c r="D100" s="17">
        <v>14731.401</v>
      </c>
      <c r="E100" s="17">
        <v>15821.814</v>
      </c>
      <c r="F100" s="17">
        <v>15511.957</v>
      </c>
      <c r="G100" s="17">
        <v>12387.995999999999</v>
      </c>
      <c r="H100" s="17">
        <v>9480.77</v>
      </c>
      <c r="I100" s="17">
        <v>15678.38</v>
      </c>
      <c r="J100" s="17">
        <v>14827.68</v>
      </c>
      <c r="K100" s="17">
        <v>16057.530999999999</v>
      </c>
      <c r="L100" s="17">
        <v>17088.37</v>
      </c>
      <c r="M100" s="17">
        <v>17732.038</v>
      </c>
      <c r="N100" s="17">
        <v>18426.473999999998</v>
      </c>
      <c r="O100" s="17">
        <v>12987.333999999999</v>
      </c>
      <c r="P100" s="70">
        <v>180731.745</v>
      </c>
    </row>
    <row r="101" spans="1:16" ht="11.85" customHeight="1">
      <c r="A101" s="21"/>
      <c r="B101" s="76">
        <v>2022</v>
      </c>
      <c r="C101" s="70">
        <v>170068.90304</v>
      </c>
      <c r="D101" s="17">
        <v>14723.255999999999</v>
      </c>
      <c r="E101" s="17">
        <v>14354.813</v>
      </c>
      <c r="F101" s="17">
        <v>15271.798000000001</v>
      </c>
      <c r="G101" s="17">
        <v>13810.306</v>
      </c>
      <c r="H101" s="17">
        <v>9808.1739999999991</v>
      </c>
      <c r="I101" s="17">
        <v>15857.402</v>
      </c>
      <c r="J101" s="17">
        <v>15275.76304</v>
      </c>
      <c r="K101" s="17">
        <v>13377.941999999999</v>
      </c>
      <c r="L101" s="17">
        <v>15323.813000000002</v>
      </c>
      <c r="M101" s="17">
        <v>16693.522000000001</v>
      </c>
      <c r="N101" s="17">
        <v>14984.405999999999</v>
      </c>
      <c r="O101" s="17">
        <v>10587.708000000001</v>
      </c>
      <c r="P101" s="70">
        <v>170068.90304</v>
      </c>
    </row>
    <row r="102" spans="1:16" ht="11.85" customHeight="1">
      <c r="A102" s="21"/>
      <c r="B102" s="76">
        <v>2023</v>
      </c>
      <c r="C102" s="70">
        <v>163414.64481999999</v>
      </c>
      <c r="D102" s="77">
        <v>13796.824999999999</v>
      </c>
      <c r="E102" s="77">
        <v>7233.384</v>
      </c>
      <c r="F102" s="77">
        <v>13283.096</v>
      </c>
      <c r="G102" s="77">
        <v>9978.2139999999999</v>
      </c>
      <c r="H102" s="77">
        <v>9226.5110000000004</v>
      </c>
      <c r="I102" s="17">
        <v>13118.097000000002</v>
      </c>
      <c r="J102" s="17">
        <v>15884.777</v>
      </c>
      <c r="K102" s="17">
        <v>17809.58438</v>
      </c>
      <c r="L102" s="17">
        <v>16971.829000000002</v>
      </c>
      <c r="M102" s="17">
        <v>17494.192999999999</v>
      </c>
      <c r="N102" s="17">
        <v>16058.975</v>
      </c>
      <c r="O102" s="17">
        <v>12559.159439999999</v>
      </c>
      <c r="P102" s="70">
        <v>163414.64481999999</v>
      </c>
    </row>
    <row r="103" spans="1:16" ht="11.85" customHeight="1">
      <c r="A103" s="21"/>
      <c r="B103" s="76">
        <v>2024</v>
      </c>
      <c r="C103" s="70">
        <v>168325.59684667236</v>
      </c>
      <c r="D103" s="77">
        <v>11354.233</v>
      </c>
      <c r="E103" s="77">
        <v>9800.2260000000006</v>
      </c>
      <c r="F103" s="77">
        <v>4387.1419999999998</v>
      </c>
      <c r="G103" s="77">
        <v>13255.225000000002</v>
      </c>
      <c r="H103" s="77">
        <v>15968.955000000002</v>
      </c>
      <c r="I103" s="17">
        <v>15602.50872</v>
      </c>
      <c r="J103" s="17">
        <v>14304.244999999999</v>
      </c>
      <c r="K103" s="17">
        <v>18138.790126672389</v>
      </c>
      <c r="L103" s="17">
        <v>15863.540999999999</v>
      </c>
      <c r="M103" s="17">
        <v>17371.072</v>
      </c>
      <c r="N103" s="17">
        <v>17591.565999999999</v>
      </c>
      <c r="O103" s="17">
        <v>14688.093000000001</v>
      </c>
      <c r="P103" s="70">
        <v>168325.59684667236</v>
      </c>
    </row>
    <row r="104" spans="1:16" ht="11.85" customHeight="1">
      <c r="A104" s="21"/>
      <c r="B104" s="76">
        <v>2025</v>
      </c>
      <c r="C104" s="70">
        <v>126628.48458304844</v>
      </c>
      <c r="D104" s="77">
        <v>15028.09714558455</v>
      </c>
      <c r="E104" s="77">
        <v>11755.988467942641</v>
      </c>
      <c r="F104" s="77">
        <v>11624.577610663431</v>
      </c>
      <c r="G104" s="17">
        <v>10962.146060148139</v>
      </c>
      <c r="H104" s="17">
        <v>15523.900716740945</v>
      </c>
      <c r="I104" s="17">
        <v>16544.458384101494</v>
      </c>
      <c r="J104" s="17">
        <v>13057.925919999998</v>
      </c>
      <c r="K104" s="17">
        <v>15420</v>
      </c>
      <c r="L104" s="17">
        <v>16711.390277867253</v>
      </c>
      <c r="M104" s="17"/>
      <c r="N104" s="17"/>
      <c r="O104" s="17"/>
      <c r="P104" s="70">
        <v>126628.48458304844</v>
      </c>
    </row>
    <row r="105" spans="1:16" ht="11.85" customHeight="1">
      <c r="A105" s="21" t="s">
        <v>23</v>
      </c>
      <c r="B105" s="76">
        <v>2010</v>
      </c>
      <c r="C105" s="70">
        <v>4059.4800000000005</v>
      </c>
      <c r="D105" s="17">
        <v>580.84500000000003</v>
      </c>
      <c r="E105" s="17">
        <v>0</v>
      </c>
      <c r="F105" s="17">
        <v>497.74</v>
      </c>
      <c r="G105" s="17">
        <v>476.63</v>
      </c>
      <c r="H105" s="17">
        <v>368.15</v>
      </c>
      <c r="I105" s="17">
        <v>90.45</v>
      </c>
      <c r="J105" s="17">
        <v>0</v>
      </c>
      <c r="K105" s="17">
        <v>0</v>
      </c>
      <c r="L105" s="17">
        <v>811.745</v>
      </c>
      <c r="M105" s="17">
        <v>0</v>
      </c>
      <c r="N105" s="17">
        <v>619.29999999999995</v>
      </c>
      <c r="O105" s="17">
        <v>614.62</v>
      </c>
      <c r="P105" s="70">
        <v>4059.4800000000005</v>
      </c>
    </row>
    <row r="106" spans="1:16" ht="11.85" customHeight="1">
      <c r="A106" s="21"/>
      <c r="B106" s="76">
        <v>2011</v>
      </c>
      <c r="C106" s="70">
        <v>3799.7190000000001</v>
      </c>
      <c r="D106" s="17">
        <v>0</v>
      </c>
      <c r="E106" s="17">
        <v>510.14600000000002</v>
      </c>
      <c r="F106" s="17">
        <v>0</v>
      </c>
      <c r="G106" s="17">
        <v>0</v>
      </c>
      <c r="H106" s="17">
        <v>388.95</v>
      </c>
      <c r="I106" s="17">
        <v>438.32499999999999</v>
      </c>
      <c r="J106" s="17">
        <v>619.99400000000003</v>
      </c>
      <c r="K106" s="17">
        <v>0</v>
      </c>
      <c r="L106" s="17">
        <v>642.91999999999996</v>
      </c>
      <c r="M106" s="17">
        <v>312.64999999999998</v>
      </c>
      <c r="N106" s="17">
        <v>214.84</v>
      </c>
      <c r="O106" s="17">
        <v>671.89400000000001</v>
      </c>
      <c r="P106" s="70">
        <v>3799.7190000000001</v>
      </c>
    </row>
    <row r="107" spans="1:16" ht="11.85" customHeight="1">
      <c r="A107" s="21"/>
      <c r="B107" s="76">
        <v>2012</v>
      </c>
      <c r="C107" s="70">
        <v>4938.3499999999995</v>
      </c>
      <c r="D107" s="17">
        <v>239.55</v>
      </c>
      <c r="E107" s="17">
        <v>385.15</v>
      </c>
      <c r="F107" s="17">
        <v>641.04999999999995</v>
      </c>
      <c r="G107" s="17">
        <v>187.84</v>
      </c>
      <c r="H107" s="17">
        <v>471.08499999999998</v>
      </c>
      <c r="I107" s="17">
        <v>0</v>
      </c>
      <c r="J107" s="17">
        <v>426.34500000000003</v>
      </c>
      <c r="K107" s="17">
        <v>268.3</v>
      </c>
      <c r="L107" s="17">
        <v>700.4</v>
      </c>
      <c r="M107" s="17">
        <v>297.85000000000002</v>
      </c>
      <c r="N107" s="17">
        <v>625.88</v>
      </c>
      <c r="O107" s="17">
        <v>694.9</v>
      </c>
      <c r="P107" s="70">
        <v>4938.3499999999995</v>
      </c>
    </row>
    <row r="108" spans="1:16" ht="11.85" customHeight="1">
      <c r="A108" s="21"/>
      <c r="B108" s="76">
        <v>2013</v>
      </c>
      <c r="C108" s="70">
        <v>8194.1890000000003</v>
      </c>
      <c r="D108" s="17">
        <v>639.14</v>
      </c>
      <c r="E108" s="17">
        <v>580.45000000000005</v>
      </c>
      <c r="F108" s="17">
        <v>138.51499999999999</v>
      </c>
      <c r="G108" s="17">
        <v>703.15</v>
      </c>
      <c r="H108" s="17">
        <v>679.01300000000003</v>
      </c>
      <c r="I108" s="17">
        <v>646.54999999999995</v>
      </c>
      <c r="J108" s="17">
        <v>706.35</v>
      </c>
      <c r="K108" s="17">
        <v>859.4</v>
      </c>
      <c r="L108" s="17">
        <v>851.68600000000004</v>
      </c>
      <c r="M108" s="17">
        <v>853</v>
      </c>
      <c r="N108" s="17">
        <v>786.83500000000004</v>
      </c>
      <c r="O108" s="17">
        <v>750.1</v>
      </c>
      <c r="P108" s="70">
        <v>8194.1890000000003</v>
      </c>
    </row>
    <row r="109" spans="1:16" ht="11.85" customHeight="1">
      <c r="A109" s="21"/>
      <c r="B109" s="76">
        <v>2014</v>
      </c>
      <c r="C109" s="70">
        <v>7072.8899999999994</v>
      </c>
      <c r="D109" s="17">
        <v>679.95</v>
      </c>
      <c r="E109" s="17">
        <v>695.3</v>
      </c>
      <c r="F109" s="17">
        <v>668.43</v>
      </c>
      <c r="G109" s="17">
        <v>447.685</v>
      </c>
      <c r="H109" s="17">
        <v>369.86</v>
      </c>
      <c r="I109" s="17">
        <v>591.57500000000005</v>
      </c>
      <c r="J109" s="17">
        <v>675.44</v>
      </c>
      <c r="K109" s="17">
        <v>596.80999999999995</v>
      </c>
      <c r="L109" s="17">
        <v>587.12</v>
      </c>
      <c r="M109" s="17">
        <v>603.43499999999995</v>
      </c>
      <c r="N109" s="17">
        <v>537.36</v>
      </c>
      <c r="O109" s="17">
        <v>619.92499999999995</v>
      </c>
      <c r="P109" s="70">
        <v>7072.8899999999994</v>
      </c>
    </row>
    <row r="110" spans="1:16" ht="11.85" customHeight="1">
      <c r="A110" s="21"/>
      <c r="B110" s="76">
        <v>2015</v>
      </c>
      <c r="C110" s="70">
        <v>3925.9049999999997</v>
      </c>
      <c r="D110" s="17">
        <v>0</v>
      </c>
      <c r="E110" s="17">
        <v>213.45</v>
      </c>
      <c r="F110" s="17">
        <v>295.25</v>
      </c>
      <c r="G110" s="17">
        <v>0</v>
      </c>
      <c r="H110" s="17">
        <v>181.05</v>
      </c>
      <c r="I110" s="17">
        <v>635.19000000000005</v>
      </c>
      <c r="J110" s="17">
        <v>611.505</v>
      </c>
      <c r="K110" s="17">
        <v>247.2</v>
      </c>
      <c r="L110" s="17">
        <v>627.33000000000004</v>
      </c>
      <c r="M110" s="17">
        <v>413.93</v>
      </c>
      <c r="N110" s="17">
        <v>480</v>
      </c>
      <c r="O110" s="17">
        <v>221</v>
      </c>
      <c r="P110" s="70">
        <v>3925.9049999999997</v>
      </c>
    </row>
    <row r="111" spans="1:16" ht="11.85" customHeight="1">
      <c r="A111" s="21"/>
      <c r="B111" s="76">
        <v>2016</v>
      </c>
      <c r="C111" s="70">
        <v>2681.7349999999997</v>
      </c>
      <c r="D111" s="17">
        <v>160.4</v>
      </c>
      <c r="E111" s="17">
        <v>150.44999999999999</v>
      </c>
      <c r="F111" s="17">
        <v>117.9</v>
      </c>
      <c r="G111" s="17">
        <v>30.3</v>
      </c>
      <c r="H111" s="17">
        <v>90.5</v>
      </c>
      <c r="I111" s="17">
        <v>93.15</v>
      </c>
      <c r="J111" s="17">
        <v>280.67</v>
      </c>
      <c r="K111" s="17">
        <v>167.8</v>
      </c>
      <c r="L111" s="17">
        <v>410.45499999999998</v>
      </c>
      <c r="M111" s="17">
        <v>358.8</v>
      </c>
      <c r="N111" s="17">
        <v>386.7</v>
      </c>
      <c r="O111" s="17">
        <v>434.61</v>
      </c>
      <c r="P111" s="70">
        <v>2681.7349999999997</v>
      </c>
    </row>
    <row r="112" spans="1:16" ht="11.85" customHeight="1">
      <c r="A112" s="21"/>
      <c r="B112" s="76">
        <v>2017</v>
      </c>
      <c r="C112" s="70">
        <v>3255.5049999999997</v>
      </c>
      <c r="D112" s="17">
        <v>0</v>
      </c>
      <c r="E112" s="17">
        <v>181.22</v>
      </c>
      <c r="F112" s="17">
        <v>433.09</v>
      </c>
      <c r="G112" s="17">
        <v>0</v>
      </c>
      <c r="H112" s="17">
        <v>317.23</v>
      </c>
      <c r="I112" s="17">
        <v>256.55</v>
      </c>
      <c r="J112" s="17">
        <v>368.95</v>
      </c>
      <c r="K112" s="17">
        <v>272.03500000000003</v>
      </c>
      <c r="L112" s="17">
        <v>321.5</v>
      </c>
      <c r="M112" s="17">
        <v>367.84</v>
      </c>
      <c r="N112" s="17">
        <v>367.14</v>
      </c>
      <c r="O112" s="17">
        <v>369.95</v>
      </c>
      <c r="P112" s="70">
        <v>3255.5049999999997</v>
      </c>
    </row>
    <row r="113" spans="1:16" ht="11.85" customHeight="1">
      <c r="A113" s="21"/>
      <c r="B113" s="76">
        <v>2018</v>
      </c>
      <c r="C113" s="70">
        <v>3688.665</v>
      </c>
      <c r="D113" s="17">
        <v>116.045</v>
      </c>
      <c r="E113" s="17">
        <v>143.85</v>
      </c>
      <c r="F113" s="17">
        <v>450.86500000000001</v>
      </c>
      <c r="G113" s="17">
        <v>412.09500000000003</v>
      </c>
      <c r="H113" s="17">
        <v>136.61500000000001</v>
      </c>
      <c r="I113" s="17">
        <v>175.85</v>
      </c>
      <c r="J113" s="17">
        <v>414.3</v>
      </c>
      <c r="K113" s="17">
        <v>393.88</v>
      </c>
      <c r="L113" s="17">
        <v>231.465</v>
      </c>
      <c r="M113" s="17">
        <v>509.07499999999999</v>
      </c>
      <c r="N113" s="17">
        <v>317.25</v>
      </c>
      <c r="O113" s="17">
        <v>387.375</v>
      </c>
      <c r="P113" s="70">
        <v>3688.665</v>
      </c>
    </row>
    <row r="114" spans="1:16" ht="11.85" customHeight="1">
      <c r="A114" s="21"/>
      <c r="B114" s="76">
        <v>2019</v>
      </c>
      <c r="C114" s="70">
        <v>3517.1569999999997</v>
      </c>
      <c r="D114" s="17">
        <v>394.85</v>
      </c>
      <c r="E114" s="17">
        <v>273.10000000000002</v>
      </c>
      <c r="F114" s="17">
        <v>266.80500000000001</v>
      </c>
      <c r="G114" s="17">
        <v>204.92500000000001</v>
      </c>
      <c r="H114" s="17">
        <v>227.87</v>
      </c>
      <c r="I114" s="17">
        <v>234.667</v>
      </c>
      <c r="J114" s="17">
        <v>307.85000000000002</v>
      </c>
      <c r="K114" s="17">
        <v>290.7</v>
      </c>
      <c r="L114" s="17">
        <v>338.14</v>
      </c>
      <c r="M114" s="17">
        <v>346.75</v>
      </c>
      <c r="N114" s="17">
        <v>339.9</v>
      </c>
      <c r="O114" s="17">
        <v>291.60000000000002</v>
      </c>
      <c r="P114" s="70">
        <v>3517.1569999999997</v>
      </c>
    </row>
    <row r="115" spans="1:16" ht="11.85" customHeight="1">
      <c r="A115" s="21"/>
      <c r="B115" s="76">
        <v>2020</v>
      </c>
      <c r="C115" s="70">
        <v>3671.6019999999994</v>
      </c>
      <c r="D115" s="17">
        <v>404</v>
      </c>
      <c r="E115" s="17">
        <v>0</v>
      </c>
      <c r="F115" s="17">
        <v>57.9</v>
      </c>
      <c r="G115" s="17">
        <v>195.827</v>
      </c>
      <c r="H115" s="17">
        <v>412.92</v>
      </c>
      <c r="I115" s="17">
        <v>304.85000000000002</v>
      </c>
      <c r="J115" s="17">
        <v>355.08499999999998</v>
      </c>
      <c r="K115" s="17">
        <v>307.45999999999998</v>
      </c>
      <c r="L115" s="17">
        <v>415.7</v>
      </c>
      <c r="M115" s="17">
        <v>454.26</v>
      </c>
      <c r="N115" s="17">
        <v>373.9</v>
      </c>
      <c r="O115" s="17">
        <v>389.7</v>
      </c>
      <c r="P115" s="70">
        <v>3671.6019999999994</v>
      </c>
    </row>
    <row r="116" spans="1:16" ht="11.85" customHeight="1">
      <c r="A116" s="21"/>
      <c r="B116" s="76">
        <v>2021</v>
      </c>
      <c r="C116" s="70">
        <v>3087.1988550000001</v>
      </c>
      <c r="D116" s="17">
        <v>0</v>
      </c>
      <c r="E116" s="17">
        <v>23.883855000000001</v>
      </c>
      <c r="F116" s="17">
        <v>292.375</v>
      </c>
      <c r="G116" s="17">
        <v>137.19999999999999</v>
      </c>
      <c r="H116" s="17">
        <v>263.14499999999998</v>
      </c>
      <c r="I116" s="17">
        <v>282.91000000000003</v>
      </c>
      <c r="J116" s="17">
        <v>323.60000000000002</v>
      </c>
      <c r="K116" s="17">
        <v>317.71499999999997</v>
      </c>
      <c r="L116" s="17">
        <v>355.7</v>
      </c>
      <c r="M116" s="17">
        <v>439.83499999999998</v>
      </c>
      <c r="N116" s="17">
        <v>337.40499999999997</v>
      </c>
      <c r="O116" s="17">
        <v>313.43</v>
      </c>
      <c r="P116" s="70">
        <v>3087.1988550000001</v>
      </c>
    </row>
    <row r="117" spans="1:16" ht="11.85" customHeight="1">
      <c r="A117" s="21"/>
      <c r="B117" s="76">
        <v>2022</v>
      </c>
      <c r="C117" s="70">
        <v>5057.0200000000004</v>
      </c>
      <c r="D117" s="17">
        <v>410.5</v>
      </c>
      <c r="E117" s="17">
        <v>0</v>
      </c>
      <c r="F117" s="17">
        <v>360</v>
      </c>
      <c r="G117" s="17">
        <v>393</v>
      </c>
      <c r="H117" s="17">
        <v>495</v>
      </c>
      <c r="I117" s="17">
        <v>458</v>
      </c>
      <c r="J117" s="17">
        <v>441.52</v>
      </c>
      <c r="K117" s="17">
        <v>430</v>
      </c>
      <c r="L117" s="17">
        <v>575</v>
      </c>
      <c r="M117" s="17">
        <v>452</v>
      </c>
      <c r="N117" s="17">
        <v>490</v>
      </c>
      <c r="O117" s="17">
        <v>552</v>
      </c>
      <c r="P117" s="70">
        <v>5057.0200000000004</v>
      </c>
    </row>
    <row r="118" spans="1:16" ht="11.85" customHeight="1">
      <c r="A118" s="21"/>
      <c r="B118" s="76">
        <v>2023</v>
      </c>
      <c r="C118" s="70">
        <v>4624.7643199999993</v>
      </c>
      <c r="D118" s="77">
        <v>440.94296000000003</v>
      </c>
      <c r="E118" s="77">
        <v>297.84000000000003</v>
      </c>
      <c r="F118" s="64">
        <v>326.88319999999999</v>
      </c>
      <c r="G118" s="64">
        <v>375.25440000000003</v>
      </c>
      <c r="H118" s="64">
        <v>394.91440000000006</v>
      </c>
      <c r="I118" s="64">
        <v>379.10320000000002</v>
      </c>
      <c r="J118" s="17">
        <v>362.67512000000005</v>
      </c>
      <c r="K118" s="17">
        <v>387.68</v>
      </c>
      <c r="L118" s="17">
        <v>270.48743999999999</v>
      </c>
      <c r="M118" s="17">
        <v>440.43360000000001</v>
      </c>
      <c r="N118" s="64">
        <v>475</v>
      </c>
      <c r="O118" s="64">
        <v>473.55</v>
      </c>
      <c r="P118" s="70">
        <v>4624.7643199999993</v>
      </c>
    </row>
    <row r="119" spans="1:16" ht="11.85" customHeight="1">
      <c r="A119" s="21"/>
      <c r="B119" s="76">
        <v>2024</v>
      </c>
      <c r="C119" s="70">
        <v>3402.5049999999997</v>
      </c>
      <c r="D119" s="77">
        <v>306.67499999999995</v>
      </c>
      <c r="E119" s="77">
        <v>139.89500000000001</v>
      </c>
      <c r="F119" s="64">
        <v>46.7</v>
      </c>
      <c r="G119" s="64">
        <v>237.3</v>
      </c>
      <c r="H119" s="64">
        <v>270.48500000000001</v>
      </c>
      <c r="I119" s="64">
        <v>178.54999999999998</v>
      </c>
      <c r="J119" s="17">
        <v>355.5</v>
      </c>
      <c r="K119" s="17">
        <v>312.92500000000001</v>
      </c>
      <c r="L119" s="17">
        <v>364.32499999999999</v>
      </c>
      <c r="M119" s="17">
        <v>445.57499999999999</v>
      </c>
      <c r="N119" s="64">
        <v>414.57499999999999</v>
      </c>
      <c r="O119" s="64">
        <v>330</v>
      </c>
      <c r="P119" s="70">
        <v>3402.5049999999997</v>
      </c>
    </row>
    <row r="120" spans="1:16" ht="11.85" customHeight="1">
      <c r="A120" s="78"/>
      <c r="B120" s="88">
        <v>2025</v>
      </c>
      <c r="C120" s="89">
        <v>4240.3258307005435</v>
      </c>
      <c r="D120" s="90">
        <v>656.28877999999997</v>
      </c>
      <c r="E120" s="90">
        <v>474.47866000000005</v>
      </c>
      <c r="F120" s="90">
        <v>576.64258099999995</v>
      </c>
      <c r="G120" s="31">
        <v>574.91099999999994</v>
      </c>
      <c r="H120" s="91">
        <v>575.91099999999994</v>
      </c>
      <c r="I120" s="91">
        <v>277.04324970054347</v>
      </c>
      <c r="J120" s="92">
        <v>257.05055999999996</v>
      </c>
      <c r="K120" s="92">
        <v>245</v>
      </c>
      <c r="L120" s="92">
        <v>603</v>
      </c>
      <c r="M120" s="92"/>
      <c r="N120" s="91"/>
      <c r="O120" s="91"/>
      <c r="P120" s="89">
        <v>4240.3258307005435</v>
      </c>
    </row>
    <row r="121" spans="1:16" ht="9" customHeight="1">
      <c r="A121" s="13" t="s">
        <v>112</v>
      </c>
      <c r="B121" s="16"/>
      <c r="C121" s="16"/>
      <c r="D121" s="15"/>
      <c r="E121" s="15"/>
      <c r="F121" s="15"/>
      <c r="G121" s="13"/>
      <c r="H121" s="64"/>
      <c r="I121" s="15"/>
      <c r="J121" s="15"/>
      <c r="K121" s="15"/>
      <c r="L121" s="15"/>
      <c r="M121" s="15"/>
      <c r="N121" s="15"/>
      <c r="O121" s="15"/>
      <c r="P121" s="64"/>
    </row>
    <row r="122" spans="1:16" ht="9" customHeight="1">
      <c r="A122" s="13" t="s">
        <v>113</v>
      </c>
      <c r="B122" s="16"/>
      <c r="C122" s="16"/>
      <c r="D122" s="15"/>
      <c r="E122" s="15"/>
      <c r="F122" s="15"/>
      <c r="G122" s="13"/>
      <c r="H122" s="64"/>
      <c r="I122" s="15"/>
      <c r="J122" s="15"/>
      <c r="K122" s="15"/>
      <c r="L122" s="15"/>
      <c r="M122" s="15"/>
      <c r="N122" s="15"/>
      <c r="O122" s="15"/>
      <c r="P122" s="64"/>
    </row>
    <row r="123" spans="1:16" ht="9" customHeight="1">
      <c r="A123" s="13" t="s">
        <v>176</v>
      </c>
      <c r="B123" s="93"/>
      <c r="C123" s="94"/>
      <c r="D123" s="15"/>
      <c r="E123" s="15"/>
      <c r="F123" s="15"/>
      <c r="G123" s="13"/>
      <c r="H123" s="64"/>
      <c r="I123" s="15"/>
      <c r="J123" s="15"/>
      <c r="K123" s="15"/>
      <c r="L123" s="15"/>
      <c r="M123" s="15"/>
      <c r="N123" s="15"/>
      <c r="O123" s="15"/>
      <c r="P123" s="64"/>
    </row>
    <row r="124" spans="1:16" ht="9" customHeight="1">
      <c r="A124" s="13" t="s">
        <v>201</v>
      </c>
      <c r="B124" s="16"/>
      <c r="C124" s="12"/>
      <c r="D124" s="12"/>
      <c r="E124" s="12"/>
      <c r="F124" s="12"/>
      <c r="G124" s="12"/>
      <c r="H124" s="14"/>
      <c r="I124" s="14"/>
      <c r="J124" s="14"/>
      <c r="K124" s="14"/>
      <c r="L124" s="14"/>
      <c r="M124" s="14"/>
      <c r="N124" s="14"/>
      <c r="O124" s="14"/>
      <c r="P124" s="64"/>
    </row>
    <row r="125" spans="1:16" ht="9" customHeight="1">
      <c r="A125" s="13" t="s">
        <v>117</v>
      </c>
      <c r="B125" s="16"/>
      <c r="C125" s="12"/>
      <c r="D125" s="12"/>
      <c r="E125" s="12"/>
      <c r="F125" s="12"/>
      <c r="G125" s="12"/>
      <c r="H125" s="14"/>
      <c r="I125" s="14"/>
      <c r="J125" s="14"/>
      <c r="K125" s="14"/>
      <c r="L125" s="14"/>
      <c r="M125" s="14"/>
      <c r="N125" s="14"/>
      <c r="O125" s="14"/>
      <c r="P125" s="64"/>
    </row>
    <row r="126" spans="1:16" ht="9" customHeight="1">
      <c r="A126" s="13" t="s">
        <v>177</v>
      </c>
      <c r="B126" s="16"/>
      <c r="C126" s="12"/>
      <c r="D126" s="12"/>
      <c r="E126" s="12"/>
      <c r="F126" s="12"/>
      <c r="G126" s="12"/>
      <c r="H126" s="14"/>
      <c r="I126" s="14"/>
      <c r="J126" s="14"/>
      <c r="K126" s="14"/>
      <c r="L126" s="14"/>
      <c r="M126" s="14"/>
      <c r="N126" s="14"/>
      <c r="O126" s="14"/>
      <c r="P126" s="64"/>
    </row>
    <row r="127" spans="1:16" ht="9" customHeight="1">
      <c r="A127" s="13" t="s">
        <v>178</v>
      </c>
      <c r="B127" s="16"/>
      <c r="C127" s="12"/>
      <c r="D127" s="12"/>
      <c r="E127" s="12"/>
      <c r="F127" s="12"/>
      <c r="G127" s="12"/>
      <c r="H127" s="14"/>
      <c r="I127" s="14"/>
      <c r="J127" s="14"/>
      <c r="K127" s="14"/>
      <c r="L127" s="14"/>
      <c r="M127" s="14"/>
      <c r="N127" s="14"/>
      <c r="O127" s="14"/>
      <c r="P127" s="64"/>
    </row>
    <row r="128" spans="1:16" ht="9" customHeight="1">
      <c r="A128" s="14" t="s">
        <v>125</v>
      </c>
      <c r="B128" s="95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</row>
    <row r="129" spans="1:16" ht="9" customHeight="1">
      <c r="A129" s="14" t="s">
        <v>126</v>
      </c>
      <c r="B129" s="95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</row>
    <row r="130" spans="1:16">
      <c r="B130" s="158"/>
    </row>
    <row r="131" spans="1:16">
      <c r="B131" s="158"/>
    </row>
  </sheetData>
  <mergeCells count="1">
    <mergeCell ref="A5:A20"/>
  </mergeCells>
  <pageMargins left="0.7" right="0.7" top="0.75" bottom="0.75" header="0.3" footer="0.3"/>
  <ignoredErrors>
    <ignoredError sqref="B70:Q72 Q5:Q68 B121:Q129 Q73:Q120 B5:C21 B69:N69 P69:Q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INDICE </vt:lpstr>
      <vt:lpstr>C-49</vt:lpstr>
      <vt:lpstr>C.50</vt:lpstr>
      <vt:lpstr>C.51</vt:lpstr>
      <vt:lpstr>C.50!Área_de_impresión</vt:lpstr>
      <vt:lpstr>'C-49'!Área_de_impresión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ealbujar</dc:creator>
  <cp:keywords/>
  <dc:description/>
  <cp:lastModifiedBy>Agueda Sihuas Meza</cp:lastModifiedBy>
  <cp:lastPrinted>2024-10-17T20:18:37Z</cp:lastPrinted>
  <dcterms:created xsi:type="dcterms:W3CDTF">2006-02-02T17:16:57Z</dcterms:created>
  <dcterms:modified xsi:type="dcterms:W3CDTF">2025-12-05T21:41:27Z</dcterms:modified>
  <cp:category/>
</cp:coreProperties>
</file>