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AGUEDA EL AGRO EN CIFRA - OCTUBRE 2025\"/>
    </mc:Choice>
  </mc:AlternateContent>
  <xr:revisionPtr revIDLastSave="0" documentId="13_ncr:1_{3E937E3F-B25A-4DA2-9DEE-9A295FD4223B}" xr6:coauthVersionLast="47" xr6:coauthVersionMax="47" xr10:uidLastSave="{00000000-0000-0000-0000-000000000000}"/>
  <bookViews>
    <workbookView xWindow="-120" yWindow="-120" windowWidth="20730" windowHeight="11760" tabRatio="910" activeTab="14" xr2:uid="{00000000-000D-0000-FFFF-FFFF00000000}"/>
  </bookViews>
  <sheets>
    <sheet name="ÍNDICE" sheetId="30" r:id="rId1"/>
    <sheet name="C.74" sheetId="21" r:id="rId2"/>
    <sheet name="C.75" sheetId="2" r:id="rId3"/>
    <sheet name="C.76" sheetId="19" r:id="rId4"/>
    <sheet name="C.77" sheetId="11" r:id="rId5"/>
    <sheet name="C.78-C.79" sheetId="26" r:id="rId6"/>
    <sheet name="C.80" sheetId="1" r:id="rId7"/>
    <sheet name="C.81" sheetId="29" r:id="rId8"/>
    <sheet name="C.82" sheetId="14" r:id="rId9"/>
    <sheet name="C.83" sheetId="45" r:id="rId10"/>
    <sheet name="C.84 - 85" sheetId="27" r:id="rId11"/>
    <sheet name="C.86" sheetId="3" r:id="rId12"/>
    <sheet name="C.87" sheetId="28" r:id="rId13"/>
    <sheet name="C.88" sheetId="16" r:id="rId14"/>
    <sheet name="C.89" sheetId="18" r:id="rId15"/>
  </sheets>
  <externalReferences>
    <externalReference r:id="rId16"/>
  </externalReferences>
  <definedNames>
    <definedName name="_xlnm._FilterDatabase" localSheetId="14" hidden="1">'C.89'!#REF!</definedName>
    <definedName name="_xlnm.Print_Area" localSheetId="1">'C.74'!$A$1:$G$16</definedName>
    <definedName name="_xlnm.Print_Area" localSheetId="2">'C.75'!$A$1:$E$54</definedName>
    <definedName name="_xlnm.Print_Area" localSheetId="3">'C.76'!$A$1:$D$34</definedName>
    <definedName name="_xlnm.Print_Area" localSheetId="4">'C.77'!$A$1:$H$59</definedName>
    <definedName name="_xlnm.Print_Area" localSheetId="5">'C.78-C.79'!$A$62:$B$122</definedName>
    <definedName name="_xlnm.Print_Area" localSheetId="6">'C.80'!#REF!</definedName>
    <definedName name="_xlnm.Print_Area" localSheetId="7">'C.81'!#REF!</definedName>
    <definedName name="_xlnm.Print_Area" localSheetId="8">'C.82'!$A$1:$H$60</definedName>
    <definedName name="_xlnm.Print_Area" localSheetId="9">'C.83'!$A$68:$J$132</definedName>
    <definedName name="_xlnm.Print_Area" localSheetId="10">'C.84 - 85'!$A$63:$B$122</definedName>
    <definedName name="_xlnm.Print_Area" localSheetId="11">'C.86'!#REF!</definedName>
    <definedName name="_xlnm.Print_Area" localSheetId="12">'C.87'!#REF!</definedName>
    <definedName name="_xlnm.Print_Area" localSheetId="13">'C.88'!$A$1:$H$60</definedName>
    <definedName name="_xlnm.Print_Area" localSheetId="14">'C.89'!$A$1:$J$70</definedName>
    <definedName name="_xlnm.Print_Area" localSheetId="0">ÍNDICE!$A$1:$B$28</definedName>
    <definedName name="MES">#REF!</definedName>
    <definedName name="OLE_LINK1" localSheetId="9">'C.83'!#REF!</definedName>
    <definedName name="OLE_LINK1" localSheetId="14">'C.89'!#REF!</definedName>
    <definedName name="SUB_OMC">#REF!</definedName>
    <definedName name="SUBPAR">#REF!</definedName>
    <definedName name="subpar1">[1]subpartidas!$A$2:$B$833</definedName>
    <definedName name="TABLA" localSheetId="9">'C.83'!#REF!</definedName>
    <definedName name="TABLA">#REF!</definedName>
    <definedName name="TABLA_1">#REF!</definedName>
    <definedName name="TABLA_11">#REF!</definedName>
    <definedName name="TABLA_12">#REF!</definedName>
    <definedName name="TABLA_14">#REF!</definedName>
    <definedName name="TABLA_15">#REF!</definedName>
    <definedName name="TABLA_2">'C.89'!#REF!</definedName>
    <definedName name="TABLA_3">#REF!</definedName>
    <definedName name="TABLA_4">#REF!</definedName>
    <definedName name="TABLA_5">#REF!</definedName>
    <definedName name="TABLA_6">#REF!</definedName>
    <definedName name="TABLA_7">#REF!</definedName>
    <definedName name="TABLA_8">#REF!</definedName>
    <definedName name="TABLA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18" l="1"/>
  <c r="J30" i="18"/>
  <c r="J59" i="18"/>
  <c r="I59" i="18"/>
  <c r="I60" i="18"/>
  <c r="I19" i="18"/>
  <c r="I20" i="18"/>
  <c r="I14" i="18"/>
  <c r="I15" i="18"/>
  <c r="F57" i="18"/>
  <c r="F58" i="18"/>
  <c r="F59" i="18"/>
  <c r="F60" i="18"/>
  <c r="F45" i="18"/>
  <c r="F46" i="18"/>
  <c r="F47" i="18"/>
  <c r="F48" i="18"/>
  <c r="F49" i="18"/>
  <c r="F50" i="18"/>
  <c r="F51" i="18"/>
  <c r="F52" i="18"/>
  <c r="F53" i="18"/>
  <c r="F38" i="18"/>
  <c r="F39" i="18"/>
  <c r="F40" i="18"/>
  <c r="F41" i="18"/>
  <c r="F35" i="18"/>
  <c r="F34" i="18"/>
  <c r="F33" i="18"/>
  <c r="F32" i="18"/>
  <c r="F66" i="18"/>
  <c r="F65" i="18"/>
  <c r="F64" i="18"/>
  <c r="F63" i="18"/>
  <c r="F62" i="18"/>
  <c r="F56" i="18"/>
  <c r="F55" i="18"/>
  <c r="F44" i="18"/>
  <c r="F43" i="18"/>
  <c r="F37" i="18"/>
  <c r="F36" i="18"/>
  <c r="F30" i="18"/>
  <c r="F29" i="18"/>
  <c r="F28" i="18"/>
  <c r="F27" i="18"/>
  <c r="F25" i="18"/>
  <c r="F24" i="18"/>
  <c r="F23" i="18"/>
  <c r="F22" i="18"/>
  <c r="F20" i="18"/>
  <c r="F19" i="18"/>
  <c r="F18" i="18"/>
  <c r="F17" i="18"/>
  <c r="F15" i="18"/>
  <c r="F14" i="18"/>
  <c r="F13" i="18"/>
  <c r="F12" i="18"/>
  <c r="F9" i="18"/>
  <c r="H7" i="21"/>
  <c r="F8" i="18"/>
  <c r="F7" i="18"/>
  <c r="D57" i="16" l="1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E119" i="27" l="1"/>
  <c r="E118" i="27"/>
  <c r="E117" i="27"/>
  <c r="E116" i="27"/>
  <c r="E115" i="27"/>
  <c r="E114" i="27"/>
  <c r="E113" i="27"/>
  <c r="E112" i="27"/>
  <c r="E111" i="27"/>
  <c r="E110" i="27"/>
  <c r="E109" i="27"/>
  <c r="E108" i="27"/>
  <c r="E107" i="27"/>
  <c r="E106" i="27"/>
  <c r="E105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91" i="27"/>
  <c r="E90" i="27"/>
  <c r="E89" i="27"/>
  <c r="E88" i="27"/>
  <c r="E86" i="27"/>
  <c r="E85" i="27"/>
  <c r="E84" i="27"/>
  <c r="E83" i="27"/>
  <c r="E82" i="27"/>
  <c r="E81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E23" i="27"/>
  <c r="E24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D57" i="14" l="1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E21" i="11" l="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20" i="11"/>
  <c r="E19" i="11"/>
  <c r="E18" i="11"/>
  <c r="E17" i="11"/>
  <c r="E16" i="11"/>
  <c r="E13" i="11"/>
  <c r="E12" i="11"/>
  <c r="E11" i="11"/>
  <c r="E10" i="11"/>
  <c r="E9" i="11"/>
  <c r="J45" i="18" l="1"/>
  <c r="J46" i="18"/>
  <c r="J47" i="18"/>
  <c r="J48" i="18"/>
  <c r="J49" i="18"/>
  <c r="J50" i="18"/>
  <c r="I45" i="18"/>
  <c r="I46" i="18"/>
  <c r="I47" i="18"/>
  <c r="I48" i="18"/>
  <c r="I49" i="18"/>
  <c r="B69" i="27" l="1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115" i="27"/>
  <c r="B116" i="27"/>
  <c r="B117" i="27"/>
  <c r="B118" i="27"/>
  <c r="J38" i="18" l="1"/>
  <c r="J39" i="18"/>
  <c r="J40" i="18"/>
  <c r="J41" i="18"/>
  <c r="I38" i="18"/>
  <c r="I39" i="18"/>
  <c r="I40" i="18"/>
  <c r="I41" i="18"/>
  <c r="J24" i="18"/>
  <c r="J25" i="18"/>
  <c r="I24" i="18"/>
  <c r="I25" i="18"/>
  <c r="J9" i="18"/>
  <c r="J10" i="18"/>
  <c r="J58" i="18"/>
  <c r="I58" i="18"/>
  <c r="J65" i="18"/>
  <c r="J66" i="18"/>
  <c r="I65" i="18"/>
  <c r="I66" i="18"/>
  <c r="H67" i="18"/>
  <c r="J67" i="18" s="1"/>
  <c r="G67" i="18"/>
  <c r="E67" i="18"/>
  <c r="D67" i="18"/>
  <c r="H42" i="18"/>
  <c r="J42" i="18" s="1"/>
  <c r="G42" i="18"/>
  <c r="E42" i="18"/>
  <c r="F42" i="18" s="1"/>
  <c r="D42" i="18"/>
  <c r="I7" i="18"/>
  <c r="I8" i="18"/>
  <c r="J8" i="18"/>
  <c r="I9" i="18"/>
  <c r="H11" i="18"/>
  <c r="J11" i="18" s="1"/>
  <c r="G11" i="18"/>
  <c r="E11" i="18"/>
  <c r="D11" i="18"/>
  <c r="F11" i="18" l="1"/>
  <c r="F67" i="18"/>
  <c r="I67" i="18"/>
  <c r="I42" i="18"/>
  <c r="J7" i="18"/>
  <c r="I11" i="18"/>
  <c r="I51" i="18" l="1"/>
  <c r="I52" i="18"/>
  <c r="J57" i="18"/>
  <c r="J60" i="18"/>
  <c r="I57" i="18"/>
  <c r="J52" i="18"/>
  <c r="H31" i="18"/>
  <c r="J31" i="18" s="1"/>
  <c r="G31" i="18"/>
  <c r="E31" i="18"/>
  <c r="D31" i="18"/>
  <c r="H21" i="18"/>
  <c r="J21" i="18" s="1"/>
  <c r="E21" i="18"/>
  <c r="F31" i="18" l="1"/>
  <c r="I31" i="18"/>
  <c r="H61" i="18" l="1"/>
  <c r="J61" i="18" s="1"/>
  <c r="G61" i="18"/>
  <c r="E61" i="18"/>
  <c r="D61" i="18"/>
  <c r="F61" i="18" s="1"/>
  <c r="I61" i="18" l="1"/>
  <c r="C67" i="27"/>
  <c r="D67" i="27"/>
  <c r="E67" i="27" l="1"/>
  <c r="F15" i="11" l="1"/>
  <c r="A91" i="27" l="1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E29" i="3" l="1"/>
  <c r="E38" i="3"/>
  <c r="D6" i="3" l="1"/>
  <c r="C6" i="3"/>
  <c r="G8" i="11" l="1"/>
  <c r="F8" i="11"/>
  <c r="I50" i="18" l="1"/>
  <c r="J51" i="18"/>
  <c r="I53" i="18"/>
  <c r="J53" i="18"/>
  <c r="I64" i="18"/>
  <c r="J64" i="18"/>
  <c r="H54" i="18"/>
  <c r="J54" i="18" s="1"/>
  <c r="G54" i="18"/>
  <c r="E54" i="18"/>
  <c r="D54" i="18"/>
  <c r="F54" i="18" l="1"/>
  <c r="I54" i="18"/>
  <c r="H11" i="11" l="1"/>
  <c r="H12" i="11"/>
  <c r="H13" i="11"/>
  <c r="B6" i="28" l="1"/>
  <c r="D16" i="18" l="1"/>
  <c r="E16" i="18"/>
  <c r="F16" i="18" s="1"/>
  <c r="G16" i="18"/>
  <c r="H16" i="18"/>
  <c r="I16" i="18" l="1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7" i="14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18" i="11"/>
  <c r="H19" i="11"/>
  <c r="H17" i="11"/>
  <c r="H16" i="11"/>
  <c r="H10" i="11"/>
  <c r="H14" i="11"/>
  <c r="H9" i="11"/>
  <c r="J63" i="18"/>
  <c r="I63" i="18"/>
  <c r="I62" i="18"/>
  <c r="J56" i="18"/>
  <c r="J55" i="18" s="1"/>
  <c r="J44" i="18"/>
  <c r="J43" i="18" s="1"/>
  <c r="I44" i="18"/>
  <c r="I43" i="18"/>
  <c r="I56" i="18"/>
  <c r="I55" i="18"/>
  <c r="J37" i="18"/>
  <c r="I37" i="18"/>
  <c r="I36" i="18"/>
  <c r="J34" i="18"/>
  <c r="J35" i="18"/>
  <c r="J33" i="18"/>
  <c r="I35" i="18"/>
  <c r="I34" i="18"/>
  <c r="I33" i="18"/>
  <c r="I32" i="18"/>
  <c r="J28" i="18"/>
  <c r="J27" i="18" s="1"/>
  <c r="I27" i="18"/>
  <c r="J23" i="18"/>
  <c r="J19" i="18"/>
  <c r="J20" i="18"/>
  <c r="J18" i="18"/>
  <c r="J14" i="18"/>
  <c r="J15" i="18"/>
  <c r="J13" i="18"/>
  <c r="I30" i="18"/>
  <c r="I29" i="18"/>
  <c r="I28" i="18"/>
  <c r="I23" i="18"/>
  <c r="I22" i="18"/>
  <c r="I18" i="18"/>
  <c r="I17" i="18"/>
  <c r="I13" i="18"/>
  <c r="I12" i="18"/>
  <c r="J17" i="18" l="1"/>
  <c r="H12" i="21" l="1"/>
  <c r="H11" i="21"/>
  <c r="H8" i="21"/>
  <c r="D58" i="28" l="1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C6" i="28"/>
  <c r="E53" i="28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7" i="3"/>
  <c r="E36" i="3"/>
  <c r="E35" i="3"/>
  <c r="E34" i="3"/>
  <c r="E33" i="3"/>
  <c r="E32" i="3"/>
  <c r="E31" i="3"/>
  <c r="E30" i="3"/>
  <c r="E28" i="3"/>
  <c r="E27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F53" i="3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C6" i="29"/>
  <c r="B6" i="29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6" i="1"/>
  <c r="C6" i="1"/>
  <c r="F53" i="1" s="1"/>
  <c r="G53" i="3" l="1"/>
  <c r="G53" i="1"/>
  <c r="F53" i="28"/>
  <c r="E6" i="3"/>
  <c r="D6" i="28"/>
  <c r="E53" i="29"/>
  <c r="F53" i="29" s="1"/>
  <c r="E16" i="28"/>
  <c r="F16" i="28" s="1"/>
  <c r="E32" i="28"/>
  <c r="F32" i="28" s="1"/>
  <c r="F16" i="3"/>
  <c r="G16" i="3" s="1"/>
  <c r="F32" i="3"/>
  <c r="G32" i="3" s="1"/>
  <c r="E43" i="29"/>
  <c r="F43" i="29" s="1"/>
  <c r="E16" i="29"/>
  <c r="F16" i="29" s="1"/>
  <c r="E32" i="29"/>
  <c r="F32" i="29" s="1"/>
  <c r="E48" i="29"/>
  <c r="F48" i="29" s="1"/>
  <c r="D6" i="29"/>
  <c r="E11" i="29"/>
  <c r="F11" i="29" s="1"/>
  <c r="E27" i="29"/>
  <c r="F27" i="29" s="1"/>
  <c r="F11" i="1"/>
  <c r="G11" i="1" s="1"/>
  <c r="F43" i="1"/>
  <c r="G43" i="1" s="1"/>
  <c r="F16" i="1"/>
  <c r="G16" i="1" s="1"/>
  <c r="F32" i="1"/>
  <c r="G32" i="1" s="1"/>
  <c r="F48" i="1"/>
  <c r="G48" i="1" s="1"/>
  <c r="F27" i="1"/>
  <c r="G27" i="1" s="1"/>
  <c r="E48" i="28"/>
  <c r="F48" i="28" s="1"/>
  <c r="E11" i="28"/>
  <c r="F11" i="28" s="1"/>
  <c r="E27" i="28"/>
  <c r="F27" i="28" s="1"/>
  <c r="E43" i="28"/>
  <c r="F43" i="28" s="1"/>
  <c r="E22" i="28"/>
  <c r="F22" i="28" s="1"/>
  <c r="E38" i="28"/>
  <c r="F38" i="28" s="1"/>
  <c r="E54" i="28"/>
  <c r="F54" i="28" s="1"/>
  <c r="E17" i="28"/>
  <c r="F17" i="28" s="1"/>
  <c r="E33" i="28"/>
  <c r="F33" i="28" s="1"/>
  <c r="E49" i="28"/>
  <c r="F49" i="28" s="1"/>
  <c r="E12" i="28"/>
  <c r="F12" i="28" s="1"/>
  <c r="E28" i="28"/>
  <c r="F28" i="28" s="1"/>
  <c r="E44" i="28"/>
  <c r="F44" i="28" s="1"/>
  <c r="E23" i="28"/>
  <c r="F23" i="28" s="1"/>
  <c r="E39" i="28"/>
  <c r="F39" i="28" s="1"/>
  <c r="E55" i="28"/>
  <c r="F55" i="28" s="1"/>
  <c r="E18" i="28"/>
  <c r="F18" i="28" s="1"/>
  <c r="E34" i="28"/>
  <c r="F34" i="28" s="1"/>
  <c r="E50" i="28"/>
  <c r="F50" i="28" s="1"/>
  <c r="E13" i="28"/>
  <c r="F13" i="28" s="1"/>
  <c r="E29" i="28"/>
  <c r="F29" i="28" s="1"/>
  <c r="E45" i="28"/>
  <c r="F45" i="28" s="1"/>
  <c r="E8" i="28"/>
  <c r="E24" i="28"/>
  <c r="F24" i="28" s="1"/>
  <c r="E40" i="28"/>
  <c r="F40" i="28" s="1"/>
  <c r="E56" i="28"/>
  <c r="F56" i="28" s="1"/>
  <c r="E19" i="28"/>
  <c r="F19" i="28" s="1"/>
  <c r="E35" i="28"/>
  <c r="F35" i="28" s="1"/>
  <c r="E51" i="28"/>
  <c r="F51" i="28" s="1"/>
  <c r="E14" i="28"/>
  <c r="F14" i="28" s="1"/>
  <c r="E30" i="28"/>
  <c r="F30" i="28" s="1"/>
  <c r="E46" i="28"/>
  <c r="F46" i="28" s="1"/>
  <c r="E9" i="28"/>
  <c r="F9" i="28" s="1"/>
  <c r="E25" i="28"/>
  <c r="F25" i="28" s="1"/>
  <c r="E41" i="28"/>
  <c r="F41" i="28" s="1"/>
  <c r="E57" i="28"/>
  <c r="F57" i="28" s="1"/>
  <c r="E20" i="28"/>
  <c r="F20" i="28" s="1"/>
  <c r="E36" i="28"/>
  <c r="F36" i="28" s="1"/>
  <c r="E52" i="28"/>
  <c r="F52" i="28" s="1"/>
  <c r="E15" i="28"/>
  <c r="F15" i="28" s="1"/>
  <c r="E31" i="28"/>
  <c r="F31" i="28" s="1"/>
  <c r="E47" i="28"/>
  <c r="F47" i="28" s="1"/>
  <c r="E10" i="28"/>
  <c r="F10" i="28" s="1"/>
  <c r="E26" i="28"/>
  <c r="F26" i="28" s="1"/>
  <c r="E42" i="28"/>
  <c r="F42" i="28" s="1"/>
  <c r="E58" i="28"/>
  <c r="F58" i="28" s="1"/>
  <c r="E21" i="28"/>
  <c r="F21" i="28" s="1"/>
  <c r="E37" i="28"/>
  <c r="F37" i="28" s="1"/>
  <c r="F48" i="3"/>
  <c r="G48" i="3" s="1"/>
  <c r="F11" i="3"/>
  <c r="G11" i="3" s="1"/>
  <c r="F27" i="3"/>
  <c r="G27" i="3" s="1"/>
  <c r="F43" i="3"/>
  <c r="G43" i="3" s="1"/>
  <c r="F22" i="3"/>
  <c r="G22" i="3" s="1"/>
  <c r="F38" i="3"/>
  <c r="G38" i="3" s="1"/>
  <c r="F54" i="3"/>
  <c r="G54" i="3" s="1"/>
  <c r="F33" i="3"/>
  <c r="G33" i="3" s="1"/>
  <c r="F49" i="3"/>
  <c r="G49" i="3" s="1"/>
  <c r="F12" i="3"/>
  <c r="G12" i="3" s="1"/>
  <c r="F28" i="3"/>
  <c r="G28" i="3" s="1"/>
  <c r="F44" i="3"/>
  <c r="G44" i="3" s="1"/>
  <c r="F17" i="3"/>
  <c r="G17" i="3" s="1"/>
  <c r="F23" i="3"/>
  <c r="G23" i="3" s="1"/>
  <c r="F39" i="3"/>
  <c r="G39" i="3" s="1"/>
  <c r="F55" i="3"/>
  <c r="G55" i="3" s="1"/>
  <c r="F18" i="3"/>
  <c r="G18" i="3" s="1"/>
  <c r="F34" i="3"/>
  <c r="G34" i="3" s="1"/>
  <c r="F50" i="3"/>
  <c r="G50" i="3" s="1"/>
  <c r="F13" i="3"/>
  <c r="G13" i="3" s="1"/>
  <c r="F29" i="3"/>
  <c r="G29" i="3" s="1"/>
  <c r="F45" i="3"/>
  <c r="G45" i="3" s="1"/>
  <c r="F8" i="3"/>
  <c r="F24" i="3"/>
  <c r="G24" i="3" s="1"/>
  <c r="F40" i="3"/>
  <c r="G40" i="3" s="1"/>
  <c r="F56" i="3"/>
  <c r="G56" i="3" s="1"/>
  <c r="F19" i="3"/>
  <c r="G19" i="3" s="1"/>
  <c r="F35" i="3"/>
  <c r="G35" i="3" s="1"/>
  <c r="F51" i="3"/>
  <c r="G51" i="3" s="1"/>
  <c r="F14" i="3"/>
  <c r="G14" i="3" s="1"/>
  <c r="F30" i="3"/>
  <c r="G30" i="3" s="1"/>
  <c r="F46" i="3"/>
  <c r="G46" i="3" s="1"/>
  <c r="F9" i="3"/>
  <c r="G9" i="3" s="1"/>
  <c r="F25" i="3"/>
  <c r="G25" i="3" s="1"/>
  <c r="F41" i="3"/>
  <c r="G41" i="3" s="1"/>
  <c r="F57" i="3"/>
  <c r="G57" i="3" s="1"/>
  <c r="F20" i="3"/>
  <c r="F36" i="3"/>
  <c r="G36" i="3" s="1"/>
  <c r="F52" i="3"/>
  <c r="G52" i="3" s="1"/>
  <c r="F15" i="3"/>
  <c r="G15" i="3" s="1"/>
  <c r="F31" i="3"/>
  <c r="G31" i="3" s="1"/>
  <c r="F47" i="3"/>
  <c r="G47" i="3" s="1"/>
  <c r="F10" i="3"/>
  <c r="G10" i="3" s="1"/>
  <c r="F42" i="3"/>
  <c r="G42" i="3" s="1"/>
  <c r="F58" i="3"/>
  <c r="G58" i="3" s="1"/>
  <c r="F21" i="3"/>
  <c r="G21" i="3" s="1"/>
  <c r="F37" i="3"/>
  <c r="G37" i="3" s="1"/>
  <c r="E17" i="29"/>
  <c r="F17" i="29" s="1"/>
  <c r="E33" i="29"/>
  <c r="F33" i="29" s="1"/>
  <c r="E49" i="29"/>
  <c r="F49" i="29" s="1"/>
  <c r="E22" i="29"/>
  <c r="F22" i="29" s="1"/>
  <c r="E38" i="29"/>
  <c r="F38" i="29" s="1"/>
  <c r="E54" i="29"/>
  <c r="F54" i="29" s="1"/>
  <c r="E12" i="29"/>
  <c r="F12" i="29" s="1"/>
  <c r="E28" i="29"/>
  <c r="F28" i="29" s="1"/>
  <c r="E44" i="29"/>
  <c r="F44" i="29" s="1"/>
  <c r="E23" i="29"/>
  <c r="F23" i="29" s="1"/>
  <c r="E39" i="29"/>
  <c r="F39" i="29" s="1"/>
  <c r="E55" i="29"/>
  <c r="F55" i="29" s="1"/>
  <c r="E50" i="29"/>
  <c r="F50" i="29" s="1"/>
  <c r="E18" i="29"/>
  <c r="F18" i="29" s="1"/>
  <c r="E13" i="29"/>
  <c r="F13" i="29" s="1"/>
  <c r="E29" i="29"/>
  <c r="F29" i="29" s="1"/>
  <c r="E45" i="29"/>
  <c r="F45" i="29" s="1"/>
  <c r="E8" i="29"/>
  <c r="E24" i="29"/>
  <c r="F24" i="29" s="1"/>
  <c r="E40" i="29"/>
  <c r="F40" i="29" s="1"/>
  <c r="E56" i="29"/>
  <c r="F56" i="29" s="1"/>
  <c r="E34" i="29"/>
  <c r="F34" i="29" s="1"/>
  <c r="E19" i="29"/>
  <c r="F19" i="29" s="1"/>
  <c r="E35" i="29"/>
  <c r="F35" i="29" s="1"/>
  <c r="E51" i="29"/>
  <c r="F51" i="29" s="1"/>
  <c r="E30" i="29"/>
  <c r="F30" i="29" s="1"/>
  <c r="E9" i="29"/>
  <c r="F9" i="29" s="1"/>
  <c r="E25" i="29"/>
  <c r="F25" i="29" s="1"/>
  <c r="E41" i="29"/>
  <c r="F41" i="29" s="1"/>
  <c r="E57" i="29"/>
  <c r="F57" i="29" s="1"/>
  <c r="E14" i="29"/>
  <c r="F14" i="29" s="1"/>
  <c r="E46" i="29"/>
  <c r="F46" i="29" s="1"/>
  <c r="E20" i="29"/>
  <c r="F20" i="29" s="1"/>
  <c r="E36" i="29"/>
  <c r="F36" i="29" s="1"/>
  <c r="E52" i="29"/>
  <c r="F52" i="29" s="1"/>
  <c r="E15" i="29"/>
  <c r="F15" i="29" s="1"/>
  <c r="E31" i="29"/>
  <c r="F31" i="29" s="1"/>
  <c r="E47" i="29"/>
  <c r="F47" i="29" s="1"/>
  <c r="E10" i="29"/>
  <c r="F10" i="29" s="1"/>
  <c r="E26" i="29"/>
  <c r="F26" i="29" s="1"/>
  <c r="E42" i="29"/>
  <c r="F42" i="29" s="1"/>
  <c r="E58" i="29"/>
  <c r="F58" i="29" s="1"/>
  <c r="E21" i="29"/>
  <c r="F21" i="29" s="1"/>
  <c r="E37" i="29"/>
  <c r="F37" i="29" s="1"/>
  <c r="F54" i="1"/>
  <c r="G54" i="1" s="1"/>
  <c r="F17" i="1"/>
  <c r="G17" i="1" s="1"/>
  <c r="F33" i="1"/>
  <c r="G33" i="1" s="1"/>
  <c r="F49" i="1"/>
  <c r="G49" i="1" s="1"/>
  <c r="F23" i="1"/>
  <c r="G23" i="1" s="1"/>
  <c r="F39" i="1"/>
  <c r="G39" i="1" s="1"/>
  <c r="F55" i="1"/>
  <c r="G55" i="1" s="1"/>
  <c r="F18" i="1"/>
  <c r="G18" i="1" s="1"/>
  <c r="F34" i="1"/>
  <c r="G34" i="1" s="1"/>
  <c r="F50" i="1"/>
  <c r="G50" i="1" s="1"/>
  <c r="F38" i="1"/>
  <c r="G38" i="1" s="1"/>
  <c r="F13" i="1"/>
  <c r="G13" i="1" s="1"/>
  <c r="F29" i="1"/>
  <c r="G29" i="1" s="1"/>
  <c r="F45" i="1"/>
  <c r="G45" i="1" s="1"/>
  <c r="F8" i="1"/>
  <c r="F24" i="1"/>
  <c r="G24" i="1" s="1"/>
  <c r="F40" i="1"/>
  <c r="G40" i="1" s="1"/>
  <c r="F56" i="1"/>
  <c r="G56" i="1" s="1"/>
  <c r="F44" i="1"/>
  <c r="G44" i="1" s="1"/>
  <c r="F19" i="1"/>
  <c r="G19" i="1" s="1"/>
  <c r="F35" i="1"/>
  <c r="G35" i="1" s="1"/>
  <c r="F51" i="1"/>
  <c r="G51" i="1" s="1"/>
  <c r="F14" i="1"/>
  <c r="G14" i="1" s="1"/>
  <c r="F30" i="1"/>
  <c r="G30" i="1" s="1"/>
  <c r="F46" i="1"/>
  <c r="G46" i="1" s="1"/>
  <c r="F28" i="1"/>
  <c r="G28" i="1" s="1"/>
  <c r="F9" i="1"/>
  <c r="G9" i="1" s="1"/>
  <c r="F25" i="1"/>
  <c r="G25" i="1" s="1"/>
  <c r="F41" i="1"/>
  <c r="G41" i="1" s="1"/>
  <c r="F57" i="1"/>
  <c r="G57" i="1" s="1"/>
  <c r="F12" i="1"/>
  <c r="G12" i="1" s="1"/>
  <c r="F20" i="1"/>
  <c r="G20" i="1" s="1"/>
  <c r="F36" i="1"/>
  <c r="G36" i="1" s="1"/>
  <c r="F52" i="1"/>
  <c r="G52" i="1" s="1"/>
  <c r="F22" i="1"/>
  <c r="G22" i="1" s="1"/>
  <c r="E6" i="1"/>
  <c r="F15" i="1"/>
  <c r="G15" i="1" s="1"/>
  <c r="F31" i="1"/>
  <c r="G31" i="1" s="1"/>
  <c r="F47" i="1"/>
  <c r="G47" i="1" s="1"/>
  <c r="F10" i="1"/>
  <c r="G10" i="1" s="1"/>
  <c r="F26" i="1"/>
  <c r="G26" i="1" s="1"/>
  <c r="F42" i="1"/>
  <c r="G42" i="1" s="1"/>
  <c r="F58" i="1"/>
  <c r="G58" i="1" s="1"/>
  <c r="F21" i="1"/>
  <c r="G21" i="1" s="1"/>
  <c r="F37" i="1"/>
  <c r="G37" i="1" s="1"/>
  <c r="F8" i="28" l="1"/>
  <c r="F6" i="28" s="1"/>
  <c r="E6" i="28"/>
  <c r="G8" i="3"/>
  <c r="G6" i="3" s="1"/>
  <c r="F6" i="3"/>
  <c r="F8" i="29"/>
  <c r="F6" i="29" s="1"/>
  <c r="E6" i="29"/>
  <c r="G8" i="1"/>
  <c r="G6" i="1" s="1"/>
  <c r="F6" i="1"/>
  <c r="J62" i="18" l="1"/>
  <c r="J16" i="18" l="1"/>
  <c r="J12" i="18" s="1"/>
  <c r="H26" i="18" l="1"/>
  <c r="G26" i="18"/>
  <c r="E26" i="18"/>
  <c r="D26" i="18"/>
  <c r="F26" i="18" l="1"/>
  <c r="I26" i="18"/>
  <c r="J26" i="18"/>
  <c r="J22" i="18" s="1"/>
  <c r="J32" i="18"/>
  <c r="G15" i="11" l="1"/>
  <c r="H15" i="11" s="1"/>
  <c r="J36" i="18" l="1"/>
  <c r="A69" i="27" l="1"/>
  <c r="E5" i="16" l="1"/>
  <c r="B6" i="19" l="1"/>
  <c r="C6" i="19" l="1"/>
  <c r="D6" i="19" s="1"/>
  <c r="H8" i="11" l="1"/>
  <c r="F5" i="14" l="1"/>
  <c r="H36" i="14" l="1"/>
  <c r="H37" i="14"/>
  <c r="H53" i="14"/>
  <c r="H28" i="14"/>
  <c r="H16" i="14"/>
  <c r="H39" i="14"/>
  <c r="H27" i="14"/>
  <c r="H38" i="14"/>
  <c r="H54" i="14"/>
  <c r="H29" i="14"/>
  <c r="H7" i="14"/>
  <c r="H55" i="14"/>
  <c r="H30" i="14"/>
  <c r="H19" i="14"/>
  <c r="H15" i="14"/>
  <c r="H40" i="14"/>
  <c r="H56" i="14"/>
  <c r="H31" i="14"/>
  <c r="H17" i="14"/>
  <c r="H35" i="14"/>
  <c r="H41" i="14"/>
  <c r="H57" i="14"/>
  <c r="H32" i="14"/>
  <c r="H42" i="14"/>
  <c r="H33" i="14"/>
  <c r="H52" i="14"/>
  <c r="H43" i="14"/>
  <c r="H18" i="14"/>
  <c r="H34" i="14"/>
  <c r="H44" i="14"/>
  <c r="H45" i="14"/>
  <c r="H20" i="14"/>
  <c r="H8" i="14"/>
  <c r="H46" i="14"/>
  <c r="H21" i="14"/>
  <c r="H9" i="14"/>
  <c r="H51" i="14"/>
  <c r="H47" i="14"/>
  <c r="H22" i="14"/>
  <c r="H10" i="14"/>
  <c r="H48" i="14"/>
  <c r="H23" i="14"/>
  <c r="H11" i="14"/>
  <c r="H25" i="14"/>
  <c r="H14" i="14"/>
  <c r="H49" i="14"/>
  <c r="H24" i="14"/>
  <c r="H12" i="14"/>
  <c r="H50" i="14"/>
  <c r="H13" i="14"/>
  <c r="H26" i="14"/>
  <c r="F5" i="16" l="1"/>
  <c r="G5" i="16" s="1"/>
  <c r="H42" i="16" l="1"/>
  <c r="H11" i="16"/>
  <c r="H27" i="16"/>
  <c r="H43" i="16"/>
  <c r="H12" i="16"/>
  <c r="H28" i="16"/>
  <c r="H31" i="16"/>
  <c r="H44" i="16"/>
  <c r="H13" i="16"/>
  <c r="H29" i="16"/>
  <c r="H45" i="16"/>
  <c r="H14" i="16"/>
  <c r="H30" i="16"/>
  <c r="H15" i="16"/>
  <c r="H47" i="16"/>
  <c r="H16" i="16"/>
  <c r="H32" i="16"/>
  <c r="H49" i="16"/>
  <c r="H18" i="16"/>
  <c r="H34" i="16"/>
  <c r="H19" i="16"/>
  <c r="H48" i="16"/>
  <c r="H17" i="16"/>
  <c r="H33" i="16"/>
  <c r="H50" i="16"/>
  <c r="H35" i="16"/>
  <c r="H51" i="16"/>
  <c r="H20" i="16"/>
  <c r="H8" i="16"/>
  <c r="H36" i="16"/>
  <c r="H52" i="16"/>
  <c r="H21" i="16"/>
  <c r="H9" i="16"/>
  <c r="H46" i="16"/>
  <c r="H37" i="16"/>
  <c r="H53" i="16"/>
  <c r="H22" i="16"/>
  <c r="H10" i="16"/>
  <c r="H39" i="16"/>
  <c r="H38" i="16"/>
  <c r="H54" i="16"/>
  <c r="H23" i="16"/>
  <c r="H7" i="16"/>
  <c r="H55" i="16"/>
  <c r="H24" i="16"/>
  <c r="H40" i="16"/>
  <c r="H56" i="16"/>
  <c r="H25" i="16"/>
  <c r="H41" i="16"/>
  <c r="H57" i="16"/>
  <c r="H26" i="16"/>
  <c r="H5" i="16" l="1"/>
  <c r="G67" i="27" l="1"/>
  <c r="F67" i="27"/>
  <c r="H67" i="27" l="1"/>
  <c r="E5" i="14"/>
  <c r="G5" i="14" s="1"/>
  <c r="H5" i="14" l="1"/>
  <c r="F6" i="11" l="1"/>
  <c r="G6" i="11"/>
  <c r="H6" i="11" l="1"/>
</calcChain>
</file>

<file path=xl/sharedStrings.xml><?xml version="1.0" encoding="utf-8"?>
<sst xmlns="http://schemas.openxmlformats.org/spreadsheetml/2006/main" count="1542" uniqueCount="386">
  <si>
    <t xml:space="preserve"> </t>
  </si>
  <si>
    <t>Cuadro</t>
  </si>
  <si>
    <t xml:space="preserve">Descripción </t>
  </si>
  <si>
    <t>BALANZA COMERCIAL</t>
  </si>
  <si>
    <t>Descripcion</t>
  </si>
  <si>
    <t>Subpartida Nacional</t>
  </si>
  <si>
    <t>Total Exportaciones</t>
  </si>
  <si>
    <t>Exportaciones Tradicionales</t>
  </si>
  <si>
    <t>País destino</t>
  </si>
  <si>
    <t>0901119000</t>
  </si>
  <si>
    <t>0806100000</t>
  </si>
  <si>
    <t>0804502000</t>
  </si>
  <si>
    <t>0709200000</t>
  </si>
  <si>
    <t>0803901100</t>
  </si>
  <si>
    <t>Peso Neto (t)</t>
  </si>
  <si>
    <t>C.84</t>
  </si>
  <si>
    <t>C.85</t>
  </si>
  <si>
    <t>Subpartida 
Nacional</t>
  </si>
  <si>
    <t>Otros</t>
  </si>
  <si>
    <t>DESCRIPCIÓN</t>
  </si>
  <si>
    <t xml:space="preserve">Fuente: Superintendencia Nacional de Aduanas y de Administración Tributaria </t>
  </si>
  <si>
    <t>PRODUCTOS EXPORTADOS</t>
  </si>
  <si>
    <t>sigue…</t>
  </si>
  <si>
    <t>País de origen</t>
  </si>
  <si>
    <t>País</t>
  </si>
  <si>
    <t xml:space="preserve">Exportaciones </t>
  </si>
  <si>
    <t>Importaciones</t>
  </si>
  <si>
    <t>Exportación e importación</t>
  </si>
  <si>
    <t>Variables</t>
  </si>
  <si>
    <t>Variación</t>
  </si>
  <si>
    <t/>
  </si>
  <si>
    <t>Subpartida
 nacional</t>
  </si>
  <si>
    <t>Var.</t>
  </si>
  <si>
    <t>%</t>
  </si>
  <si>
    <t>1006300000</t>
  </si>
  <si>
    <t>2309909000</t>
  </si>
  <si>
    <t>C.74</t>
  </si>
  <si>
    <t>C.75</t>
  </si>
  <si>
    <t>C.76</t>
  </si>
  <si>
    <t>C.77</t>
  </si>
  <si>
    <t>C.78</t>
  </si>
  <si>
    <t>C.79</t>
  </si>
  <si>
    <t xml:space="preserve">Balanza Comercial </t>
  </si>
  <si>
    <t xml:space="preserve">Comercio Externo </t>
  </si>
  <si>
    <r>
      <t>r</t>
    </r>
    <r>
      <rPr>
        <sz val="6"/>
        <rFont val="Arial Narrow"/>
        <family val="2"/>
      </rPr>
      <t xml:space="preserve"> revisada</t>
    </r>
  </si>
  <si>
    <t xml:space="preserve">Total </t>
  </si>
  <si>
    <t>C.80</t>
  </si>
  <si>
    <t>C.81</t>
  </si>
  <si>
    <t>C.82</t>
  </si>
  <si>
    <t>C.83</t>
  </si>
  <si>
    <t xml:space="preserve">Exportaciones          </t>
    <phoneticPr fontId="8" type="noConversion"/>
  </si>
  <si>
    <t xml:space="preserve">Importaciones </t>
    <phoneticPr fontId="8" type="noConversion"/>
  </si>
  <si>
    <t>PRODUCTOS IMPORTADOS</t>
  </si>
  <si>
    <t>Exportaciones No Tradicionales</t>
  </si>
  <si>
    <t>Masa Neta (t)</t>
  </si>
  <si>
    <t>Valor CIF (Miles USD)</t>
  </si>
  <si>
    <t>Valor FOB (Miles USD)</t>
  </si>
  <si>
    <t>Subpartida Nacional</t>
    <phoneticPr fontId="3" type="noConversion"/>
  </si>
  <si>
    <t xml:space="preserve">         (Peso Neto toneladas)</t>
    <phoneticPr fontId="11" type="noConversion"/>
  </si>
  <si>
    <t xml:space="preserve">          (Valor FOB Miles USD)</t>
    <phoneticPr fontId="11" type="noConversion"/>
  </si>
  <si>
    <t>Descripción/País Destino</t>
    <phoneticPr fontId="3" type="noConversion"/>
  </si>
  <si>
    <t>0811909100</t>
  </si>
  <si>
    <t>Descripción/País Origen</t>
  </si>
  <si>
    <t>0804400000</t>
  </si>
  <si>
    <t>1008509000</t>
  </si>
  <si>
    <t>1701140000</t>
  </si>
  <si>
    <t>1701999000</t>
  </si>
  <si>
    <t>0805299000</t>
  </si>
  <si>
    <t>0810400000</t>
  </si>
  <si>
    <t>1801001900</t>
  </si>
  <si>
    <t>Estados Unidos</t>
  </si>
  <si>
    <t>España</t>
  </si>
  <si>
    <t>Inglaterra</t>
  </si>
  <si>
    <t>Ecuador</t>
  </si>
  <si>
    <t>Alemania</t>
  </si>
  <si>
    <t>Hong Kong</t>
  </si>
  <si>
    <t>Bélgica</t>
  </si>
  <si>
    <t>Corea del Sur</t>
  </si>
  <si>
    <t>China</t>
  </si>
  <si>
    <t>Guatemala</t>
  </si>
  <si>
    <t>Nueva Zelanda</t>
  </si>
  <si>
    <t>Chile</t>
  </si>
  <si>
    <t>Uruguay</t>
  </si>
  <si>
    <t>Paraguay</t>
  </si>
  <si>
    <t>Brasil</t>
  </si>
  <si>
    <t>Canadá</t>
  </si>
  <si>
    <t>Bolivia</t>
  </si>
  <si>
    <t>Argentina</t>
  </si>
  <si>
    <t>0810909000</t>
  </si>
  <si>
    <t>2005600000</t>
  </si>
  <si>
    <t>0904211090</t>
  </si>
  <si>
    <t>0811909900</t>
  </si>
  <si>
    <t>2005991000</t>
  </si>
  <si>
    <t>2207100000</t>
  </si>
  <si>
    <t>2005999000</t>
  </si>
  <si>
    <t>0910110000</t>
  </si>
  <si>
    <t>2001909000</t>
  </si>
  <si>
    <t>0402911000</t>
  </si>
  <si>
    <t>1905310000</t>
  </si>
  <si>
    <t>2009892000</t>
  </si>
  <si>
    <t>1804001200</t>
  </si>
  <si>
    <t>0703100000</t>
  </si>
  <si>
    <t>1905901000</t>
  </si>
  <si>
    <t>1511100000</t>
  </si>
  <si>
    <t>0801220000</t>
  </si>
  <si>
    <t>2005700000</t>
  </si>
  <si>
    <t>3203002100</t>
  </si>
  <si>
    <t>1404902000</t>
  </si>
  <si>
    <t>2008999000</t>
  </si>
  <si>
    <t>2106902900</t>
  </si>
  <si>
    <t>1801002000</t>
  </si>
  <si>
    <t>1805000000</t>
  </si>
  <si>
    <t>0708100000</t>
  </si>
  <si>
    <t>1806900000</t>
  </si>
  <si>
    <t>1804001100</t>
  </si>
  <si>
    <t>1803100000</t>
  </si>
  <si>
    <t>2106907900</t>
  </si>
  <si>
    <t>2309902000</t>
  </si>
  <si>
    <t>1511900000</t>
  </si>
  <si>
    <t>Colombia</t>
  </si>
  <si>
    <t>Rusia</t>
  </si>
  <si>
    <t>Francia</t>
  </si>
  <si>
    <t>Italia</t>
  </si>
  <si>
    <t>Australia</t>
  </si>
  <si>
    <t>Indonesia</t>
  </si>
  <si>
    <t>Polonia</t>
  </si>
  <si>
    <t>Suecia</t>
  </si>
  <si>
    <t>Dinamarca</t>
  </si>
  <si>
    <t>Puerto Rico</t>
  </si>
  <si>
    <t>Costa Rica</t>
  </si>
  <si>
    <t>Tailandia</t>
  </si>
  <si>
    <t>Honduras</t>
  </si>
  <si>
    <t>Portugal</t>
  </si>
  <si>
    <t>El Salvador</t>
  </si>
  <si>
    <t>Arabia Saudita</t>
  </si>
  <si>
    <t>Nicaragua</t>
  </si>
  <si>
    <t>2203000000</t>
  </si>
  <si>
    <t>2202990000</t>
  </si>
  <si>
    <t>1905909000</t>
  </si>
  <si>
    <t>India</t>
  </si>
  <si>
    <t>Sri Lanka</t>
  </si>
  <si>
    <t>Singapur</t>
  </si>
  <si>
    <t>Suiza</t>
  </si>
  <si>
    <t>Grecia</t>
  </si>
  <si>
    <t>PAÍSES CON LOS QUE REGISTRA MAYOR SUPERÁVIT</t>
  </si>
  <si>
    <t>PAÍSES CON LOS QUE REGISTRA MENOR  DÉFICIT</t>
  </si>
  <si>
    <t>1005901100</t>
  </si>
  <si>
    <t>1001991000</t>
  </si>
  <si>
    <t>2304000000</t>
  </si>
  <si>
    <t>1507100000</t>
  </si>
  <si>
    <t>1201900000</t>
  </si>
  <si>
    <t>2106909000</t>
  </si>
  <si>
    <t>0402211900</t>
  </si>
  <si>
    <t>1507909000</t>
  </si>
  <si>
    <t>0402109000</t>
  </si>
  <si>
    <t>2207200010</t>
  </si>
  <si>
    <t>0405902000</t>
  </si>
  <si>
    <t>0713409000</t>
  </si>
  <si>
    <t>1001190000</t>
  </si>
  <si>
    <t>0808100000</t>
  </si>
  <si>
    <t>2101110000</t>
  </si>
  <si>
    <t>5201002000</t>
  </si>
  <si>
    <t>0602200000</t>
  </si>
  <si>
    <t>2309109000</t>
  </si>
  <si>
    <t>4407119000</t>
  </si>
  <si>
    <t>1003900000</t>
  </si>
  <si>
    <t>0207140090</t>
  </si>
  <si>
    <t>2204210000</t>
  </si>
  <si>
    <t>0713109020</t>
  </si>
  <si>
    <t>1901909000</t>
  </si>
  <si>
    <t>1005100000</t>
  </si>
  <si>
    <t>1208100000</t>
  </si>
  <si>
    <t>5201003000</t>
  </si>
  <si>
    <t>1704901000</t>
  </si>
  <si>
    <t>1108130000</t>
  </si>
  <si>
    <t>0811109000</t>
  </si>
  <si>
    <t>1703100000</t>
  </si>
  <si>
    <t>0805502200</t>
  </si>
  <si>
    <t>1804001300</t>
  </si>
  <si>
    <t>México</t>
  </si>
  <si>
    <t>Japón</t>
  </si>
  <si>
    <t>Panamá</t>
  </si>
  <si>
    <t>Haití</t>
  </si>
  <si>
    <t>República Dominicana</t>
  </si>
  <si>
    <t>Zonas Francas del Perú</t>
  </si>
  <si>
    <t>2301109000</t>
  </si>
  <si>
    <t>0207140021</t>
  </si>
  <si>
    <t>2004100000</t>
  </si>
  <si>
    <t>0806200000</t>
  </si>
  <si>
    <t>1404909090</t>
  </si>
  <si>
    <t>0206290000</t>
  </si>
  <si>
    <t>5201001000</t>
  </si>
  <si>
    <t>2101120000</t>
  </si>
  <si>
    <t>Turquía</t>
  </si>
  <si>
    <t>Sudáfrica</t>
  </si>
  <si>
    <t>1209919000</t>
  </si>
  <si>
    <t>1512111000</t>
  </si>
  <si>
    <t>Trigo s/m</t>
  </si>
  <si>
    <t>1514110000</t>
  </si>
  <si>
    <t>1804002000</t>
  </si>
  <si>
    <t>3301130000</t>
  </si>
  <si>
    <t>4101200000</t>
  </si>
  <si>
    <t>Emiratos Árabes Unidos</t>
  </si>
  <si>
    <t>Uvas frescas</t>
  </si>
  <si>
    <t>Mangos y mangostanes, frescos o secos</t>
  </si>
  <si>
    <t>Jengibre sin triturar ni pulverizar</t>
  </si>
  <si>
    <t>Cebollas y chalotes, frescos o refrigerados</t>
  </si>
  <si>
    <t>Tara en polvo (caesalpinea spinosa)</t>
  </si>
  <si>
    <t>Galletas saladas o aromatizadas</t>
  </si>
  <si>
    <t>Aceite de palma en bruto</t>
  </si>
  <si>
    <t>Aceitunas preparadas o conservadas, sin congelar</t>
  </si>
  <si>
    <t>Cacao en grano, entero o partido, tostado</t>
  </si>
  <si>
    <t>Uvas secas, incluidas las pasas</t>
  </si>
  <si>
    <t>Pasta de cacao sin desgrasar</t>
  </si>
  <si>
    <t>Manzanas frescas</t>
  </si>
  <si>
    <t>Lentejas excepto para la siembra</t>
  </si>
  <si>
    <t>Arvejas partidas excepto para la siembra</t>
  </si>
  <si>
    <t>Malasia</t>
  </si>
  <si>
    <t>Irlanda</t>
  </si>
  <si>
    <t>Vietnam</t>
  </si>
  <si>
    <t>Octubre</t>
  </si>
  <si>
    <t>Holanda</t>
  </si>
  <si>
    <t>República Checa</t>
  </si>
  <si>
    <t xml:space="preserve">Taiwán </t>
  </si>
  <si>
    <t>Grano de soya</t>
  </si>
  <si>
    <t>2005993110</t>
  </si>
  <si>
    <t>.</t>
  </si>
  <si>
    <t>Costa de Marfil</t>
  </si>
  <si>
    <t>Paltas, frescas o secas</t>
  </si>
  <si>
    <t>Arándanos rojos, mirtilos y demás frutos del género vaccinium, frescos.</t>
  </si>
  <si>
    <t>Demás frutas u otros frutos frescos</t>
  </si>
  <si>
    <t>Mango, sin cocer o cocidos en agua o vapor, congelados</t>
  </si>
  <si>
    <t>Demás paprika secos, sin triturar ni pulveriza</t>
  </si>
  <si>
    <t>Galletas dulces (con adición de edulcorante)</t>
  </si>
  <si>
    <t>Alcachofas (alcauciles) preparadas o conservadas, sin congelar</t>
  </si>
  <si>
    <t>Los demás hortalizas, frutas u otros frutos y demás partes comestibles de plantas, preparados o conservados en vinagre o en ácido acético</t>
  </si>
  <si>
    <t>Alcohol etílico sin desnaturalizar con grado alcohólico volumétrico superior o igual al 80 % vol</t>
  </si>
  <si>
    <t>Demás preparaciones alimenticias de harina, grañones, sémola, almidón, fécula o extracto de malta, que no contengan cacao o con un contenido de cacao inferior al 40% en peso</t>
  </si>
  <si>
    <t>Demás frutas u otros frutos, sin cocer o cocidos en agua o vapor, congelados</t>
  </si>
  <si>
    <t>Demás fresas (frutillas), sin cocer o cocidos en agua o vapor, congelados</t>
  </si>
  <si>
    <t>Las demás azúcares de caña o remolacha refinados en estado sólido</t>
  </si>
  <si>
    <t>Limón tahití (citrus latifolia), frescos o secos</t>
  </si>
  <si>
    <t>Jugo de maracuyá, sin fermentar y sin adición de alcohol, incluso con adición de azúcar u otro edulcorante</t>
  </si>
  <si>
    <t>Los demás aceite de palma y sus fracciones, incluso refinado, pero sin modificar químicamente</t>
  </si>
  <si>
    <t>Pimiento piquillo preparadas o conservadas, sin congelar</t>
  </si>
  <si>
    <t>Manteca de cacao con un índice de acidez expresado en ácido oleico superior a 1 % pero inferior o igual a 1.65 %</t>
  </si>
  <si>
    <t>Las demás semillas de hortalizas</t>
  </si>
  <si>
    <t>Cacao en polvo sin adición de azúcar ni otro edulcorante</t>
  </si>
  <si>
    <t>Las demás preparaciones compuestas cuyo grado alcohólico volumétrico sea inferior o igual al 0.5 % vol, para la elaboración de bebidas</t>
  </si>
  <si>
    <t>Los demás frutas, incluida las mezclas, y otros frutos y demás partes comestibles de plantas, preparados o conservados de otro modo, incluso con adición de azúcar u otro edulcorante o alcohol</t>
  </si>
  <si>
    <t>Los demás complementos y suplementos alimenticios</t>
  </si>
  <si>
    <t>Las demás hortalizas y las mezclas de hortalizas preparadas o conservadas, sin congelar</t>
  </si>
  <si>
    <t>Los demás chocolate y demás preparaciones alimenticias que contengan cacao</t>
  </si>
  <si>
    <t>Melaza de caña</t>
  </si>
  <si>
    <t>Manteca de cacao con un índice de acidez expresado en ácido oleico inferior o igual a 1 %</t>
  </si>
  <si>
    <t>Manteca de cacao con un índice de acidez expresado en ácido oleico superior a 1.65 %</t>
  </si>
  <si>
    <t>Bombones, caramelos, confites y pastillas</t>
  </si>
  <si>
    <t>Cerveza de malta</t>
  </si>
  <si>
    <t>Las demás agua, incluidas el agua mineral y la gaseada, con adición de azúcar u otro edulcorante o aromatizada, y demás bebidas no alcohólicas</t>
  </si>
  <si>
    <t>Las demás preparaciones alimenticias no expresadas ni comprendidas en otra parte</t>
  </si>
  <si>
    <t>Los demás productos de panadería, pastelería o galletería, incluso con adición de cacao</t>
  </si>
  <si>
    <t>Los demás vinos; mosto de uva en el que la fermentación se ha impedido o cortado añadiendo alcohol en recipientes con capacidad inferior o igual a 2 l</t>
  </si>
  <si>
    <t>Los demás harina, polvo y «pellets», de carne o despojos, impropios para la alimentación humana</t>
  </si>
  <si>
    <t>Los demás azúcares de caña sin adición de aromatizante ni colorante en estado sólido</t>
  </si>
  <si>
    <t>Las demás cebada</t>
  </si>
  <si>
    <t>Preparaciones a base de extractos, esencias o concentrados o a base de café</t>
  </si>
  <si>
    <t>Maíz duro amarillo</t>
  </si>
  <si>
    <t>Cuartos traseros sin deshuesar de aves de la especie gallus domesticus</t>
  </si>
  <si>
    <t>Los demás aceite de soya y sus fracciones, incluso refinado, pero sin modificar químicamente</t>
  </si>
  <si>
    <t>Harina de habas (porotos, frijoles, frejoles) de soya</t>
  </si>
  <si>
    <t>Leche y nata (crema), en polvo, gránulos o demás formas sólidas, los demás con un contenido de materias grasas inferior o igual al 1,5 % en peso</t>
  </si>
  <si>
    <t>Papas preparadas o conservadas, congeladas</t>
  </si>
  <si>
    <t>Extractos, esencias y concentrados de café</t>
  </si>
  <si>
    <t>Aceite de soya en bruto, incluso desgomado</t>
  </si>
  <si>
    <t>Alcohol etílico y aguardiente desnaturalizados, de cualquier graduación, alcohol carburante</t>
  </si>
  <si>
    <t>Leche y nata (crema), en polvo, gránulos o demás formas sólidas, las demás con un contenido de materias grasas superior o igual al 26 % en peso, sobre producto seco, sin adición de azúcar ni otro edulcorante.</t>
  </si>
  <si>
    <t>Aceite de girasol en bruto</t>
  </si>
  <si>
    <t>Tortas y demás residuos sólidos de la extracción del aceite de soya, incluso molidos o en «pellets»</t>
  </si>
  <si>
    <t>Las demás preparaciones de los tipos utilizados para la alimentación de los animales</t>
  </si>
  <si>
    <t>Aceites esenciales de limón</t>
  </si>
  <si>
    <t>Nueces del brasil sin cascara frescas o secas</t>
  </si>
  <si>
    <t>Premezclas para la alimentación de los animales</t>
  </si>
  <si>
    <t>Cueros y pieles enteros de bovino, de peso unitario inferior o igual a 8 kg para los secos, a 10 kg para los salados secos y a 16 kg para los frescos</t>
  </si>
  <si>
    <t>Arroz semiblanqueado o blanqueado, incluso pulido o glaseado</t>
  </si>
  <si>
    <t>Maíz para siembra</t>
  </si>
  <si>
    <t>Los demás alimentos para perros o gatos, acondicionados para la venta al por menor</t>
  </si>
  <si>
    <t>Los demás productos vegetales no expresados ni comprendidos en otra parte</t>
  </si>
  <si>
    <t>Algodón sin cardar ni peinar de longitud de fibra superior a 28.57 mm pero inferior o igual a 34.92 mm</t>
  </si>
  <si>
    <t>Algodón sin cardar ni peinar de longitud de fibra superior a 34.92 mm</t>
  </si>
  <si>
    <t>Grasa y aceite de cacao</t>
  </si>
  <si>
    <t>Las demás madera de pino aserrada o desbastada longitudinalmente, de espesor superior a 6 mm</t>
  </si>
  <si>
    <t>Café sin tostar, sin descafeinar, los demás</t>
  </si>
  <si>
    <t>Espárragos, frescos o refrigerados</t>
  </si>
  <si>
    <t>Algodón sin cardar ni peinar de longitud de fibra superior a 22.22 mm pero inferior o igual a 28.57 mm</t>
  </si>
  <si>
    <t>Venezuela</t>
  </si>
  <si>
    <t>Nigeria</t>
  </si>
  <si>
    <t>Perú</t>
  </si>
  <si>
    <t>C.86</t>
  </si>
  <si>
    <t>C.87</t>
  </si>
  <si>
    <t>C.88</t>
  </si>
  <si>
    <t>C.89</t>
  </si>
  <si>
    <t xml:space="preserve">C.75  PERÚ: BALANZA COMERCIAL AGRARIA POR PRINCIPALES SUBPARTIDAS NACIONALES, </t>
  </si>
  <si>
    <t>Austria</t>
  </si>
  <si>
    <t>C.76  PERÚ: BALANZA COMERCIAL AGRARIA POR PAÍS DESTINO/ORIGEN,</t>
  </si>
  <si>
    <t xml:space="preserve">C.77  PERÚ: EXPORTACIONES AGRARIAS TRADICIONALES Y NO TRADICIONALES POR SUBPARTIDA NACIONAL, </t>
  </si>
  <si>
    <t>Israel</t>
  </si>
  <si>
    <t xml:space="preserve">C.83  PERÚ: EXPORTACIONES AGRARIAS POR SUBPARTIDA NACIONAL SEGÚN PAÍS DESTINO, </t>
  </si>
  <si>
    <t>continúa C.83</t>
  </si>
  <si>
    <t>C.89  PERÚ: IMPORTACIONES AGRARIAS POR SUBPARTIDA NACIONAL SEGÚN PAÍS DE ORIGEN,</t>
  </si>
  <si>
    <t xml:space="preserve">          (Valor FOB Miles USD)</t>
    <phoneticPr fontId="10" type="noConversion"/>
  </si>
  <si>
    <t>País de destino</t>
  </si>
  <si>
    <t>Estonia</t>
  </si>
  <si>
    <t>Aceites de nabo o de colza con bajo contenido de ácido erúcico, en bruto</t>
  </si>
  <si>
    <t>Otros productos tradicionales</t>
  </si>
  <si>
    <t>Otros productos no tradicionales</t>
  </si>
  <si>
    <t>2025r</t>
  </si>
  <si>
    <t>2025/ 2024</t>
  </si>
  <si>
    <t>Los demás cacao en grano, entero o partido, crudo</t>
  </si>
  <si>
    <t>Los demás quinua, excepto para siembra</t>
  </si>
  <si>
    <t>Bananas incluidos los plátanos tipo "cavendish valery" frescos</t>
  </si>
  <si>
    <t>Espárragos preparados o conservados, sin congelar</t>
  </si>
  <si>
    <t>Carmín de cochinilla</t>
  </si>
  <si>
    <t>Leche evaporada sin azúcar ni edulcorante</t>
  </si>
  <si>
    <t>Fécula de papa (patata)</t>
  </si>
  <si>
    <t>Árboles, arbustos y matas, de frutas o de otros frutos comestibles, incluso injertados</t>
  </si>
  <si>
    <t>Los demás trigo duro, excepto para siembra</t>
  </si>
  <si>
    <t>Café sin tostar, sin descafeinar</t>
  </si>
  <si>
    <t>Variación
2025/2024</t>
  </si>
  <si>
    <t>Demás trozos y despojos, de gallo o gallina, congelados</t>
  </si>
  <si>
    <t>Grasa láctea anhidra (butter oil)</t>
  </si>
  <si>
    <t>Los demás despojos comestibles de la especia bovina, congelados, excepto lengua e hígado</t>
  </si>
  <si>
    <t>C.78  PERÚ: EXPORTACIONES AGRARIAS POR SUBPARTIDA NACIONAL, 2024-2025</t>
  </si>
  <si>
    <t>Part %
2025</t>
  </si>
  <si>
    <t>Arándanos rojos frescos</t>
  </si>
  <si>
    <t>C.84  PERÚ: IMPORTACIONES AGRARIAS POR SUBPARTIDA NACIONAL, 2024-2025</t>
  </si>
  <si>
    <t>C.85  PERÚ: IMPORTACIONES AGRARIAS POR SUBPARTIDA NACIONAL, 2024-2025  (Valor CIF Miles USD)</t>
  </si>
  <si>
    <t xml:space="preserve">          (Valor CIF Miles USD)</t>
  </si>
  <si>
    <t>Hungría</t>
  </si>
  <si>
    <t xml:space="preserve">Perú: Exportaciones agrarias, contribución en puntos porcentuales por subpartidas nacionales, 2024 – 2025 (Valor FOB Miles USD)	</t>
  </si>
  <si>
    <t xml:space="preserve">Perú: Exportaciones agrarias, contribución en puntos porcentuales por país de destino, 2024 – 2025 (Valor FOB Miles USD)	</t>
  </si>
  <si>
    <t>Los demás cítricos</t>
  </si>
  <si>
    <t>Arvejas (guisantes, chicharos) (pisum sativum) frescas o refrigeradas</t>
  </si>
  <si>
    <t>Manteca de cacao índice de acidez &gt; a 1% pero &lt;= a 1.65%</t>
  </si>
  <si>
    <t>Costa De Marfil</t>
  </si>
  <si>
    <t xml:space="preserve">C.79  PERÚ: EXPORTACIONES AGRARIAS POR SUBPARTIDA NACIONAL, 2024-2025 </t>
  </si>
  <si>
    <t>Demás frutas, sin cocer o cocidos, congelados</t>
  </si>
  <si>
    <t>Camboya</t>
  </si>
  <si>
    <t>Las demás preparaciones para la alimentación de los animales</t>
  </si>
  <si>
    <t>Elaboración: Ministerio de Desarrollo Agrario y Riego-MIDAGRI</t>
  </si>
  <si>
    <t>Dirección General de Estadística, Seguimiento y Evaluación de Políticas-DEIA</t>
  </si>
  <si>
    <t>Kenia</t>
  </si>
  <si>
    <t xml:space="preserve"> --</t>
  </si>
  <si>
    <t xml:space="preserve">        --</t>
  </si>
  <si>
    <t xml:space="preserve">          ENERO-OCTUBRE 2024-2025</t>
  </si>
  <si>
    <t xml:space="preserve">         ENERO-OCTUBRE 2025</t>
  </si>
  <si>
    <t>Enero-Octubre</t>
  </si>
  <si>
    <t xml:space="preserve">              --</t>
  </si>
  <si>
    <t>Perú: Exportaciones e Importaciones Agrarias según año,  Enero-Octubre 2020 - 2025</t>
  </si>
  <si>
    <t>Perú: Balanza comercial agraria por principales subpartida nacional,  Enero-Octubre 2024 - 2025</t>
  </si>
  <si>
    <t>Perú: Balanza comercial agraria por pais destino/origen,  Enero-Octubre 2025</t>
  </si>
  <si>
    <t>Perú: Exportaciones agrarias tradicionales y no tradicionales por subpartida nacional,  Enero-Octubre 2024 - 2025</t>
  </si>
  <si>
    <t>Perú: Exportaciones agrarias por subpartida nacional, 2024 - 2025 (Valor FOB Miles USD)</t>
  </si>
  <si>
    <t>Perú: Exportaciones agrarias por país destino,  Enero-Octubre 2024 - 2025</t>
  </si>
  <si>
    <t>Perú: Exportaciones agrarias por subpartida nacional según país destino,  Enero-Octubre 2024 - 2025</t>
  </si>
  <si>
    <t xml:space="preserve">Perú: Importaciones agrarias por subpartida nacional,  2024 - 2025 (Peso Neto toneladas) </t>
  </si>
  <si>
    <t xml:space="preserve">Perú: Importaciones agrarias por subpartida nacional,  2024 - 2025 (Valor CIF Miles USD) </t>
  </si>
  <si>
    <t>Perú: Importaciones agrarias por país de origen,  Enero-Octubre 2024 - 2025</t>
  </si>
  <si>
    <t>Perú: Importaciones agrarias por subpartida nacional según país de origen,  Enero-Octubre 2024 - 2025</t>
  </si>
  <si>
    <t>Perú: Importaciones agrarias, contribución en puntos porcentuales por subpartidas nacionales, 2024 – 2025 (Valor CIF Miles USD)</t>
  </si>
  <si>
    <t>Perú: Importaciones agrarias, contribución en puntos porcentuales por país de origen, 2024 – 2025 (Valor CIF Miles USD)</t>
  </si>
  <si>
    <t>Perú: Exportaciones agrarias por subpartida nacional, 2024 - 2025 (Peso Neto tonelada)</t>
  </si>
  <si>
    <t>C.74  PERÚ: EXPORTACIONES E IMPORTACIONES AGRARIAS SEGÚN AÑO, ENERO-OCTUBRE 2020-2025</t>
  </si>
  <si>
    <t xml:space="preserve">         (Peso Neto toneladas)</t>
  </si>
  <si>
    <t>Contri- bucion PP</t>
  </si>
  <si>
    <t>Part. %</t>
  </si>
  <si>
    <t>C.80  PERÚ: EXPORTACIONES AGRARIAS, CONTRIBUCIÓN EN PUNTOS PORCENTUALES POR SUBPARTIDAS NACIONALES, 2024-2025</t>
  </si>
  <si>
    <t>Contri-   bucion PP</t>
  </si>
  <si>
    <t xml:space="preserve">C.81  PERÚ: EXPORTACIONES AGRARIAS, CONTRIBUCIÓN EN PUNTOS PORCENTUALES </t>
  </si>
  <si>
    <t xml:space="preserve">          POR PAÍS DE DESTINO, 2024-2025.   (Valor FOB Miles USD)</t>
  </si>
  <si>
    <t>C.82  PERÚ: EXPORTACIONES AGRARIAS POR PAÍS DESTINO,  ENERO-OCTUBRE 2024-2025</t>
  </si>
  <si>
    <t>C.86  PERÚ: IMPORTACIONES AGRARIAS, CONTRIBUCIÓN EN PUNTOS PORCENTUALES POR SUBPARTIDAS NACIONALES, 2024-2025</t>
  </si>
  <si>
    <t xml:space="preserve">C.87  PERÚ: IMPORTACIONES AGRARIAS, CONTRIBUCIÓN EN PUNTOS PORCENTUALES </t>
  </si>
  <si>
    <t xml:space="preserve">          POR PAÍS DE ORIGEN, 2024-2025    (Valor CIF Miles USD)</t>
  </si>
  <si>
    <t>C.88  PERÚ: IMPORTACIONES AGRARIAS POR PAÍS DE ORIGEN,  ENERO-OCTUBRE 2024-2025</t>
  </si>
  <si>
    <t>Part. %
2025</t>
  </si>
  <si>
    <t>Leche y nata (crema), en polvo, gránulos o demás formas sólidas, las demás con un contenido de materias grasas superior o igual al 26 % en peso, sobre producto seco, sin adición de azúcar ni otro edulcorante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</si>
</sst>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#,##0.0"/>
    <numFmt numFmtId="167" formatCode="General_)"/>
    <numFmt numFmtId="168" formatCode="0_)"/>
    <numFmt numFmtId="169" formatCode="#,##0____"/>
    <numFmt numFmtId="170" formatCode="#,##0____________"/>
    <numFmt numFmtId="171" formatCode="#,##0.0____"/>
    <numFmt numFmtId="172" formatCode="#,##0.0______"/>
    <numFmt numFmtId="173" formatCode="#,##0.0__"/>
    <numFmt numFmtId="174" formatCode="#,##0__"/>
    <numFmt numFmtId="175" formatCode="#,##0________________"/>
    <numFmt numFmtId="176" formatCode="#,##0______"/>
    <numFmt numFmtId="177" formatCode="d/m"/>
    <numFmt numFmtId="178" formatCode="0.0__"/>
    <numFmt numFmtId="179" formatCode="0.0"/>
    <numFmt numFmtId="180" formatCode="0.0%"/>
    <numFmt numFmtId="181" formatCode="0.0%____"/>
  </numFmts>
  <fonts count="5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2"/>
      <name val="Helvetica"/>
      <family val="2"/>
    </font>
    <font>
      <b/>
      <sz val="15"/>
      <color indexed="56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8"/>
      <name val="Helvetica"/>
      <family val="2"/>
    </font>
    <font>
      <sz val="9"/>
      <name val="Calibri"/>
      <family val="2"/>
    </font>
    <font>
      <sz val="8"/>
      <name val="Verdana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8"/>
      <name val="Arial Narrow"/>
      <family val="2"/>
    </font>
    <font>
      <vertAlign val="superscript"/>
      <sz val="6"/>
      <name val="Arial Narrow"/>
      <family val="2"/>
    </font>
    <font>
      <sz val="6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9"/>
      <name val="Arial Narrow"/>
      <family val="2"/>
    </font>
    <font>
      <sz val="9"/>
      <color indexed="64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6"/>
      <color indexed="8"/>
      <name val="Arial Narrow"/>
      <family val="2"/>
    </font>
    <font>
      <sz val="8"/>
      <name val="Times New Roman"/>
      <family val="1"/>
    </font>
    <font>
      <sz val="9"/>
      <name val="Calibri"/>
      <family val="2"/>
      <scheme val="minor"/>
    </font>
    <font>
      <sz val="14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sz val="10"/>
      <color theme="0"/>
      <name val="Arial Narrow"/>
      <family val="2"/>
    </font>
    <font>
      <sz val="8"/>
      <color theme="0"/>
      <name val="Arial Narrow"/>
      <family val="2"/>
    </font>
    <font>
      <sz val="8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8"/>
      <name val="Tms Rmn"/>
    </font>
    <font>
      <sz val="6"/>
      <color theme="1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5">
    <xf numFmtId="0" fontId="0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8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15" applyNumberFormat="0" applyAlignment="0" applyProtection="0"/>
    <xf numFmtId="0" fontId="22" fillId="13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" borderId="0" applyNumberFormat="0" applyBorder="0" applyAlignment="0" applyProtection="0"/>
    <xf numFmtId="0" fontId="26" fillId="5" borderId="15" applyNumberFormat="0" applyAlignment="0" applyProtection="0"/>
    <xf numFmtId="0" fontId="27" fillId="17" borderId="0" applyNumberFormat="0" applyBorder="0" applyAlignment="0" applyProtection="0"/>
    <xf numFmtId="43" fontId="2" fillId="0" borderId="0" applyFont="0" applyFill="0" applyBorder="0" applyAlignment="0" applyProtection="0"/>
    <xf numFmtId="0" fontId="28" fillId="10" borderId="0" applyNumberFormat="0" applyBorder="0" applyAlignment="0" applyProtection="0"/>
    <xf numFmtId="0" fontId="2" fillId="0" borderId="0"/>
    <xf numFmtId="167" fontId="5" fillId="0" borderId="0"/>
    <xf numFmtId="168" fontId="9" fillId="0" borderId="0"/>
    <xf numFmtId="0" fontId="4" fillId="0" borderId="0"/>
    <xf numFmtId="0" fontId="7" fillId="7" borderId="19" applyNumberFormat="0" applyFont="0" applyAlignment="0" applyProtection="0"/>
    <xf numFmtId="0" fontId="29" fillId="6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21" applyNumberFormat="0" applyFill="0" applyAlignment="0" applyProtection="0"/>
    <xf numFmtId="0" fontId="33" fillId="0" borderId="22" applyNumberFormat="0" applyFill="0" applyAlignment="0" applyProtection="0"/>
    <xf numFmtId="0" fontId="25" fillId="0" borderId="23" applyNumberFormat="0" applyFill="0" applyAlignment="0" applyProtection="0"/>
    <xf numFmtId="0" fontId="34" fillId="0" borderId="24" applyNumberFormat="0" applyFill="0" applyAlignment="0" applyProtection="0"/>
    <xf numFmtId="0" fontId="40" fillId="0" borderId="0"/>
    <xf numFmtId="0" fontId="1" fillId="0" borderId="0"/>
    <xf numFmtId="9" fontId="1" fillId="0" borderId="0" applyFont="0" applyFill="0" applyBorder="0" applyAlignment="0" applyProtection="0"/>
    <xf numFmtId="0" fontId="18" fillId="4" borderId="0" applyNumberFormat="0" applyBorder="0" applyAlignment="0" applyProtection="0"/>
    <xf numFmtId="0" fontId="2" fillId="0" borderId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8" borderId="0" applyNumberFormat="0" applyBorder="0" applyAlignment="0" applyProtection="0"/>
    <xf numFmtId="0" fontId="21" fillId="6" borderId="15" applyNumberFormat="0" applyAlignment="0" applyProtection="0"/>
    <xf numFmtId="0" fontId="22" fillId="13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" borderId="0" applyNumberFormat="0" applyBorder="0" applyAlignment="0" applyProtection="0"/>
    <xf numFmtId="0" fontId="26" fillId="5" borderId="15" applyNumberFormat="0" applyAlignment="0" applyProtection="0"/>
    <xf numFmtId="0" fontId="27" fillId="17" borderId="0" applyNumberFormat="0" applyBorder="0" applyAlignment="0" applyProtection="0"/>
    <xf numFmtId="43" fontId="2" fillId="0" borderId="0" applyFont="0" applyFill="0" applyBorder="0" applyAlignment="0" applyProtection="0"/>
    <xf numFmtId="0" fontId="28" fillId="10" borderId="0" applyNumberFormat="0" applyBorder="0" applyAlignment="0" applyProtection="0"/>
    <xf numFmtId="0" fontId="2" fillId="7" borderId="19" applyNumberFormat="0" applyFont="0" applyAlignment="0" applyProtection="0"/>
    <xf numFmtId="0" fontId="29" fillId="6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25" fillId="0" borderId="23" applyNumberFormat="0" applyFill="0" applyAlignment="0" applyProtection="0"/>
    <xf numFmtId="0" fontId="34" fillId="0" borderId="24" applyNumberFormat="0" applyFill="0" applyAlignment="0" applyProtection="0"/>
    <xf numFmtId="9" fontId="2" fillId="0" borderId="0" applyFont="0" applyFill="0" applyBorder="0" applyAlignment="0" applyProtection="0"/>
    <xf numFmtId="0" fontId="53" fillId="0" borderId="0"/>
  </cellStyleXfs>
  <cellXfs count="301">
    <xf numFmtId="0" fontId="0" fillId="0" borderId="0" xfId="0"/>
    <xf numFmtId="0" fontId="12" fillId="0" borderId="0" xfId="0" applyFont="1" applyAlignment="1">
      <alignment horizontal="left" vertical="center"/>
    </xf>
    <xf numFmtId="3" fontId="14" fillId="0" borderId="0" xfId="33" applyNumberFormat="1" applyFont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left" vertical="center"/>
    </xf>
    <xf numFmtId="3" fontId="14" fillId="0" borderId="0" xfId="0" applyNumberFormat="1" applyFont="1"/>
    <xf numFmtId="1" fontId="13" fillId="3" borderId="12" xfId="0" applyNumberFormat="1" applyFont="1" applyFill="1" applyBorder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167" fontId="16" fillId="0" borderId="0" xfId="0" applyNumberFormat="1" applyFont="1" applyAlignment="1">
      <alignment horizontal="left" vertical="center"/>
    </xf>
    <xf numFmtId="3" fontId="17" fillId="0" borderId="0" xfId="0" applyNumberFormat="1" applyFont="1"/>
    <xf numFmtId="0" fontId="17" fillId="0" borderId="0" xfId="0" applyFont="1"/>
    <xf numFmtId="167" fontId="17" fillId="0" borderId="0" xfId="36" applyFont="1" applyAlignment="1">
      <alignment horizontal="left" vertical="center"/>
    </xf>
    <xf numFmtId="165" fontId="14" fillId="0" borderId="0" xfId="33" applyNumberFormat="1" applyFont="1" applyAlignment="1">
      <alignment vertical="center"/>
    </xf>
    <xf numFmtId="0" fontId="14" fillId="0" borderId="0" xfId="33" applyNumberFormat="1" applyFont="1" applyAlignment="1">
      <alignment vertical="center" wrapText="1"/>
    </xf>
    <xf numFmtId="169" fontId="14" fillId="0" borderId="0" xfId="33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3" fontId="14" fillId="0" borderId="2" xfId="0" applyNumberFormat="1" applyFont="1" applyBorder="1" applyAlignment="1">
      <alignment vertical="center"/>
    </xf>
    <xf numFmtId="3" fontId="17" fillId="0" borderId="0" xfId="0" applyNumberFormat="1" applyFont="1" applyAlignment="1">
      <alignment vertical="center"/>
    </xf>
    <xf numFmtId="164" fontId="17" fillId="0" borderId="0" xfId="33" applyNumberFormat="1" applyFont="1" applyAlignment="1">
      <alignment vertical="center"/>
    </xf>
    <xf numFmtId="0" fontId="17" fillId="0" borderId="0" xfId="0" applyFont="1" applyAlignment="1">
      <alignment vertical="center"/>
    </xf>
    <xf numFmtId="3" fontId="35" fillId="0" borderId="0" xfId="0" applyNumberFormat="1" applyFont="1" applyAlignment="1">
      <alignment vertical="center"/>
    </xf>
    <xf numFmtId="0" fontId="35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/>
    <xf numFmtId="3" fontId="36" fillId="0" borderId="0" xfId="0" applyNumberFormat="1" applyFont="1"/>
    <xf numFmtId="0" fontId="14" fillId="0" borderId="0" xfId="0" applyFont="1" applyAlignment="1">
      <alignment horizontal="center" vertical="center"/>
    </xf>
    <xf numFmtId="3" fontId="35" fillId="0" borderId="0" xfId="0" applyNumberFormat="1" applyFont="1"/>
    <xf numFmtId="0" fontId="1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wrapText="1"/>
    </xf>
    <xf numFmtId="166" fontId="17" fillId="0" borderId="0" xfId="0" applyNumberFormat="1" applyFont="1" applyAlignment="1">
      <alignment horizontal="right"/>
    </xf>
    <xf numFmtId="0" fontId="35" fillId="0" borderId="0" xfId="0" applyFont="1" applyAlignment="1">
      <alignment wrapText="1"/>
    </xf>
    <xf numFmtId="166" fontId="17" fillId="0" borderId="0" xfId="0" applyNumberFormat="1" applyFont="1"/>
    <xf numFmtId="166" fontId="35" fillId="0" borderId="0" xfId="0" applyNumberFormat="1" applyFont="1"/>
    <xf numFmtId="0" fontId="17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167" fontId="17" fillId="0" borderId="0" xfId="36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37" fillId="0" borderId="0" xfId="0" applyFont="1"/>
    <xf numFmtId="0" fontId="14" fillId="3" borderId="0" xfId="33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left"/>
    </xf>
    <xf numFmtId="0" fontId="35" fillId="3" borderId="0" xfId="0" applyFont="1" applyFill="1"/>
    <xf numFmtId="0" fontId="35" fillId="0" borderId="0" xfId="0" applyFont="1" applyAlignment="1">
      <alignment horizontal="center" vertical="center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170" fontId="14" fillId="0" borderId="2" xfId="33" applyNumberFormat="1" applyFont="1" applyBorder="1" applyAlignment="1">
      <alignment vertical="center"/>
    </xf>
    <xf numFmtId="3" fontId="13" fillId="0" borderId="0" xfId="0" applyNumberFormat="1" applyFont="1" applyAlignment="1">
      <alignment horizontal="right" vertical="center"/>
    </xf>
    <xf numFmtId="171" fontId="13" fillId="0" borderId="0" xfId="0" applyNumberFormat="1" applyFont="1" applyAlignment="1">
      <alignment horizontal="right" vertical="center"/>
    </xf>
    <xf numFmtId="171" fontId="14" fillId="0" borderId="0" xfId="0" applyNumberFormat="1" applyFont="1" applyAlignment="1">
      <alignment vertical="center"/>
    </xf>
    <xf numFmtId="1" fontId="15" fillId="0" borderId="0" xfId="0" applyNumberFormat="1" applyFont="1" applyAlignment="1">
      <alignment horizontal="center" vertical="center"/>
    </xf>
    <xf numFmtId="172" fontId="14" fillId="0" borderId="0" xfId="33" applyNumberFormat="1" applyFont="1" applyAlignment="1">
      <alignment horizontal="right" vertical="center"/>
    </xf>
    <xf numFmtId="169" fontId="14" fillId="0" borderId="0" xfId="0" applyNumberFormat="1" applyFont="1" applyAlignment="1">
      <alignment horizontal="right" vertical="center"/>
    </xf>
    <xf numFmtId="166" fontId="39" fillId="0" borderId="13" xfId="0" applyNumberFormat="1" applyFont="1" applyBorder="1" applyAlignment="1">
      <alignment horizontal="right" vertical="center"/>
    </xf>
    <xf numFmtId="49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169" fontId="14" fillId="0" borderId="13" xfId="0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2" fillId="3" borderId="0" xfId="0" applyFont="1" applyFill="1"/>
    <xf numFmtId="171" fontId="14" fillId="0" borderId="0" xfId="0" applyNumberFormat="1" applyFont="1"/>
    <xf numFmtId="171" fontId="17" fillId="0" borderId="0" xfId="0" applyNumberFormat="1" applyFont="1"/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 wrapText="1"/>
    </xf>
    <xf numFmtId="171" fontId="14" fillId="0" borderId="0" xfId="0" applyNumberFormat="1" applyFont="1" applyAlignment="1">
      <alignment horizontal="right" vertical="center"/>
    </xf>
    <xf numFmtId="0" fontId="12" fillId="0" borderId="0" xfId="0" applyFont="1"/>
    <xf numFmtId="169" fontId="14" fillId="0" borderId="0" xfId="0" applyNumberFormat="1" applyFont="1"/>
    <xf numFmtId="3" fontId="12" fillId="3" borderId="0" xfId="0" applyNumberFormat="1" applyFont="1" applyFill="1"/>
    <xf numFmtId="174" fontId="14" fillId="0" borderId="0" xfId="0" applyNumberFormat="1" applyFont="1" applyAlignment="1">
      <alignment vertical="center"/>
    </xf>
    <xf numFmtId="3" fontId="14" fillId="0" borderId="0" xfId="33" applyNumberFormat="1" applyFont="1" applyAlignment="1">
      <alignment horizontal="left" vertical="center"/>
    </xf>
    <xf numFmtId="175" fontId="14" fillId="0" borderId="2" xfId="0" applyNumberFormat="1" applyFont="1" applyBorder="1" applyAlignment="1">
      <alignment vertical="center"/>
    </xf>
    <xf numFmtId="1" fontId="13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18" borderId="0" xfId="33" applyNumberFormat="1" applyFont="1" applyFill="1" applyAlignment="1">
      <alignment horizontal="left" vertical="center"/>
    </xf>
    <xf numFmtId="3" fontId="14" fillId="0" borderId="0" xfId="33" applyNumberFormat="1" applyFont="1" applyAlignment="1">
      <alignment vertical="center"/>
    </xf>
    <xf numFmtId="166" fontId="14" fillId="0" borderId="0" xfId="33" applyNumberFormat="1" applyFont="1" applyAlignment="1">
      <alignment vertical="center"/>
    </xf>
    <xf numFmtId="168" fontId="17" fillId="0" borderId="0" xfId="37" applyFont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2" fillId="0" borderId="0" xfId="0" applyFont="1" applyAlignment="1">
      <alignment vertical="center"/>
    </xf>
    <xf numFmtId="166" fontId="17" fillId="0" borderId="0" xfId="33" applyNumberFormat="1" applyFont="1" applyAlignment="1">
      <alignment vertical="center"/>
    </xf>
    <xf numFmtId="165" fontId="13" fillId="0" borderId="13" xfId="30" applyNumberFormat="1" applyFont="1" applyFill="1" applyBorder="1" applyAlignment="1">
      <alignment horizontal="center" vertical="center" wrapText="1"/>
    </xf>
    <xf numFmtId="0" fontId="13" fillId="0" borderId="13" xfId="30" applyFont="1" applyFill="1" applyBorder="1" applyAlignment="1">
      <alignment horizontal="center" vertical="center" wrapText="1"/>
    </xf>
    <xf numFmtId="1" fontId="13" fillId="0" borderId="13" xfId="30" applyNumberFormat="1" applyFont="1" applyFill="1" applyBorder="1" applyAlignment="1">
      <alignment horizontal="center" vertical="center"/>
    </xf>
    <xf numFmtId="9" fontId="13" fillId="0" borderId="13" xfId="30" applyNumberFormat="1" applyFont="1" applyFill="1" applyBorder="1" applyAlignment="1">
      <alignment horizontal="center" vertical="center" wrapText="1"/>
    </xf>
    <xf numFmtId="176" fontId="14" fillId="0" borderId="0" xfId="33" applyNumberFormat="1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76" fontId="14" fillId="3" borderId="0" xfId="33" applyNumberFormat="1" applyFont="1" applyFill="1" applyAlignment="1">
      <alignment horizontal="right" vertical="center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49" fontId="14" fillId="0" borderId="0" xfId="0" applyNumberFormat="1" applyFont="1" applyAlignment="1">
      <alignment horizontal="center" vertical="top"/>
    </xf>
    <xf numFmtId="177" fontId="14" fillId="0" borderId="0" xfId="0" applyNumberFormat="1" applyFont="1" applyAlignment="1">
      <alignment horizontal="center" vertical="top" wrapText="1"/>
    </xf>
    <xf numFmtId="169" fontId="13" fillId="0" borderId="0" xfId="33" applyNumberFormat="1" applyFont="1" applyAlignment="1">
      <alignment vertical="center"/>
    </xf>
    <xf numFmtId="169" fontId="14" fillId="0" borderId="0" xfId="33" applyNumberFormat="1" applyFont="1" applyAlignment="1">
      <alignment horizontal="right" vertical="center"/>
    </xf>
    <xf numFmtId="169" fontId="13" fillId="18" borderId="0" xfId="33" applyNumberFormat="1" applyFont="1" applyFill="1" applyAlignment="1">
      <alignment vertical="center"/>
    </xf>
    <xf numFmtId="49" fontId="13" fillId="0" borderId="0" xfId="38" applyNumberFormat="1" applyFont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right" vertical="center"/>
    </xf>
    <xf numFmtId="173" fontId="13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169" fontId="13" fillId="0" borderId="0" xfId="0" applyNumberFormat="1" applyFont="1"/>
    <xf numFmtId="172" fontId="13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174" fontId="13" fillId="0" borderId="0" xfId="0" applyNumberFormat="1" applyFont="1" applyAlignment="1">
      <alignment vertical="center"/>
    </xf>
    <xf numFmtId="171" fontId="13" fillId="0" borderId="0" xfId="0" applyNumberFormat="1" applyFont="1" applyAlignment="1">
      <alignment vertical="center"/>
    </xf>
    <xf numFmtId="3" fontId="43" fillId="0" borderId="0" xfId="33" applyNumberFormat="1" applyFont="1" applyAlignment="1">
      <alignment horizontal="right" vertical="center"/>
    </xf>
    <xf numFmtId="3" fontId="43" fillId="0" borderId="0" xfId="0" applyNumberFormat="1" applyFont="1" applyAlignment="1">
      <alignment horizontal="right"/>
    </xf>
    <xf numFmtId="3" fontId="43" fillId="0" borderId="0" xfId="33" applyNumberFormat="1" applyFont="1" applyAlignment="1">
      <alignment horizontal="right" vertical="center" wrapText="1"/>
    </xf>
    <xf numFmtId="1" fontId="44" fillId="3" borderId="0" xfId="0" applyNumberFormat="1" applyFont="1" applyFill="1" applyAlignment="1">
      <alignment horizontal="left" vertical="center"/>
    </xf>
    <xf numFmtId="0" fontId="45" fillId="0" borderId="0" xfId="0" applyFont="1"/>
    <xf numFmtId="0" fontId="46" fillId="0" borderId="0" xfId="0" applyFont="1"/>
    <xf numFmtId="49" fontId="14" fillId="0" borderId="28" xfId="0" applyNumberFormat="1" applyFont="1" applyBorder="1" applyAlignment="1">
      <alignment vertical="top"/>
    </xf>
    <xf numFmtId="0" fontId="14" fillId="0" borderId="28" xfId="0" applyFont="1" applyBorder="1"/>
    <xf numFmtId="174" fontId="14" fillId="0" borderId="28" xfId="0" applyNumberFormat="1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49" fontId="14" fillId="0" borderId="28" xfId="0" applyNumberFormat="1" applyFont="1" applyBorder="1" applyAlignment="1">
      <alignment horizontal="center" vertical="top"/>
    </xf>
    <xf numFmtId="3" fontId="14" fillId="0" borderId="0" xfId="0" applyNumberFormat="1" applyFont="1" applyAlignment="1">
      <alignment horizontal="right"/>
    </xf>
    <xf numFmtId="0" fontId="14" fillId="0" borderId="0" xfId="33" applyNumberFormat="1" applyFont="1" applyFill="1" applyAlignment="1">
      <alignment horizontal="center" vertical="center"/>
    </xf>
    <xf numFmtId="176" fontId="14" fillId="0" borderId="0" xfId="33" applyNumberFormat="1" applyFont="1" applyFill="1" applyAlignment="1">
      <alignment horizontal="right" vertical="center"/>
    </xf>
    <xf numFmtId="0" fontId="35" fillId="18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2" fillId="18" borderId="0" xfId="0" applyFont="1" applyFill="1" applyAlignment="1">
      <alignment vertical="center"/>
    </xf>
    <xf numFmtId="0" fontId="14" fillId="18" borderId="0" xfId="0" applyFont="1" applyFill="1" applyAlignment="1">
      <alignment horizontal="center"/>
    </xf>
    <xf numFmtId="0" fontId="12" fillId="3" borderId="0" xfId="0" applyFont="1" applyFill="1" applyAlignment="1">
      <alignment horizontal="left" vertical="center"/>
    </xf>
    <xf numFmtId="0" fontId="35" fillId="3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3" fontId="14" fillId="0" borderId="0" xfId="0" applyNumberFormat="1" applyFont="1" applyAlignment="1">
      <alignment vertical="top"/>
    </xf>
    <xf numFmtId="3" fontId="14" fillId="0" borderId="0" xfId="0" applyNumberFormat="1" applyFont="1" applyAlignment="1">
      <alignment horizontal="right" vertical="top"/>
    </xf>
    <xf numFmtId="3" fontId="14" fillId="0" borderId="28" xfId="0" applyNumberFormat="1" applyFont="1" applyBorder="1" applyAlignment="1">
      <alignment horizontal="right" vertical="top"/>
    </xf>
    <xf numFmtId="178" fontId="14" fillId="0" borderId="0" xfId="0" applyNumberFormat="1" applyFont="1" applyAlignment="1">
      <alignment horizontal="right" vertical="center"/>
    </xf>
    <xf numFmtId="3" fontId="14" fillId="0" borderId="28" xfId="33" applyNumberFormat="1" applyFont="1" applyBorder="1" applyAlignment="1">
      <alignment horizontal="center" vertical="center"/>
    </xf>
    <xf numFmtId="0" fontId="35" fillId="0" borderId="28" xfId="0" applyFont="1" applyBorder="1" applyAlignment="1">
      <alignment vertical="center"/>
    </xf>
    <xf numFmtId="0" fontId="45" fillId="18" borderId="0" xfId="0" applyFont="1" applyFill="1"/>
    <xf numFmtId="0" fontId="46" fillId="18" borderId="0" xfId="0" applyFont="1" applyFill="1"/>
    <xf numFmtId="169" fontId="14" fillId="18" borderId="0" xfId="33" applyNumberFormat="1" applyFont="1" applyFill="1" applyAlignment="1">
      <alignment horizontal="left" vertical="center"/>
    </xf>
    <xf numFmtId="169" fontId="14" fillId="18" borderId="0" xfId="33" applyNumberFormat="1" applyFont="1" applyFill="1" applyAlignment="1">
      <alignment horizontal="right" vertical="center"/>
    </xf>
    <xf numFmtId="166" fontId="14" fillId="0" borderId="0" xfId="0" applyNumberFormat="1" applyFont="1" applyAlignment="1">
      <alignment horizontal="right"/>
    </xf>
    <xf numFmtId="3" fontId="14" fillId="0" borderId="28" xfId="33" applyNumberFormat="1" applyFont="1" applyBorder="1" applyAlignment="1">
      <alignment horizontal="right" vertical="center"/>
    </xf>
    <xf numFmtId="3" fontId="14" fillId="0" borderId="0" xfId="33" applyNumberFormat="1" applyFont="1" applyBorder="1" applyAlignment="1">
      <alignment horizontal="left" vertical="center"/>
    </xf>
    <xf numFmtId="3" fontId="43" fillId="0" borderId="0" xfId="33" applyNumberFormat="1" applyFont="1" applyBorder="1" applyAlignment="1">
      <alignment horizontal="right" vertical="center"/>
    </xf>
    <xf numFmtId="0" fontId="46" fillId="0" borderId="28" xfId="0" applyFont="1" applyBorder="1"/>
    <xf numFmtId="49" fontId="14" fillId="0" borderId="28" xfId="0" applyNumberFormat="1" applyFont="1" applyBorder="1" applyAlignment="1">
      <alignment vertical="top" wrapText="1"/>
    </xf>
    <xf numFmtId="0" fontId="49" fillId="0" borderId="0" xfId="0" applyFont="1" applyAlignment="1">
      <alignment horizontal="right" vertical="center"/>
    </xf>
    <xf numFmtId="169" fontId="14" fillId="0" borderId="28" xfId="0" applyNumberFormat="1" applyFont="1" applyBorder="1"/>
    <xf numFmtId="0" fontId="49" fillId="0" borderId="28" xfId="0" applyFont="1" applyBorder="1" applyAlignment="1">
      <alignment horizontal="right" vertical="center"/>
    </xf>
    <xf numFmtId="0" fontId="13" fillId="0" borderId="28" xfId="0" applyFont="1" applyBorder="1" applyAlignment="1">
      <alignment vertical="center"/>
    </xf>
    <xf numFmtId="174" fontId="14" fillId="0" borderId="0" xfId="0" applyNumberFormat="1" applyFont="1" applyAlignment="1">
      <alignment horizontal="center" vertical="center"/>
    </xf>
    <xf numFmtId="0" fontId="49" fillId="0" borderId="0" xfId="0" applyFont="1" applyAlignment="1">
      <alignment vertical="center"/>
    </xf>
    <xf numFmtId="177" fontId="14" fillId="0" borderId="28" xfId="0" applyNumberFormat="1" applyFont="1" applyBorder="1" applyAlignment="1">
      <alignment vertical="top" wrapText="1"/>
    </xf>
    <xf numFmtId="0" fontId="49" fillId="0" borderId="28" xfId="0" applyFont="1" applyBorder="1" applyAlignment="1">
      <alignment vertical="center"/>
    </xf>
    <xf numFmtId="169" fontId="13" fillId="0" borderId="0" xfId="0" applyNumberFormat="1" applyFont="1" applyAlignment="1">
      <alignment horizontal="center" vertical="center"/>
    </xf>
    <xf numFmtId="180" fontId="14" fillId="0" borderId="0" xfId="93" applyNumberFormat="1" applyFont="1" applyBorder="1" applyAlignment="1">
      <alignment vertical="top"/>
    </xf>
    <xf numFmtId="180" fontId="48" fillId="0" borderId="0" xfId="93" applyNumberFormat="1" applyFont="1"/>
    <xf numFmtId="166" fontId="14" fillId="0" borderId="0" xfId="0" applyNumberFormat="1" applyFont="1" applyAlignment="1">
      <alignment horizontal="center" vertical="top"/>
    </xf>
    <xf numFmtId="0" fontId="14" fillId="0" borderId="28" xfId="33" applyNumberFormat="1" applyFont="1" applyBorder="1" applyAlignment="1">
      <alignment vertical="center" wrapText="1"/>
    </xf>
    <xf numFmtId="180" fontId="14" fillId="0" borderId="28" xfId="93" applyNumberFormat="1" applyFont="1" applyBorder="1" applyAlignment="1">
      <alignment vertical="top"/>
    </xf>
    <xf numFmtId="180" fontId="48" fillId="0" borderId="28" xfId="93" applyNumberFormat="1" applyFont="1" applyBorder="1"/>
    <xf numFmtId="166" fontId="14" fillId="0" borderId="28" xfId="0" applyNumberFormat="1" applyFont="1" applyBorder="1" applyAlignment="1">
      <alignment horizontal="center" vertical="top"/>
    </xf>
    <xf numFmtId="180" fontId="14" fillId="0" borderId="0" xfId="93" applyNumberFormat="1" applyFont="1" applyAlignment="1">
      <alignment horizontal="right"/>
    </xf>
    <xf numFmtId="180" fontId="46" fillId="0" borderId="0" xfId="93" applyNumberFormat="1" applyFont="1"/>
    <xf numFmtId="180" fontId="14" fillId="0" borderId="0" xfId="93" applyNumberFormat="1" applyFont="1" applyAlignment="1">
      <alignment horizontal="right" vertical="center"/>
    </xf>
    <xf numFmtId="180" fontId="14" fillId="0" borderId="28" xfId="93" applyNumberFormat="1" applyFont="1" applyBorder="1" applyAlignment="1">
      <alignment horizontal="right" vertical="center"/>
    </xf>
    <xf numFmtId="180" fontId="14" fillId="0" borderId="0" xfId="93" applyNumberFormat="1" applyFont="1" applyAlignment="1">
      <alignment horizontal="right" vertical="top"/>
    </xf>
    <xf numFmtId="180" fontId="14" fillId="0" borderId="28" xfId="93" applyNumberFormat="1" applyFont="1" applyBorder="1" applyAlignment="1">
      <alignment horizontal="right" vertical="top"/>
    </xf>
    <xf numFmtId="180" fontId="14" fillId="0" borderId="0" xfId="93" applyNumberFormat="1" applyFont="1" applyBorder="1" applyAlignment="1">
      <alignment horizontal="right"/>
    </xf>
    <xf numFmtId="180" fontId="14" fillId="0" borderId="28" xfId="93" applyNumberFormat="1" applyFont="1" applyBorder="1" applyAlignment="1">
      <alignment horizontal="right"/>
    </xf>
    <xf numFmtId="3" fontId="47" fillId="0" borderId="0" xfId="0" applyNumberFormat="1" applyFont="1"/>
    <xf numFmtId="166" fontId="35" fillId="0" borderId="0" xfId="0" applyNumberFormat="1" applyFont="1" applyAlignment="1">
      <alignment vertical="center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1" fontId="13" fillId="19" borderId="11" xfId="30" applyNumberFormat="1" applyFont="1" applyFill="1" applyBorder="1" applyAlignment="1">
      <alignment horizontal="center" vertical="center"/>
    </xf>
    <xf numFmtId="1" fontId="13" fillId="19" borderId="11" xfId="0" applyNumberFormat="1" applyFont="1" applyFill="1" applyBorder="1" applyAlignment="1">
      <alignment horizontal="center" vertical="center"/>
    </xf>
    <xf numFmtId="1" fontId="13" fillId="19" borderId="10" xfId="30" applyNumberFormat="1" applyFont="1" applyFill="1" applyBorder="1" applyAlignment="1">
      <alignment horizontal="center" vertical="center"/>
    </xf>
    <xf numFmtId="3" fontId="38" fillId="20" borderId="8" xfId="0" applyNumberFormat="1" applyFont="1" applyFill="1" applyBorder="1" applyAlignment="1">
      <alignment horizontal="center" vertical="center"/>
    </xf>
    <xf numFmtId="3" fontId="13" fillId="20" borderId="8" xfId="0" applyNumberFormat="1" applyFont="1" applyFill="1" applyBorder="1" applyAlignment="1">
      <alignment horizontal="right" vertical="center"/>
    </xf>
    <xf numFmtId="180" fontId="13" fillId="20" borderId="8" xfId="93" applyNumberFormat="1" applyFont="1" applyFill="1" applyBorder="1" applyAlignment="1">
      <alignment horizontal="right" vertical="center"/>
    </xf>
    <xf numFmtId="169" fontId="13" fillId="20" borderId="0" xfId="0" applyNumberFormat="1" applyFont="1" applyFill="1" applyAlignment="1">
      <alignment horizontal="left" vertical="center"/>
    </xf>
    <xf numFmtId="169" fontId="13" fillId="20" borderId="0" xfId="0" applyNumberFormat="1" applyFont="1" applyFill="1" applyAlignment="1">
      <alignment horizontal="right" vertical="center"/>
    </xf>
    <xf numFmtId="3" fontId="13" fillId="20" borderId="0" xfId="0" applyNumberFormat="1" applyFont="1" applyFill="1" applyAlignment="1">
      <alignment horizontal="right" vertical="center"/>
    </xf>
    <xf numFmtId="180" fontId="13" fillId="20" borderId="0" xfId="93" applyNumberFormat="1" applyFont="1" applyFill="1" applyAlignment="1">
      <alignment horizontal="right" vertical="center"/>
    </xf>
    <xf numFmtId="3" fontId="38" fillId="20" borderId="0" xfId="0" applyNumberFormat="1" applyFont="1" applyFill="1" applyAlignment="1">
      <alignment horizontal="center" vertical="center"/>
    </xf>
    <xf numFmtId="0" fontId="13" fillId="19" borderId="11" xfId="0" applyFont="1" applyFill="1" applyBorder="1" applyAlignment="1">
      <alignment horizontal="center" vertical="center" wrapText="1"/>
    </xf>
    <xf numFmtId="1" fontId="50" fillId="19" borderId="11" xfId="30" applyNumberFormat="1" applyFont="1" applyFill="1" applyBorder="1" applyAlignment="1">
      <alignment horizontal="center" vertical="center"/>
    </xf>
    <xf numFmtId="0" fontId="51" fillId="20" borderId="28" xfId="33" applyNumberFormat="1" applyFont="1" applyFill="1" applyBorder="1" applyAlignment="1">
      <alignment horizontal="center" vertical="center"/>
    </xf>
    <xf numFmtId="176" fontId="50" fillId="20" borderId="28" xfId="33" applyNumberFormat="1" applyFont="1" applyFill="1" applyBorder="1" applyAlignment="1">
      <alignment horizontal="right" vertical="center"/>
    </xf>
    <xf numFmtId="0" fontId="50" fillId="20" borderId="0" xfId="33" applyNumberFormat="1" applyFont="1" applyFill="1" applyAlignment="1">
      <alignment horizontal="left" vertical="center"/>
    </xf>
    <xf numFmtId="176" fontId="52" fillId="20" borderId="0" xfId="33" applyNumberFormat="1" applyFont="1" applyFill="1" applyAlignment="1">
      <alignment horizontal="right" vertical="center"/>
    </xf>
    <xf numFmtId="165" fontId="15" fillId="19" borderId="11" xfId="30" applyNumberFormat="1" applyFont="1" applyFill="1" applyBorder="1" applyAlignment="1">
      <alignment horizontal="center" vertical="center"/>
    </xf>
    <xf numFmtId="0" fontId="15" fillId="19" borderId="11" xfId="0" applyFont="1" applyFill="1" applyBorder="1" applyAlignment="1">
      <alignment horizontal="center" vertical="center"/>
    </xf>
    <xf numFmtId="1" fontId="15" fillId="19" borderId="11" xfId="0" applyNumberFormat="1" applyFont="1" applyFill="1" applyBorder="1" applyAlignment="1">
      <alignment horizontal="center" vertical="center"/>
    </xf>
    <xf numFmtId="1" fontId="50" fillId="20" borderId="0" xfId="0" applyNumberFormat="1" applyFont="1" applyFill="1" applyAlignment="1">
      <alignment vertical="center"/>
    </xf>
    <xf numFmtId="169" fontId="50" fillId="20" borderId="0" xfId="33" applyNumberFormat="1" applyFont="1" applyFill="1" applyAlignment="1">
      <alignment vertical="center"/>
    </xf>
    <xf numFmtId="180" fontId="50" fillId="20" borderId="0" xfId="93" applyNumberFormat="1" applyFont="1" applyFill="1" applyAlignment="1">
      <alignment vertical="center"/>
    </xf>
    <xf numFmtId="1" fontId="13" fillId="19" borderId="6" xfId="0" applyNumberFormat="1" applyFont="1" applyFill="1" applyBorder="1" applyAlignment="1">
      <alignment horizontal="center" vertical="center"/>
    </xf>
    <xf numFmtId="0" fontId="13" fillId="19" borderId="10" xfId="38" applyFont="1" applyFill="1" applyBorder="1" applyAlignment="1">
      <alignment horizontal="center" vertical="center" wrapText="1"/>
    </xf>
    <xf numFmtId="166" fontId="13" fillId="20" borderId="8" xfId="0" applyNumberFormat="1" applyFont="1" applyFill="1" applyBorder="1" applyAlignment="1">
      <alignment horizontal="center" vertical="center"/>
    </xf>
    <xf numFmtId="166" fontId="13" fillId="19" borderId="11" xfId="0" applyNumberFormat="1" applyFont="1" applyFill="1" applyBorder="1" applyAlignment="1">
      <alignment horizontal="center" vertical="center" wrapText="1"/>
    </xf>
    <xf numFmtId="169" fontId="13" fillId="20" borderId="8" xfId="0" applyNumberFormat="1" applyFont="1" applyFill="1" applyBorder="1" applyAlignment="1">
      <alignment vertical="center"/>
    </xf>
    <xf numFmtId="180" fontId="13" fillId="20" borderId="8" xfId="93" applyNumberFormat="1" applyFont="1" applyFill="1" applyBorder="1" applyAlignment="1">
      <alignment vertical="center"/>
    </xf>
    <xf numFmtId="9" fontId="13" fillId="20" borderId="8" xfId="93" applyFont="1" applyFill="1" applyBorder="1" applyAlignment="1">
      <alignment vertical="center"/>
    </xf>
    <xf numFmtId="0" fontId="13" fillId="20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left" vertical="center"/>
    </xf>
    <xf numFmtId="49" fontId="13" fillId="20" borderId="0" xfId="0" applyNumberFormat="1" applyFont="1" applyFill="1" applyAlignment="1">
      <alignment horizontal="center" vertical="center"/>
    </xf>
    <xf numFmtId="174" fontId="13" fillId="20" borderId="0" xfId="0" applyNumberFormat="1" applyFont="1" applyFill="1" applyAlignment="1">
      <alignment vertical="center"/>
    </xf>
    <xf numFmtId="171" fontId="13" fillId="20" borderId="8" xfId="0" applyNumberFormat="1" applyFont="1" applyFill="1" applyBorder="1" applyAlignment="1">
      <alignment horizontal="right" vertical="center"/>
    </xf>
    <xf numFmtId="2" fontId="35" fillId="0" borderId="0" xfId="0" applyNumberFormat="1" applyFont="1" applyAlignment="1">
      <alignment vertical="center"/>
    </xf>
    <xf numFmtId="179" fontId="35" fillId="0" borderId="0" xfId="0" applyNumberFormat="1" applyFont="1" applyAlignment="1">
      <alignment vertical="center"/>
    </xf>
    <xf numFmtId="174" fontId="13" fillId="20" borderId="8" xfId="0" applyNumberFormat="1" applyFont="1" applyFill="1" applyBorder="1"/>
    <xf numFmtId="0" fontId="54" fillId="0" borderId="0" xfId="94" applyFont="1" applyAlignment="1">
      <alignment vertical="center"/>
    </xf>
    <xf numFmtId="0" fontId="54" fillId="0" borderId="0" xfId="35" applyFont="1"/>
    <xf numFmtId="9" fontId="14" fillId="0" borderId="0" xfId="93" applyFont="1" applyBorder="1" applyAlignment="1">
      <alignment vertical="top"/>
    </xf>
    <xf numFmtId="167" fontId="16" fillId="0" borderId="29" xfId="0" applyNumberFormat="1" applyFont="1" applyBorder="1" applyAlignment="1">
      <alignment horizontal="left" vertical="center"/>
    </xf>
    <xf numFmtId="0" fontId="17" fillId="0" borderId="29" xfId="0" applyFont="1" applyBorder="1" applyAlignment="1">
      <alignment vertical="center"/>
    </xf>
    <xf numFmtId="3" fontId="17" fillId="0" borderId="29" xfId="0" applyNumberFormat="1" applyFont="1" applyBorder="1" applyAlignment="1">
      <alignment vertical="center"/>
    </xf>
    <xf numFmtId="166" fontId="17" fillId="0" borderId="29" xfId="33" applyNumberFormat="1" applyFont="1" applyBorder="1" applyAlignment="1">
      <alignment vertical="center"/>
    </xf>
    <xf numFmtId="167" fontId="17" fillId="18" borderId="0" xfId="36" applyFont="1" applyFill="1" applyAlignment="1">
      <alignment horizontal="left" vertical="center"/>
    </xf>
    <xf numFmtId="0" fontId="17" fillId="18" borderId="0" xfId="0" applyFont="1" applyFill="1" applyAlignment="1">
      <alignment vertical="center" wrapText="1"/>
    </xf>
    <xf numFmtId="0" fontId="54" fillId="18" borderId="0" xfId="94" applyFont="1" applyFill="1" applyAlignment="1">
      <alignment vertical="center"/>
    </xf>
    <xf numFmtId="0" fontId="54" fillId="18" borderId="0" xfId="35" applyFont="1" applyFill="1"/>
    <xf numFmtId="0" fontId="54" fillId="0" borderId="0" xfId="35" applyFont="1" applyAlignment="1">
      <alignment vertical="center"/>
    </xf>
    <xf numFmtId="9" fontId="14" fillId="0" borderId="0" xfId="93" applyFont="1" applyAlignment="1">
      <alignment horizontal="right" vertical="top"/>
    </xf>
    <xf numFmtId="0" fontId="42" fillId="18" borderId="0" xfId="0" applyFont="1" applyFill="1" applyAlignment="1">
      <alignment vertical="center"/>
    </xf>
    <xf numFmtId="0" fontId="10" fillId="18" borderId="0" xfId="0" applyFont="1" applyFill="1" applyAlignment="1">
      <alignment vertical="center"/>
    </xf>
    <xf numFmtId="0" fontId="12" fillId="18" borderId="1" xfId="0" applyFont="1" applyFill="1" applyBorder="1" applyAlignment="1">
      <alignment vertical="center"/>
    </xf>
    <xf numFmtId="0" fontId="12" fillId="18" borderId="28" xfId="0" applyFont="1" applyFill="1" applyBorder="1" applyAlignment="1">
      <alignment horizontal="center" vertical="center"/>
    </xf>
    <xf numFmtId="0" fontId="35" fillId="18" borderId="4" xfId="0" applyFont="1" applyFill="1" applyBorder="1" applyAlignment="1">
      <alignment vertical="center"/>
    </xf>
    <xf numFmtId="0" fontId="41" fillId="18" borderId="0" xfId="0" applyFont="1" applyFill="1" applyAlignment="1">
      <alignment vertical="center"/>
    </xf>
    <xf numFmtId="0" fontId="14" fillId="0" borderId="0" xfId="0" applyFont="1" applyAlignment="1">
      <alignment horizontal="left" vertical="top"/>
    </xf>
    <xf numFmtId="0" fontId="14" fillId="0" borderId="0" xfId="33" applyNumberFormat="1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171" fontId="14" fillId="0" borderId="0" xfId="33" applyNumberFormat="1" applyFont="1" applyAlignment="1">
      <alignment vertical="top"/>
    </xf>
    <xf numFmtId="181" fontId="13" fillId="20" borderId="8" xfId="93" applyNumberFormat="1" applyFont="1" applyFill="1" applyBorder="1" applyAlignment="1">
      <alignment horizontal="right" vertical="center"/>
    </xf>
    <xf numFmtId="181" fontId="13" fillId="0" borderId="0" xfId="0" applyNumberFormat="1" applyFont="1" applyAlignment="1">
      <alignment vertical="center"/>
    </xf>
    <xf numFmtId="181" fontId="14" fillId="0" borderId="0" xfId="93" applyNumberFormat="1" applyFont="1" applyBorder="1" applyAlignment="1">
      <alignment vertical="top"/>
    </xf>
    <xf numFmtId="181" fontId="48" fillId="0" borderId="0" xfId="93" applyNumberFormat="1" applyFont="1"/>
    <xf numFmtId="181" fontId="14" fillId="0" borderId="28" xfId="93" applyNumberFormat="1" applyFont="1" applyBorder="1" applyAlignment="1">
      <alignment vertical="top"/>
    </xf>
    <xf numFmtId="181" fontId="48" fillId="0" borderId="28" xfId="93" applyNumberFormat="1" applyFont="1" applyBorder="1"/>
    <xf numFmtId="181" fontId="13" fillId="20" borderId="8" xfId="93" applyNumberFormat="1" applyFont="1" applyFill="1" applyBorder="1" applyAlignment="1">
      <alignment vertical="center"/>
    </xf>
    <xf numFmtId="181" fontId="13" fillId="0" borderId="0" xfId="0" applyNumberFormat="1" applyFont="1"/>
    <xf numFmtId="181" fontId="14" fillId="0" borderId="0" xfId="93" applyNumberFormat="1" applyFont="1" applyAlignment="1">
      <alignment horizontal="right"/>
    </xf>
    <xf numFmtId="181" fontId="14" fillId="0" borderId="28" xfId="93" applyNumberFormat="1" applyFont="1" applyBorder="1" applyAlignment="1">
      <alignment horizontal="right"/>
    </xf>
    <xf numFmtId="0" fontId="14" fillId="18" borderId="0" xfId="0" applyFont="1" applyFill="1" applyAlignment="1">
      <alignment vertical="center" wrapText="1"/>
    </xf>
    <xf numFmtId="3" fontId="14" fillId="0" borderId="0" xfId="0" applyNumberFormat="1" applyFont="1" applyAlignment="1">
      <alignment horizontal="right" vertical="center"/>
    </xf>
    <xf numFmtId="180" fontId="14" fillId="0" borderId="0" xfId="93" applyNumberFormat="1" applyFont="1" applyBorder="1" applyAlignment="1">
      <alignment horizontal="right" vertical="center"/>
    </xf>
    <xf numFmtId="180" fontId="14" fillId="0" borderId="0" xfId="93" applyNumberFormat="1" applyFont="1" applyAlignment="1">
      <alignment vertical="center"/>
    </xf>
    <xf numFmtId="174" fontId="14" fillId="3" borderId="0" xfId="0" applyNumberFormat="1" applyFont="1" applyFill="1" applyAlignment="1">
      <alignment vertical="center"/>
    </xf>
    <xf numFmtId="3" fontId="14" fillId="0" borderId="28" xfId="0" applyNumberFormat="1" applyFont="1" applyBorder="1" applyAlignment="1">
      <alignment horizontal="right" vertical="center"/>
    </xf>
    <xf numFmtId="174" fontId="14" fillId="3" borderId="28" xfId="0" applyNumberFormat="1" applyFont="1" applyFill="1" applyBorder="1" applyAlignment="1">
      <alignment vertical="center"/>
    </xf>
    <xf numFmtId="180" fontId="14" fillId="0" borderId="28" xfId="93" applyNumberFormat="1" applyFont="1" applyBorder="1" applyAlignment="1">
      <alignment vertical="center"/>
    </xf>
    <xf numFmtId="1" fontId="50" fillId="19" borderId="6" xfId="0" applyNumberFormat="1" applyFont="1" applyFill="1" applyBorder="1" applyAlignment="1">
      <alignment horizontal="center" vertical="center"/>
    </xf>
    <xf numFmtId="1" fontId="50" fillId="19" borderId="10" xfId="0" applyNumberFormat="1" applyFont="1" applyFill="1" applyBorder="1" applyAlignment="1">
      <alignment horizontal="center" vertical="center"/>
    </xf>
    <xf numFmtId="165" fontId="15" fillId="19" borderId="7" xfId="30" applyNumberFormat="1" applyFont="1" applyFill="1" applyBorder="1" applyAlignment="1">
      <alignment horizontal="center" vertical="center"/>
    </xf>
    <xf numFmtId="165" fontId="15" fillId="19" borderId="8" xfId="30" applyNumberFormat="1" applyFont="1" applyFill="1" applyBorder="1" applyAlignment="1">
      <alignment horizontal="center" vertical="center"/>
    </xf>
    <xf numFmtId="165" fontId="15" fillId="19" borderId="9" xfId="30" applyNumberFormat="1" applyFont="1" applyFill="1" applyBorder="1" applyAlignment="1">
      <alignment horizontal="center" vertical="center"/>
    </xf>
    <xf numFmtId="9" fontId="13" fillId="19" borderId="6" xfId="30" applyNumberFormat="1" applyFont="1" applyFill="1" applyBorder="1" applyAlignment="1">
      <alignment horizontal="center" vertical="center" wrapText="1"/>
    </xf>
    <xf numFmtId="9" fontId="13" fillId="19" borderId="11" xfId="30" applyNumberFormat="1" applyFont="1" applyFill="1" applyBorder="1" applyAlignment="1">
      <alignment horizontal="center" vertical="center" wrapText="1"/>
    </xf>
    <xf numFmtId="0" fontId="50" fillId="20" borderId="0" xfId="33" applyNumberFormat="1" applyFont="1" applyFill="1" applyAlignment="1">
      <alignment horizontal="left" vertical="center"/>
    </xf>
    <xf numFmtId="165" fontId="13" fillId="19" borderId="7" xfId="30" applyNumberFormat="1" applyFont="1" applyFill="1" applyBorder="1" applyAlignment="1">
      <alignment horizontal="center" vertical="center"/>
    </xf>
    <xf numFmtId="165" fontId="13" fillId="19" borderId="11" xfId="30" applyNumberFormat="1" applyFont="1" applyFill="1" applyBorder="1" applyAlignment="1">
      <alignment horizontal="center" vertical="center"/>
    </xf>
    <xf numFmtId="165" fontId="50" fillId="19" borderId="6" xfId="30" applyNumberFormat="1" applyFont="1" applyFill="1" applyBorder="1" applyAlignment="1">
      <alignment horizontal="center" vertical="center" wrapText="1"/>
    </xf>
    <xf numFmtId="165" fontId="50" fillId="19" borderId="11" xfId="30" applyNumberFormat="1" applyFont="1" applyFill="1" applyBorder="1" applyAlignment="1">
      <alignment horizontal="center" vertical="center" wrapText="1"/>
    </xf>
    <xf numFmtId="0" fontId="13" fillId="19" borderId="6" xfId="30" applyFont="1" applyFill="1" applyBorder="1" applyAlignment="1">
      <alignment horizontal="center" vertical="center" wrapText="1"/>
    </xf>
    <xf numFmtId="0" fontId="13" fillId="19" borderId="11" xfId="30" applyFont="1" applyFill="1" applyBorder="1" applyAlignment="1">
      <alignment horizontal="center" vertical="center" wrapText="1"/>
    </xf>
    <xf numFmtId="165" fontId="50" fillId="19" borderId="11" xfId="30" applyNumberFormat="1" applyFont="1" applyFill="1" applyBorder="1" applyAlignment="1">
      <alignment horizontal="center" vertical="center"/>
    </xf>
    <xf numFmtId="0" fontId="50" fillId="19" borderId="11" xfId="30" applyFont="1" applyFill="1" applyBorder="1" applyAlignment="1">
      <alignment horizontal="center" vertical="center" wrapText="1"/>
    </xf>
    <xf numFmtId="9" fontId="50" fillId="19" borderId="11" xfId="30" applyNumberFormat="1" applyFont="1" applyFill="1" applyBorder="1" applyAlignment="1">
      <alignment horizontal="center" vertical="center" wrapText="1"/>
    </xf>
    <xf numFmtId="0" fontId="13" fillId="20" borderId="8" xfId="0" applyFont="1" applyFill="1" applyBorder="1" applyAlignment="1">
      <alignment horizontal="center" vertical="center"/>
    </xf>
    <xf numFmtId="0" fontId="13" fillId="19" borderId="7" xfId="0" applyFont="1" applyFill="1" applyBorder="1" applyAlignment="1">
      <alignment horizontal="center" vertical="center" wrapText="1"/>
    </xf>
    <xf numFmtId="0" fontId="13" fillId="19" borderId="8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 vertical="center"/>
    </xf>
    <xf numFmtId="49" fontId="13" fillId="19" borderId="7" xfId="38" applyNumberFormat="1" applyFont="1" applyFill="1" applyBorder="1" applyAlignment="1">
      <alignment horizontal="center" vertical="center" wrapText="1"/>
    </xf>
    <xf numFmtId="49" fontId="13" fillId="19" borderId="9" xfId="38" applyNumberFormat="1" applyFont="1" applyFill="1" applyBorder="1" applyAlignment="1">
      <alignment horizontal="center" vertical="center" wrapText="1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/>
    </xf>
    <xf numFmtId="3" fontId="38" fillId="20" borderId="8" xfId="0" applyNumberFormat="1" applyFont="1" applyFill="1" applyBorder="1" applyAlignment="1">
      <alignment horizontal="center" vertical="center"/>
    </xf>
    <xf numFmtId="1" fontId="13" fillId="19" borderId="6" xfId="0" applyNumberFormat="1" applyFont="1" applyFill="1" applyBorder="1" applyAlignment="1">
      <alignment horizontal="center" vertical="center" wrapText="1"/>
    </xf>
    <xf numFmtId="1" fontId="13" fillId="19" borderId="10" xfId="0" applyNumberFormat="1" applyFont="1" applyFill="1" applyBorder="1" applyAlignment="1">
      <alignment horizontal="center" vertical="center" wrapText="1"/>
    </xf>
    <xf numFmtId="0" fontId="13" fillId="19" borderId="6" xfId="0" applyFont="1" applyFill="1" applyBorder="1" applyAlignment="1">
      <alignment horizontal="center" vertical="center" wrapText="1"/>
    </xf>
    <xf numFmtId="0" fontId="13" fillId="19" borderId="10" xfId="0" applyFont="1" applyFill="1" applyBorder="1" applyAlignment="1">
      <alignment horizontal="center" vertical="center" wrapText="1"/>
    </xf>
    <xf numFmtId="0" fontId="13" fillId="19" borderId="11" xfId="0" applyFont="1" applyFill="1" applyBorder="1" applyAlignment="1">
      <alignment horizontal="left" vertical="center"/>
    </xf>
    <xf numFmtId="0" fontId="13" fillId="19" borderId="11" xfId="0" applyFont="1" applyFill="1" applyBorder="1" applyAlignment="1">
      <alignment horizontal="center" vertical="center"/>
    </xf>
    <xf numFmtId="0" fontId="12" fillId="20" borderId="8" xfId="0" applyFont="1" applyFill="1" applyBorder="1" applyAlignment="1">
      <alignment horizontal="center" vertical="center"/>
    </xf>
    <xf numFmtId="0" fontId="13" fillId="2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19" borderId="26" xfId="0" applyFont="1" applyFill="1" applyBorder="1" applyAlignment="1">
      <alignment horizontal="center" vertical="center" wrapText="1"/>
    </xf>
    <xf numFmtId="0" fontId="13" fillId="19" borderId="27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5" fillId="0" borderId="0" xfId="48" applyFont="1" applyAlignment="1">
      <alignment horizontal="left" vertical="center"/>
    </xf>
    <xf numFmtId="0" fontId="13" fillId="19" borderId="25" xfId="0" applyFont="1" applyFill="1" applyBorder="1" applyAlignment="1">
      <alignment horizontal="center" vertical="center" wrapText="1"/>
    </xf>
    <xf numFmtId="0" fontId="13" fillId="19" borderId="5" xfId="0" applyFont="1" applyFill="1" applyBorder="1" applyAlignment="1">
      <alignment horizontal="center" vertical="center" wrapText="1"/>
    </xf>
    <xf numFmtId="0" fontId="13" fillId="19" borderId="4" xfId="0" applyFont="1" applyFill="1" applyBorder="1" applyAlignment="1">
      <alignment horizontal="center" vertical="center" wrapText="1"/>
    </xf>
  </cellXfs>
  <cellStyles count="95">
    <cellStyle name="20% - Énfasis1" xfId="1" xr:uid="{00000000-0005-0000-0000-000000000000}"/>
    <cellStyle name="20% - Énfasis1 2" xfId="51" xr:uid="{95D54A7A-E4A0-489E-9363-A80F5403B92C}"/>
    <cellStyle name="20% - Énfasis2" xfId="2" xr:uid="{00000000-0005-0000-0000-000001000000}"/>
    <cellStyle name="20% - Énfasis2 2" xfId="53" xr:uid="{CF91F1AC-DDC0-4C52-A6E3-748CA6560CC2}"/>
    <cellStyle name="20% - Énfasis3" xfId="3" xr:uid="{00000000-0005-0000-0000-000002000000}"/>
    <cellStyle name="20% - Énfasis3 2" xfId="54" xr:uid="{457B8DDF-54F6-44E2-A71B-1470334D9FDB}"/>
    <cellStyle name="20% - Énfasis4" xfId="4" xr:uid="{00000000-0005-0000-0000-000003000000}"/>
    <cellStyle name="20% - Énfasis4 2" xfId="55" xr:uid="{549CB072-49D1-4324-9315-3D5AB92428D4}"/>
    <cellStyle name="20% - Énfasis5" xfId="5" xr:uid="{00000000-0005-0000-0000-000004000000}"/>
    <cellStyle name="20% - Énfasis5 2" xfId="56" xr:uid="{7F2F45FE-4882-4897-9AC2-7FED5AA3B267}"/>
    <cellStyle name="20% - Énfasis6" xfId="6" xr:uid="{00000000-0005-0000-0000-000005000000}"/>
    <cellStyle name="20% - Énfasis6 2" xfId="57" xr:uid="{001CB800-883A-48EE-BBB7-00168501E48F}"/>
    <cellStyle name="40% - Énfasis1" xfId="7" xr:uid="{00000000-0005-0000-0000-000006000000}"/>
    <cellStyle name="40% - Énfasis1 2" xfId="58" xr:uid="{A662BBEB-254B-4A93-9033-30D8D7F9352B}"/>
    <cellStyle name="40% - Énfasis2" xfId="8" xr:uid="{00000000-0005-0000-0000-000007000000}"/>
    <cellStyle name="40% - Énfasis2 2" xfId="59" xr:uid="{5E8D5B1F-4FB6-4CA8-B98B-BB4FCC7EC4A2}"/>
    <cellStyle name="40% - Énfasis3" xfId="9" xr:uid="{00000000-0005-0000-0000-000008000000}"/>
    <cellStyle name="40% - Énfasis3 2" xfId="60" xr:uid="{1242C880-87E5-4924-B882-9C03E9C6A4AB}"/>
    <cellStyle name="40% - Énfasis4" xfId="10" xr:uid="{00000000-0005-0000-0000-000009000000}"/>
    <cellStyle name="40% - Énfasis4 2" xfId="61" xr:uid="{DAD1F534-6EFF-4BA4-B67A-D8B7B9B14E9E}"/>
    <cellStyle name="40% - Énfasis5" xfId="11" xr:uid="{00000000-0005-0000-0000-00000A000000}"/>
    <cellStyle name="40% - Énfasis5 2" xfId="62" xr:uid="{528E8E24-FAAA-41E6-84DF-3B052D64B850}"/>
    <cellStyle name="40% - Énfasis6" xfId="12" xr:uid="{00000000-0005-0000-0000-00000B000000}"/>
    <cellStyle name="40% - Énfasis6 2" xfId="63" xr:uid="{EA6F747F-C478-4EF3-B4F2-9A3ADD2FBDFA}"/>
    <cellStyle name="60% - Énfasis1" xfId="13" xr:uid="{00000000-0005-0000-0000-00000C000000}"/>
    <cellStyle name="60% - Énfasis1 2" xfId="64" xr:uid="{CB74734D-0B5E-4D6A-8ECA-E8504CDF789B}"/>
    <cellStyle name="60% - Énfasis2" xfId="14" xr:uid="{00000000-0005-0000-0000-00000D000000}"/>
    <cellStyle name="60% - Énfasis2 2" xfId="65" xr:uid="{C3C0B624-533C-4F87-954A-6F423D2E540A}"/>
    <cellStyle name="60% - Énfasis3" xfId="15" xr:uid="{00000000-0005-0000-0000-00000E000000}"/>
    <cellStyle name="60% - Énfasis3 2" xfId="66" xr:uid="{8C0B8AFA-D9F6-4A7A-854B-EEF200FE9BE0}"/>
    <cellStyle name="60% - Énfasis4" xfId="16" xr:uid="{00000000-0005-0000-0000-00000F000000}"/>
    <cellStyle name="60% - Énfasis4 2" xfId="67" xr:uid="{F79D1A8C-65FE-437D-A1F8-65A6FC7E49A0}"/>
    <cellStyle name="60% - Énfasis5" xfId="17" xr:uid="{00000000-0005-0000-0000-000010000000}"/>
    <cellStyle name="60% - Énfasis5 2" xfId="68" xr:uid="{8D4D1177-41EF-449A-81D5-50504D4D3DEB}"/>
    <cellStyle name="60% - Énfasis6" xfId="18" xr:uid="{00000000-0005-0000-0000-000011000000}"/>
    <cellStyle name="60% - Énfasis6 2" xfId="69" xr:uid="{E77319ED-4408-475E-AEF9-A2B130458DC4}"/>
    <cellStyle name="Buena" xfId="19" xr:uid="{00000000-0005-0000-0000-000012000000}"/>
    <cellStyle name="Cálculo" xfId="20" xr:uid="{00000000-0005-0000-0000-000013000000}"/>
    <cellStyle name="Cálculo 2" xfId="70" xr:uid="{5F4F9B67-4CC6-4E2E-B6BE-60559DE9BC74}"/>
    <cellStyle name="Celda de comprobación" xfId="21" xr:uid="{00000000-0005-0000-0000-000014000000}"/>
    <cellStyle name="Celda de comprobación 2" xfId="71" xr:uid="{5F2010E5-06E0-4DBF-A17F-68C5CAA155CA}"/>
    <cellStyle name="Celda vinculada" xfId="22" xr:uid="{00000000-0005-0000-0000-000015000000}"/>
    <cellStyle name="Celda vinculada 2" xfId="72" xr:uid="{8504B6A4-C3BF-4B16-8B46-78C5880F9484}"/>
    <cellStyle name="Encabezado 1" xfId="23" xr:uid="{00000000-0005-0000-0000-000016000000}"/>
    <cellStyle name="Encabezado 1 2" xfId="73" xr:uid="{EA552E7D-18CD-47E6-9888-D2A68143DC46}"/>
    <cellStyle name="Encabezado 4" xfId="24" xr:uid="{00000000-0005-0000-0000-000017000000}"/>
    <cellStyle name="Encabezado 4 2" xfId="74" xr:uid="{081AFEB9-8FD1-48CF-9968-D91A01C1480B}"/>
    <cellStyle name="Énfasis1" xfId="25" xr:uid="{00000000-0005-0000-0000-000018000000}"/>
    <cellStyle name="Énfasis1 2" xfId="75" xr:uid="{89A5850A-BC0E-4914-8A4B-7A812312EBE0}"/>
    <cellStyle name="Énfasis2" xfId="26" xr:uid="{00000000-0005-0000-0000-000019000000}"/>
    <cellStyle name="Énfasis2 2" xfId="76" xr:uid="{716478AC-4F79-4D10-B3CA-E74D6EB2F279}"/>
    <cellStyle name="Énfasis3" xfId="27" xr:uid="{00000000-0005-0000-0000-00001A000000}"/>
    <cellStyle name="Énfasis3 2" xfId="77" xr:uid="{6968CA89-72E1-482B-BC13-53D5AFFA80C8}"/>
    <cellStyle name="Énfasis4" xfId="28" xr:uid="{00000000-0005-0000-0000-00001B000000}"/>
    <cellStyle name="Énfasis4 2" xfId="78" xr:uid="{3D7A1BF9-2790-4AB7-A0E7-4FB48A8D9766}"/>
    <cellStyle name="Énfasis5" xfId="29" xr:uid="{00000000-0005-0000-0000-00001C000000}"/>
    <cellStyle name="Énfasis5 2" xfId="79" xr:uid="{3B1B3E99-4FC5-4821-89D8-B0F18E6879CA}"/>
    <cellStyle name="Énfasis6" xfId="30" xr:uid="{00000000-0005-0000-0000-00001D000000}"/>
    <cellStyle name="Énfasis6 2" xfId="80" xr:uid="{3007D59E-2F9A-4E3A-8290-04E79A649467}"/>
    <cellStyle name="Entrada" xfId="31" xr:uid="{00000000-0005-0000-0000-00001E000000}"/>
    <cellStyle name="Entrada 2" xfId="81" xr:uid="{4C9E4238-88AF-4646-B876-BD6892EF8314}"/>
    <cellStyle name="Incorrecto" xfId="32" xr:uid="{00000000-0005-0000-0000-00001F000000}"/>
    <cellStyle name="Incorrecto 2" xfId="82" xr:uid="{0D87C2D8-AA4F-448D-97E2-FB54D65A2F94}"/>
    <cellStyle name="Millares" xfId="33" builtinId="3"/>
    <cellStyle name="Millares 2" xfId="83" xr:uid="{20D5659E-5436-4253-9579-C898A10668B4}"/>
    <cellStyle name="Neutral" xfId="34" xr:uid="{00000000-0005-0000-0000-000021000000}"/>
    <cellStyle name="Neutral 2" xfId="84" xr:uid="{757701E6-41B3-4446-9C3E-BEA4C774FCB6}"/>
    <cellStyle name="Normal" xfId="0" builtinId="0"/>
    <cellStyle name="Normal 2" xfId="35" xr:uid="{00000000-0005-0000-0000-000023000000}"/>
    <cellStyle name="Normal 2 3" xfId="94" xr:uid="{FF4A1325-9316-434C-AAAD-97991D3C1915}"/>
    <cellStyle name="Normal 3" xfId="49" xr:uid="{DAF98692-801E-4852-AD30-2F8DE059661B}"/>
    <cellStyle name="Normal 3 2" xfId="52" xr:uid="{6C2A14E6-5428-48CF-AF66-306202C45330}"/>
    <cellStyle name="Normal_99-100" xfId="36" xr:uid="{00000000-0005-0000-0000-000024000000}"/>
    <cellStyle name="Normal_C-76-79 Año 20112" xfId="48" xr:uid="{00000000-0005-0000-0000-000025000000}"/>
    <cellStyle name="Normal_cuadro 7" xfId="37" xr:uid="{00000000-0005-0000-0000-000026000000}"/>
    <cellStyle name="Normal_Hoja1" xfId="38" xr:uid="{00000000-0005-0000-0000-000027000000}"/>
    <cellStyle name="Notas" xfId="39" xr:uid="{00000000-0005-0000-0000-000029000000}"/>
    <cellStyle name="Notas 2" xfId="85" xr:uid="{06984748-D957-4FB7-8BA8-329B478227AB}"/>
    <cellStyle name="Porcentaje" xfId="93" builtinId="5"/>
    <cellStyle name="Porcentaje 2" xfId="50" xr:uid="{C4878827-CDB2-4E1E-BE7F-88BCA4EFE1B1}"/>
    <cellStyle name="Salida" xfId="40" xr:uid="{00000000-0005-0000-0000-00002A000000}"/>
    <cellStyle name="Salida 2" xfId="86" xr:uid="{1FE15AEF-6E0C-4DE7-BAD0-2773F69E770D}"/>
    <cellStyle name="Texto de advertencia" xfId="41" xr:uid="{00000000-0005-0000-0000-00002B000000}"/>
    <cellStyle name="Texto de advertencia 2" xfId="87" xr:uid="{D4EDC4B7-1DC9-4B11-9DC2-7B397C64279D}"/>
    <cellStyle name="Texto explicativo" xfId="42" xr:uid="{00000000-0005-0000-0000-00002C000000}"/>
    <cellStyle name="Texto explicativo 2" xfId="88" xr:uid="{3529E706-5D02-40F1-997E-4C27B9375603}"/>
    <cellStyle name="Título" xfId="43" xr:uid="{00000000-0005-0000-0000-00002D000000}"/>
    <cellStyle name="Título 1" xfId="44" xr:uid="{00000000-0005-0000-0000-00002E000000}"/>
    <cellStyle name="Título 2" xfId="45" xr:uid="{00000000-0005-0000-0000-00002F000000}"/>
    <cellStyle name="Título 2 2" xfId="90" xr:uid="{DC906ECC-3DDE-4651-8D30-F0AF6A75D5D0}"/>
    <cellStyle name="Título 3" xfId="46" xr:uid="{00000000-0005-0000-0000-000030000000}"/>
    <cellStyle name="Título 3 2" xfId="91" xr:uid="{FDD42F4D-2C68-47C4-B6FB-3735E25D8CBD}"/>
    <cellStyle name="Título 4" xfId="89" xr:uid="{2091F254-D0BC-4538-ABA1-4B56004395F8}"/>
    <cellStyle name="Total" xfId="47" xr:uid="{00000000-0005-0000-0000-000031000000}"/>
    <cellStyle name="Total 2" xfId="92" xr:uid="{4E4E019D-EB15-45D6-88BA-08EF3E9920A1}"/>
  </cellStyles>
  <dxfs count="77"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D7CDCA"/>
      <rgbColor rgb="00C1C0B9"/>
      <rgbColor rgb="0099CC00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FB7"/>
      <color rgb="FFF0EEDB"/>
      <color rgb="FFFEF4C2"/>
      <color rgb="FFFFE5E5"/>
      <color rgb="FFBDFFDB"/>
      <color rgb="FFFFFFC1"/>
      <color rgb="FFE2E3F6"/>
      <color rgb="FFB5B7D6"/>
      <color rgb="FFDEDFF5"/>
      <color rgb="FFE8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%20MIDAGRI_DEIA\MINAGRI_DEIA_1\00%20ENTREGABLES\BOLET&#205;N%20EL%20AGRO%20EN%20CIFRA\2023\12_Diciembre\C.77_ProductosTradicionales.NoTradicio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C.73"/>
      <sheetName val="OTROS"/>
      <sheetName val="Productos_Tradicionales"/>
      <sheetName val="Hoja1"/>
      <sheetName val="Hoja1 (2)"/>
      <sheetName val="ENERO_2021"/>
      <sheetName val="ENERO_2021 (2)"/>
      <sheetName val="ENERO_2021 (3)"/>
      <sheetName val="ENERO_2021 (4)"/>
      <sheetName val="MARZO_2021"/>
      <sheetName val="ABRIL_2021"/>
      <sheetName val="MAYO_2021 (3)"/>
      <sheetName val="JUNIO_2021"/>
      <sheetName val="JULIO_2021 (2)"/>
      <sheetName val="AGOSTO_2021"/>
      <sheetName val="SETIEMBRE_2021"/>
      <sheetName val="OCTUBRE_2021"/>
      <sheetName val="Noviembre 2021"/>
      <sheetName val="Diciembre_2021"/>
      <sheetName val="enero 2022"/>
      <sheetName val="febrero_2022"/>
      <sheetName val="marzo_2022"/>
      <sheetName val="abril_2022"/>
      <sheetName val="mayo_2022"/>
      <sheetName val="junio_2022"/>
      <sheetName val="julio_2023"/>
      <sheetName val="agsoto_2022"/>
      <sheetName val="setiembre_2022"/>
      <sheetName val="octubre_2022"/>
      <sheetName val="noviembre_2022"/>
      <sheetName val="diciembre 2022"/>
      <sheetName val="enero_2023"/>
      <sheetName val="febrero_2023"/>
      <sheetName val="marzo_2023"/>
      <sheetName val="abril_2023"/>
      <sheetName val="mayo_2023"/>
      <sheetName val="junio 2023"/>
      <sheetName val="julio 2023"/>
      <sheetName val="agosto_2023"/>
      <sheetName val="setiembre_2023"/>
      <sheetName val="octubre_2023"/>
      <sheetName val="noviembre_2023"/>
      <sheetName val="diciembre_2023"/>
      <sheetName val="enero_2024"/>
      <sheetName val="subpart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0806100000</v>
          </cell>
          <cell r="B2" t="str">
            <v>Uvas frescas</v>
          </cell>
        </row>
        <row r="3">
          <cell r="A3" t="str">
            <v>0804400000</v>
          </cell>
          <cell r="B3" t="str">
            <v>Paltas, frescas o secas</v>
          </cell>
        </row>
        <row r="4">
          <cell r="A4" t="str">
            <v>0804502000</v>
          </cell>
          <cell r="B4" t="str">
            <v>Mangos y mangostanes, frescos o secos</v>
          </cell>
        </row>
        <row r="5">
          <cell r="A5" t="str">
            <v>0810400000</v>
          </cell>
          <cell r="B5" t="str">
            <v>Arándanos rojos, mirtilos, frescos.</v>
          </cell>
        </row>
        <row r="6">
          <cell r="A6" t="str">
            <v>0901119000</v>
          </cell>
          <cell r="B6" t="str">
            <v>Café sin tostar, sin descafeinar</v>
          </cell>
        </row>
        <row r="7">
          <cell r="A7" t="str">
            <v>2309909000</v>
          </cell>
          <cell r="B7" t="str">
            <v>Las demás preparaciones para la alimentación de los animales</v>
          </cell>
        </row>
        <row r="8">
          <cell r="A8" t="str">
            <v>0709200000</v>
          </cell>
          <cell r="B8" t="str">
            <v>Espárragos, frescos o refrigerados</v>
          </cell>
        </row>
        <row r="9">
          <cell r="A9" t="str">
            <v>0811909100</v>
          </cell>
          <cell r="B9" t="str">
            <v>Mango, sin cocer o cocidos en agua o vapor, congelados</v>
          </cell>
        </row>
        <row r="10">
          <cell r="A10" t="str">
            <v>0810909000</v>
          </cell>
          <cell r="B10" t="str">
            <v>Demás frutas u otros frutos frescos</v>
          </cell>
        </row>
        <row r="11">
          <cell r="A11" t="str">
            <v>1801001900</v>
          </cell>
          <cell r="B11" t="str">
            <v>Los demás cacao en grano, entero o partido</v>
          </cell>
        </row>
        <row r="12">
          <cell r="A12" t="str">
            <v>0904211090</v>
          </cell>
          <cell r="B12" t="str">
            <v>Demás paprika secos, sin triturar ni pulveriza</v>
          </cell>
        </row>
        <row r="13">
          <cell r="A13" t="str">
            <v>0803901100</v>
          </cell>
          <cell r="B13" t="str">
            <v>Bananas incluidos los plátanos tipo "cavendish valery" frescos</v>
          </cell>
        </row>
        <row r="14">
          <cell r="A14" t="str">
            <v>1511100000</v>
          </cell>
          <cell r="B14" t="str">
            <v>Aceite de palma en bruto</v>
          </cell>
        </row>
        <row r="15">
          <cell r="A15" t="str">
            <v>2005600000</v>
          </cell>
          <cell r="B15" t="str">
            <v>Esparragos preparados o conservados, sin congelar</v>
          </cell>
        </row>
        <row r="16">
          <cell r="A16" t="str">
            <v>1905310000</v>
          </cell>
          <cell r="B16" t="str">
            <v>Galletas dulces (con adición de edulcorante)</v>
          </cell>
        </row>
        <row r="17">
          <cell r="A17" t="str">
            <v>0910110000</v>
          </cell>
          <cell r="B17" t="str">
            <v>Jengibre sin triturar ni pulverizar</v>
          </cell>
        </row>
        <row r="18">
          <cell r="A18" t="str">
            <v>3301130000</v>
          </cell>
          <cell r="B18" t="str">
            <v>Aceites esenciales de limón</v>
          </cell>
        </row>
        <row r="19">
          <cell r="A19" t="str">
            <v>2207100000</v>
          </cell>
          <cell r="B19" t="str">
            <v>Alcohol etílico grado alcohólico superior o igual al 80 % vol</v>
          </cell>
        </row>
        <row r="20">
          <cell r="A20" t="str">
            <v>2005991000</v>
          </cell>
          <cell r="B20" t="str">
            <v>Alcachofas (alcauciles) preparadas o conservadas, sin congelar</v>
          </cell>
        </row>
        <row r="21">
          <cell r="A21" t="str">
            <v>1008509000</v>
          </cell>
          <cell r="B21" t="str">
            <v>Los demas quinua, excepto para siembra</v>
          </cell>
        </row>
        <row r="22">
          <cell r="A22" t="str">
            <v>2001909000</v>
          </cell>
          <cell r="B22" t="str">
            <v>Los demás hortalizas, otros frutos y demás partes comestibles, preparados o conservados</v>
          </cell>
        </row>
        <row r="23">
          <cell r="A23" t="str">
            <v>1212290000</v>
          </cell>
          <cell r="B23" t="str">
            <v>Las demás algas</v>
          </cell>
        </row>
        <row r="24">
          <cell r="A24" t="str">
            <v>3203002100</v>
          </cell>
          <cell r="B24" t="str">
            <v>Carmin de cochinilla</v>
          </cell>
        </row>
        <row r="25">
          <cell r="A25" t="str">
            <v>0811909900</v>
          </cell>
          <cell r="B25" t="str">
            <v>Demás frutas u otros frutos, sin cocer o cocidos en agua o vapor, congelados</v>
          </cell>
        </row>
        <row r="26">
          <cell r="A26" t="str">
            <v>0805210000</v>
          </cell>
          <cell r="B26" t="str">
            <v>Mandarinas (incluidas las tangerinas y satsumas)</v>
          </cell>
        </row>
        <row r="27">
          <cell r="A27" t="str">
            <v>0805299000</v>
          </cell>
          <cell r="B27" t="str">
            <v>Los demas citricos</v>
          </cell>
        </row>
        <row r="28">
          <cell r="A28" t="str">
            <v>1901909000</v>
          </cell>
          <cell r="B28" t="str">
            <v>Demás preparaciones alimenticias de harina, grañones, sémola, almidón, fécula o extracto de malta, que no contengan cacao o con un contenido de cacao inferior al 40% en peso</v>
          </cell>
        </row>
        <row r="29">
          <cell r="A29" t="str">
            <v>1701999000</v>
          </cell>
          <cell r="B29" t="str">
            <v>Las demás azúcares de caña o remolacha refinados en estado sólido</v>
          </cell>
        </row>
        <row r="30">
          <cell r="A30" t="str">
            <v>1905901000</v>
          </cell>
          <cell r="B30" t="str">
            <v>Galletas saladas o aromatizadas</v>
          </cell>
        </row>
        <row r="31">
          <cell r="A31" t="str">
            <v>2009892000</v>
          </cell>
          <cell r="B31" t="str">
            <v>Jugo de maracuyá, sin fermentar y sin adición de alcohol</v>
          </cell>
        </row>
        <row r="32">
          <cell r="A32" t="str">
            <v>0811109000</v>
          </cell>
          <cell r="B32" t="str">
            <v>Demás fresas (frutillas), sin cocer o cocidos en agua o vapor, congelados</v>
          </cell>
        </row>
        <row r="33">
          <cell r="A33" t="str">
            <v>0703100000</v>
          </cell>
          <cell r="B33" t="str">
            <v>Cebollas y chalotes, frescos o refrigerados</v>
          </cell>
        </row>
        <row r="34">
          <cell r="A34" t="str">
            <v>0805502200</v>
          </cell>
          <cell r="B34" t="str">
            <v>Limón tahití (citrus latifolia), frescos o secos</v>
          </cell>
        </row>
        <row r="35">
          <cell r="A35" t="str">
            <v>1511900000</v>
          </cell>
          <cell r="B35" t="str">
            <v>Los demás aceite de palma y sus fracciones, incluso refinado</v>
          </cell>
        </row>
        <row r="36">
          <cell r="A36" t="str">
            <v>2005700000</v>
          </cell>
          <cell r="B36" t="str">
            <v>Aceitunas preparadas o conservadas, sin congelar</v>
          </cell>
        </row>
        <row r="37">
          <cell r="A37" t="str">
            <v>2005993110</v>
          </cell>
          <cell r="B37" t="str">
            <v>Pimiento piquillo preparadas o conservadas, sin congelar</v>
          </cell>
        </row>
        <row r="38">
          <cell r="A38" t="str">
            <v>1302391000</v>
          </cell>
          <cell r="B38" t="str">
            <v>Mucílagos de semilla de tara (caesalpinea spinosa)</v>
          </cell>
        </row>
        <row r="39">
          <cell r="A39" t="str">
            <v>1804001200</v>
          </cell>
          <cell r="B39" t="str">
            <v>Manteca de cacao con un índice de acidez expresado en ácido oleico superior a 1 % pero inferior o igual a 1.65 %</v>
          </cell>
        </row>
        <row r="40">
          <cell r="A40" t="str">
            <v>1209919000</v>
          </cell>
          <cell r="B40" t="str">
            <v>Las demás semillas de hortalizas</v>
          </cell>
        </row>
        <row r="41">
          <cell r="A41" t="str">
            <v>2008993000</v>
          </cell>
          <cell r="B41" t="str">
            <v>Mangos preparados o conservados de otro modo, incluso con adición de azúcar u otro edulcorante o alcohol</v>
          </cell>
        </row>
        <row r="42">
          <cell r="A42" t="str">
            <v>0402911000</v>
          </cell>
          <cell r="B42" t="str">
            <v>Leche evaporada sin azucar ni edulcorante</v>
          </cell>
        </row>
        <row r="43">
          <cell r="A43" t="str">
            <v>1806320000</v>
          </cell>
          <cell r="B43" t="str">
            <v>Chocolate y demás preparaciones alimenticias que contengan cacao, en bloques, tabletas o barras, sin rellenos</v>
          </cell>
        </row>
        <row r="44">
          <cell r="A44" t="str">
            <v>1805000000</v>
          </cell>
          <cell r="B44" t="str">
            <v>Cacao en polvo sin adición de azúcar ni otro edulcorante</v>
          </cell>
        </row>
        <row r="45">
          <cell r="A45" t="str">
            <v>1404902000</v>
          </cell>
          <cell r="B45" t="str">
            <v>Tara en polvo (caesalpinea spinosa)</v>
          </cell>
        </row>
        <row r="46">
          <cell r="A46" t="str">
            <v>2106902900</v>
          </cell>
          <cell r="B46" t="str">
            <v>Las demás preparaciones compuestas grado alcohólico inferior o igual al 0.5 % vol, para la elaboración de bebidas</v>
          </cell>
        </row>
        <row r="47">
          <cell r="A47" t="str">
            <v>2002900000</v>
          </cell>
          <cell r="B47" t="str">
            <v>Los demás tomates preparados o conservados</v>
          </cell>
        </row>
        <row r="48">
          <cell r="A48" t="str">
            <v>1209999000</v>
          </cell>
          <cell r="B48" t="str">
            <v>Los demás semillas, frutos y esporas, para siembra</v>
          </cell>
        </row>
        <row r="49">
          <cell r="A49" t="str">
            <v>0805220000</v>
          </cell>
          <cell r="B49" t="str">
            <v>Clementinas, frescas o secas</v>
          </cell>
        </row>
        <row r="50">
          <cell r="A50" t="str">
            <v>2005993120</v>
          </cell>
          <cell r="B50" t="str">
            <v>Pimiento morrón preparadas o conservadas, sin congelar</v>
          </cell>
        </row>
        <row r="51">
          <cell r="A51" t="str">
            <v>0801220000</v>
          </cell>
          <cell r="B51" t="str">
            <v>Nueces del brasil sin cascara frescas o secas</v>
          </cell>
        </row>
        <row r="52">
          <cell r="A52" t="str">
            <v>2008999000</v>
          </cell>
          <cell r="B52" t="str">
            <v xml:space="preserve">Los demás frutas, incluida las mezclas, y otros frutos y demás partes comestibles de plantas, preparados o conservados </v>
          </cell>
        </row>
        <row r="53">
          <cell r="A53" t="str">
            <v>1902190000</v>
          </cell>
          <cell r="B53" t="str">
            <v>Las demás pastas alimenticias sin cocer, rellenar ni preparar de otra forma</v>
          </cell>
        </row>
        <row r="54">
          <cell r="A54" t="str">
            <v>4407299000</v>
          </cell>
          <cell r="B54" t="str">
            <v>Las demás maderas tropicales, aserrada o desbastada longitudinalmente de espesor superior a 6 mm</v>
          </cell>
        </row>
        <row r="55">
          <cell r="A55" t="str">
            <v>0710801000</v>
          </cell>
          <cell r="B55" t="str">
            <v>Esparragos congelados</v>
          </cell>
        </row>
        <row r="56">
          <cell r="A56" t="str">
            <v>1513211000</v>
          </cell>
          <cell r="B56" t="str">
            <v>Aceite de almendra de palma en bruto</v>
          </cell>
        </row>
        <row r="57">
          <cell r="A57" t="str">
            <v>0713399100</v>
          </cell>
          <cell r="B57" t="str">
            <v>Pallares (phaseolus lunatus), excepto para siembra</v>
          </cell>
        </row>
        <row r="58">
          <cell r="A58" t="str">
            <v>2005993190</v>
          </cell>
          <cell r="B58" t="str">
            <v>Los demás pimientos de la especie annuum</v>
          </cell>
        </row>
        <row r="59">
          <cell r="A59" t="str">
            <v>1209915000</v>
          </cell>
          <cell r="B59" t="str">
            <v>Semilla de tomates (licopersicum spp.)</v>
          </cell>
        </row>
        <row r="60">
          <cell r="A60" t="str">
            <v>1106201000</v>
          </cell>
          <cell r="B60" t="str">
            <v>Harina de maca (lepidium meyenii)</v>
          </cell>
        </row>
        <row r="61">
          <cell r="A61" t="str">
            <v>2302300000</v>
          </cell>
          <cell r="B61" t="str">
            <v>Salvados, moyuelos y demas residuos del cernido, molienda u otros tratamientos de trigo</v>
          </cell>
        </row>
        <row r="62">
          <cell r="A62" t="str">
            <v>0814001000</v>
          </cell>
          <cell r="B62" t="str">
            <v>Cortezas de limón (limón sutil, limón común, limón criollo) (citrus aurantifolia)</v>
          </cell>
        </row>
        <row r="63">
          <cell r="A63" t="str">
            <v>3203001400</v>
          </cell>
          <cell r="B63" t="str">
            <v>Colorantes de origen vegetal de achiote</v>
          </cell>
        </row>
        <row r="64">
          <cell r="A64" t="str">
            <v>2103902000</v>
          </cell>
          <cell r="B64" t="str">
            <v>Condimentos y sazonadores, compuestos</v>
          </cell>
        </row>
        <row r="65">
          <cell r="A65" t="str">
            <v>0710809000</v>
          </cell>
          <cell r="B65" t="str">
            <v>Las demas hortalizas incluso silvestres</v>
          </cell>
        </row>
        <row r="66">
          <cell r="A66" t="str">
            <v>4409229090</v>
          </cell>
          <cell r="B66" t="str">
            <v>Los demás madera perfilada longitudinalmente</v>
          </cell>
        </row>
        <row r="67">
          <cell r="A67" t="str">
            <v>1806900000</v>
          </cell>
          <cell r="B67" t="str">
            <v>Los demás chocolate y demás preparaciones alimenticias que contengan cacao</v>
          </cell>
        </row>
        <row r="68">
          <cell r="A68" t="str">
            <v>2005999000</v>
          </cell>
          <cell r="B68" t="str">
            <v>Las demás hortalizas y las mezclas de hortalizas preparadas o conservadas, sin congelar</v>
          </cell>
        </row>
        <row r="69">
          <cell r="A69" t="str">
            <v>2103909000</v>
          </cell>
          <cell r="B69" t="str">
            <v>Las demás preparaciones para salsas y salsas preparadas</v>
          </cell>
        </row>
        <row r="70">
          <cell r="A70" t="str">
            <v>2106907900</v>
          </cell>
          <cell r="B70" t="str">
            <v>Los demás complementos y suplementos alimenticios</v>
          </cell>
        </row>
        <row r="71">
          <cell r="A71" t="str">
            <v>2008300000</v>
          </cell>
          <cell r="B71" t="str">
            <v>Agrios (cítricos), preparados o conservados de otro modo, incluso con adición de azúcar u otro edulcorante o alcohol</v>
          </cell>
        </row>
        <row r="72">
          <cell r="A72" t="str">
            <v>1211903000</v>
          </cell>
          <cell r="B72" t="str">
            <v>Oregano (origanum vulgare)</v>
          </cell>
        </row>
        <row r="73">
          <cell r="A73" t="str">
            <v>2104101000</v>
          </cell>
          <cell r="B73" t="str">
            <v>Preparaciones para sopas, potajes o caldos</v>
          </cell>
        </row>
        <row r="74">
          <cell r="A74" t="str">
            <v>0713319000</v>
          </cell>
          <cell r="B74" t="str">
            <v>Frijoles de las especies vigna mungo (l) hepper o vigna radiata (l) wilczek, excepto para siembra</v>
          </cell>
        </row>
        <row r="75">
          <cell r="A75" t="str">
            <v>2202100000</v>
          </cell>
          <cell r="B75" t="str">
            <v>Agua, incluidas el agua mineral y la gaseada, con adición de azúcar u otro edulcorante o aromatizada</v>
          </cell>
        </row>
        <row r="76">
          <cell r="A76" t="str">
            <v>0904221000</v>
          </cell>
          <cell r="B76" t="str">
            <v>Paprika (capsicum annuum, l.) triturados o pulverizados</v>
          </cell>
        </row>
        <row r="77">
          <cell r="A77" t="str">
            <v>1518009000</v>
          </cell>
          <cell r="B77" t="str">
            <v>Los demas grasas y aceites animales o vegetales y sus fracciones, cocidos, oxidados, deshidratados, sulfurados</v>
          </cell>
        </row>
        <row r="78">
          <cell r="A78" t="str">
            <v>1207701000</v>
          </cell>
          <cell r="B78" t="str">
            <v>Semillas de melón, para siembra</v>
          </cell>
        </row>
        <row r="79">
          <cell r="A79" t="str">
            <v>2008910000</v>
          </cell>
          <cell r="B79" t="str">
            <v>Palmitos preparados o conservados de otro modo, incluso con adición de azúcar u otro edulcorante o alcohol</v>
          </cell>
        </row>
        <row r="80">
          <cell r="A80" t="str">
            <v>2009391000</v>
          </cell>
          <cell r="B80" t="str">
            <v>Jugo de limón de la subpartida 0805.50.21, sin fermentar y sin adición de alcohol, incluso con adición de azúcar u otro edulcorante excepto de el valor brix inferior o igual a 20</v>
          </cell>
        </row>
        <row r="81">
          <cell r="A81" t="str">
            <v>1806209000</v>
          </cell>
          <cell r="B81" t="str">
            <v>Los demás chocolate y demás preparaciones alimenticias que contengan cacao, en bloques, tabletas o barras con peso superior a 2 kg o en forma líquida, pastosa o en polvo, gránulos o formas similares, en recipientes o envases inmediatos con un contenido superior a 2 kg, sin adición de azúcar, ni otros edulcorantes</v>
          </cell>
        </row>
        <row r="82">
          <cell r="A82" t="str">
            <v>1515900090</v>
          </cell>
          <cell r="B82" t="str">
            <v>Los demás grasas y aceites vegetales fijos (incluido el aceite de jojoba), y sus fracciones, incluso refinados, pero sin modificar químicamente</v>
          </cell>
        </row>
        <row r="83">
          <cell r="A83" t="str">
            <v>0703209000</v>
          </cell>
          <cell r="B83" t="str">
            <v>Los demas ajos frescos o refrigerados</v>
          </cell>
        </row>
        <row r="84">
          <cell r="A84" t="str">
            <v>1803100000</v>
          </cell>
          <cell r="B84" t="str">
            <v>Pasta de cacao sin desgrasar</v>
          </cell>
        </row>
        <row r="85">
          <cell r="A85" t="str">
            <v>0710400000</v>
          </cell>
          <cell r="B85" t="str">
            <v>Maiz dulce congelado</v>
          </cell>
        </row>
        <row r="86">
          <cell r="A86" t="str">
            <v>1904100000</v>
          </cell>
          <cell r="B86" t="str">
            <v>Productos a base de cereales obtenidos por inflado o tostado</v>
          </cell>
        </row>
        <row r="87">
          <cell r="A87" t="str">
            <v>0904219000</v>
          </cell>
          <cell r="B87" t="str">
            <v>Demás frutos de los géneros capsicum o pimenta, secos, sin triturar o pulverizar, excepto paprika (capsicum annuum, l.).</v>
          </cell>
        </row>
        <row r="88">
          <cell r="A88" t="str">
            <v>1509200000</v>
          </cell>
          <cell r="B88" t="str">
            <v>Aceite de oliva virgen extra</v>
          </cell>
        </row>
        <row r="89">
          <cell r="A89" t="str">
            <v>0712909000</v>
          </cell>
          <cell r="B89" t="str">
            <v>Demás hortalizas, mezclas de hortalizas secas</v>
          </cell>
        </row>
        <row r="90">
          <cell r="A90" t="str">
            <v>2309902000</v>
          </cell>
          <cell r="B90" t="str">
            <v>Premezclas para la alimentación de los animales</v>
          </cell>
        </row>
        <row r="91">
          <cell r="A91" t="str">
            <v>4407990000</v>
          </cell>
          <cell r="B91" t="str">
            <v>Las demás madera aserrada o desbastada longitudinalmente, de espesor superior a 6 mm</v>
          </cell>
        </row>
        <row r="92">
          <cell r="A92" t="str">
            <v>4409229020</v>
          </cell>
          <cell r="B92" t="str">
            <v>Madera moldurada perfilada longitudinalmente</v>
          </cell>
        </row>
        <row r="93">
          <cell r="A93" t="str">
            <v>0711200000</v>
          </cell>
          <cell r="B93" t="str">
            <v>Aceitunas conservadas provisionalmente, pero todavía impropias para consumo inmediato.</v>
          </cell>
        </row>
        <row r="94">
          <cell r="A94" t="str">
            <v>1806310000</v>
          </cell>
          <cell r="B94" t="str">
            <v>Chocolate y demás preparaciones alimenticias que contengan cacao, en bloques, tabletas o barras, rellenos</v>
          </cell>
        </row>
        <row r="95">
          <cell r="A95" t="str">
            <v>1703100000</v>
          </cell>
          <cell r="B95" t="str">
            <v>Melaza de caña</v>
          </cell>
        </row>
        <row r="96">
          <cell r="A96" t="str">
            <v>1207999900</v>
          </cell>
          <cell r="B96" t="str">
            <v>Demás semillas y frutos oleaginosos, excepto para siembra</v>
          </cell>
        </row>
        <row r="97">
          <cell r="A97" t="str">
            <v>0708100000</v>
          </cell>
          <cell r="B97" t="str">
            <v>Arvejas (guisantes, chicharos) (pisum sativum) frescas o refrigeradas</v>
          </cell>
        </row>
        <row r="98">
          <cell r="A98" t="str">
            <v>1804001300</v>
          </cell>
          <cell r="B98" t="str">
            <v>Manteca de cacao con un índice de acidez expresado en ácido oleico superior a 1.65 %</v>
          </cell>
        </row>
        <row r="99">
          <cell r="A99" t="str">
            <v>2208202100</v>
          </cell>
          <cell r="B99" t="str">
            <v>Pisco</v>
          </cell>
        </row>
        <row r="100">
          <cell r="A100" t="str">
            <v>1804001100</v>
          </cell>
          <cell r="B100" t="str">
            <v>Manteca de cacao con un índice de acidez expresado en ácido oleico inferior o igual a 1 %</v>
          </cell>
        </row>
        <row r="101">
          <cell r="A101" t="str">
            <v>1005903000</v>
          </cell>
          <cell r="B101" t="str">
            <v>Maíz blanco gigante</v>
          </cell>
        </row>
        <row r="102">
          <cell r="A102" t="str">
            <v>2103901000</v>
          </cell>
          <cell r="B102" t="str">
            <v>Salsa mayonesa</v>
          </cell>
        </row>
        <row r="103">
          <cell r="A103" t="str">
            <v>2008209000</v>
          </cell>
          <cell r="B103" t="str">
            <v>Demás piñas (ananás), preparados o conservados de otro modo, incluso con adición de azúcar u otro edulcorante o alcohol</v>
          </cell>
        </row>
        <row r="104">
          <cell r="A104" t="str">
            <v>1905320000</v>
          </cell>
          <cell r="B104" t="str">
            <v>Barquillos y obleas, incluso rellenos («gaufrettes», «wafers») y «waffles» («gaufres»)</v>
          </cell>
        </row>
        <row r="105">
          <cell r="A105" t="str">
            <v>0902300000</v>
          </cell>
          <cell r="B105" t="str">
            <v>Te negro (fermentado) y te parcialm.fermentado, presentados en envases de cont.&lt; =3kg</v>
          </cell>
        </row>
        <row r="106">
          <cell r="A106" t="str">
            <v>1211909099</v>
          </cell>
          <cell r="B106" t="str">
            <v>Demás plantas, partes de plantas, semillas y frutos de las especies utilizadas principalmente en perfumería, medicina o para usos insecticidas, parasiticidas o similares, incluso cortados, quebrantados o pulverizados, frescos o secos, excepto piretro, hierbaluisa, uña de gato, orégano, efedra, paja de adormidera, hoja de coca o raíces de ginseng.</v>
          </cell>
        </row>
        <row r="107">
          <cell r="A107" t="str">
            <v>1704901000</v>
          </cell>
          <cell r="B107" t="str">
            <v>Bombones, caramelos, confites y pastillas</v>
          </cell>
        </row>
        <row r="108">
          <cell r="A108" t="str">
            <v>0713359000</v>
          </cell>
          <cell r="B108" t="str">
            <v>Los demas frijoles salvajes o caupi</v>
          </cell>
        </row>
        <row r="109">
          <cell r="A109" t="str">
            <v>0603199000</v>
          </cell>
          <cell r="B109" t="str">
            <v>Los demas flores y capullos frescos cortados para ramos o adornos</v>
          </cell>
        </row>
        <row r="110">
          <cell r="A110" t="str">
            <v>1513291000</v>
          </cell>
          <cell r="B110" t="str">
            <v>Los demás aceite de almendra de palma, incluso refinados, pero sin modificar químicamente</v>
          </cell>
        </row>
        <row r="111">
          <cell r="A111" t="str">
            <v>4407220000</v>
          </cell>
          <cell r="B111" t="str">
            <v>Madera tropical virola, imbuia y balsa, aserrada o desbastada longitudinalmente de espesor superior a 6 mm</v>
          </cell>
        </row>
        <row r="112">
          <cell r="A112" t="str">
            <v>2202990000</v>
          </cell>
          <cell r="B112" t="str">
            <v>Las demás agua, incluidas el agua mineral y la gaseada, con adición de azúcar u otro edulcorante o aromatizada, y demás bebidas no alcohólicas</v>
          </cell>
        </row>
        <row r="113">
          <cell r="A113" t="str">
            <v>0904229000</v>
          </cell>
          <cell r="B113" t="str">
            <v>Los demás frutos de los géneros capsicum o pimenta triturados o pulverizados</v>
          </cell>
        </row>
        <row r="114">
          <cell r="A114" t="str">
            <v>0804100000</v>
          </cell>
          <cell r="B114" t="str">
            <v>Datiles, frescos o secos</v>
          </cell>
        </row>
        <row r="115">
          <cell r="A115" t="str">
            <v>1005909000</v>
          </cell>
          <cell r="B115" t="str">
            <v>Los demás maíces</v>
          </cell>
        </row>
        <row r="116">
          <cell r="A116" t="str">
            <v>1516200000</v>
          </cell>
          <cell r="B116" t="str">
            <v>Grasas y aceites, vegetales, y sus fracciones, parcial o totalmente hidrogenados</v>
          </cell>
        </row>
        <row r="117">
          <cell r="A117" t="str">
            <v>2203000000</v>
          </cell>
          <cell r="B117" t="str">
            <v>Cerveza de malta</v>
          </cell>
        </row>
        <row r="118">
          <cell r="A118" t="str">
            <v>0811909400</v>
          </cell>
          <cell r="B118" t="str">
            <v>Maraucyá (parchita) (passiflora edulis), sin cocer o cocidos en agua o vapor, congelados</v>
          </cell>
        </row>
        <row r="119">
          <cell r="A119" t="str">
            <v>1509400000</v>
          </cell>
          <cell r="B119" t="str">
            <v>Los demás aceites de oliva vírgenes</v>
          </cell>
        </row>
        <row r="120">
          <cell r="A120" t="str">
            <v>0601100000</v>
          </cell>
          <cell r="B120" t="str">
            <v>Bulbos, cebollas, tubérculos, raíces y bulbos tuberosos, turiones y rizomas, en reposo vegetativo</v>
          </cell>
        </row>
        <row r="121">
          <cell r="A121" t="str">
            <v>4409291000</v>
          </cell>
          <cell r="B121" t="str">
            <v>Las demás tablillas y frisos para parqués, sin ensamblar</v>
          </cell>
        </row>
        <row r="122">
          <cell r="A122" t="str">
            <v>1516100000</v>
          </cell>
          <cell r="B122" t="str">
            <v>Grasas y aceites, animales, y sus fracciones, parcial o totalmente hidrogenados</v>
          </cell>
        </row>
        <row r="123">
          <cell r="A123" t="str">
            <v>5102191000</v>
          </cell>
          <cell r="B123" t="str">
            <v>Pelo fino de alpaca o de llama (incluido el guanaco), sin cardar ni peinar</v>
          </cell>
        </row>
        <row r="124">
          <cell r="A124" t="str">
            <v>0713339900</v>
          </cell>
          <cell r="B124" t="str">
            <v>Los demas frijoles comun excepto para siembra</v>
          </cell>
        </row>
        <row r="125">
          <cell r="A125" t="str">
            <v>0713509000</v>
          </cell>
          <cell r="B125" t="str">
            <v>Habas, haba caballar y haba menor excepto para siembra</v>
          </cell>
        </row>
        <row r="126">
          <cell r="A126" t="str">
            <v>3502110000</v>
          </cell>
          <cell r="B126" t="str">
            <v>Ovoalbúmina seca</v>
          </cell>
        </row>
        <row r="127">
          <cell r="A127" t="str">
            <v>0806200000</v>
          </cell>
          <cell r="B127" t="str">
            <v>Uvas secas, incluidas las pasas</v>
          </cell>
        </row>
        <row r="128">
          <cell r="A128" t="str">
            <v>2106909000</v>
          </cell>
          <cell r="B128" t="str">
            <v>Las demás preparaciones alimenticias no expresadas ni comprendidas en otra parte</v>
          </cell>
        </row>
        <row r="129">
          <cell r="A129" t="str">
            <v>3203001500</v>
          </cell>
          <cell r="B129" t="str">
            <v>Colorantes de origen vegetal de marigold</v>
          </cell>
        </row>
        <row r="130">
          <cell r="A130" t="str">
            <v>4101200000</v>
          </cell>
          <cell r="B130" t="str">
            <v>Cueros y pieles enteros de bovino, de peso unitario inferior o igual a 8 kg para los secos, a 10 kg para los salados secos y a 16 kg para los frescos</v>
          </cell>
        </row>
        <row r="131">
          <cell r="A131" t="str">
            <v>1801002000</v>
          </cell>
          <cell r="B131" t="str">
            <v>Cacao en grano, entero o partido, tostado</v>
          </cell>
        </row>
        <row r="132">
          <cell r="A132" t="str">
            <v>1803200000</v>
          </cell>
          <cell r="B132" t="str">
            <v>Pasta de cacao desgrasada total o parcialmente</v>
          </cell>
        </row>
        <row r="133">
          <cell r="A133" t="str">
            <v>5101110000</v>
          </cell>
          <cell r="B133" t="str">
            <v>Lana esquilada, sin cardar ni peinar, sucia</v>
          </cell>
        </row>
        <row r="134">
          <cell r="A134" t="str">
            <v>1901200000</v>
          </cell>
          <cell r="B134" t="str">
            <v>Mezclas y pastas para la preparación de productos de panadería, pastelería o galletería, de la partida 19.05</v>
          </cell>
        </row>
        <row r="135">
          <cell r="A135" t="str">
            <v>2905450000</v>
          </cell>
          <cell r="B135" t="str">
            <v>Glicerol</v>
          </cell>
        </row>
        <row r="136">
          <cell r="A136" t="str">
            <v>1509300000</v>
          </cell>
          <cell r="B136" t="str">
            <v>Aceite de oliva virgen</v>
          </cell>
        </row>
        <row r="137">
          <cell r="A137" t="str">
            <v>2007999100</v>
          </cell>
          <cell r="B137" t="str">
            <v>Los demás confituras, jaleas y mermeladas, obtenidos por cocción, incluso con adición de azúcar u otro edulcorante</v>
          </cell>
        </row>
        <row r="138">
          <cell r="A138" t="str">
            <v>2106907100</v>
          </cell>
          <cell r="B138" t="str">
            <v>Complementos y suplementos alimenticios que contengan como ingrediente principal uno o más extractos vegetales, partes de plantas, semillas o frutos, incluidas las mezclas entre sí</v>
          </cell>
        </row>
        <row r="139">
          <cell r="A139" t="str">
            <v>0402991000</v>
          </cell>
          <cell r="B139" t="str">
            <v>Leche condensada</v>
          </cell>
        </row>
        <row r="140">
          <cell r="A140" t="str">
            <v>0712390000</v>
          </cell>
          <cell r="B140" t="str">
            <v>Los demas hongos y trufas secos</v>
          </cell>
        </row>
        <row r="141">
          <cell r="A141" t="str">
            <v>1302399000</v>
          </cell>
          <cell r="B141" t="str">
            <v>Los demás mucílagos y espesativos derivados de los vegetales, incluso modificados</v>
          </cell>
        </row>
        <row r="142">
          <cell r="A142" t="str">
            <v>1905909000</v>
          </cell>
          <cell r="B142" t="str">
            <v>Los demás productos de panadería, pastelería o galletería, incluso con adición de cacao</v>
          </cell>
        </row>
        <row r="143">
          <cell r="A143" t="str">
            <v>0910300000</v>
          </cell>
          <cell r="B143" t="str">
            <v>Cúrcuma</v>
          </cell>
        </row>
        <row r="144">
          <cell r="A144" t="str">
            <v>3203001900</v>
          </cell>
          <cell r="B144" t="str">
            <v>Las demás colorantes de origen vegetal</v>
          </cell>
        </row>
        <row r="145">
          <cell r="A145" t="str">
            <v>1302199900</v>
          </cell>
          <cell r="B145" t="str">
            <v>Los demás jugos y extractos vegetales</v>
          </cell>
        </row>
        <row r="146">
          <cell r="A146" t="str">
            <v>0804200000</v>
          </cell>
          <cell r="B146" t="str">
            <v>Higos, frescos o secos</v>
          </cell>
        </row>
        <row r="147">
          <cell r="A147" t="str">
            <v>0805501000</v>
          </cell>
          <cell r="B147" t="str">
            <v>Limones (citrus limon, citrus limonum) frescos o secos</v>
          </cell>
        </row>
        <row r="148">
          <cell r="A148" t="str">
            <v>4403499000</v>
          </cell>
          <cell r="B148" t="str">
            <v>Las demás, de maderas tropicales en bruto, incluso descortezada, desalburada o escuadrada</v>
          </cell>
        </row>
        <row r="149">
          <cell r="A149" t="str">
            <v>4409229010</v>
          </cell>
          <cell r="B149" t="str">
            <v>Tablillas y frisos para parqués, sin ensamblar, perfilada longitudinalmente</v>
          </cell>
        </row>
        <row r="150">
          <cell r="A150" t="str">
            <v>4409292000</v>
          </cell>
          <cell r="B150" t="str">
            <v>Las demás madera moldurada</v>
          </cell>
        </row>
        <row r="151">
          <cell r="A151" t="str">
            <v>0714209000</v>
          </cell>
          <cell r="B151" t="str">
            <v>Los demas camotes (batatas) frescos, refrigerados, congelados o secos</v>
          </cell>
        </row>
        <row r="152">
          <cell r="A152" t="str">
            <v>1202420000</v>
          </cell>
          <cell r="B152" t="str">
            <v>Maníes sin cáscara, incluso quebrantados</v>
          </cell>
        </row>
        <row r="153">
          <cell r="A153" t="str">
            <v>2106901000</v>
          </cell>
          <cell r="B153" t="str">
            <v>Polvos para la preparación de budines, cremas, helados, postres, gelatinas y similares</v>
          </cell>
        </row>
        <row r="154">
          <cell r="A154" t="str">
            <v>0813400000</v>
          </cell>
          <cell r="B154" t="str">
            <v>Las demas frutas u otros frutos secos</v>
          </cell>
        </row>
        <row r="155">
          <cell r="A155" t="str">
            <v>0713609000</v>
          </cell>
          <cell r="B155" t="str">
            <v>Arvejas (guisantes, chícharos) de palo, gandú o gandul (cajinus cajan), excepto para siembra</v>
          </cell>
        </row>
        <row r="156">
          <cell r="A156" t="str">
            <v>3101001000</v>
          </cell>
          <cell r="B156" t="str">
            <v>Guano de aves marinas</v>
          </cell>
        </row>
        <row r="157">
          <cell r="A157" t="str">
            <v>1006300000</v>
          </cell>
          <cell r="B157" t="str">
            <v>Arroz semiblanqueado o blanqueado, incluso pulido o glaseado</v>
          </cell>
        </row>
        <row r="158">
          <cell r="A158" t="str">
            <v>0406100000</v>
          </cell>
          <cell r="B158" t="str">
            <v>Queso fresco (sin madurar), incluido el del lactosuero, y el requeson</v>
          </cell>
        </row>
        <row r="159">
          <cell r="A159" t="str">
            <v>2103100000</v>
          </cell>
          <cell r="B159" t="str">
            <v>Salsa de soya</v>
          </cell>
        </row>
        <row r="160">
          <cell r="A160" t="str">
            <v>1701130000</v>
          </cell>
          <cell r="B160" t="str">
            <v>Azúcar de caña mencionado en la nota 2 de subpartida de este capítulo, sin adición de aromatizante ni colorante en estado sólido</v>
          </cell>
        </row>
        <row r="161">
          <cell r="A161" t="str">
            <v>1704909000</v>
          </cell>
          <cell r="B161" t="str">
            <v>Los demás artículos de confitería sin cacao</v>
          </cell>
        </row>
        <row r="162">
          <cell r="A162" t="str">
            <v>1902110000</v>
          </cell>
          <cell r="B162" t="str">
            <v>Pastas alimenticias sin cocer, rellenar ni preparar de otra forma, que contengan huevo</v>
          </cell>
        </row>
        <row r="163">
          <cell r="A163" t="str">
            <v>0810700000</v>
          </cell>
          <cell r="B163" t="str">
            <v>Caquis (persimonios) frescos</v>
          </cell>
        </row>
        <row r="164">
          <cell r="A164" t="str">
            <v>0511999090</v>
          </cell>
          <cell r="B164" t="str">
            <v>Animales muertos de los capítulos del 1 a 3, impropios para la alimentación humana</v>
          </cell>
        </row>
        <row r="165">
          <cell r="A165" t="str">
            <v>2208202900</v>
          </cell>
          <cell r="B165" t="str">
            <v>Los demás aguardiente de vino o de orujo de uvas (por ejemplo: «coñac», «brandys», «pisco», «singani»)</v>
          </cell>
        </row>
        <row r="166">
          <cell r="A166" t="str">
            <v>0106200000</v>
          </cell>
          <cell r="B166" t="str">
            <v>Reptiles (incluidas las serpientes y tortugas de mar)</v>
          </cell>
        </row>
        <row r="167">
          <cell r="A167" t="str">
            <v>1006400000</v>
          </cell>
          <cell r="B167" t="str">
            <v>Arroz partido</v>
          </cell>
        </row>
        <row r="168">
          <cell r="A168" t="str">
            <v>0804300000</v>
          </cell>
          <cell r="B168" t="str">
            <v>Piñas tropicales (ananas) ,frescas o secas</v>
          </cell>
        </row>
        <row r="169">
          <cell r="A169" t="str">
            <v>1005100000</v>
          </cell>
          <cell r="B169" t="str">
            <v>Maíz para siembra</v>
          </cell>
        </row>
        <row r="170">
          <cell r="A170" t="str">
            <v>2009310000</v>
          </cell>
          <cell r="B170" t="str">
            <v>Jugo de cualquier otro agrio (cítrico), sin fermentar y sin adición de alcohol, incluso con adición de azúcar u otro edulcorante, de valor brix inferior o igual a 20</v>
          </cell>
        </row>
        <row r="171">
          <cell r="A171" t="str">
            <v>0904211010</v>
          </cell>
          <cell r="B171" t="str">
            <v>Paprika en trozos o rodajas, secos sin triturar ni pulverizar</v>
          </cell>
        </row>
        <row r="172">
          <cell r="A172" t="str">
            <v>1104230000</v>
          </cell>
          <cell r="B172" t="str">
            <v>Maíz mondados, perlados, troceados o quebrantados</v>
          </cell>
        </row>
        <row r="173">
          <cell r="A173" t="str">
            <v>2208400000</v>
          </cell>
          <cell r="B173" t="str">
            <v>Ron y demás aguardientes procedentes de la destilación, previa fermentación, de productos de la caña de azúcar</v>
          </cell>
        </row>
        <row r="174">
          <cell r="A174" t="str">
            <v>0408110000</v>
          </cell>
          <cell r="B174" t="str">
            <v>Yemas de huevo secas</v>
          </cell>
        </row>
        <row r="175">
          <cell r="A175" t="str">
            <v>2005200000</v>
          </cell>
          <cell r="B175" t="str">
            <v>Papas preparadas o conservadas, sin congelar</v>
          </cell>
        </row>
        <row r="176">
          <cell r="A176" t="str">
            <v>5102199000</v>
          </cell>
          <cell r="B176" t="str">
            <v>Los demás pelo fino, sin cardar ni peinar</v>
          </cell>
        </row>
        <row r="177">
          <cell r="A177" t="str">
            <v>2009899000</v>
          </cell>
          <cell r="B177" t="str">
            <v>Los demás jugos de cualquier otra fruta o fruto u hortaliza, sin fermentar y sin adición de alcohol, incluso con adición de azúcar u otro edulcorante</v>
          </cell>
        </row>
        <row r="178">
          <cell r="A178" t="str">
            <v>0805502100</v>
          </cell>
          <cell r="B178" t="str">
            <v>Limón (limón sutil, limón común, limón criollo) (citrus aurantifolia)</v>
          </cell>
        </row>
        <row r="179">
          <cell r="A179" t="str">
            <v>1106209000</v>
          </cell>
          <cell r="B179" t="str">
            <v>Los demás harina de sagú o de las raíces o tubérculos de la partida 07.14</v>
          </cell>
        </row>
        <row r="180">
          <cell r="A180" t="str">
            <v>0910120000</v>
          </cell>
          <cell r="B180" t="str">
            <v>Jengibre triturado o pulverizado</v>
          </cell>
        </row>
        <row r="181">
          <cell r="A181" t="str">
            <v>2009900000</v>
          </cell>
          <cell r="B181" t="str">
            <v>Mezclas de jugos, sin fermentar y sin adición de alcohol, incluso con adición de azúcar u otro edulcorante</v>
          </cell>
        </row>
        <row r="182">
          <cell r="A182" t="str">
            <v>1106309000</v>
          </cell>
          <cell r="B182" t="str">
            <v>Demás harinas, sémolas y polvos de los demás productos del capítulo 8</v>
          </cell>
        </row>
        <row r="183">
          <cell r="A183" t="str">
            <v>0604900000</v>
          </cell>
          <cell r="B183" t="str">
            <v>Follaje, hojas, ramas y demás partes de plantas, sin flores ni capullos, y hierbas, musgos y líquenes, para ramos o adornos, secos, blanqueados, teñidos, impregnados o preparados de otra forma</v>
          </cell>
        </row>
        <row r="184">
          <cell r="A184" t="str">
            <v>2007999200</v>
          </cell>
          <cell r="B184" t="str">
            <v>Los demás purés y pastas, obtenidos por cocción, incluso con adición de azúcar u otro edulcorante</v>
          </cell>
        </row>
        <row r="185">
          <cell r="A185" t="str">
            <v>1101000000</v>
          </cell>
          <cell r="B185" t="str">
            <v>Harina de trigo o de morcajo (tranquillón)</v>
          </cell>
        </row>
        <row r="186">
          <cell r="A186" t="str">
            <v>0511991000</v>
          </cell>
          <cell r="B186" t="str">
            <v>Cochinilla</v>
          </cell>
        </row>
        <row r="187">
          <cell r="A187" t="str">
            <v>4409221090</v>
          </cell>
          <cell r="B187" t="str">
            <v>Los demás madera perfilada longitudinalmente, de maderas tropicales de ipé (cañahuate, ébano verde, lapacho, polvillo, roble morado, tahuari negro, tajibo)</v>
          </cell>
        </row>
        <row r="188">
          <cell r="A188" t="str">
            <v>0105120000</v>
          </cell>
          <cell r="B188" t="str">
            <v>Pavos (gallipavos) de peso inferior o igual a 185 gr</v>
          </cell>
        </row>
        <row r="189">
          <cell r="A189" t="str">
            <v>1104299000</v>
          </cell>
          <cell r="B189" t="str">
            <v>Los demas granos trabajados de los demas cereales excepto de cebada</v>
          </cell>
        </row>
        <row r="190">
          <cell r="A190" t="str">
            <v>2309109000</v>
          </cell>
          <cell r="B190" t="str">
            <v>Los demás alimentos para perros o gatos, acondicionados para la venta al por menor</v>
          </cell>
        </row>
        <row r="191">
          <cell r="A191" t="str">
            <v>0408190000</v>
          </cell>
          <cell r="B191" t="str">
            <v>Yemas de huevo frescos,cocidos en agua o vapor,moldeados,congelados,o conservados de otro modo</v>
          </cell>
        </row>
        <row r="192">
          <cell r="A192" t="str">
            <v>0709930000</v>
          </cell>
          <cell r="B192" t="str">
            <v>Calabazas (zapallos) y calabacines (cucurbita spp.) frescos o refrigerados</v>
          </cell>
        </row>
        <row r="193">
          <cell r="A193" t="str">
            <v>1005904000</v>
          </cell>
          <cell r="B193" t="str">
            <v>Maíz morado (zea mays amilacea cv morado)</v>
          </cell>
        </row>
        <row r="194">
          <cell r="A194" t="str">
            <v>0710290000</v>
          </cell>
          <cell r="B194" t="str">
            <v>Las demas hortalizas de vaina,incluso desvainadas,cocidas en agua o vapor o congelada</v>
          </cell>
        </row>
        <row r="195">
          <cell r="A195" t="str">
            <v>2004900000</v>
          </cell>
          <cell r="B195" t="str">
            <v>Las demás hortalizas y las mezclas de hortalizas preparadas o conservadas, congeladas</v>
          </cell>
        </row>
        <row r="196">
          <cell r="A196" t="str">
            <v>0408910000</v>
          </cell>
          <cell r="B196" t="str">
            <v>Huevos de ave sin cascara, secos</v>
          </cell>
        </row>
        <row r="197">
          <cell r="A197" t="str">
            <v>2009810000</v>
          </cell>
          <cell r="B197" t="str">
            <v>Jugo de arándanos agrios, trepadores o palustres (vaccinium macrocarpon, vaccinium oxycoccos); jugo de arándanos rojos o encarnados (vaccinium vitis-idaea), sin fermentar y sin adición de alcohol, incluso con adición de azúcar u otro edulcorante</v>
          </cell>
        </row>
        <row r="198">
          <cell r="A198" t="str">
            <v>2204210000</v>
          </cell>
          <cell r="B198" t="str">
            <v>Los demás vinos; mosto de uva en el que la fermentación se ha impedido o cortado añadiendo alcohol en recipientes con capacidad inferior o igual a 2 l</v>
          </cell>
        </row>
        <row r="199">
          <cell r="A199" t="str">
            <v>1008902900</v>
          </cell>
          <cell r="B199" t="str">
            <v>Los demás kiwicha</v>
          </cell>
        </row>
        <row r="200">
          <cell r="A200" t="str">
            <v>4409299000</v>
          </cell>
          <cell r="B200" t="str">
            <v>Las demás los demás madera perfilada longitudinalmente, distinta de la de coníferas</v>
          </cell>
        </row>
        <row r="201">
          <cell r="A201" t="str">
            <v>0901211000</v>
          </cell>
          <cell r="B201" t="str">
            <v>Cafe tostado, sin descafeinar, en grano</v>
          </cell>
        </row>
        <row r="202">
          <cell r="A202" t="str">
            <v>1904900000</v>
          </cell>
          <cell r="B202" t="str">
            <v>Los demás cereales (excepto el maíz) en grano o en forma de copos u otro grano trabajado (excepto la harina, grañones y sémola), precocidos o preparados de otro modo, no expresados ni comprendidos en otra parte.</v>
          </cell>
        </row>
        <row r="203">
          <cell r="A203" t="str">
            <v>2308009000</v>
          </cell>
          <cell r="B203" t="str">
            <v>Las demás materias vegetales y desperdicios vegetales, residuos y subproductos vegetales, de los tipos utilizados para la alimentación de los animales</v>
          </cell>
        </row>
        <row r="204">
          <cell r="A204" t="str">
            <v>2104102000</v>
          </cell>
          <cell r="B204" t="str">
            <v>Sopas, potajes o caldos, preparados</v>
          </cell>
        </row>
        <row r="205">
          <cell r="A205" t="str">
            <v>0710100000</v>
          </cell>
          <cell r="B205" t="str">
            <v>Papas (patatas), aunque esten cocidas en agua o vapor, congeladas</v>
          </cell>
        </row>
        <row r="206">
          <cell r="A206" t="str">
            <v>1201900000</v>
          </cell>
          <cell r="B206" t="str">
            <v>Grano de soya</v>
          </cell>
        </row>
        <row r="207">
          <cell r="A207" t="str">
            <v>0714100000</v>
          </cell>
          <cell r="B207" t="str">
            <v>Raices de yuca (mandioca) frescas,refrigeradas,congeladas o secos</v>
          </cell>
        </row>
        <row r="208">
          <cell r="A208" t="str">
            <v>2106907200</v>
          </cell>
          <cell r="B208" t="str">
            <v>Complementos y suplementos alimenticios que contengan como ingrediente principal uno o más extractos vegetales, partes de plantas, semillas o frutos, con una o más vitaminas, minerales u otras sustancias</v>
          </cell>
        </row>
        <row r="209">
          <cell r="A209" t="str">
            <v>5103100000</v>
          </cell>
          <cell r="B209" t="str">
            <v>Borras del peinado de lana o pelo fino, desperdicios</v>
          </cell>
        </row>
        <row r="210">
          <cell r="A210" t="str">
            <v>0811909300</v>
          </cell>
          <cell r="B210" t="str">
            <v>Lúcuma (lúcuma obovata), sin cocer o cocidos en agua o vapor, congelados</v>
          </cell>
        </row>
        <row r="211">
          <cell r="A211" t="str">
            <v>0805100000</v>
          </cell>
          <cell r="B211" t="str">
            <v>Naranjas , frescas o secas</v>
          </cell>
        </row>
        <row r="212">
          <cell r="A212" t="str">
            <v>1211909091</v>
          </cell>
          <cell r="B212" t="str">
            <v>Demás plantas, partes de plantas, semillas y frutos de las especies utilizadas principalmente en perfumería, medicina o para usos insecticidas, parasiticidas o similares, incluso cortados, quebrantados o pulverizados, refrigerados o congelados, excepto piretro, hierbaluisa, uña de gato, orégano, efedra, paja de adormidera, hoja de coca o raíces de ginseng</v>
          </cell>
        </row>
        <row r="213">
          <cell r="A213" t="str">
            <v>3203001600</v>
          </cell>
          <cell r="B213" t="str">
            <v>Colorantes de origen vegetal de maíz morado</v>
          </cell>
        </row>
        <row r="214">
          <cell r="A214" t="str">
            <v>0805291000</v>
          </cell>
          <cell r="B214" t="str">
            <v>Tangelo (citrus reticulata x citrus paradisis)</v>
          </cell>
        </row>
        <row r="215">
          <cell r="A215" t="str">
            <v>1302130000</v>
          </cell>
          <cell r="B215" t="str">
            <v>Jugos y extractos vegetales de lúpulo</v>
          </cell>
        </row>
        <row r="216">
          <cell r="A216" t="str">
            <v>1102909000</v>
          </cell>
          <cell r="B216" t="str">
            <v>Las demás harinas de cereales</v>
          </cell>
        </row>
        <row r="217">
          <cell r="A217" t="str">
            <v>0401200000</v>
          </cell>
          <cell r="B217" t="str">
            <v>Leche y nata (crema), sin concentrar, sin adición de azúcar ni otro edulcorante con un contenido de materias grasas superior al 1 % pero inferior o igual al 6 %, en peso</v>
          </cell>
        </row>
        <row r="218">
          <cell r="A218" t="str">
            <v>0713399900</v>
          </cell>
          <cell r="B218" t="str">
            <v>Demás frijoles (fréjoles, porotos, alubias, judías) (vigna spp., phaseolus spp.), excepto para siembra</v>
          </cell>
        </row>
        <row r="219">
          <cell r="A219" t="str">
            <v>0709600000</v>
          </cell>
          <cell r="B219" t="str">
            <v>Frutos de los generos capsicum o pimenta, frescos o refrigerados</v>
          </cell>
        </row>
        <row r="220">
          <cell r="A220" t="str">
            <v>1901902000</v>
          </cell>
          <cell r="B220" t="str">
            <v>Manjar blanco o dulce de leche</v>
          </cell>
        </row>
        <row r="221">
          <cell r="A221" t="str">
            <v>2401201000</v>
          </cell>
          <cell r="B221" t="str">
            <v>Tabaco negro total o parcialmente desvenado o desnervado</v>
          </cell>
        </row>
        <row r="222">
          <cell r="A222" t="str">
            <v>1211300000</v>
          </cell>
          <cell r="B222" t="str">
            <v>Hojas de coca</v>
          </cell>
        </row>
        <row r="223">
          <cell r="A223" t="str">
            <v>0811101000</v>
          </cell>
          <cell r="B223" t="str">
            <v>Fresas (frutillas) sin coser o cocidas en agua o vapor, congelados, con adición de azúcar u otro edulcorante</v>
          </cell>
        </row>
        <row r="224">
          <cell r="A224" t="str">
            <v>1212999000</v>
          </cell>
          <cell r="B224" t="str">
            <v>Los demás productos vegetales (incluidas las raíces de achicoria sin tostar de la variedad cichorium intybus sativum) empleados principalmente en la alimentación humana, no expresados ni comprendidos en otras partidas.</v>
          </cell>
        </row>
        <row r="225">
          <cell r="A225" t="str">
            <v>1905400000</v>
          </cell>
          <cell r="B225" t="str">
            <v>Pan tostado y productos similares tostados</v>
          </cell>
        </row>
        <row r="226">
          <cell r="A226" t="str">
            <v>0713339200</v>
          </cell>
          <cell r="B226" t="str">
            <v>Frijol canario excepto para siembra</v>
          </cell>
        </row>
        <row r="227">
          <cell r="A227" t="str">
            <v>2005800000</v>
          </cell>
          <cell r="B227" t="str">
            <v>Maiz dulce (zea mays var. saccharata), sin congelar</v>
          </cell>
        </row>
        <row r="228">
          <cell r="A228" t="str">
            <v>1211905000</v>
          </cell>
          <cell r="B228" t="str">
            <v>Uña de gato (uncaria tomentosa)</v>
          </cell>
        </row>
        <row r="229">
          <cell r="A229" t="str">
            <v>0604200000</v>
          </cell>
          <cell r="B229" t="str">
            <v>Follaje, hojas, ramas y demás partes de plantas, sin flores ni capullos, y hierbas, musgos y líquenes, para ramos o adornos, frescos, blanqueados, teñidos, impregnados o preparados de otra forma</v>
          </cell>
        </row>
        <row r="230">
          <cell r="A230" t="str">
            <v>1404909090</v>
          </cell>
          <cell r="B230" t="str">
            <v>Los demás productos vegetales no expresados ni comprendidos en otra parte</v>
          </cell>
        </row>
        <row r="231">
          <cell r="A231" t="str">
            <v>1208900000</v>
          </cell>
          <cell r="B231" t="str">
            <v>Demas harina de semillas o de frutos oleaginosos, excepto la harina de mostaza</v>
          </cell>
        </row>
        <row r="232">
          <cell r="A232" t="str">
            <v>2103200000</v>
          </cell>
          <cell r="B232" t="str">
            <v>Kétchup y demás salsas de tomate</v>
          </cell>
        </row>
        <row r="233">
          <cell r="A233" t="str">
            <v>4408900000</v>
          </cell>
          <cell r="B233" t="str">
            <v>Las demás hojas para chapado, para contrachapado, aserradas longitudinalmente, cortadas o desenrolladas, de espesor inferior o igual a 6 mm</v>
          </cell>
        </row>
        <row r="234">
          <cell r="A234" t="str">
            <v>0802990000</v>
          </cell>
          <cell r="B234" t="str">
            <v>Los demás frutos de cáscara frescos o secos</v>
          </cell>
        </row>
        <row r="235">
          <cell r="A235" t="str">
            <v>2401101000</v>
          </cell>
          <cell r="B235" t="str">
            <v>Tabaco negro sin desnevar o desnervar</v>
          </cell>
        </row>
        <row r="236">
          <cell r="A236" t="str">
            <v>4403990000</v>
          </cell>
          <cell r="B236" t="str">
            <v>Demas maderas en bruto, incluso descortezada, desalburada o escuadrada</v>
          </cell>
        </row>
        <row r="237">
          <cell r="A237" t="str">
            <v>2201900010</v>
          </cell>
          <cell r="B237" t="str">
            <v>Agua sin gasear</v>
          </cell>
        </row>
        <row r="238">
          <cell r="A238" t="str">
            <v>1209991000</v>
          </cell>
          <cell r="B238" t="str">
            <v>Semillas de árboles frutales o forestales</v>
          </cell>
        </row>
        <row r="239">
          <cell r="A239" t="str">
            <v>0705190000</v>
          </cell>
          <cell r="B239" t="str">
            <v>Las demas lechugas, frescas o refrigeradas</v>
          </cell>
        </row>
        <row r="240">
          <cell r="A240" t="str">
            <v>2009110000</v>
          </cell>
          <cell r="B240" t="str">
            <v>Jugo de naranja congelado, sin fermentar y sin adición de alcohol, incluso con adición de azúcar u otro edulcorante</v>
          </cell>
        </row>
        <row r="241">
          <cell r="A241" t="str">
            <v>0713909000</v>
          </cell>
          <cell r="B241" t="str">
            <v>Demas hortalizas de vainas secas desvainadas,mondadas o partidas excepto para siembra</v>
          </cell>
        </row>
        <row r="242">
          <cell r="A242" t="str">
            <v>0810901000</v>
          </cell>
          <cell r="B242" t="str">
            <v>Granadilla, «maracuyá» (parchita) y demás frutas de la pasión (passiflora spp), frescas.</v>
          </cell>
        </row>
        <row r="243">
          <cell r="A243" t="str">
            <v>2105009000</v>
          </cell>
          <cell r="B243" t="str">
            <v>Los demás helados, incluso con cacao</v>
          </cell>
        </row>
        <row r="244">
          <cell r="A244" t="str">
            <v>1704109000</v>
          </cell>
          <cell r="B244" t="str">
            <v>Los demás chicles y demás gomas de mascar, recubiertos de azúcar</v>
          </cell>
        </row>
        <row r="245">
          <cell r="A245" t="str">
            <v>5201002000</v>
          </cell>
          <cell r="B245" t="str">
            <v>Algodón sin cardar ni peinar de longitud de fibra superior a 28.57 mm pero inferior o igual a 34.92 mm</v>
          </cell>
        </row>
        <row r="246">
          <cell r="A246" t="str">
            <v>1802000000</v>
          </cell>
          <cell r="B246" t="str">
            <v>Cascara, peliculas y demas residuos de cacao</v>
          </cell>
        </row>
        <row r="247">
          <cell r="A247" t="str">
            <v>1106302000</v>
          </cell>
          <cell r="B247" t="str">
            <v>Harina de lúcuma</v>
          </cell>
        </row>
        <row r="248">
          <cell r="A248" t="str">
            <v>5201001000</v>
          </cell>
          <cell r="B248" t="str">
            <v>Algodón sin cardar ni peinar de longitud de fibra superior a 34.92 mm</v>
          </cell>
        </row>
        <row r="249">
          <cell r="A249" t="str">
            <v>1704101000</v>
          </cell>
          <cell r="B249" t="str">
            <v>Chicles y demás gomas de mascar, recubiertos de azúcar</v>
          </cell>
        </row>
        <row r="250">
          <cell r="A250" t="str">
            <v>2008199000</v>
          </cell>
          <cell r="B250" t="str">
            <v>Los demás frutos de cáscara, incluidas las mezclas, preparados o conservados</v>
          </cell>
        </row>
        <row r="251">
          <cell r="A251" t="str">
            <v>0807110000</v>
          </cell>
          <cell r="B251" t="str">
            <v>Sandias frescas</v>
          </cell>
        </row>
        <row r="252">
          <cell r="A252" t="str">
            <v>2301109000</v>
          </cell>
          <cell r="B252" t="str">
            <v>Los demás harina, polvo y «pellets», de carne o despojos, impropios para la alimentación humana</v>
          </cell>
        </row>
        <row r="253">
          <cell r="A253" t="str">
            <v>1104120000</v>
          </cell>
          <cell r="B253" t="str">
            <v>Granos aplastados o en copos de avena</v>
          </cell>
        </row>
        <row r="254">
          <cell r="A254" t="str">
            <v>0801210000</v>
          </cell>
          <cell r="B254" t="str">
            <v>Nueces del brasil con cascara, frescas o secas</v>
          </cell>
        </row>
        <row r="255">
          <cell r="A255" t="str">
            <v>1902300000</v>
          </cell>
          <cell r="B255" t="str">
            <v>Las demás pastas alimenticias incluso cocidas o rellenas (de carne u otras sustancias) o preparadas de otra forma, tales como espaguetis, fideos, macarrones, tallarines, lasañas, ñoquis, ravioles, canelones; cuscús, incluso preparado</v>
          </cell>
        </row>
        <row r="256">
          <cell r="A256" t="str">
            <v>0712310000</v>
          </cell>
          <cell r="B256" t="str">
            <v>Hongos del genero agaricus secos</v>
          </cell>
        </row>
        <row r="257">
          <cell r="A257" t="str">
            <v>0803901200</v>
          </cell>
          <cell r="B257" t="str">
            <v>Bocadillo (manzanito, orito) (musa acuminata)</v>
          </cell>
        </row>
        <row r="258">
          <cell r="A258" t="str">
            <v>1701140000</v>
          </cell>
          <cell r="B258" t="str">
            <v>Los demás azúcares de caña sin adición de aromatizante ni colorante en estado sólido</v>
          </cell>
        </row>
        <row r="259">
          <cell r="A259" t="str">
            <v>2106907300</v>
          </cell>
          <cell r="B259" t="str">
            <v>Complementos y suplementos alimenticios que contengan como ingrediente principal una o más vitaminas con uno o más minerales</v>
          </cell>
        </row>
        <row r="260">
          <cell r="A260" t="str">
            <v>4102210000</v>
          </cell>
          <cell r="B260" t="str">
            <v>Cueros y pieles de ovino, en bruto sin lana (depilados) piquelados</v>
          </cell>
        </row>
        <row r="261">
          <cell r="A261" t="str">
            <v>1517900000</v>
          </cell>
          <cell r="B261" t="str">
            <v>Las demás margarinas; mezclas o preparaciones alimenticias de grasas o aceites, animales o vegetales, o de fracciones de diferentes grasas o aceites, de este capítulo, excepto las grasas y aceites alimenticios y sus fracciones, de la partida 15.16.</v>
          </cell>
        </row>
        <row r="262">
          <cell r="A262" t="str">
            <v>1102200000</v>
          </cell>
          <cell r="B262" t="str">
            <v>Harina de maíz</v>
          </cell>
        </row>
        <row r="263">
          <cell r="A263" t="str">
            <v>2102109000</v>
          </cell>
          <cell r="B263" t="str">
            <v>Las demás levadura de cultivo vivas</v>
          </cell>
        </row>
        <row r="264">
          <cell r="A264" t="str">
            <v>2006000000</v>
          </cell>
          <cell r="B264" t="str">
            <v>Hortalizas, frutas u otros frutos o sus cortezas y demás partes de plantas, confitados con azúcar</v>
          </cell>
        </row>
        <row r="265">
          <cell r="A265" t="str">
            <v>3101009000</v>
          </cell>
          <cell r="B265" t="str">
            <v>Los demas abonos de origen animal o vegetal, incluso mezclados entre si o trataod quimicamente</v>
          </cell>
        </row>
        <row r="266">
          <cell r="A266" t="str">
            <v>5202990000</v>
          </cell>
          <cell r="B266" t="str">
            <v>Los demás desperdicios de algodón</v>
          </cell>
        </row>
        <row r="267">
          <cell r="A267" t="str">
            <v>0708200000</v>
          </cell>
          <cell r="B267" t="str">
            <v>Frijoles (fréjoles, porotos, alubias, judías) (vigna spp, phaseolus spp), frescas o refrigeradas</v>
          </cell>
        </row>
        <row r="268">
          <cell r="A268" t="str">
            <v>0810905000</v>
          </cell>
          <cell r="B268" t="str">
            <v>Uchuvas (aguaymanto, uvillas) (physalis peruviana), frescas</v>
          </cell>
        </row>
        <row r="269">
          <cell r="A269" t="str">
            <v>0714901000</v>
          </cell>
          <cell r="B269" t="str">
            <v>Maca (lepidium meyenii) frescos, refrigerados, congelados o seco</v>
          </cell>
        </row>
        <row r="270">
          <cell r="A270" t="str">
            <v>0811909600</v>
          </cell>
          <cell r="B270" t="str">
            <v>Papaya, sin cocer o cocidos en agua o vapor, congelados</v>
          </cell>
        </row>
        <row r="271">
          <cell r="A271" t="str">
            <v>1209914000</v>
          </cell>
          <cell r="B271" t="str">
            <v>Semilla de lechuga (lactuca sativa)</v>
          </cell>
        </row>
        <row r="272">
          <cell r="A272" t="str">
            <v>2008119000</v>
          </cell>
          <cell r="B272" t="str">
            <v>Los demás maníes</v>
          </cell>
        </row>
        <row r="273">
          <cell r="A273" t="str">
            <v>0803902000</v>
          </cell>
          <cell r="B273" t="str">
            <v>Los demas bananas o platanos secos</v>
          </cell>
        </row>
        <row r="274">
          <cell r="A274" t="str">
            <v>4101500000</v>
          </cell>
          <cell r="B274" t="str">
            <v>Cueros y pieles en bruto, de bovino o de equino enteros, de peso unitario superior a 16 kg</v>
          </cell>
        </row>
        <row r="275">
          <cell r="A275" t="str">
            <v>1404901000</v>
          </cell>
          <cell r="B275" t="str">
            <v>Achiote en polvo (onoto, bija)</v>
          </cell>
        </row>
        <row r="276">
          <cell r="A276" t="str">
            <v>0714909000</v>
          </cell>
          <cell r="B276" t="str">
            <v>Arrurruz o salep, aguaturmas (patacas), y raíces y tubérculos similares ricos en fécula o inulina, frescos, refrigerados, congelados o secos, incluso troceados o en “pellets”; médula de sagú.</v>
          </cell>
        </row>
        <row r="277">
          <cell r="A277" t="str">
            <v>2106902100</v>
          </cell>
          <cell r="B277" t="str">
            <v>Preparaciones compuestas cuyo grado alcohólico volumétrico sea inferior o igual al 0.5 % vol, para la elaboración de bebidas, presentadas en envases acondicionados para la venta al por menor</v>
          </cell>
        </row>
        <row r="278">
          <cell r="A278" t="str">
            <v>2201100011</v>
          </cell>
          <cell r="B278" t="str">
            <v>Agua mineral natural, incluso gaseada</v>
          </cell>
        </row>
        <row r="279">
          <cell r="A279" t="str">
            <v>2008702000</v>
          </cell>
          <cell r="B279" t="str">
            <v>Duraznos (melocotones), incluidos los griñones y nectarinas preparados o conservados en agua con adición de azúcar u otro edulcorante, incluido el jarabe</v>
          </cell>
        </row>
        <row r="280">
          <cell r="A280" t="str">
            <v>2209000000</v>
          </cell>
          <cell r="B280" t="str">
            <v>Vinagre y sucedáneos del vinagre obtenidos a partir del ácido acético</v>
          </cell>
        </row>
        <row r="281">
          <cell r="A281" t="str">
            <v>4408399000</v>
          </cell>
          <cell r="B281" t="str">
            <v>Las demás hojas para chapado, para contrachapado de maderas tropicales, de espesor inferior o igual a 6 mm</v>
          </cell>
        </row>
        <row r="282">
          <cell r="A282" t="str">
            <v>0602909000</v>
          </cell>
          <cell r="B282" t="str">
            <v>Demás plantas vivas (incluidas sus raíces) y esquejes; micelios</v>
          </cell>
        </row>
        <row r="283">
          <cell r="A283" t="str">
            <v>0810904000</v>
          </cell>
          <cell r="B283" t="str">
            <v>Pitahayas (cereus spp), frescas.</v>
          </cell>
        </row>
        <row r="284">
          <cell r="A284" t="str">
            <v>2308001000</v>
          </cell>
          <cell r="B284" t="str">
            <v>Harina de flores de marigold</v>
          </cell>
        </row>
        <row r="285">
          <cell r="A285" t="str">
            <v>2208600000</v>
          </cell>
          <cell r="B285" t="str">
            <v>Vodka</v>
          </cell>
        </row>
        <row r="286">
          <cell r="A286" t="str">
            <v>2104200000</v>
          </cell>
          <cell r="B286" t="str">
            <v>Preparaciones alimenticias compuestas homogeneizadas</v>
          </cell>
        </row>
        <row r="287">
          <cell r="A287" t="str">
            <v>1302320000</v>
          </cell>
          <cell r="B287" t="str">
            <v>Mucilagos y espesativos de la algarroba o de su semilla o de las semillas de guar, incluso modificadas</v>
          </cell>
        </row>
        <row r="288">
          <cell r="A288" t="str">
            <v>0803102000</v>
          </cell>
          <cell r="B288" t="str">
            <v>Plátano «plantains», secos</v>
          </cell>
        </row>
        <row r="289">
          <cell r="A289" t="str">
            <v>2106102000</v>
          </cell>
          <cell r="B289" t="str">
            <v>Sustancias proteicas texturadas</v>
          </cell>
        </row>
        <row r="290">
          <cell r="A290" t="str">
            <v>0713329000</v>
          </cell>
          <cell r="B290" t="str">
            <v>Frijol adzuki (phaseolus o vigna angularis) excepto para siembra</v>
          </cell>
        </row>
        <row r="291">
          <cell r="A291" t="str">
            <v>3301299000</v>
          </cell>
          <cell r="B291" t="str">
            <v>Los demas aceites esenciales, excepto de agrios.</v>
          </cell>
        </row>
        <row r="292">
          <cell r="A292" t="str">
            <v>1702909000</v>
          </cell>
          <cell r="B292" t="str">
            <v>Los demás azúcares, incluido el azúcar invertido y demás azúcares y jarabes de azúcar, con un contenido de fructosa sobre producto seco de 50% en peso</v>
          </cell>
        </row>
        <row r="293">
          <cell r="A293" t="str">
            <v>0701900000</v>
          </cell>
          <cell r="B293" t="str">
            <v>Demás papas (patatas) frescas o refrigeradas; excepto para siembra</v>
          </cell>
        </row>
        <row r="294">
          <cell r="A294" t="str">
            <v>0402999000</v>
          </cell>
          <cell r="B294" t="str">
            <v>Las demas leches y natas, concentradas o con adicion de azucar u otro edulcorante</v>
          </cell>
        </row>
        <row r="295">
          <cell r="A295" t="str">
            <v>0711900000</v>
          </cell>
          <cell r="B295" t="str">
            <v>Demas hortalizas; mezclas de hortalizas, conservadas provisionalmente, impropias para el consumo inmediato</v>
          </cell>
        </row>
        <row r="296">
          <cell r="A296" t="str">
            <v>1702301000</v>
          </cell>
          <cell r="B296" t="str">
            <v>Glucosa y jarabe de glucosa, con un contenido de glucosa superior o igual al 99 % en peso, expresado en glucosa anhidra, calculado sobre producto seco (dextrosa)</v>
          </cell>
        </row>
        <row r="297">
          <cell r="A297" t="str">
            <v>2309102000</v>
          </cell>
          <cell r="B297" t="str">
            <v>Alimentos para perros o gatos, acondicionados para la venta al por menor, presentados en envases herméticos, con un contenido de humedad superior o igual al 60 %</v>
          </cell>
        </row>
        <row r="298">
          <cell r="A298" t="str">
            <v>2306100000</v>
          </cell>
          <cell r="B298" t="str">
            <v>Tortas y demás residuos sólidos de la extracción de grasas o aceites de semillas de algodón</v>
          </cell>
        </row>
        <row r="299">
          <cell r="A299" t="str">
            <v>2009710000</v>
          </cell>
          <cell r="B299" t="str">
            <v>Jugo de manzana, sin fermentar y sin adición de alcohol, incluso con adición de azúcar u otro edulcorante, de valor brix inferior o igual a 20</v>
          </cell>
        </row>
        <row r="300">
          <cell r="A300" t="str">
            <v>2206000000</v>
          </cell>
          <cell r="B300" t="str">
            <v>Las demás bebidas fermentadas (por ejemplo: sidra, perada, aguamiel, sake); mezclas de bebidas fermentadas y mezclas de bebidas fermentadas y bebidas no alcohólicas, no expresadas ni comprendidas en otra parte</v>
          </cell>
        </row>
        <row r="301">
          <cell r="A301" t="str">
            <v>2403190000</v>
          </cell>
          <cell r="B301" t="str">
            <v>Los demás tabaco para fumar, incluso con sucedáneos de tabaco en cualquier proporción</v>
          </cell>
        </row>
        <row r="302">
          <cell r="A302" t="str">
            <v>1106301000</v>
          </cell>
          <cell r="B302" t="str">
            <v>Harina de bananas o plátanos</v>
          </cell>
        </row>
        <row r="303">
          <cell r="A303" t="str">
            <v>1005901200</v>
          </cell>
          <cell r="B303" t="str">
            <v>Maíz duro blanco</v>
          </cell>
        </row>
        <row r="304">
          <cell r="A304" t="str">
            <v>2208709000</v>
          </cell>
          <cell r="B304" t="str">
            <v>Los demás licores</v>
          </cell>
        </row>
        <row r="305">
          <cell r="A305" t="str">
            <v>5101190000</v>
          </cell>
          <cell r="B305" t="str">
            <v>Las demás lana sin cardar ni peinar, sucia</v>
          </cell>
        </row>
        <row r="306">
          <cell r="A306" t="str">
            <v>0711510000</v>
          </cell>
          <cell r="B306" t="str">
            <v>Hongos del género agaricus conservadas provisionalmente, pero todavía impropias para consumo inmediato.</v>
          </cell>
        </row>
        <row r="307">
          <cell r="A307" t="str">
            <v>1108130000</v>
          </cell>
          <cell r="B307" t="str">
            <v>Fecula de papa (patata)</v>
          </cell>
        </row>
        <row r="308">
          <cell r="A308" t="str">
            <v>2201100030</v>
          </cell>
          <cell r="B308" t="str">
            <v>Agua gaseada</v>
          </cell>
        </row>
        <row r="309">
          <cell r="A309" t="str">
            <v>0709999000</v>
          </cell>
          <cell r="B309" t="str">
            <v>Demás hortalizas frescas o refrigeradas</v>
          </cell>
        </row>
        <row r="310">
          <cell r="A310" t="str">
            <v>3201100000</v>
          </cell>
          <cell r="B310" t="str">
            <v>Extracto de quebracho</v>
          </cell>
        </row>
        <row r="311">
          <cell r="A311" t="str">
            <v>4407291000</v>
          </cell>
          <cell r="B311" t="str">
            <v>Madera tropical de ipé (cañahuate, ébano verde, lapacho, polvillo, roble morado, tahuari negro, tajibo) (tabebuia spp.), aserrada o desbastada longitudinalmente de espesor superior a 6 mm</v>
          </cell>
        </row>
        <row r="312">
          <cell r="A312" t="str">
            <v>0811909200</v>
          </cell>
          <cell r="B312" t="str">
            <v>Camu camu (myrciaria dubia), sin cocer o cocidos en agua o vapor, congelados</v>
          </cell>
        </row>
        <row r="313">
          <cell r="A313" t="str">
            <v>0101299000</v>
          </cell>
          <cell r="B313" t="str">
            <v>Equino vivo para trabajo</v>
          </cell>
        </row>
        <row r="314">
          <cell r="A314" t="str">
            <v>1005902000</v>
          </cell>
          <cell r="B314" t="str">
            <v>Maíz reventon (zea mays convar. microsperma o zea mays var. everta)</v>
          </cell>
        </row>
        <row r="315">
          <cell r="A315" t="str">
            <v>1902200000</v>
          </cell>
          <cell r="B315" t="str">
            <v>Pastas alimenticias rellenas, incluso cocidas o preparadas de otra forma</v>
          </cell>
        </row>
        <row r="316">
          <cell r="A316" t="str">
            <v>1103130000</v>
          </cell>
          <cell r="B316" t="str">
            <v>Grañones y semola de maiz</v>
          </cell>
        </row>
        <row r="317">
          <cell r="A317" t="str">
            <v>0906110000</v>
          </cell>
          <cell r="B317" t="str">
            <v>Canela (cinnamomum zeylanicum blume), sin triturar ni pulverizar</v>
          </cell>
        </row>
        <row r="318">
          <cell r="A318" t="str">
            <v>3203001700</v>
          </cell>
          <cell r="B318" t="str">
            <v>Colorantes de origen vegetal de cúrcuma</v>
          </cell>
        </row>
        <row r="319">
          <cell r="A319" t="str">
            <v>3301909000</v>
          </cell>
          <cell r="B319" t="str">
            <v>Los demás aceites esenciales</v>
          </cell>
        </row>
        <row r="320">
          <cell r="A320" t="str">
            <v>1103110000</v>
          </cell>
          <cell r="B320" t="str">
            <v>Grañones y semola de trigo</v>
          </cell>
        </row>
        <row r="321">
          <cell r="A321" t="str">
            <v>1214900000</v>
          </cell>
          <cell r="B321" t="str">
            <v>Los demás nabos forrajeros, remolachas forrajeras, raíces forrajeras, heno, trébol, esparceta, coles forrajeras, altramuces, vezas y productos forrajeros similares, incluso en «pellets»</v>
          </cell>
        </row>
        <row r="322">
          <cell r="A322" t="str">
            <v>1702904000</v>
          </cell>
          <cell r="B322" t="str">
            <v>Los demás jarabes, con un contenido de fructosa sobre producto seco de 50% en peso</v>
          </cell>
        </row>
        <row r="323">
          <cell r="A323" t="str">
            <v>0403200010</v>
          </cell>
          <cell r="B323" t="str">
            <v>Yogur aromatizados o con frutas u otros frutos o cacao, incluso con adición de azúcar u otro edulcorante</v>
          </cell>
        </row>
        <row r="324">
          <cell r="A324" t="str">
            <v>0504002000</v>
          </cell>
          <cell r="B324" t="str">
            <v>Tripas de animales, excepto de pescados, enteros o en trozos, frescos, refrigerados, congelados, salados o en salmuera, secos o ahumados.</v>
          </cell>
        </row>
        <row r="325">
          <cell r="A325" t="str">
            <v>0801119000</v>
          </cell>
          <cell r="B325" t="str">
            <v>Los demas cocos secos</v>
          </cell>
        </row>
        <row r="326">
          <cell r="A326" t="str">
            <v>0910999000</v>
          </cell>
          <cell r="B326" t="str">
            <v>Demás especias; excepto hojas de laurel</v>
          </cell>
        </row>
        <row r="327">
          <cell r="A327" t="str">
            <v>1502109010</v>
          </cell>
          <cell r="B327" t="str">
            <v>Sebo de animales de las especies bovina, ovina o caprina, en rama</v>
          </cell>
        </row>
        <row r="328">
          <cell r="A328" t="str">
            <v>0710900000</v>
          </cell>
          <cell r="B328" t="str">
            <v>Mezclas de hortalizas congeladas</v>
          </cell>
        </row>
        <row r="329">
          <cell r="A329" t="str">
            <v>2102300000</v>
          </cell>
          <cell r="B329" t="str">
            <v>Polvos preparados para esponjar masas</v>
          </cell>
        </row>
        <row r="330">
          <cell r="A330" t="str">
            <v>0709991000</v>
          </cell>
          <cell r="B330" t="str">
            <v>Maíz dulce (zea mays var. saccharata) frescos o refrigerados</v>
          </cell>
        </row>
        <row r="331">
          <cell r="A331" t="str">
            <v>1806100000</v>
          </cell>
          <cell r="B331" t="str">
            <v>Cacao en polvo con adición de azúcar u otro edulcorante</v>
          </cell>
        </row>
        <row r="332">
          <cell r="A332" t="str">
            <v>3203002900</v>
          </cell>
          <cell r="B332" t="str">
            <v>Las demas colorantes de origen animal</v>
          </cell>
        </row>
        <row r="333">
          <cell r="A333" t="str">
            <v>0712200000</v>
          </cell>
          <cell r="B333" t="str">
            <v>Cebollas secas, cortadas en trozos o rodajas, o trituradas, o pulverizadas, sin otra preparacion</v>
          </cell>
        </row>
        <row r="334">
          <cell r="A334" t="str">
            <v>1001991000</v>
          </cell>
          <cell r="B334" t="str">
            <v>Trigo s/m</v>
          </cell>
        </row>
        <row r="335">
          <cell r="A335" t="str">
            <v>1104291000</v>
          </cell>
          <cell r="B335" t="str">
            <v>Cebada mondados, perlados, troceados o quebrantados</v>
          </cell>
        </row>
        <row r="336">
          <cell r="A336" t="str">
            <v>2201100012</v>
          </cell>
          <cell r="B336" t="str">
            <v>Agua mineral artificial, incluso gaseada</v>
          </cell>
        </row>
        <row r="337">
          <cell r="A337" t="str">
            <v>1602500000</v>
          </cell>
          <cell r="B337" t="str">
            <v>Preparaciones y conservas de la especie bovina</v>
          </cell>
        </row>
        <row r="338">
          <cell r="A338" t="str">
            <v>2001901000</v>
          </cell>
          <cell r="B338" t="str">
            <v>Aceitunas preparados o conservados en vinagre o en ácido acético</v>
          </cell>
        </row>
        <row r="339">
          <cell r="A339" t="str">
            <v>0602200000</v>
          </cell>
          <cell r="B339" t="str">
            <v>Arboles, arbustos y matas, de frutas o de otros frutos comestibles, incluso injertados</v>
          </cell>
        </row>
        <row r="340">
          <cell r="A340" t="str">
            <v>1003900000</v>
          </cell>
          <cell r="B340" t="str">
            <v>Las demás cebada</v>
          </cell>
        </row>
        <row r="341">
          <cell r="A341" t="str">
            <v>1105100000</v>
          </cell>
          <cell r="B341" t="str">
            <v>Harina, semola y polvo de papa</v>
          </cell>
        </row>
        <row r="342">
          <cell r="A342" t="str">
            <v>0909610000</v>
          </cell>
          <cell r="B342" t="str">
            <v>Semillas de anís, badiana, alcaravea o hinojo; bayas de enebro, sin triturar ni pulverizar</v>
          </cell>
        </row>
        <row r="343">
          <cell r="A343" t="str">
            <v>0814009000</v>
          </cell>
          <cell r="B343" t="str">
            <v>Demás cortezas de agrios (cítricos), melones o sandías, frescas, congeladas, secas o presentadas en agua salada, sulfurosa o adicionada de otras sustancias para su conservación provisional.</v>
          </cell>
        </row>
        <row r="344">
          <cell r="A344" t="str">
            <v>1804002000</v>
          </cell>
          <cell r="B344" t="str">
            <v>Grasa y aceite de cacao</v>
          </cell>
        </row>
        <row r="345">
          <cell r="A345" t="str">
            <v>0902100000</v>
          </cell>
          <cell r="B345" t="str">
            <v>Te verde (sin fermentar) presentado en envases inmediatos con un contenido &lt;= 3 kg</v>
          </cell>
        </row>
        <row r="346">
          <cell r="A346" t="str">
            <v>0702000000</v>
          </cell>
          <cell r="B346" t="str">
            <v>Tomates frescos o refrigerados.</v>
          </cell>
        </row>
        <row r="347">
          <cell r="A347" t="str">
            <v>5203000000</v>
          </cell>
          <cell r="B347" t="str">
            <v>Algodón cardado o peinado</v>
          </cell>
        </row>
        <row r="348">
          <cell r="A348" t="str">
            <v>0810902000</v>
          </cell>
          <cell r="B348" t="str">
            <v>Chirimoya, guanábana y demás anonas (annona spp), frescas.</v>
          </cell>
        </row>
        <row r="349">
          <cell r="A349" t="str">
            <v>1207991000</v>
          </cell>
          <cell r="B349" t="str">
            <v>Demás semillas y frutos oleaginosos para siembra</v>
          </cell>
        </row>
        <row r="350">
          <cell r="A350" t="str">
            <v>0901212000</v>
          </cell>
          <cell r="B350" t="str">
            <v>Cafe tostado, sin descafeinar, molido</v>
          </cell>
        </row>
        <row r="351">
          <cell r="A351" t="str">
            <v>3505100000</v>
          </cell>
          <cell r="B351" t="str">
            <v>Dextrina y demás almidones y féculas modificados</v>
          </cell>
        </row>
        <row r="352">
          <cell r="A352" t="str">
            <v>1302191900</v>
          </cell>
          <cell r="B352" t="str">
            <v>Los demás extractos de uña de gato</v>
          </cell>
        </row>
        <row r="353">
          <cell r="A353" t="str">
            <v>1901109900</v>
          </cell>
          <cell r="B353" t="str">
            <v>Las demás preparaciones para la alimentación de lactantes o niños de corta edad, acondicionadas para la venta al por menor, a base de harina, sémola, almidón, fécula o extracto de malta</v>
          </cell>
        </row>
        <row r="354">
          <cell r="A354" t="str">
            <v>4407210000</v>
          </cell>
          <cell r="B354" t="str">
            <v>Madera tropical mahogany (swietenia spp.) aserrada o desbastada longitudinalmente de espesor superior a 6 mm</v>
          </cell>
        </row>
        <row r="355">
          <cell r="A355" t="str">
            <v>0407900000</v>
          </cell>
          <cell r="B355" t="str">
            <v>Los demás huevos de ave</v>
          </cell>
        </row>
        <row r="356">
          <cell r="A356" t="str">
            <v>0713339100</v>
          </cell>
          <cell r="B356" t="str">
            <v>Frijol negro excepto para siembra</v>
          </cell>
        </row>
        <row r="357">
          <cell r="A357" t="str">
            <v>1211906000</v>
          </cell>
          <cell r="B357" t="str">
            <v>Hierbaluisa (cymbopogon citratus)</v>
          </cell>
        </row>
        <row r="358">
          <cell r="A358" t="str">
            <v>0510001000</v>
          </cell>
          <cell r="B358" t="str">
            <v>Bilis, incluso desecada; glándulas y demás sustancias de origen animal utilizadas para la preparación de productos farmacéuticos, frescas, refrigeradas, congeladas o conservadas provisionalmente de otra forma</v>
          </cell>
        </row>
        <row r="359">
          <cell r="A359" t="str">
            <v>0106110000</v>
          </cell>
          <cell r="B359" t="str">
            <v>Primates</v>
          </cell>
        </row>
        <row r="360">
          <cell r="A360" t="str">
            <v>1008909900</v>
          </cell>
          <cell r="B360" t="str">
            <v>Los demas cereales</v>
          </cell>
        </row>
        <row r="361">
          <cell r="A361" t="str">
            <v>2402100000</v>
          </cell>
          <cell r="B361" t="str">
            <v>Cigarros (puros) (incluso despuntados) y cigarritos (puritos), que contengan tabaco</v>
          </cell>
        </row>
        <row r="362">
          <cell r="A362" t="str">
            <v>1106100000</v>
          </cell>
          <cell r="B362" t="str">
            <v>Harina, semola, y polvo de las hortalizas de la partida 07.13</v>
          </cell>
        </row>
        <row r="363">
          <cell r="A363" t="str">
            <v>2005590000</v>
          </cell>
          <cell r="B363" t="str">
            <v>Los demas frijoles preparados o conservados, sin congelar</v>
          </cell>
        </row>
        <row r="364">
          <cell r="A364" t="str">
            <v>4407119000</v>
          </cell>
          <cell r="B364" t="str">
            <v>Las demás madera de pino aserrada o desbastada longitudinalmente, de espesor superior a 6 mm</v>
          </cell>
        </row>
        <row r="365">
          <cell r="A365" t="str">
            <v>1204009000</v>
          </cell>
          <cell r="B365" t="str">
            <v>Las demás semillas de lino, incluso quebrantadas</v>
          </cell>
        </row>
        <row r="366">
          <cell r="A366" t="str">
            <v>4409221020</v>
          </cell>
          <cell r="B366" t="str">
            <v>Madera moldurada, perfilada longitudinalmente de maderas tropicales, de ipé (cañahuate, ébano verde, lapacho, polvillo, roble morado, tahuari negro, tajibo)</v>
          </cell>
        </row>
        <row r="367">
          <cell r="A367" t="str">
            <v>1207999100</v>
          </cell>
          <cell r="B367" t="str">
            <v>Semilla de karité, excepto para siembra</v>
          </cell>
        </row>
        <row r="368">
          <cell r="A368" t="str">
            <v>1515500000</v>
          </cell>
          <cell r="B368" t="str">
            <v>Aceite de sésamo (ajonjolí) y sus fracciones</v>
          </cell>
        </row>
        <row r="369">
          <cell r="A369" t="str">
            <v>2106906900</v>
          </cell>
          <cell r="B369" t="str">
            <v>Las demás preparaciones edulcorantes</v>
          </cell>
        </row>
        <row r="370">
          <cell r="A370" t="str">
            <v>0106900000</v>
          </cell>
          <cell r="B370" t="str">
            <v>Los demas animales vivos</v>
          </cell>
        </row>
        <row r="371">
          <cell r="A371" t="str">
            <v>2106907400</v>
          </cell>
          <cell r="B371" t="str">
            <v>Complementos y suplementos alimenticios que contengan como ingrediente principal una o más vitaminas</v>
          </cell>
        </row>
        <row r="372">
          <cell r="A372" t="str">
            <v>2101120000</v>
          </cell>
          <cell r="B372" t="str">
            <v>Preparaciones a base de extractos, esencias o concentrados o a base de café</v>
          </cell>
        </row>
        <row r="373">
          <cell r="A373" t="str">
            <v>2009500000</v>
          </cell>
          <cell r="B373" t="str">
            <v>Jugo de tomate, sin fermentar y sin adición de alcohol, incluso con adición de azúcar u otro edulcorante</v>
          </cell>
        </row>
        <row r="374">
          <cell r="A374" t="str">
            <v>1301909090</v>
          </cell>
          <cell r="B374" t="str">
            <v>Los demás gomas, resinas, gomorresinas y oleorresinas (por ejemplo: bálsamos), naturales</v>
          </cell>
        </row>
        <row r="375">
          <cell r="A375" t="str">
            <v>0901900000</v>
          </cell>
          <cell r="B375" t="str">
            <v>Los demas cafes; cascara y cascarilla de cafe; sucedaneos del cafe que contengan café en cualquier proporción</v>
          </cell>
        </row>
        <row r="376">
          <cell r="A376" t="str">
            <v>1202410000</v>
          </cell>
          <cell r="B376" t="str">
            <v>Manies con cascara, excepto para siembra</v>
          </cell>
        </row>
        <row r="377">
          <cell r="A377" t="str">
            <v>2009190000</v>
          </cell>
          <cell r="B377" t="str">
            <v>Demás jugos de naranja, sin fermentar y sin adición de alcohol, incluso con adición de azúcar u otro edulcorante</v>
          </cell>
        </row>
        <row r="378">
          <cell r="A378" t="str">
            <v>0910910000</v>
          </cell>
          <cell r="B378" t="str">
            <v>Mezclas previstas en la nota 1 b) de este capítulo</v>
          </cell>
        </row>
        <row r="379">
          <cell r="A379" t="str">
            <v>1209994000</v>
          </cell>
          <cell r="B379" t="str">
            <v>Semillas de achiote (onoto, bija)</v>
          </cell>
        </row>
        <row r="380">
          <cell r="A380" t="str">
            <v>0713409000</v>
          </cell>
          <cell r="B380" t="str">
            <v>Lentejas excepto para la siembra</v>
          </cell>
        </row>
        <row r="381">
          <cell r="A381" t="str">
            <v>1104190000</v>
          </cell>
          <cell r="B381" t="str">
            <v>Granos aplastados o en copos de los demas cereales</v>
          </cell>
        </row>
        <row r="382">
          <cell r="A382" t="str">
            <v>1206001000</v>
          </cell>
          <cell r="B382" t="str">
            <v>Semillas de girasol, incluso quebrantadas, para siembra</v>
          </cell>
        </row>
        <row r="383">
          <cell r="A383" t="str">
            <v>1210100000</v>
          </cell>
          <cell r="B383" t="str">
            <v>Conos de lupulo sin triturar ni moler ni en "pellets"</v>
          </cell>
        </row>
        <row r="384">
          <cell r="A384" t="str">
            <v>1702110000</v>
          </cell>
          <cell r="B384" t="str">
            <v>Lactosa y jarabe de lactosa, con un contenido de lactosa superior o igual al 99 % en peso, expresado en lactosa anhidra, calculado sobre producto seco</v>
          </cell>
        </row>
        <row r="385">
          <cell r="A385" t="str">
            <v>1702200000</v>
          </cell>
          <cell r="B385" t="str">
            <v>Azucar y jarabe de arce ("maple")</v>
          </cell>
        </row>
        <row r="386">
          <cell r="A386" t="str">
            <v>2208300000</v>
          </cell>
          <cell r="B386" t="str">
            <v>Whisky</v>
          </cell>
        </row>
        <row r="387">
          <cell r="A387" t="str">
            <v>3824600000</v>
          </cell>
          <cell r="B387" t="str">
            <v>Sorbitol, excepto el de la subpartida no. 2905.44.00</v>
          </cell>
        </row>
        <row r="388">
          <cell r="A388" t="str">
            <v>1904200000</v>
          </cell>
          <cell r="B388" t="str">
            <v>Preparaciones alimenticias obtenidas con copos de cereales sin tostar o con mezclas de copos de cereales sin tostar y copos de cereales tostados o cereales inflados</v>
          </cell>
        </row>
        <row r="389">
          <cell r="A389" t="str">
            <v>1005901100</v>
          </cell>
          <cell r="B389" t="str">
            <v>Maíz duro amarillo</v>
          </cell>
        </row>
        <row r="390">
          <cell r="A390" t="str">
            <v>1507901000</v>
          </cell>
          <cell r="B390" t="str">
            <v>Aceite de soya con adición de sustancias desnaturalizantes en una proporción inferior o igual al 1 %</v>
          </cell>
        </row>
        <row r="391">
          <cell r="A391" t="str">
            <v>0106190000</v>
          </cell>
          <cell r="B391" t="str">
            <v>Los demas mamiferos</v>
          </cell>
        </row>
        <row r="392">
          <cell r="A392" t="str">
            <v>1212920000</v>
          </cell>
          <cell r="B392" t="str">
            <v>Algarrobas frescas , refrigeradas , congeladas o secas</v>
          </cell>
        </row>
        <row r="393">
          <cell r="A393" t="str">
            <v>0709920000</v>
          </cell>
          <cell r="B393" t="str">
            <v>Aceitunas frescas o refrigeradas</v>
          </cell>
        </row>
        <row r="394">
          <cell r="A394" t="str">
            <v>1209911000</v>
          </cell>
          <cell r="B394" t="str">
            <v>Semilla de cebollas, puerros (poros), ajos y del género allium</v>
          </cell>
        </row>
        <row r="395">
          <cell r="A395" t="str">
            <v>2008800000</v>
          </cell>
          <cell r="B395" t="str">
            <v>Fresas (frutillas) preparados o conservados de otro modo, incluso con adición de azúcar u otro edulcorante o alcohol</v>
          </cell>
        </row>
        <row r="396">
          <cell r="A396" t="str">
            <v>2106905000</v>
          </cell>
          <cell r="B396" t="str">
            <v>Mejoradores de panificación</v>
          </cell>
        </row>
        <row r="397">
          <cell r="A397" t="str">
            <v>1207409000</v>
          </cell>
          <cell r="B397" t="str">
            <v>Semilla de sésamo (ajonjolí), excepto para siembra</v>
          </cell>
        </row>
        <row r="398">
          <cell r="A398" t="str">
            <v>3203001200</v>
          </cell>
          <cell r="B398" t="str">
            <v>Colorantes de origen vegetal de clorofilas</v>
          </cell>
        </row>
        <row r="399">
          <cell r="A399" t="str">
            <v>4404200000</v>
          </cell>
          <cell r="B399" t="str">
            <v>Flejes de madera distinta de la de coníferas</v>
          </cell>
        </row>
        <row r="400">
          <cell r="A400" t="str">
            <v>0407219000</v>
          </cell>
          <cell r="B400" t="str">
            <v>Los demás huevos frescos de gallinas (con cáscara)</v>
          </cell>
        </row>
        <row r="401">
          <cell r="A401" t="str">
            <v>3301902000</v>
          </cell>
          <cell r="B401" t="str">
            <v>Oleorresinas de extraccion</v>
          </cell>
        </row>
        <row r="402">
          <cell r="A402" t="str">
            <v>0709910000</v>
          </cell>
          <cell r="B402" t="str">
            <v>Alcachofas (alcauciles) frescas o refrigeradas</v>
          </cell>
        </row>
        <row r="403">
          <cell r="A403" t="str">
            <v>1212991000</v>
          </cell>
          <cell r="B403" t="str">
            <v>Estevia (stevia) (stevia rebaudiana) frescas , refrigeradas , congeladas o secas</v>
          </cell>
        </row>
        <row r="404">
          <cell r="A404" t="str">
            <v>2009120000</v>
          </cell>
          <cell r="B404" t="str">
            <v>Jugo de naranja sin congelar, de valor brix inferior o igual a 20, sin fermentar y sin adición de alcohol, incluso con adición de azúcar u otro edulcorante</v>
          </cell>
        </row>
        <row r="405">
          <cell r="A405" t="str">
            <v>0811909500</v>
          </cell>
          <cell r="B405" t="str">
            <v>Guanábana (annona muricata), sin cocer o cocidos en agua o vapor, congelados</v>
          </cell>
        </row>
        <row r="406">
          <cell r="A406" t="str">
            <v>0602901000</v>
          </cell>
          <cell r="B406" t="str">
            <v>Orquideas, incluidos sus esquejes enraizados</v>
          </cell>
        </row>
        <row r="407">
          <cell r="A407" t="str">
            <v>0905100000</v>
          </cell>
          <cell r="B407" t="str">
            <v>Vainilla, sin triturar ni pulverizar</v>
          </cell>
        </row>
        <row r="408">
          <cell r="A408" t="str">
            <v>0206900000</v>
          </cell>
          <cell r="B408" t="str">
            <v>Los demas despojos comestibles, congelados</v>
          </cell>
        </row>
        <row r="409">
          <cell r="A409" t="str">
            <v>1212210000</v>
          </cell>
          <cell r="B409" t="str">
            <v>Algas aptas para la alimentaciën humana</v>
          </cell>
        </row>
        <row r="410">
          <cell r="A410" t="str">
            <v>1005901900</v>
          </cell>
          <cell r="B410" t="str">
            <v>Los demás maíz duro</v>
          </cell>
        </row>
        <row r="411">
          <cell r="A411" t="str">
            <v>1209290000</v>
          </cell>
          <cell r="B411" t="str">
            <v>Las demás semillas forrajeras para siembra</v>
          </cell>
        </row>
        <row r="412">
          <cell r="A412" t="str">
            <v>1515900010</v>
          </cell>
          <cell r="B412" t="str">
            <v>Aceite de tung y sus fracciones</v>
          </cell>
        </row>
        <row r="413">
          <cell r="A413" t="str">
            <v>0207140021</v>
          </cell>
          <cell r="B413" t="str">
            <v>Cuartos traseros sin deshuesar de aves de la especie gallus domesticus</v>
          </cell>
        </row>
        <row r="414">
          <cell r="A414" t="str">
            <v>0910991000</v>
          </cell>
          <cell r="B414" t="str">
            <v>Hojas de laurel</v>
          </cell>
        </row>
        <row r="415">
          <cell r="A415" t="str">
            <v>1109000000</v>
          </cell>
          <cell r="B415" t="str">
            <v>Gluten de trigo, incluso seco.</v>
          </cell>
        </row>
        <row r="416">
          <cell r="A416" t="str">
            <v>2003900000</v>
          </cell>
          <cell r="B416" t="str">
            <v>Los demás hongos y trufas, preparados o conservados</v>
          </cell>
        </row>
        <row r="417">
          <cell r="A417" t="str">
            <v>0603110000</v>
          </cell>
          <cell r="B417" t="str">
            <v>Rosas frescas cortadas para ramos o adornos</v>
          </cell>
        </row>
        <row r="418">
          <cell r="A418" t="str">
            <v>1210200000</v>
          </cell>
          <cell r="B418" t="str">
            <v>Conos de lupulo triturados, molidos o en "pellets"; lupulino</v>
          </cell>
        </row>
        <row r="419">
          <cell r="A419" t="str">
            <v>2208902000</v>
          </cell>
          <cell r="B419" t="str">
            <v>Aguardiente de agaves (tequila y similares)</v>
          </cell>
        </row>
        <row r="420">
          <cell r="A420" t="str">
            <v>0909320000</v>
          </cell>
          <cell r="B420" t="str">
            <v>Semillas de comino, trituradas o pulverizadas</v>
          </cell>
        </row>
        <row r="421">
          <cell r="A421" t="str">
            <v>0809300000</v>
          </cell>
          <cell r="B421" t="str">
            <v>Duraznos (melocotones), incluidos los grinones y nectarinas, frescos</v>
          </cell>
        </row>
        <row r="422">
          <cell r="A422" t="str">
            <v>0603191000</v>
          </cell>
          <cell r="B422" t="str">
            <v>Gypsophila (lluvia, ilusion) (gypsophilia paniculata l)</v>
          </cell>
        </row>
        <row r="423">
          <cell r="A423" t="str">
            <v>0904120000</v>
          </cell>
          <cell r="B423" t="str">
            <v>Pimienta triturada o pulverizada</v>
          </cell>
        </row>
        <row r="424">
          <cell r="A424" t="str">
            <v>1107200000</v>
          </cell>
          <cell r="B424" t="str">
            <v>Malta tostada</v>
          </cell>
        </row>
        <row r="425">
          <cell r="A425" t="str">
            <v>0405100000</v>
          </cell>
          <cell r="B425" t="str">
            <v>Mantequilla (manteca)</v>
          </cell>
        </row>
        <row r="426">
          <cell r="A426" t="str">
            <v>0603900000</v>
          </cell>
          <cell r="B426" t="str">
            <v>Flores y capullos,cortados para ramos o adornos,secos,blanqueados,teñidos,impregnados o prep. de otra forma</v>
          </cell>
        </row>
        <row r="427">
          <cell r="A427" t="str">
            <v>0403200090</v>
          </cell>
          <cell r="B427" t="str">
            <v>Los demás yogur</v>
          </cell>
        </row>
        <row r="428">
          <cell r="A428" t="str">
            <v>0805400000</v>
          </cell>
          <cell r="B428" t="str">
            <v>Toronjas y pomelos, frescos o secos</v>
          </cell>
        </row>
        <row r="429">
          <cell r="A429" t="str">
            <v>2204100000</v>
          </cell>
          <cell r="B429" t="str">
            <v>Vino espumoso</v>
          </cell>
        </row>
        <row r="430">
          <cell r="A430" t="str">
            <v>1507909000</v>
          </cell>
          <cell r="B430" t="str">
            <v>Los demás aceite de soya y sus fracciones, incluso refinado, pero sin modificar químicamente</v>
          </cell>
        </row>
        <row r="431">
          <cell r="A431" t="str">
            <v>3503001000</v>
          </cell>
          <cell r="B431" t="str">
            <v>Gelatinas y sus derivados</v>
          </cell>
        </row>
        <row r="432">
          <cell r="A432" t="str">
            <v>2002100000</v>
          </cell>
          <cell r="B432" t="str">
            <v>Tomates enteros o en trozos, preparados o conservados</v>
          </cell>
        </row>
        <row r="433">
          <cell r="A433" t="str">
            <v>2007911000</v>
          </cell>
          <cell r="B433" t="str">
            <v>Preparaciones homogeneizadas de confituras, jaleas y mermeladas de frutos agrios, obtenidos por cocción, incluso con adición de azúcar u otro edulcorante</v>
          </cell>
        </row>
        <row r="434">
          <cell r="A434" t="str">
            <v>0208900010</v>
          </cell>
          <cell r="B434" t="str">
            <v>Carne de cuy (cobayo, conejillo de indias) (cavia porcellus)</v>
          </cell>
        </row>
        <row r="435">
          <cell r="A435" t="str">
            <v>0709510000</v>
          </cell>
          <cell r="B435" t="str">
            <v>Hongos del género agaricus, frescos o refrigerados</v>
          </cell>
        </row>
        <row r="436">
          <cell r="A436" t="str">
            <v>0905200000</v>
          </cell>
          <cell r="B436" t="str">
            <v>Vainilla, triturada o pulverizada</v>
          </cell>
        </row>
        <row r="437">
          <cell r="A437" t="str">
            <v>2001100000</v>
          </cell>
          <cell r="B437" t="str">
            <v>Pepinos y pepinillos preparados o conservados en vinagre o en ácido acético</v>
          </cell>
        </row>
        <row r="438">
          <cell r="A438" t="str">
            <v>2106101900</v>
          </cell>
          <cell r="B438" t="str">
            <v>Los demás concentrados de proteínas y sustancias proteicas texturadas</v>
          </cell>
        </row>
        <row r="439">
          <cell r="A439" t="str">
            <v>1103190000</v>
          </cell>
          <cell r="B439" t="str">
            <v>Grañones y semola de los demas cereales</v>
          </cell>
        </row>
        <row r="440">
          <cell r="A440" t="str">
            <v>1208100000</v>
          </cell>
          <cell r="B440" t="str">
            <v>Harina de habas (porotos, frijoles, frejoles) de soya</v>
          </cell>
        </row>
        <row r="441">
          <cell r="A441" t="str">
            <v>1702902000</v>
          </cell>
          <cell r="B441" t="str">
            <v>Azucar y melaza caramelizados</v>
          </cell>
        </row>
        <row r="442">
          <cell r="A442" t="str">
            <v>0712901000</v>
          </cell>
          <cell r="B442" t="str">
            <v>Ajos secos</v>
          </cell>
        </row>
        <row r="443">
          <cell r="A443" t="str">
            <v>2208500000</v>
          </cell>
          <cell r="B443" t="str">
            <v>Gin y ginebra</v>
          </cell>
        </row>
        <row r="444">
          <cell r="A444" t="str">
            <v>2103302000</v>
          </cell>
          <cell r="B444" t="str">
            <v>Mostaza preparada</v>
          </cell>
        </row>
        <row r="445">
          <cell r="A445" t="str">
            <v>0807190000</v>
          </cell>
          <cell r="B445" t="str">
            <v>Melones frescos</v>
          </cell>
        </row>
        <row r="446">
          <cell r="A446" t="str">
            <v>0909620000</v>
          </cell>
          <cell r="B446" t="str">
            <v>Semillas de anís, badiana, alcaravea o hinojo; bayas de enebro, trituradas o pulverizadas</v>
          </cell>
        </row>
        <row r="447">
          <cell r="A447" t="str">
            <v>0810200000</v>
          </cell>
          <cell r="B447" t="str">
            <v>Frambuesas, zarzamoras, moras y moras-frambuesa, frescas</v>
          </cell>
        </row>
        <row r="448">
          <cell r="A448" t="str">
            <v>0404109000</v>
          </cell>
          <cell r="B448" t="str">
            <v>Los demás lactosueros aunque estén modificado, incluso concentrados o con adición de azúcar u otro edulcorante</v>
          </cell>
        </row>
        <row r="449">
          <cell r="A449" t="str">
            <v>1302199100</v>
          </cell>
          <cell r="B449" t="str">
            <v>Demás jugos y extractos vegetales, presentados o acondicionados para la venta al por menor</v>
          </cell>
        </row>
        <row r="450">
          <cell r="A450" t="str">
            <v>0902400000</v>
          </cell>
          <cell r="B450" t="str">
            <v>Te negro (fermentado) y te parcialmente fermentado, presentados de otra forma</v>
          </cell>
        </row>
        <row r="451">
          <cell r="A451" t="str">
            <v>0708900000</v>
          </cell>
          <cell r="B451" t="str">
            <v>Demás hortalizas de vaina, aunque estén desvainadas, frescas o refrigeradas</v>
          </cell>
        </row>
        <row r="452">
          <cell r="A452" t="str">
            <v>1302191100</v>
          </cell>
          <cell r="B452" t="str">
            <v>Los demas extractos de uña de gato presentado o acondicionado para la venta al por menor</v>
          </cell>
        </row>
        <row r="453">
          <cell r="A453" t="str">
            <v>1513110000</v>
          </cell>
          <cell r="B453" t="str">
            <v>Aceite de coco en bruto</v>
          </cell>
        </row>
        <row r="454">
          <cell r="A454" t="str">
            <v>0810500000</v>
          </cell>
          <cell r="B454" t="str">
            <v>Kiwis frescos</v>
          </cell>
        </row>
        <row r="455">
          <cell r="A455" t="str">
            <v>0713209000</v>
          </cell>
          <cell r="B455" t="str">
            <v>Los demas garbanzos, exepto para la siembra</v>
          </cell>
        </row>
        <row r="456">
          <cell r="A456" t="str">
            <v>0907200000</v>
          </cell>
          <cell r="B456" t="str">
            <v>Clavos triturados o pulverizados</v>
          </cell>
        </row>
        <row r="457">
          <cell r="A457" t="str">
            <v>0902200000</v>
          </cell>
          <cell r="B457" t="str">
            <v>Te verde (sin fermentar) presentado de otra forma</v>
          </cell>
        </row>
        <row r="458">
          <cell r="A458" t="str">
            <v>0801190000</v>
          </cell>
          <cell r="B458" t="str">
            <v>Cocos frescos</v>
          </cell>
        </row>
        <row r="459">
          <cell r="A459" t="str">
            <v>1102901000</v>
          </cell>
          <cell r="B459" t="str">
            <v>Las demás harina de centeno</v>
          </cell>
        </row>
        <row r="460">
          <cell r="A460" t="str">
            <v>0407110000</v>
          </cell>
          <cell r="B460" t="str">
            <v>Huevos fecundados para incuvacion de gallina de la especie gallus</v>
          </cell>
        </row>
        <row r="461">
          <cell r="A461" t="str">
            <v>0602101000</v>
          </cell>
          <cell r="B461" t="str">
            <v>Orquideas</v>
          </cell>
        </row>
        <row r="462">
          <cell r="A462" t="str">
            <v>5002000000</v>
          </cell>
          <cell r="B462" t="str">
            <v>Seda cruda (sin torcer)</v>
          </cell>
        </row>
        <row r="463">
          <cell r="A463" t="str">
            <v>1401100000</v>
          </cell>
          <cell r="B463" t="str">
            <v>Bambú utilizadas principalmente en cestería o espartería</v>
          </cell>
        </row>
        <row r="464">
          <cell r="A464" t="str">
            <v>2306900000</v>
          </cell>
          <cell r="B464" t="str">
            <v>Los demás tortas y demás residuos sólidos de la extracción de grasas o aceites vegetales</v>
          </cell>
        </row>
        <row r="465">
          <cell r="A465" t="str">
            <v>0906200000</v>
          </cell>
          <cell r="B465" t="str">
            <v>Canela y flores de canelero, trituradas o pulverizadas</v>
          </cell>
        </row>
        <row r="466">
          <cell r="A466" t="str">
            <v>0904110000</v>
          </cell>
          <cell r="B466" t="str">
            <v>Pimienta sin triturar ni pulverizar</v>
          </cell>
        </row>
        <row r="467">
          <cell r="A467" t="str">
            <v>1517100000</v>
          </cell>
          <cell r="B467" t="str">
            <v>Margarina, excepto la margarina líquida</v>
          </cell>
        </row>
        <row r="468">
          <cell r="A468" t="str">
            <v>1404909010</v>
          </cell>
          <cell r="B468" t="str">
            <v>Materias vegetales de las especies utilizadas principalmente para relleno incluso en capas aun con soporte de otras materias</v>
          </cell>
        </row>
        <row r="469">
          <cell r="A469" t="str">
            <v>1209912000</v>
          </cell>
          <cell r="B469" t="str">
            <v>Semilla de coles, coliflores, brócoli, nabos y del género brassica</v>
          </cell>
        </row>
        <row r="470">
          <cell r="A470" t="str">
            <v>0903000000</v>
          </cell>
          <cell r="B470" t="str">
            <v>Yerba mate.</v>
          </cell>
        </row>
        <row r="471">
          <cell r="A471" t="str">
            <v>1513190000</v>
          </cell>
          <cell r="B471" t="str">
            <v>Los demás aceite de coco y sus fracciones, incluso refinados, pero sin modificar químicamente</v>
          </cell>
        </row>
        <row r="472">
          <cell r="A472" t="str">
            <v>0406400000</v>
          </cell>
          <cell r="B472" t="str">
            <v>Queso de pasta azul</v>
          </cell>
        </row>
        <row r="473">
          <cell r="A473" t="str">
            <v>1702309000</v>
          </cell>
          <cell r="B473" t="str">
            <v>Las demas glucosa y jarabe de glucosa, sin fructosa o c/fructosa, seco menor o igual 20% en peso</v>
          </cell>
        </row>
        <row r="474">
          <cell r="A474" t="str">
            <v>2102200000</v>
          </cell>
          <cell r="B474" t="str">
            <v>Levaduras muertas; los demás microorganismos monocelulares muertos</v>
          </cell>
        </row>
        <row r="475">
          <cell r="A475" t="str">
            <v>2208701000</v>
          </cell>
          <cell r="B475" t="str">
            <v>Licores de anís</v>
          </cell>
        </row>
        <row r="476">
          <cell r="A476" t="str">
            <v>1207709000</v>
          </cell>
          <cell r="B476" t="str">
            <v>Semillas de melón, excepto para siembra</v>
          </cell>
        </row>
        <row r="477">
          <cell r="A477" t="str">
            <v>2008970000</v>
          </cell>
          <cell r="B477" t="str">
            <v>Mezclas de frutas u otros frutos preparados o conservados de otro modo, incluso con adición de azúcar u otro edulcorante o alcohol</v>
          </cell>
        </row>
        <row r="478">
          <cell r="A478" t="str">
            <v>0709300000</v>
          </cell>
          <cell r="B478" t="str">
            <v>Berenjenas, frescos o refrigerados</v>
          </cell>
        </row>
        <row r="479">
          <cell r="A479" t="str">
            <v>4401220000</v>
          </cell>
          <cell r="B479" t="str">
            <v>Madera en plaquitas o partículas distinta de la de coníferas</v>
          </cell>
        </row>
        <row r="480">
          <cell r="A480" t="str">
            <v>1702901000</v>
          </cell>
          <cell r="B480" t="str">
            <v>Sucedáneos de la miel, incluso mezclados con miel natural</v>
          </cell>
        </row>
        <row r="481">
          <cell r="A481" t="str">
            <v>1108120000</v>
          </cell>
          <cell r="B481" t="str">
            <v>Almidon de maiz</v>
          </cell>
        </row>
        <row r="482">
          <cell r="A482" t="str">
            <v>0907100000</v>
          </cell>
          <cell r="B482" t="str">
            <v>Clavos sin triturar ni pulverizar</v>
          </cell>
        </row>
        <row r="483">
          <cell r="A483" t="str">
            <v>1701910000</v>
          </cell>
          <cell r="B483" t="str">
            <v>Los demás azúcar de caña o de remolacha y sacarosa, en estado sólido con adición de aromatizante o colorante</v>
          </cell>
        </row>
        <row r="484">
          <cell r="A484" t="str">
            <v>2204229000</v>
          </cell>
          <cell r="B484" t="str">
            <v>Los demás vinos en el que la fermentación se ha impedido o cortado añadiendo alcohol en recipientes con capacidad superior a 2 l pero inferior o igual a 10 l</v>
          </cell>
        </row>
        <row r="485">
          <cell r="A485" t="str">
            <v>0803901900</v>
          </cell>
          <cell r="B485" t="str">
            <v>Los demás bananas, incluíos los plátanos, frescos</v>
          </cell>
        </row>
        <row r="486">
          <cell r="A486" t="str">
            <v>2101300000</v>
          </cell>
          <cell r="B486" t="str">
            <v>Achicoria tostada y demás sucedáneos del café tostados y sus extractos, esencias y concentrados</v>
          </cell>
        </row>
        <row r="487">
          <cell r="A487" t="str">
            <v>1401900000</v>
          </cell>
          <cell r="B487" t="str">
            <v>Las demás materias vegetales de las especies utilizadas principalmente en cestería o espartería</v>
          </cell>
        </row>
        <row r="488">
          <cell r="A488" t="str">
            <v>0808100000</v>
          </cell>
          <cell r="B488" t="str">
            <v>Manzanas frescas</v>
          </cell>
        </row>
        <row r="489">
          <cell r="A489" t="str">
            <v>0810903000</v>
          </cell>
          <cell r="B489" t="str">
            <v>Tomate de árbol (lima tomate, tamarillo) (cyphomandra betacea), frescos.</v>
          </cell>
        </row>
        <row r="490">
          <cell r="A490" t="str">
            <v>1301200000</v>
          </cell>
          <cell r="B490" t="str">
            <v>Goma arábiga</v>
          </cell>
        </row>
        <row r="491">
          <cell r="A491" t="str">
            <v>1515300000</v>
          </cell>
          <cell r="B491" t="str">
            <v>Aceite de ricino y sus fracciones</v>
          </cell>
        </row>
        <row r="492">
          <cell r="A492" t="str">
            <v>0406909000</v>
          </cell>
          <cell r="B492" t="str">
            <v>Los demas queso y requeson</v>
          </cell>
        </row>
        <row r="493">
          <cell r="A493" t="str">
            <v>2009610000</v>
          </cell>
          <cell r="B493" t="str">
            <v>Jugo de uva (incluido el mosto), sin fermentar y sin adición de alcohol, incluso con adición de azúcar u otro edulcorante, de valor brix inferior o igual a 30</v>
          </cell>
        </row>
        <row r="494">
          <cell r="A494" t="str">
            <v>0201300010</v>
          </cell>
          <cell r="B494" t="str">
            <v>Carne de animales de la especie bovina, fresca o refrigerada deshuesada</v>
          </cell>
        </row>
        <row r="495">
          <cell r="A495" t="str">
            <v>0203191000</v>
          </cell>
          <cell r="B495" t="str">
            <v>Las demas carnes de porcino, fresca o refrigerada, carne deshuesada</v>
          </cell>
        </row>
        <row r="496">
          <cell r="A496" t="str">
            <v>1108140000</v>
          </cell>
          <cell r="B496" t="str">
            <v>Fecula de yuca (mandioca)</v>
          </cell>
        </row>
        <row r="497">
          <cell r="A497" t="str">
            <v>2009410000</v>
          </cell>
          <cell r="B497" t="str">
            <v>Jugo de piña (ananá), sin fermentar y sin adición de alcohol, incluso con adición de azúcar u otro edulcorante, de valor brix inferior o igual a 20</v>
          </cell>
        </row>
        <row r="498">
          <cell r="A498" t="str">
            <v>3809100000</v>
          </cell>
          <cell r="B498" t="str">
            <v>Aprestos y productos de acabado, aceleradores de tintura a base de materias amiláceas</v>
          </cell>
        </row>
        <row r="499">
          <cell r="A499" t="str">
            <v>2105001000</v>
          </cell>
          <cell r="B499" t="str">
            <v>Helados que no contengan leche, ni productos lácteos</v>
          </cell>
        </row>
        <row r="500">
          <cell r="A500" t="str">
            <v>4403980000</v>
          </cell>
          <cell r="B500" t="str">
            <v>Madera en bruto, de eucalipto (eucalyptus spp.)</v>
          </cell>
        </row>
        <row r="501">
          <cell r="A501" t="str">
            <v>0810100000</v>
          </cell>
          <cell r="B501" t="str">
            <v>Fresas (frutillas) frescos</v>
          </cell>
        </row>
        <row r="502">
          <cell r="A502" t="str">
            <v>0101291000</v>
          </cell>
          <cell r="B502" t="str">
            <v>Caballos para carrera</v>
          </cell>
        </row>
        <row r="503">
          <cell r="A503" t="str">
            <v>1004900000</v>
          </cell>
          <cell r="B503" t="str">
            <v>Las demás avena</v>
          </cell>
        </row>
        <row r="504">
          <cell r="A504" t="str">
            <v>0713109020</v>
          </cell>
          <cell r="B504" t="str">
            <v>Arvejas partidas excepto para la siembra</v>
          </cell>
        </row>
        <row r="505">
          <cell r="A505" t="str">
            <v>2009894000</v>
          </cell>
          <cell r="B505" t="str">
            <v>Jugo de mango, sin fermentar y sin adición de alcohol, incluso con adición de azúcar u otro edulcorante</v>
          </cell>
        </row>
        <row r="506">
          <cell r="A506" t="str">
            <v>1701991000</v>
          </cell>
          <cell r="B506" t="str">
            <v>Sacarosa químicamente pura en estado sólido</v>
          </cell>
        </row>
        <row r="507">
          <cell r="A507" t="str">
            <v>0402109000</v>
          </cell>
          <cell r="B507" t="str">
            <v>Leche y nata (crema), en polvo, gránulos o demás formas sólidas, los demás con un contenido de materias grasas inferior o igual al 1,5 % en peso</v>
          </cell>
        </row>
        <row r="508">
          <cell r="A508" t="str">
            <v>2106903000</v>
          </cell>
          <cell r="B508" t="str">
            <v>Hidrolizados de proteínas</v>
          </cell>
        </row>
        <row r="509">
          <cell r="A509" t="str">
            <v>0709590000</v>
          </cell>
          <cell r="B509" t="str">
            <v>Los demas hongos frescos o refrigerados, excepto del genero agari</v>
          </cell>
        </row>
        <row r="510">
          <cell r="A510" t="str">
            <v>1104220000</v>
          </cell>
          <cell r="B510" t="str">
            <v>Avena mondados, perlados, troceados o quebrantados</v>
          </cell>
        </row>
        <row r="511">
          <cell r="A511" t="str">
            <v>0909211000</v>
          </cell>
          <cell r="B511" t="str">
            <v>Semillas de culantro (cilantro) para siembra</v>
          </cell>
        </row>
        <row r="512">
          <cell r="A512" t="str">
            <v>2201900090</v>
          </cell>
          <cell r="B512" t="str">
            <v>Las demás agua, sin adición de azúcar u otro edulcorante ni aromatizada</v>
          </cell>
        </row>
        <row r="513">
          <cell r="A513" t="str">
            <v>3505200000</v>
          </cell>
          <cell r="B513" t="str">
            <v>Colas a base de almidón</v>
          </cell>
        </row>
        <row r="514">
          <cell r="A514" t="str">
            <v>0801320000</v>
          </cell>
          <cell r="B514" t="str">
            <v>Nueces del marañon (merey, cajauil, anacardo,"caju") sin cascara, frescas o secas</v>
          </cell>
        </row>
        <row r="515">
          <cell r="A515" t="str">
            <v>0807200000</v>
          </cell>
          <cell r="B515" t="str">
            <v>Papayas frescas</v>
          </cell>
        </row>
        <row r="516">
          <cell r="A516" t="str">
            <v>1007900000</v>
          </cell>
          <cell r="B516" t="str">
            <v>Los demás sorgo de grano</v>
          </cell>
        </row>
        <row r="517">
          <cell r="A517" t="str">
            <v>1514190000</v>
          </cell>
          <cell r="B517" t="str">
            <v>Los demás aceites de nabo (de nabina) o de colza con bajo contenido de ácido erúcico, excepto en bruto, incluso refinado, pero sin modificar químicamente</v>
          </cell>
        </row>
        <row r="518">
          <cell r="A518" t="str">
            <v>1104300000</v>
          </cell>
          <cell r="B518" t="str">
            <v>Germen de cereales entero, aplastado, en copos o molido</v>
          </cell>
        </row>
        <row r="519">
          <cell r="A519" t="str">
            <v>1512191000</v>
          </cell>
          <cell r="B519" t="str">
            <v>Los demás aceites de girasol, incluso refinados</v>
          </cell>
        </row>
        <row r="520">
          <cell r="A520" t="str">
            <v>1001910010</v>
          </cell>
          <cell r="B520" t="str">
            <v>Trigo para siembra, excepto trigo duro</v>
          </cell>
        </row>
        <row r="521">
          <cell r="A521" t="str">
            <v>2106906100</v>
          </cell>
          <cell r="B521" t="str">
            <v>Preparaciones edulcorantes a base de estevia</v>
          </cell>
        </row>
        <row r="522">
          <cell r="A522" t="str">
            <v>0909220000</v>
          </cell>
          <cell r="B522" t="str">
            <v>Semillas de culantro (cilantro), trituradas o pulverizadas</v>
          </cell>
        </row>
        <row r="523">
          <cell r="A523" t="str">
            <v>1602900090</v>
          </cell>
          <cell r="B523" t="str">
            <v>Las demás, incluidas las preparaciones de sangre de cualquier animal</v>
          </cell>
        </row>
        <row r="524">
          <cell r="A524" t="str">
            <v>0809400000</v>
          </cell>
          <cell r="B524" t="str">
            <v>Ciruelas y endrinas, frescas</v>
          </cell>
        </row>
        <row r="525">
          <cell r="A525" t="str">
            <v>1505009100</v>
          </cell>
          <cell r="B525" t="str">
            <v>Derivadas de lana, lanolina</v>
          </cell>
        </row>
        <row r="526">
          <cell r="A526" t="str">
            <v>1701120000</v>
          </cell>
          <cell r="B526" t="str">
            <v>Azúcar en bruto de remolacha, sin adición de aromatizante ni colorante, en estado sólido</v>
          </cell>
        </row>
        <row r="527">
          <cell r="A527" t="str">
            <v>2008709000</v>
          </cell>
          <cell r="B527" t="str">
            <v>Las demás duraznos (melocotones), incluidos los griñones y nectarinas preparados o conservados en agua con adición de azúcar u otro edulcorante, incluido el jarabe</v>
          </cell>
        </row>
        <row r="528">
          <cell r="A528" t="str">
            <v>0402919000</v>
          </cell>
          <cell r="B528" t="str">
            <v>Las demas leches y natas sin adicion de azucar u otro edulcorante</v>
          </cell>
        </row>
        <row r="529">
          <cell r="A529" t="str">
            <v>2008992000</v>
          </cell>
          <cell r="B529" t="str">
            <v>Papayas preparados o conservados de otro modo, incluso con adición de azúcar u otro edulcorante o alcohol</v>
          </cell>
        </row>
        <row r="530">
          <cell r="A530" t="str">
            <v>1703900000</v>
          </cell>
          <cell r="B530" t="str">
            <v>Las demas melazas procedentes de la extraccion o del refinado del azucar</v>
          </cell>
        </row>
        <row r="531">
          <cell r="A531" t="str">
            <v>2008930000</v>
          </cell>
          <cell r="B531" t="str">
            <v>Arándanos rojos (vaccinium macrocarpon, vaccinium oxycoccos, vaccinium vitisidaea) preparados o conservados de otro modo, incluso con adición de azúcar u otro edulcorante o alcohol,</v>
          </cell>
        </row>
        <row r="532">
          <cell r="A532" t="str">
            <v>2101110000</v>
          </cell>
          <cell r="B532" t="str">
            <v>Extractos, esencias y concentrados de café</v>
          </cell>
        </row>
        <row r="533">
          <cell r="A533" t="str">
            <v>0706900000</v>
          </cell>
          <cell r="B533" t="str">
            <v>Los demás remolachas para ensalada, salsifíes, apionabos, rábanos y raíces comestibles similares, frescos o refrigerados</v>
          </cell>
        </row>
        <row r="534">
          <cell r="A534" t="str">
            <v>2005100000</v>
          </cell>
          <cell r="B534" t="str">
            <v>Hortalizas homogeneizadas preparadas o conservadas, sin congelar</v>
          </cell>
        </row>
        <row r="535">
          <cell r="A535" t="str">
            <v>1702191000</v>
          </cell>
          <cell r="B535" t="str">
            <v>Lactosa</v>
          </cell>
        </row>
        <row r="536">
          <cell r="A536" t="str">
            <v>2905430000</v>
          </cell>
          <cell r="B536" t="str">
            <v>Manitol</v>
          </cell>
        </row>
        <row r="537">
          <cell r="A537" t="str">
            <v>2208909000</v>
          </cell>
          <cell r="B537" t="str">
            <v>Los demás licores y bebidas espirituosas</v>
          </cell>
        </row>
        <row r="538">
          <cell r="A538" t="str">
            <v>0714400000</v>
          </cell>
          <cell r="B538" t="str">
            <v>Taro (colocasia spp.)</v>
          </cell>
        </row>
        <row r="539">
          <cell r="A539" t="str">
            <v>2101200000</v>
          </cell>
          <cell r="B539" t="str">
            <v>Extractos, esencias y concentrados de té o de yerba mate y preparaciones a base de estos extractos, esencias o concentrados o a base de té o de yerba mate</v>
          </cell>
        </row>
        <row r="540">
          <cell r="A540" t="str">
            <v>2009399000</v>
          </cell>
          <cell r="B540" t="str">
            <v>Demás jugo de cualquier otro agrio (cítrico), sin fermentar y sin adición de alcohol, incluso con adición de azúcar u otro edulcorante</v>
          </cell>
        </row>
        <row r="541">
          <cell r="A541" t="str">
            <v>2004100000</v>
          </cell>
          <cell r="B541" t="str">
            <v>Papas preparadas o conservadas, congeladas</v>
          </cell>
        </row>
        <row r="542">
          <cell r="A542" t="str">
            <v>1006200000</v>
          </cell>
          <cell r="B542" t="str">
            <v>Arroz descascarillado (arroz cargo o arroz pardo)</v>
          </cell>
        </row>
        <row r="543">
          <cell r="A543" t="str">
            <v>0207240000</v>
          </cell>
          <cell r="B543" t="str">
            <v>Carnes y despojos comestibles de pavo (gallipavo) sin trocear, frescos o refrigerados</v>
          </cell>
        </row>
        <row r="544">
          <cell r="A544" t="str">
            <v>0205000000</v>
          </cell>
          <cell r="B544" t="str">
            <v>Carne de animales de las especies caballar, asnal o mular, fresca, refrigerada o congelada</v>
          </cell>
        </row>
        <row r="545">
          <cell r="A545" t="str">
            <v>0813200000</v>
          </cell>
          <cell r="B545" t="str">
            <v>Ciruelas secas</v>
          </cell>
        </row>
        <row r="546">
          <cell r="A546" t="str">
            <v>0803101000</v>
          </cell>
          <cell r="B546" t="str">
            <v>Plátano «plantains», frescos</v>
          </cell>
        </row>
        <row r="547">
          <cell r="A547" t="str">
            <v>1507100000</v>
          </cell>
          <cell r="B547" t="str">
            <v>Aceite de soya en bruto, incluso desgomado</v>
          </cell>
        </row>
        <row r="548">
          <cell r="A548" t="str">
            <v>1521109000</v>
          </cell>
          <cell r="B548" t="str">
            <v>Las demás ceras vegetales</v>
          </cell>
        </row>
        <row r="549">
          <cell r="A549" t="str">
            <v>0409009000</v>
          </cell>
          <cell r="B549" t="str">
            <v>Los demas miel natural</v>
          </cell>
        </row>
        <row r="550">
          <cell r="A550" t="str">
            <v>0802420000</v>
          </cell>
          <cell r="B550" t="str">
            <v>Castañas sin cascara</v>
          </cell>
        </row>
        <row r="551">
          <cell r="A551" t="str">
            <v>1509900000</v>
          </cell>
          <cell r="B551" t="str">
            <v>Los demás aceite de oliva y sus fracciones, incluso refinado, pero sin modificar químicamente</v>
          </cell>
        </row>
        <row r="552">
          <cell r="A552" t="str">
            <v>1512192000</v>
          </cell>
          <cell r="B552" t="str">
            <v>Los demás aceites de cártamo, incluso refinados</v>
          </cell>
        </row>
        <row r="553">
          <cell r="A553" t="str">
            <v>1302119000</v>
          </cell>
          <cell r="B553" t="str">
            <v>Los demás jugos y extractos vegetales de opio</v>
          </cell>
        </row>
        <row r="554">
          <cell r="A554" t="str">
            <v>2007100000</v>
          </cell>
          <cell r="B554" t="str">
            <v>Preparaciones homogeneizadas de frutas u otros frutos, obtenidos por cocción, incluso con adición de azúcar u otro edulcorante</v>
          </cell>
        </row>
        <row r="555">
          <cell r="A555" t="str">
            <v>1001910090</v>
          </cell>
          <cell r="B555" t="str">
            <v>Los demás trigo para siembra</v>
          </cell>
        </row>
        <row r="556">
          <cell r="A556" t="str">
            <v>3301300000</v>
          </cell>
          <cell r="B556" t="str">
            <v>Resinoides</v>
          </cell>
        </row>
        <row r="557">
          <cell r="A557" t="str">
            <v>2208702000</v>
          </cell>
          <cell r="B557" t="str">
            <v>Licores de cremas</v>
          </cell>
        </row>
        <row r="558">
          <cell r="A558" t="str">
            <v>1602490000</v>
          </cell>
          <cell r="B558" t="str">
            <v>Las demás, preparaciones y conservas de la especie porcina incluidas las mezclas</v>
          </cell>
        </row>
        <row r="559">
          <cell r="A559" t="str">
            <v>2905440000</v>
          </cell>
          <cell r="B559" t="str">
            <v>D-glucitol (sorbitol)</v>
          </cell>
        </row>
        <row r="560">
          <cell r="A560" t="str">
            <v>0711590000</v>
          </cell>
          <cell r="B560" t="str">
            <v>Demás hongos y trufas conservadas provisionalmente, pero todavía impropias para consumo inmediato; exceptp del hongos del género agaricus</v>
          </cell>
        </row>
        <row r="561">
          <cell r="A561" t="str">
            <v>1806201000</v>
          </cell>
          <cell r="B561" t="str">
            <v>Chocolate y demás preparaciones alimenticias que contengan cacao, en bloques, tabletas o barras con peso superior a 2 kg o en forma líquida, pastosa o en polvo, gránulos o formas similares, en recipientes o envases inmediatos con un contenido superior a 2 kg, sin adición de azúcar, ni otros edulcorantes</v>
          </cell>
        </row>
        <row r="562">
          <cell r="A562" t="str">
            <v>1108190000</v>
          </cell>
          <cell r="B562" t="str">
            <v>Los demás almidones y féculas</v>
          </cell>
        </row>
        <row r="563">
          <cell r="A563" t="str">
            <v>2302100000</v>
          </cell>
          <cell r="B563" t="str">
            <v>Salvados, moyuelos y demas residuos del cernido, molienda u otros tratamientos del maiz</v>
          </cell>
        </row>
        <row r="564">
          <cell r="A564" t="str">
            <v>1212930000</v>
          </cell>
          <cell r="B564" t="str">
            <v>Caña de azúcar frescas , refrigeradas , congeladas o secas</v>
          </cell>
        </row>
        <row r="565">
          <cell r="A565" t="str">
            <v>0713109010</v>
          </cell>
          <cell r="B565" t="str">
            <v>Arvejas enteras excepto para la siembra</v>
          </cell>
        </row>
        <row r="566">
          <cell r="A566" t="str">
            <v>1521901000</v>
          </cell>
          <cell r="B566" t="str">
            <v>Cera de abejas o de otros insectos</v>
          </cell>
        </row>
        <row r="567">
          <cell r="A567" t="str">
            <v>2204299000</v>
          </cell>
          <cell r="B567" t="str">
            <v>Los demás vinos en recipientes con capacidad superior a 2 l pero inferior o igual a 10 l</v>
          </cell>
        </row>
        <row r="568">
          <cell r="A568" t="str">
            <v>1001190000</v>
          </cell>
          <cell r="B568" t="str">
            <v>Los demas trigo duro, excepto para siembra</v>
          </cell>
        </row>
        <row r="569">
          <cell r="A569" t="str">
            <v>3301291000</v>
          </cell>
          <cell r="B569" t="str">
            <v>Aceites esenciales de anís</v>
          </cell>
        </row>
        <row r="570">
          <cell r="A570" t="str">
            <v>1901109100</v>
          </cell>
          <cell r="B570" t="str">
            <v>Preparaciones para la alimentación de lactantes o niños de corta edad, acondicionadas para la venta al por menor, a base de harina, sémola, almidón, fécula o extracto de malta</v>
          </cell>
        </row>
        <row r="571">
          <cell r="A571" t="str">
            <v>1702302000</v>
          </cell>
          <cell r="B571" t="str">
            <v>Jarabe de glucosa</v>
          </cell>
        </row>
        <row r="572">
          <cell r="A572" t="str">
            <v>2306410000</v>
          </cell>
          <cell r="B572" t="str">
            <v>Tortas y demás residuos sólidos de la extracción de grasas o aceites de semillas de nabo (nabina) o de colza, con bajo contenido de ácido erúcico</v>
          </cell>
        </row>
        <row r="573">
          <cell r="A573" t="str">
            <v>0707000000</v>
          </cell>
          <cell r="B573" t="str">
            <v>Pepinos y pepinillos, frescos o refrigerados.</v>
          </cell>
        </row>
        <row r="574">
          <cell r="A574" t="str">
            <v>4407910000</v>
          </cell>
          <cell r="B574" t="str">
            <v>Madera aserrada o desbastada longitudinalmente de encina, roble, alcornoque y demás belloteros, de espesor superior a 6 mm</v>
          </cell>
        </row>
        <row r="575">
          <cell r="A575" t="str">
            <v>1904300000</v>
          </cell>
          <cell r="B575" t="str">
            <v>Trigo bulgur</v>
          </cell>
        </row>
        <row r="576">
          <cell r="A576" t="str">
            <v>3504009000</v>
          </cell>
          <cell r="B576" t="str">
            <v>Los demás peptonas y sus derivados, las demás materias proteínicas y sus derivados</v>
          </cell>
        </row>
        <row r="577">
          <cell r="A577" t="str">
            <v>0603193000</v>
          </cell>
          <cell r="B577" t="str">
            <v>Alstroemeria, frescos</v>
          </cell>
        </row>
        <row r="578">
          <cell r="A578" t="str">
            <v>4405000000</v>
          </cell>
          <cell r="B578" t="str">
            <v>Lana de madera; harina de madera</v>
          </cell>
        </row>
        <row r="579">
          <cell r="A579" t="str">
            <v>2208904200</v>
          </cell>
          <cell r="B579" t="str">
            <v>Aguardiente de anís</v>
          </cell>
        </row>
        <row r="580">
          <cell r="A580" t="str">
            <v>0901120000</v>
          </cell>
          <cell r="B580" t="str">
            <v>Café sin tostar, descafeinado</v>
          </cell>
        </row>
        <row r="581">
          <cell r="A581" t="str">
            <v>0805900000</v>
          </cell>
          <cell r="B581" t="str">
            <v>Los demas agrios (citricos), frescos o secos</v>
          </cell>
        </row>
        <row r="582">
          <cell r="A582" t="str">
            <v>1211200090</v>
          </cell>
          <cell r="B582" t="str">
            <v>Las demás raíces de ginseng</v>
          </cell>
        </row>
        <row r="583">
          <cell r="A583" t="str">
            <v>2009893000</v>
          </cell>
          <cell r="B583" t="str">
            <v>Jugo de guanábana, sin fermentar y sin adición de alcohol, incluso con adición de azúcar u otro edulcorante</v>
          </cell>
        </row>
        <row r="584">
          <cell r="A584" t="str">
            <v>4407199000</v>
          </cell>
          <cell r="B584" t="str">
            <v>Las demás madera aserrada o desbastada longitudinalmente, de espesor superior a 6 mm</v>
          </cell>
        </row>
        <row r="585">
          <cell r="A585" t="str">
            <v>3504001000</v>
          </cell>
          <cell r="B585" t="str">
            <v>Peptonas y sus derivados</v>
          </cell>
        </row>
        <row r="586">
          <cell r="A586" t="str">
            <v>2009490000</v>
          </cell>
          <cell r="B586" t="str">
            <v>Los demás jugo de piña (ananá), sin fermentar y sin adición de alcohol, incluso con adición de azúcar u otro edulcorante</v>
          </cell>
        </row>
        <row r="587">
          <cell r="A587" t="str">
            <v>0706100000</v>
          </cell>
          <cell r="B587" t="str">
            <v>Zanahorias y nabos, frescos o refrigerados</v>
          </cell>
        </row>
        <row r="588">
          <cell r="A588" t="str">
            <v>3301199000</v>
          </cell>
          <cell r="B588" t="str">
            <v>Los demás aceites esenciales de agrios</v>
          </cell>
        </row>
        <row r="589">
          <cell r="A589" t="str">
            <v>0906190000</v>
          </cell>
          <cell r="B589" t="str">
            <v>Las demás canela y flores de canelero, sin triturar ni pulverizar</v>
          </cell>
        </row>
        <row r="590">
          <cell r="A590" t="str">
            <v>2007991100</v>
          </cell>
          <cell r="B590" t="str">
            <v>Preparaciones homogeneizadas de confituras, jaleas y mermeladas de piñas, obtenidos por cocción, incluso con adición de azúcar u otro edulcorante</v>
          </cell>
        </row>
        <row r="591">
          <cell r="A591" t="str">
            <v>1702402000</v>
          </cell>
          <cell r="B591" t="str">
            <v>Jarabe de glucosa con un contenido de fructosa sobre producto seco superior o igual al 20 % pero inferior al 50 %</v>
          </cell>
        </row>
        <row r="592">
          <cell r="A592" t="str">
            <v>2008111000</v>
          </cell>
          <cell r="B592" t="str">
            <v>Manteca de manies</v>
          </cell>
        </row>
        <row r="593">
          <cell r="A593" t="str">
            <v>0901220000</v>
          </cell>
          <cell r="B593" t="str">
            <v>Cafe tostado descafeinado</v>
          </cell>
        </row>
        <row r="594">
          <cell r="A594" t="str">
            <v>3301901000</v>
          </cell>
          <cell r="B594" t="str">
            <v>Destilados acuosos aromaticos y disoluciones acuosas de aceites esenciales</v>
          </cell>
        </row>
        <row r="595">
          <cell r="A595" t="str">
            <v>0710220000</v>
          </cell>
          <cell r="B595" t="str">
            <v>Frijoles(frejoles,porotos,alubias,judias)(vigna spp.,phaseolus spp.)cocidas o congeladas</v>
          </cell>
        </row>
        <row r="596">
          <cell r="A596" t="str">
            <v>0909310000</v>
          </cell>
          <cell r="B596" t="str">
            <v>Semillas de comino, sin triturar ni pulverizar</v>
          </cell>
        </row>
        <row r="597">
          <cell r="A597" t="str">
            <v>0704100000</v>
          </cell>
          <cell r="B597" t="str">
            <v>Coliflores y brócolis frescos o refrigerados</v>
          </cell>
        </row>
        <row r="598">
          <cell r="A598" t="str">
            <v>0909219000</v>
          </cell>
          <cell r="B598" t="str">
            <v>Los demás semillas de culantro (cilantro) para siembra</v>
          </cell>
        </row>
        <row r="599">
          <cell r="A599" t="str">
            <v>1512210000</v>
          </cell>
          <cell r="B599" t="str">
            <v>Aceite de algodón en bruto y sus fracciones, incluso sin gosipol</v>
          </cell>
        </row>
        <row r="600">
          <cell r="A600" t="str">
            <v>1515190000</v>
          </cell>
          <cell r="B600" t="str">
            <v>Los demás aceite de lino (de linaza), incluso refinado, pero sin modificar químicamente</v>
          </cell>
        </row>
        <row r="601">
          <cell r="A601" t="str">
            <v>1006109000</v>
          </cell>
          <cell r="B601" t="str">
            <v>Demas arroz con cascara (arroz "paddy")</v>
          </cell>
        </row>
        <row r="602">
          <cell r="A602" t="str">
            <v>0713401000</v>
          </cell>
          <cell r="B602" t="str">
            <v>Lentejas para siembra</v>
          </cell>
        </row>
        <row r="603">
          <cell r="A603" t="str">
            <v>2207200090</v>
          </cell>
          <cell r="B603" t="str">
            <v>Los demás alcohol etílico y aguardiente desnaturalizados, de cualquier graduación</v>
          </cell>
        </row>
        <row r="604">
          <cell r="A604" t="str">
            <v>1214100000</v>
          </cell>
          <cell r="B604" t="str">
            <v>Harina y "pellets" de alfalfa</v>
          </cell>
        </row>
        <row r="605">
          <cell r="A605" t="str">
            <v>4401320000</v>
          </cell>
          <cell r="B605" t="str">
            <v>Desperdicios y desechos de madera, briquetas de madera</v>
          </cell>
        </row>
        <row r="606">
          <cell r="A606" t="str">
            <v>5301300000</v>
          </cell>
          <cell r="B606" t="str">
            <v>Estopas y desperdicios de lino</v>
          </cell>
        </row>
        <row r="607">
          <cell r="A607" t="str">
            <v>1702903000</v>
          </cell>
          <cell r="B607" t="str">
            <v>Azúcares con adición de aromatizante o colorante</v>
          </cell>
        </row>
        <row r="608">
          <cell r="A608" t="str">
            <v>0203110000</v>
          </cell>
          <cell r="B608" t="str">
            <v>Carne de porcino en canales o medias canales, fresca o refrigerada</v>
          </cell>
        </row>
        <row r="609">
          <cell r="A609" t="str">
            <v>1903000000</v>
          </cell>
          <cell r="B609" t="str">
            <v>Tapioca y sus sucedáneos preparados con fécula, en copos, grumos, granos perlados, cerniduras o formas similares</v>
          </cell>
        </row>
        <row r="610">
          <cell r="A610" t="str">
            <v>0603129000</v>
          </cell>
          <cell r="B610" t="str">
            <v>Los demas claveles frescos, cortados para ramos o adornos</v>
          </cell>
        </row>
        <row r="611">
          <cell r="A611" t="str">
            <v>2009895000</v>
          </cell>
          <cell r="B611" t="str">
            <v>Jugo de camu camu, sin fermentar y sin adición de alcohol, incluso con adición de azúcar u otro edulcorante</v>
          </cell>
        </row>
        <row r="612">
          <cell r="A612" t="str">
            <v>0811901000</v>
          </cell>
          <cell r="B612" t="str">
            <v>Demás frutas y otros frutos, sin cocer o cocidos en agua o vapor, congelados, con adición de azúcar u otro edulcorante</v>
          </cell>
        </row>
        <row r="613">
          <cell r="A613" t="str">
            <v>0813500000</v>
          </cell>
          <cell r="B613" t="str">
            <v>Mezclas de frutas u otros frutos, secos, o de frutos de cáscara de este capítulo</v>
          </cell>
        </row>
        <row r="614">
          <cell r="A614" t="str">
            <v>0601200000</v>
          </cell>
          <cell r="B614" t="str">
            <v>Bulbos, cebollas, tubérculos, raíces y bulbos tuberosos, turiones y rizomas, en vegetación o en flor; plantas y raíces de achicoria</v>
          </cell>
        </row>
        <row r="615">
          <cell r="A615" t="str">
            <v>0813300000</v>
          </cell>
          <cell r="B615" t="str">
            <v>Manzanas secas</v>
          </cell>
        </row>
        <row r="616">
          <cell r="A616" t="str">
            <v>0409001000</v>
          </cell>
          <cell r="B616" t="str">
            <v>Miel natural, en recipientes con capacidad superior o igual a 300 kg</v>
          </cell>
        </row>
        <row r="617">
          <cell r="A617" t="str">
            <v>2302400010</v>
          </cell>
          <cell r="B617" t="str">
            <v>Salvados, moyuelos y demas residuos del cernido, u otros tratamientos de arroz</v>
          </cell>
        </row>
        <row r="618">
          <cell r="A618" t="str">
            <v>2007991200</v>
          </cell>
          <cell r="B618" t="str">
            <v>Preparaciones homogeneizadas de purés y pastas de piñas, obtenidos por cocción, incluso con adición de azúcar u otro edulcorante</v>
          </cell>
        </row>
        <row r="619">
          <cell r="A619" t="str">
            <v>0402211100</v>
          </cell>
          <cell r="B619" t="str">
            <v>Leche y nata (crema), en polvo, gránulos o demás formas sólidas, con un contenido de materias grasas superior o igual al 26 % en peso, sobre producto seco, sin adición de azúcar ni otro edulcorante, en envases de contenido neto inferior o igual a 2,5 kg</v>
          </cell>
        </row>
        <row r="620">
          <cell r="A620" t="str">
            <v>2201900020</v>
          </cell>
          <cell r="B620" t="str">
            <v>Hielo</v>
          </cell>
        </row>
        <row r="621">
          <cell r="A621" t="str">
            <v>4409221010</v>
          </cell>
          <cell r="B621" t="str">
            <v>Tablillas y frisos para parqués, sin ensamblar, de maderas tropicales, de ipé (cañahuate, ébano verde, lapacho, polvillo, roble morado, tahuari negro, tajibo)</v>
          </cell>
        </row>
        <row r="622">
          <cell r="A622" t="str">
            <v>1512290000</v>
          </cell>
          <cell r="B622" t="str">
            <v>Los demás aceite de algodón y sus fracciones</v>
          </cell>
        </row>
        <row r="623">
          <cell r="A623" t="str">
            <v>2303200000</v>
          </cell>
          <cell r="B623" t="str">
            <v>Pulpa de remolacha, bagazo de caña de azúcar y demás desperdicios de la industria azucarera</v>
          </cell>
        </row>
        <row r="624">
          <cell r="A624" t="str">
            <v>1905100000</v>
          </cell>
          <cell r="B624" t="str">
            <v>Pan crujiente llamado «knäckebrot»</v>
          </cell>
        </row>
        <row r="625">
          <cell r="A625" t="str">
            <v>4402900000</v>
          </cell>
          <cell r="B625" t="str">
            <v>Los demás carbón vegetal</v>
          </cell>
        </row>
        <row r="626">
          <cell r="A626" t="str">
            <v>1515210000</v>
          </cell>
          <cell r="B626" t="str">
            <v>Aceite de maiz en bruto</v>
          </cell>
        </row>
        <row r="627">
          <cell r="A627" t="str">
            <v>0202300090</v>
          </cell>
          <cell r="B627" t="str">
            <v>Demás carnes de bovino, deshuesada, congelada</v>
          </cell>
        </row>
        <row r="628">
          <cell r="A628" t="str">
            <v>2009896000</v>
          </cell>
          <cell r="B628" t="str">
            <v>Jugo de hortaliza, sin fermentar y sin adición de alcohol, incluso con adición de azúcar u otro edulcorante</v>
          </cell>
        </row>
        <row r="629">
          <cell r="A629" t="str">
            <v>1206009000</v>
          </cell>
          <cell r="B629" t="str">
            <v>Las demás semillas de girasol, incluso quebrantadas, excepto para siembra</v>
          </cell>
        </row>
        <row r="630">
          <cell r="A630" t="str">
            <v>0811200000</v>
          </cell>
          <cell r="B630" t="str">
            <v>Frambuesas, zarzamoras, moras, moras-frambuesa y grosellas</v>
          </cell>
        </row>
        <row r="631">
          <cell r="A631" t="str">
            <v>0802110000</v>
          </cell>
          <cell r="B631" t="str">
            <v>Almendras con cascara,frescas o secas</v>
          </cell>
        </row>
        <row r="632">
          <cell r="A632" t="str">
            <v>0401400000</v>
          </cell>
          <cell r="B632" t="str">
            <v>Leche y nata (crema), sin concentrar, sin adición de azúcar ni otro edulcorante con un contenido de materias grasas superior al 6 % pero inferior o igual al 10 %, en peso</v>
          </cell>
        </row>
        <row r="633">
          <cell r="A633" t="str">
            <v>1212910000</v>
          </cell>
          <cell r="B633" t="str">
            <v>Remolacha azucarera frescas , refrigeradas , congeladas o secas</v>
          </cell>
        </row>
        <row r="634">
          <cell r="A634" t="str">
            <v>1901101000</v>
          </cell>
          <cell r="B634" t="str">
            <v>Fórmulas lácteas para niños de hasta 12 meses de edad</v>
          </cell>
        </row>
        <row r="635">
          <cell r="A635" t="str">
            <v>0101210000</v>
          </cell>
          <cell r="B635" t="str">
            <v>Reproductores de caballos de raza pura, vivos</v>
          </cell>
        </row>
        <row r="636">
          <cell r="A636" t="str">
            <v>0105110000</v>
          </cell>
          <cell r="B636" t="str">
            <v>Gallos y gallinas de peso inferior o igual a 185 gr</v>
          </cell>
        </row>
        <row r="637">
          <cell r="A637" t="str">
            <v>0207120000</v>
          </cell>
          <cell r="B637" t="str">
            <v>Carnes y despojos comestibles de gallo o gallina sin trocear, congelados</v>
          </cell>
        </row>
        <row r="638">
          <cell r="A638" t="str">
            <v>0207130090</v>
          </cell>
          <cell r="B638" t="str">
            <v>Carne y despojos comestibles, de aves frescos refrigerados o congelados</v>
          </cell>
        </row>
        <row r="639">
          <cell r="A639" t="str">
            <v>0207270000</v>
          </cell>
          <cell r="B639" t="str">
            <v>Trozos y despojos comestibles de pavo (gallipavo), congelados</v>
          </cell>
        </row>
        <row r="640">
          <cell r="A640" t="str">
            <v>0208900000</v>
          </cell>
          <cell r="B640" t="str">
            <v>Las demas carnes y despojos comestibles , frescos, refrigerados o congelados</v>
          </cell>
        </row>
        <row r="641">
          <cell r="A641" t="str">
            <v>0210190000</v>
          </cell>
          <cell r="B641" t="str">
            <v>Las demas carnes de la especie porcina, saladas o en salmuera, secas o ahumadas</v>
          </cell>
        </row>
        <row r="642">
          <cell r="A642" t="str">
            <v>0210200000</v>
          </cell>
          <cell r="B642" t="str">
            <v>Carne de la especie bovina, salada o en salmuera, seca o ahumada</v>
          </cell>
        </row>
        <row r="643">
          <cell r="A643" t="str">
            <v>0401100000</v>
          </cell>
          <cell r="B643" t="str">
            <v>Leche y nata (crema), sin concentrar, sin adición de azúcar ni otro edulcorante, con un contenido de materias grasas inferior o igual al 1% en peso</v>
          </cell>
        </row>
        <row r="644">
          <cell r="A644" t="str">
            <v>0403901000</v>
          </cell>
          <cell r="B644" t="str">
            <v>Suero de mantequilla</v>
          </cell>
        </row>
        <row r="645">
          <cell r="A645" t="str">
            <v>0404900000</v>
          </cell>
          <cell r="B645" t="str">
            <v>Los demás productos constituidos por los componentes naturales de la leche, incluso con adición de azúcar u otro edulcorante</v>
          </cell>
        </row>
        <row r="646">
          <cell r="A646" t="str">
            <v>0405909000</v>
          </cell>
          <cell r="B646" t="str">
            <v>Las demas materias grasas de la leche</v>
          </cell>
        </row>
        <row r="647">
          <cell r="A647" t="str">
            <v>0406200000</v>
          </cell>
          <cell r="B647" t="str">
            <v>Queso de cualquier tipo, rallado o en polvo</v>
          </cell>
        </row>
        <row r="648">
          <cell r="A648" t="str">
            <v>0406906000</v>
          </cell>
          <cell r="B648" t="str">
            <v>Con un contenido de humedad superior o igual al 56 % pero infe</v>
          </cell>
        </row>
        <row r="649">
          <cell r="A649" t="str">
            <v>0407190000</v>
          </cell>
          <cell r="B649" t="str">
            <v>Los demas huevos fecundados para incuvacion</v>
          </cell>
        </row>
        <row r="650">
          <cell r="A650" t="str">
            <v>0602109000</v>
          </cell>
          <cell r="B650" t="str">
            <v>Las demas plantas vivas (inc sus raices), esquejes e injertos enraizados</v>
          </cell>
        </row>
        <row r="651">
          <cell r="A651" t="str">
            <v>0711400000</v>
          </cell>
          <cell r="B651" t="str">
            <v>Pepinos y pepinillos conservadas provisionalmente, pero todavía impropias para consumo inmediato.</v>
          </cell>
        </row>
        <row r="652">
          <cell r="A652" t="str">
            <v>0713201000</v>
          </cell>
          <cell r="B652" t="str">
            <v>Garbanzos para siembra</v>
          </cell>
        </row>
        <row r="653">
          <cell r="A653" t="str">
            <v>0713311000</v>
          </cell>
          <cell r="B653" t="str">
            <v>Frijoles de las especies vigna mungo (l) hepper o vigna radiata (l) wilczek para siembra</v>
          </cell>
        </row>
        <row r="654">
          <cell r="A654" t="str">
            <v>0713331900</v>
          </cell>
          <cell r="B654" t="str">
            <v>Demás frijoles comunes, para siembra</v>
          </cell>
        </row>
        <row r="655">
          <cell r="A655" t="str">
            <v>0714201000</v>
          </cell>
          <cell r="B655" t="str">
            <v>Camotes (batatas, boniatos) para siembra</v>
          </cell>
        </row>
        <row r="656">
          <cell r="A656" t="str">
            <v>0801111000</v>
          </cell>
          <cell r="B656" t="str">
            <v>Cocos para siembra</v>
          </cell>
        </row>
        <row r="657">
          <cell r="A657" t="str">
            <v>0801120000</v>
          </cell>
          <cell r="B657" t="str">
            <v>Cocos con la cascara interna (endocarpio)</v>
          </cell>
        </row>
        <row r="658">
          <cell r="A658" t="str">
            <v>0802129000</v>
          </cell>
          <cell r="B658" t="str">
            <v>Almendras, sin cáscara, excepto para siembra, frescos o secos</v>
          </cell>
        </row>
        <row r="659">
          <cell r="A659" t="str">
            <v>0802310000</v>
          </cell>
          <cell r="B659" t="str">
            <v>Nueces de nogal, con cáscara, frescos o secos</v>
          </cell>
        </row>
        <row r="660">
          <cell r="A660" t="str">
            <v>0802320000</v>
          </cell>
          <cell r="B660" t="str">
            <v>Nueces de nogal, sin cáscara, frescos o secos</v>
          </cell>
        </row>
        <row r="661">
          <cell r="A661" t="str">
            <v>0802620000</v>
          </cell>
          <cell r="B661" t="str">
            <v>Nueces de macadamia sin cascara</v>
          </cell>
        </row>
        <row r="662">
          <cell r="A662" t="str">
            <v>0804501000</v>
          </cell>
          <cell r="B662" t="str">
            <v>Guayabas, frescos o secos</v>
          </cell>
        </row>
        <row r="663">
          <cell r="A663" t="str">
            <v>0808400000</v>
          </cell>
          <cell r="B663" t="str">
            <v>Membrillos frescos</v>
          </cell>
        </row>
        <row r="664">
          <cell r="A664" t="str">
            <v>0809100000</v>
          </cell>
          <cell r="B664" t="str">
            <v>Damascos (albaricoques, chabacanos), frescos</v>
          </cell>
        </row>
        <row r="665">
          <cell r="A665" t="str">
            <v>0810300000</v>
          </cell>
          <cell r="B665" t="str">
            <v>Grosellas negras, blancas o rojas y grosellas espinosas, frescos</v>
          </cell>
        </row>
        <row r="666">
          <cell r="A666" t="str">
            <v>0812909000</v>
          </cell>
          <cell r="B666" t="str">
            <v>Demas frutas y otros frutos conservados provisionalmente, todavía impropios para consumo inmediato</v>
          </cell>
        </row>
        <row r="667">
          <cell r="A667" t="str">
            <v>1002900000</v>
          </cell>
          <cell r="B667" t="str">
            <v>Los demas centeno, excepto para siembra</v>
          </cell>
        </row>
        <row r="668">
          <cell r="A668" t="str">
            <v>1008501000</v>
          </cell>
          <cell r="B668" t="str">
            <v>Quinua para siembra</v>
          </cell>
        </row>
        <row r="669">
          <cell r="A669" t="str">
            <v>1107100000</v>
          </cell>
          <cell r="B669" t="str">
            <v>Malta sin tostar</v>
          </cell>
        </row>
        <row r="670">
          <cell r="A670" t="str">
            <v>1201100000</v>
          </cell>
          <cell r="B670" t="str">
            <v>Habas (porotos, frijoles,fr+joles) de soja para siembra</v>
          </cell>
        </row>
        <row r="671">
          <cell r="A671" t="str">
            <v>1211909040</v>
          </cell>
          <cell r="B671" t="str">
            <v>Piretro (pelitre)</v>
          </cell>
        </row>
        <row r="672">
          <cell r="A672" t="str">
            <v>1301904000</v>
          </cell>
          <cell r="B672" t="str">
            <v>Goma tragacanto</v>
          </cell>
        </row>
        <row r="673">
          <cell r="A673" t="str">
            <v>1301909010</v>
          </cell>
          <cell r="B673" t="str">
            <v>Goma laca</v>
          </cell>
        </row>
        <row r="674">
          <cell r="A674" t="str">
            <v>1302192000</v>
          </cell>
          <cell r="B674" t="str">
            <v>Extracto de habas (porotos, frijoles, fréjoles) de soya, incluso en polvo</v>
          </cell>
        </row>
        <row r="675">
          <cell r="A675" t="str">
            <v>1508900000</v>
          </cell>
          <cell r="B675" t="str">
            <v>Los demás aceite de maní y sus fracciones, incluso refinado, pero sin modificar químicamente</v>
          </cell>
        </row>
        <row r="676">
          <cell r="A676" t="str">
            <v>1509100000</v>
          </cell>
          <cell r="B676" t="str">
            <v>Aceite de oliva virgen</v>
          </cell>
        </row>
        <row r="677">
          <cell r="A677" t="str">
            <v>1515290000</v>
          </cell>
          <cell r="B677" t="str">
            <v>Los demás aceites de maíz y sus fracciones ,incluso refinado, pero sin modificar químicamente</v>
          </cell>
        </row>
        <row r="678">
          <cell r="A678" t="str">
            <v>1520000000</v>
          </cell>
          <cell r="B678" t="str">
            <v>Glicerol en bruto; aguas y lejias glicerinosas</v>
          </cell>
        </row>
        <row r="679">
          <cell r="A679" t="str">
            <v>1521101000</v>
          </cell>
          <cell r="B679" t="str">
            <v>Cera vegetal de carnauba</v>
          </cell>
        </row>
        <row r="680">
          <cell r="A680" t="str">
            <v>1602410000</v>
          </cell>
          <cell r="B680" t="str">
            <v>Preparaciones y conservas de jamones y trozos de jamón</v>
          </cell>
        </row>
        <row r="681">
          <cell r="A681" t="str">
            <v>1702600000</v>
          </cell>
          <cell r="B681" t="str">
            <v>Las demás fructosas y jarabe de fructosa, con un contenido de fructosa sobre producto seco superior al 50 % en peso, excepto el azúcar invertido</v>
          </cell>
        </row>
        <row r="682">
          <cell r="A682" t="str">
            <v>1801001100</v>
          </cell>
          <cell r="B682" t="str">
            <v>Cacao en grano,entero o partido , crudo, para siembra</v>
          </cell>
        </row>
        <row r="683">
          <cell r="A683" t="str">
            <v>1901901000</v>
          </cell>
          <cell r="B683" t="str">
            <v>Extracto de malta</v>
          </cell>
        </row>
        <row r="684">
          <cell r="A684" t="str">
            <v>1905200000</v>
          </cell>
          <cell r="B684" t="str">
            <v>Pan de especias</v>
          </cell>
        </row>
        <row r="685">
          <cell r="A685" t="str">
            <v>2003100000</v>
          </cell>
          <cell r="B685" t="str">
            <v>Hongos del género agaricus preparados o conservados</v>
          </cell>
        </row>
        <row r="686">
          <cell r="A686" t="str">
            <v>2005400000</v>
          </cell>
          <cell r="B686" t="str">
            <v>Arvejas (guisantes,chicharos) (pisum sativum), preparadas o conservados,sin congelar</v>
          </cell>
        </row>
        <row r="687">
          <cell r="A687" t="str">
            <v>2005510000</v>
          </cell>
          <cell r="B687" t="str">
            <v>Frijoles desvainados, preparados o conservados, sin congelar</v>
          </cell>
        </row>
        <row r="688">
          <cell r="A688" t="str">
            <v>2005992000</v>
          </cell>
          <cell r="B688" t="str">
            <v>Pimiento piquillo preparadas o conservadas, sin congelar</v>
          </cell>
        </row>
        <row r="689">
          <cell r="A689" t="str">
            <v>2008201000</v>
          </cell>
          <cell r="B689" t="str">
            <v>Piñas preparados o conservados en agua con adición de azúcar u otro edulcorante, incluido el jarabe</v>
          </cell>
        </row>
        <row r="690">
          <cell r="A690" t="str">
            <v>2009790000</v>
          </cell>
          <cell r="B690" t="str">
            <v>Los demás jugo de manzana, sin fermentar y sin adición de alcohol, incluso con adición de azúcar u otro edulcorante</v>
          </cell>
        </row>
        <row r="691">
          <cell r="A691" t="str">
            <v>2106101100</v>
          </cell>
          <cell r="B691" t="str">
            <v>Concentrados de soya, con un contenido de proteína en base seca entre 65 % y 75 %</v>
          </cell>
        </row>
        <row r="692">
          <cell r="A692" t="str">
            <v>2202910000</v>
          </cell>
          <cell r="B692" t="str">
            <v>Cerveza sin alcohol</v>
          </cell>
        </row>
        <row r="693">
          <cell r="A693" t="str">
            <v>2205100000</v>
          </cell>
          <cell r="B693" t="str">
            <v>Vermut y demás vinos de uvas frescas preparados con plantas o sustancias aromáticas en recipientes con capacidad inferior o igual a 2 l</v>
          </cell>
        </row>
        <row r="694">
          <cell r="A694" t="str">
            <v>2208203000</v>
          </cell>
          <cell r="B694" t="str">
            <v>Aguardiente de orujo de uvas («grappa» y similares)</v>
          </cell>
        </row>
        <row r="695">
          <cell r="A695" t="str">
            <v>2208904900</v>
          </cell>
          <cell r="B695" t="str">
            <v>Los demás aguardientes</v>
          </cell>
        </row>
        <row r="696">
          <cell r="A696" t="str">
            <v>2402202000</v>
          </cell>
          <cell r="B696" t="str">
            <v>Cigarrillos de tabaco rubio</v>
          </cell>
        </row>
        <row r="697">
          <cell r="A697" t="str">
            <v>2402900000</v>
          </cell>
          <cell r="B697" t="str">
            <v>Los demás cigarros (puros) (incluso despuntados), cigarritos (puritos) y cigarrillos, de tabaco o de sucedáneos del tabaco</v>
          </cell>
        </row>
        <row r="698">
          <cell r="A698" t="str">
            <v>3203001100</v>
          </cell>
          <cell r="B698" t="str">
            <v>Colorantes de origen vegetal de campeche</v>
          </cell>
        </row>
        <row r="699">
          <cell r="A699" t="str">
            <v>3301120000</v>
          </cell>
          <cell r="B699" t="str">
            <v>Aceites esenciales de naranja</v>
          </cell>
        </row>
        <row r="700">
          <cell r="A700" t="str">
            <v>3301240000</v>
          </cell>
          <cell r="B700" t="str">
            <v>Aceites esenciales de menta piperita (mentha piperita)</v>
          </cell>
        </row>
        <row r="701">
          <cell r="A701" t="str">
            <v>3301250000</v>
          </cell>
          <cell r="B701" t="str">
            <v>Aceites esenciales de las demás mentas</v>
          </cell>
        </row>
        <row r="702">
          <cell r="A702" t="str">
            <v>3301292000</v>
          </cell>
          <cell r="B702" t="str">
            <v>Aceites esenciales de eucalipto</v>
          </cell>
        </row>
        <row r="703">
          <cell r="A703" t="str">
            <v>4001100000</v>
          </cell>
          <cell r="B703" t="str">
            <v>Látex de caucho natural, incluso prevulcanizado</v>
          </cell>
        </row>
        <row r="704">
          <cell r="A704" t="str">
            <v>4102290000</v>
          </cell>
          <cell r="B704" t="str">
            <v>Los demás cueros y pieles de ovino, en bruto sin lana (depilados)</v>
          </cell>
        </row>
        <row r="705">
          <cell r="A705" t="str">
            <v>4103900000</v>
          </cell>
          <cell r="B705" t="str">
            <v>Los demás cueros y pieles en bruto (frescos o salados, secos, encalados, piquelados o conservados de otro modo, pero sin curtir, apergaminar ni preparar de otra forma)</v>
          </cell>
        </row>
        <row r="706">
          <cell r="A706" t="str">
            <v>4301800000</v>
          </cell>
          <cell r="B706" t="str">
            <v>Peletería en bruto de las demás pieles, enteras, incluso sin la cabeza, cola o patas</v>
          </cell>
        </row>
        <row r="707">
          <cell r="A707" t="str">
            <v>4401390000</v>
          </cell>
          <cell r="B707" t="str">
            <v>Los demás desperdicios y desechos de madera, aglomerados en leños</v>
          </cell>
        </row>
        <row r="708">
          <cell r="A708" t="str">
            <v>4408109000</v>
          </cell>
          <cell r="B708" t="str">
            <v>Las demás hojas para chapado, para contrachapado de coníferas, aserradas longitudinalmente, cortadas o desenrolladas, de espesor inferior o igual a 6 mm</v>
          </cell>
        </row>
        <row r="709">
          <cell r="A709" t="str">
            <v>2106904000</v>
          </cell>
          <cell r="B709" t="str">
            <v>Autolizados de levadura</v>
          </cell>
        </row>
        <row r="710">
          <cell r="A710" t="str">
            <v>1602200000</v>
          </cell>
          <cell r="B710" t="str">
            <v>Preparaciones y conservas de hígado de cualquier animal</v>
          </cell>
        </row>
        <row r="711">
          <cell r="A711" t="str">
            <v>3301293000</v>
          </cell>
          <cell r="B711" t="str">
            <v>Aceites esenciales de lavanda</v>
          </cell>
        </row>
        <row r="712">
          <cell r="A712" t="str">
            <v>1211600090</v>
          </cell>
          <cell r="B712" t="str">
            <v>Los demás corteza de cerezo africano (prunus africana)</v>
          </cell>
        </row>
        <row r="713">
          <cell r="A713" t="str">
            <v>3201909090</v>
          </cell>
          <cell r="B713" t="str">
            <v>Los demás extractos curtientes de origen vegetal</v>
          </cell>
        </row>
        <row r="714">
          <cell r="A714" t="str">
            <v>5303903000</v>
          </cell>
          <cell r="B714" t="str">
            <v>Yute, en bruto o trabajados</v>
          </cell>
        </row>
        <row r="715">
          <cell r="A715" t="str">
            <v>3503002000</v>
          </cell>
          <cell r="B715" t="str">
            <v>Ictiocola; demás colas de origen animal</v>
          </cell>
        </row>
        <row r="716">
          <cell r="A716" t="str">
            <v>2005993900</v>
          </cell>
          <cell r="B716" t="str">
            <v>Los demás frutos de los géneros capsicum o pimienta</v>
          </cell>
        </row>
        <row r="717">
          <cell r="A717" t="str">
            <v>1515600000</v>
          </cell>
          <cell r="B717" t="str">
            <v>Grasas y aceites, de origen microbiano, y sus fracciones</v>
          </cell>
        </row>
        <row r="718">
          <cell r="A718" t="str">
            <v>2304000000</v>
          </cell>
          <cell r="B718" t="str">
            <v>Tortas y demás residuos sólidos de la extracción del aceite de soya</v>
          </cell>
        </row>
        <row r="720">
          <cell r="A720" t="str">
            <v>2207200010</v>
          </cell>
          <cell r="B720" t="str">
            <v>Alcohol etílico y aguardiente desnaturalizados, de cualquier graduación, alcohol carburante</v>
          </cell>
        </row>
        <row r="721">
          <cell r="A721" t="str">
            <v>0402211900</v>
          </cell>
          <cell r="B721" t="str">
            <v>Leche y nata, en polvo, gránulos o demás formas sólidas, contenido de materias grasas superior o igual al 26 % en peso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>
    <tabColor rgb="FFD1FFE6"/>
  </sheetPr>
  <dimension ref="A1:B27"/>
  <sheetViews>
    <sheetView showGridLines="0" topLeftCell="A16" zoomScale="115" zoomScaleNormal="115" workbookViewId="0">
      <selection activeCell="B37" sqref="B37"/>
    </sheetView>
  </sheetViews>
  <sheetFormatPr baseColWidth="10" defaultColWidth="10.7109375" defaultRowHeight="13.5" customHeight="1" x14ac:dyDescent="0.2"/>
  <cols>
    <col min="1" max="1" width="7.42578125" style="228" customWidth="1"/>
    <col min="2" max="2" width="107.7109375" style="228" customWidth="1"/>
    <col min="3" max="16384" width="10.7109375" style="228"/>
  </cols>
  <sheetData>
    <row r="1" spans="1:2" ht="13.5" customHeight="1" x14ac:dyDescent="0.2">
      <c r="A1" s="227" t="s">
        <v>43</v>
      </c>
    </row>
    <row r="10" spans="1:2" ht="15" customHeight="1" x14ac:dyDescent="0.2">
      <c r="A10" s="229" t="s">
        <v>1</v>
      </c>
      <c r="B10" s="230" t="s">
        <v>2</v>
      </c>
    </row>
    <row r="11" spans="1:2" ht="18" customHeight="1" x14ac:dyDescent="0.2">
      <c r="A11" s="231" t="s">
        <v>36</v>
      </c>
      <c r="B11" s="124" t="s">
        <v>357</v>
      </c>
    </row>
    <row r="12" spans="1:2" ht="18" customHeight="1" x14ac:dyDescent="0.2">
      <c r="A12" s="231" t="s">
        <v>37</v>
      </c>
      <c r="B12" s="124" t="s">
        <v>358</v>
      </c>
    </row>
    <row r="13" spans="1:2" ht="18" customHeight="1" x14ac:dyDescent="0.2">
      <c r="A13" s="231" t="s">
        <v>38</v>
      </c>
      <c r="B13" s="124" t="s">
        <v>359</v>
      </c>
    </row>
    <row r="14" spans="1:2" ht="18" customHeight="1" x14ac:dyDescent="0.2">
      <c r="A14" s="231" t="s">
        <v>39</v>
      </c>
      <c r="B14" s="124" t="s">
        <v>360</v>
      </c>
    </row>
    <row r="15" spans="1:2" ht="18" customHeight="1" x14ac:dyDescent="0.2">
      <c r="A15" s="231" t="s">
        <v>40</v>
      </c>
      <c r="B15" s="124" t="s">
        <v>370</v>
      </c>
    </row>
    <row r="16" spans="1:2" ht="18" customHeight="1" x14ac:dyDescent="0.2">
      <c r="A16" s="231" t="s">
        <v>41</v>
      </c>
      <c r="B16" s="124" t="s">
        <v>361</v>
      </c>
    </row>
    <row r="17" spans="1:2" ht="18" customHeight="1" x14ac:dyDescent="0.2">
      <c r="A17" s="231" t="s">
        <v>46</v>
      </c>
      <c r="B17" s="124" t="s">
        <v>338</v>
      </c>
    </row>
    <row r="18" spans="1:2" ht="18" customHeight="1" x14ac:dyDescent="0.2">
      <c r="A18" s="231" t="s">
        <v>47</v>
      </c>
      <c r="B18" s="124" t="s">
        <v>339</v>
      </c>
    </row>
    <row r="19" spans="1:2" ht="18" customHeight="1" x14ac:dyDescent="0.2">
      <c r="A19" s="231" t="s">
        <v>48</v>
      </c>
      <c r="B19" s="124" t="s">
        <v>362</v>
      </c>
    </row>
    <row r="20" spans="1:2" ht="18" customHeight="1" x14ac:dyDescent="0.2">
      <c r="A20" s="231" t="s">
        <v>49</v>
      </c>
      <c r="B20" s="124" t="s">
        <v>363</v>
      </c>
    </row>
    <row r="21" spans="1:2" ht="18" customHeight="1" x14ac:dyDescent="0.2">
      <c r="A21" s="231" t="s">
        <v>15</v>
      </c>
      <c r="B21" s="124" t="s">
        <v>364</v>
      </c>
    </row>
    <row r="22" spans="1:2" ht="18" customHeight="1" x14ac:dyDescent="0.2">
      <c r="A22" s="231" t="s">
        <v>16</v>
      </c>
      <c r="B22" s="124" t="s">
        <v>365</v>
      </c>
    </row>
    <row r="23" spans="1:2" ht="18" customHeight="1" x14ac:dyDescent="0.2">
      <c r="A23" s="231" t="s">
        <v>297</v>
      </c>
      <c r="B23" s="124" t="s">
        <v>368</v>
      </c>
    </row>
    <row r="24" spans="1:2" ht="18" customHeight="1" x14ac:dyDescent="0.2">
      <c r="A24" s="231" t="s">
        <v>298</v>
      </c>
      <c r="B24" s="124" t="s">
        <v>369</v>
      </c>
    </row>
    <row r="25" spans="1:2" ht="18" customHeight="1" x14ac:dyDescent="0.2">
      <c r="A25" s="231" t="s">
        <v>299</v>
      </c>
      <c r="B25" s="124" t="s">
        <v>366</v>
      </c>
    </row>
    <row r="26" spans="1:2" ht="18" customHeight="1" x14ac:dyDescent="0.2">
      <c r="A26" s="231" t="s">
        <v>300</v>
      </c>
      <c r="B26" s="124" t="s">
        <v>367</v>
      </c>
    </row>
    <row r="27" spans="1:2" ht="13.5" customHeight="1" x14ac:dyDescent="0.2">
      <c r="B27" s="232"/>
    </row>
  </sheetData>
  <phoneticPr fontId="11" type="noConversion"/>
  <pageMargins left="0.70866141732283472" right="0.70866141732283472" top="0.74803149606299213" bottom="0.74803149606299213" header="0.31496062992125984" footer="0.31496062992125984"/>
  <pageSetup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FFFCC"/>
  </sheetPr>
  <dimension ref="A1:M21"/>
  <sheetViews>
    <sheetView showGridLines="0" zoomScaleNormal="100" zoomScalePageLayoutView="120" workbookViewId="0">
      <selection sqref="A1:H18"/>
    </sheetView>
  </sheetViews>
  <sheetFormatPr baseColWidth="10" defaultColWidth="10.85546875" defaultRowHeight="12.75" x14ac:dyDescent="0.2"/>
  <cols>
    <col min="1" max="1" width="15.7109375" style="43" customWidth="1"/>
    <col min="2" max="7" width="7.42578125" style="43" customWidth="1"/>
    <col min="8" max="8" width="7.42578125" style="114" customWidth="1"/>
    <col min="9" max="9" width="10.85546875" style="138"/>
    <col min="10" max="10" width="10.85546875" style="114"/>
    <col min="11" max="16384" width="10.85546875" style="43"/>
  </cols>
  <sheetData>
    <row r="1" spans="1:13" ht="15" customHeight="1" x14ac:dyDescent="0.25">
      <c r="A1" s="92" t="s">
        <v>371</v>
      </c>
      <c r="B1" s="4"/>
      <c r="C1" s="4"/>
      <c r="D1" s="4"/>
      <c r="E1" s="3"/>
      <c r="F1" s="3"/>
      <c r="G1" s="3"/>
      <c r="H1" s="115"/>
    </row>
    <row r="2" spans="1:13" ht="3" customHeight="1" x14ac:dyDescent="0.25">
      <c r="A2" s="3"/>
      <c r="B2" s="4"/>
      <c r="C2" s="4"/>
      <c r="D2" s="4"/>
      <c r="E2" s="4"/>
      <c r="F2" s="3"/>
      <c r="G2" s="3"/>
      <c r="H2" s="115"/>
    </row>
    <row r="3" spans="1:13" ht="13.5" customHeight="1" x14ac:dyDescent="0.2">
      <c r="A3" s="256" t="s">
        <v>28</v>
      </c>
      <c r="B3" s="258" t="s">
        <v>27</v>
      </c>
      <c r="C3" s="259"/>
      <c r="D3" s="259"/>
      <c r="E3" s="259"/>
      <c r="F3" s="259"/>
      <c r="G3" s="260"/>
      <c r="H3" s="193" t="s">
        <v>29</v>
      </c>
    </row>
    <row r="4" spans="1:13" x14ac:dyDescent="0.2">
      <c r="A4" s="257"/>
      <c r="B4" s="194">
        <v>2020</v>
      </c>
      <c r="C4" s="194">
        <v>2021</v>
      </c>
      <c r="D4" s="194">
        <v>2022</v>
      </c>
      <c r="E4" s="194">
        <v>2023</v>
      </c>
      <c r="F4" s="194">
        <v>2024</v>
      </c>
      <c r="G4" s="194" t="s">
        <v>315</v>
      </c>
      <c r="H4" s="195" t="s">
        <v>316</v>
      </c>
    </row>
    <row r="5" spans="1:13" ht="8.1" customHeight="1" x14ac:dyDescent="0.25">
      <c r="A5" s="54"/>
      <c r="B5" s="54"/>
      <c r="C5" s="54"/>
      <c r="D5" s="54"/>
      <c r="E5" s="54"/>
      <c r="F5" s="54"/>
      <c r="G5" s="54"/>
      <c r="H5" s="115"/>
    </row>
    <row r="6" spans="1:13" ht="13.5" x14ac:dyDescent="0.25">
      <c r="A6" s="196" t="s">
        <v>50</v>
      </c>
      <c r="B6" s="6"/>
      <c r="C6" s="7"/>
      <c r="D6" s="7"/>
      <c r="E6" s="7"/>
      <c r="F6" s="7"/>
      <c r="G6" s="7"/>
      <c r="H6" s="115"/>
    </row>
    <row r="7" spans="1:13" ht="13.5" x14ac:dyDescent="0.25">
      <c r="A7" s="73" t="s">
        <v>54</v>
      </c>
      <c r="B7" s="110">
        <v>3439289.5792759992</v>
      </c>
      <c r="C7" s="110">
        <v>3709836.4191739974</v>
      </c>
      <c r="D7" s="110">
        <v>4084344.6563290088</v>
      </c>
      <c r="E7" s="110">
        <v>3908566.5896949959</v>
      </c>
      <c r="F7" s="110">
        <v>3745801.4936829996</v>
      </c>
      <c r="G7" s="110">
        <v>4573152.271549996</v>
      </c>
      <c r="H7" s="164">
        <f>(G7/F7-1)</f>
        <v>0.22087416518527703</v>
      </c>
      <c r="J7" s="110"/>
      <c r="K7" s="110"/>
      <c r="L7" s="110"/>
      <c r="M7" s="110"/>
    </row>
    <row r="8" spans="1:13" ht="13.5" x14ac:dyDescent="0.25">
      <c r="A8" s="73" t="s">
        <v>56</v>
      </c>
      <c r="B8" s="110">
        <v>5937096.4635399925</v>
      </c>
      <c r="C8" s="110">
        <v>6913347.4776999988</v>
      </c>
      <c r="D8" s="110">
        <v>8067670.4196299938</v>
      </c>
      <c r="E8" s="110">
        <v>7906796.2111999989</v>
      </c>
      <c r="F8" s="110">
        <v>9669857.0861100014</v>
      </c>
      <c r="G8" s="110">
        <v>11569136.771910004</v>
      </c>
      <c r="H8" s="164">
        <f>(G8/F8-1)</f>
        <v>0.19641238426658547</v>
      </c>
      <c r="J8" s="110"/>
      <c r="K8" s="110"/>
      <c r="L8" s="110"/>
    </row>
    <row r="9" spans="1:13" ht="14.25" customHeight="1" x14ac:dyDescent="0.25">
      <c r="A9" s="2"/>
      <c r="C9" s="110"/>
      <c r="E9" s="112"/>
      <c r="F9" s="111"/>
      <c r="G9" s="111"/>
      <c r="H9" s="165"/>
      <c r="J9" s="110"/>
    </row>
    <row r="10" spans="1:13" ht="13.5" x14ac:dyDescent="0.25">
      <c r="A10" s="196" t="s">
        <v>51</v>
      </c>
      <c r="B10" s="113"/>
      <c r="C10" s="113"/>
      <c r="D10" s="113"/>
      <c r="E10" s="110"/>
      <c r="F10" s="110"/>
      <c r="G10" s="110"/>
      <c r="H10" s="165"/>
      <c r="J10" s="110"/>
    </row>
    <row r="11" spans="1:13" ht="13.5" x14ac:dyDescent="0.25">
      <c r="A11" s="73" t="s">
        <v>54</v>
      </c>
      <c r="B11" s="110">
        <v>8864094.0081180036</v>
      </c>
      <c r="C11" s="110">
        <v>8774755.1156709976</v>
      </c>
      <c r="D11" s="110">
        <v>8370129.9914920041</v>
      </c>
      <c r="E11" s="110">
        <v>8131179.887740002</v>
      </c>
      <c r="F11" s="110">
        <v>9128071.4798080027</v>
      </c>
      <c r="G11" s="110">
        <v>10104299.416263005</v>
      </c>
      <c r="H11" s="164">
        <f>(G11/F11-1)</f>
        <v>0.10694788473277117</v>
      </c>
      <c r="J11" s="110"/>
    </row>
    <row r="12" spans="1:13" ht="13.5" x14ac:dyDescent="0.25">
      <c r="A12" s="144" t="s">
        <v>55</v>
      </c>
      <c r="B12" s="145">
        <v>4217158.9896569988</v>
      </c>
      <c r="C12" s="145">
        <v>5478269.1032240037</v>
      </c>
      <c r="D12" s="145">
        <v>6398202.0262370026</v>
      </c>
      <c r="E12" s="145">
        <v>5761764.4902409995</v>
      </c>
      <c r="F12" s="145">
        <v>5667779.155317001</v>
      </c>
      <c r="G12" s="145">
        <v>6169914.4130760031</v>
      </c>
      <c r="H12" s="164">
        <f>(G12/F12-1)</f>
        <v>8.8594711261454906E-2</v>
      </c>
    </row>
    <row r="13" spans="1:13" ht="7.5" customHeight="1" x14ac:dyDescent="0.25">
      <c r="A13" s="136"/>
      <c r="B13" s="143"/>
      <c r="C13" s="143"/>
      <c r="D13" s="143"/>
      <c r="E13" s="143"/>
      <c r="F13" s="143"/>
      <c r="G13" s="143"/>
      <c r="H13" s="146"/>
    </row>
    <row r="14" spans="1:13" ht="9.75" customHeight="1" x14ac:dyDescent="0.25">
      <c r="A14" s="8" t="s">
        <v>44</v>
      </c>
      <c r="B14" s="9"/>
      <c r="C14" s="9"/>
      <c r="D14" s="9"/>
      <c r="E14" s="9"/>
      <c r="F14" s="9"/>
      <c r="G14" s="9"/>
      <c r="H14" s="115"/>
    </row>
    <row r="15" spans="1:13" ht="9.75" customHeight="1" x14ac:dyDescent="0.25">
      <c r="A15" s="11" t="s">
        <v>20</v>
      </c>
      <c r="B15" s="9"/>
      <c r="C15" s="9"/>
      <c r="D15" s="9"/>
      <c r="E15" s="9"/>
      <c r="F15" s="9"/>
      <c r="G15" s="9"/>
      <c r="H15" s="115"/>
    </row>
    <row r="16" spans="1:13" ht="9.75" customHeight="1" x14ac:dyDescent="0.25">
      <c r="A16" s="214" t="s">
        <v>348</v>
      </c>
      <c r="B16" s="11"/>
      <c r="C16" s="11"/>
      <c r="D16" s="11"/>
      <c r="E16" s="11"/>
      <c r="F16" s="11"/>
      <c r="G16" s="11"/>
      <c r="H16" s="115"/>
    </row>
    <row r="17" spans="1:10" ht="9.75" customHeight="1" x14ac:dyDescent="0.25">
      <c r="A17" s="215" t="s">
        <v>349</v>
      </c>
      <c r="B17" s="9"/>
      <c r="C17" s="9"/>
      <c r="D17" s="9"/>
      <c r="E17" s="9"/>
      <c r="F17" s="9"/>
      <c r="G17" s="9"/>
      <c r="H17" s="115"/>
    </row>
    <row r="18" spans="1:10" s="3" customFormat="1" x14ac:dyDescent="0.25">
      <c r="B18" s="5"/>
      <c r="C18" s="121"/>
      <c r="D18" s="121"/>
      <c r="E18" s="121"/>
      <c r="F18" s="142"/>
      <c r="G18" s="142"/>
      <c r="H18" s="115"/>
      <c r="I18" s="139"/>
      <c r="J18" s="115"/>
    </row>
    <row r="19" spans="1:10" s="3" customFormat="1" x14ac:dyDescent="0.25">
      <c r="B19" s="5"/>
      <c r="C19" s="55"/>
      <c r="D19" s="121"/>
      <c r="E19" s="121"/>
      <c r="F19" s="121"/>
      <c r="G19" s="121"/>
      <c r="H19" s="115"/>
      <c r="I19" s="139"/>
      <c r="J19" s="115"/>
    </row>
    <row r="20" spans="1:10" s="3" customFormat="1" x14ac:dyDescent="0.25">
      <c r="H20" s="115"/>
      <c r="I20" s="139"/>
      <c r="J20" s="115"/>
    </row>
    <row r="21" spans="1:10" s="3" customFormat="1" x14ac:dyDescent="0.25">
      <c r="H21" s="115"/>
      <c r="I21" s="139"/>
      <c r="J21" s="115"/>
    </row>
  </sheetData>
  <mergeCells count="2">
    <mergeCell ref="A3:A4"/>
    <mergeCell ref="B3:G3"/>
  </mergeCells>
  <phoneticPr fontId="8" type="noConversion"/>
  <pageMargins left="0.75" right="0.75" top="1" bottom="1" header="0" footer="0"/>
  <pageSetup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FFFFCC"/>
  </sheetPr>
  <dimension ref="A1:H60"/>
  <sheetViews>
    <sheetView showGridLines="0" zoomScaleNormal="100" zoomScalePageLayoutView="120" workbookViewId="0">
      <selection activeCell="B17" sqref="B17"/>
    </sheetView>
  </sheetViews>
  <sheetFormatPr baseColWidth="10" defaultColWidth="11.42578125" defaultRowHeight="13.5" x14ac:dyDescent="0.2"/>
  <cols>
    <col min="1" max="1" width="8.28515625" style="15" customWidth="1"/>
    <col min="2" max="2" width="47" style="15" customWidth="1"/>
    <col min="3" max="4" width="8.140625" style="15" customWidth="1"/>
    <col min="5" max="5" width="7.140625" style="15" customWidth="1"/>
    <col min="6" max="6" width="11.42578125" style="15"/>
    <col min="7" max="7" width="11.42578125" style="124"/>
    <col min="8" max="16384" width="11.42578125" style="15"/>
  </cols>
  <sheetData>
    <row r="1" spans="1:8" ht="14.1" customHeight="1" x14ac:dyDescent="0.25">
      <c r="A1" s="69" t="s">
        <v>301</v>
      </c>
    </row>
    <row r="2" spans="1:8" s="83" customFormat="1" x14ac:dyDescent="0.2">
      <c r="A2" s="83" t="s">
        <v>353</v>
      </c>
      <c r="F2" s="15"/>
      <c r="G2" s="127"/>
    </row>
    <row r="3" spans="1:8" ht="3" customHeight="1" x14ac:dyDescent="0.2">
      <c r="A3" s="1"/>
      <c r="B3" s="1"/>
      <c r="C3" s="1"/>
      <c r="D3" s="1"/>
      <c r="E3" s="1"/>
    </row>
    <row r="4" spans="1:8" s="16" customFormat="1" ht="13.35" customHeight="1" x14ac:dyDescent="0.2">
      <c r="A4" s="266" t="s">
        <v>17</v>
      </c>
      <c r="B4" s="268" t="s">
        <v>19</v>
      </c>
      <c r="C4" s="264" t="s">
        <v>56</v>
      </c>
      <c r="D4" s="265"/>
      <c r="E4" s="261" t="s">
        <v>327</v>
      </c>
      <c r="G4" s="125"/>
    </row>
    <row r="5" spans="1:8" s="16" customFormat="1" ht="13.35" customHeight="1" x14ac:dyDescent="0.2">
      <c r="A5" s="267"/>
      <c r="B5" s="269"/>
      <c r="C5" s="176">
        <v>2024</v>
      </c>
      <c r="D5" s="177" t="s">
        <v>315</v>
      </c>
      <c r="E5" s="262"/>
      <c r="G5" s="125"/>
    </row>
    <row r="6" spans="1:8" s="16" customFormat="1" ht="5.0999999999999996" customHeight="1" x14ac:dyDescent="0.2">
      <c r="A6" s="85"/>
      <c r="B6" s="86"/>
      <c r="C6" s="87"/>
      <c r="D6" s="75"/>
      <c r="E6" s="88"/>
      <c r="G6" s="125"/>
    </row>
    <row r="7" spans="1:8" ht="15.75" customHeight="1" x14ac:dyDescent="0.2">
      <c r="A7" s="263" t="s">
        <v>21</v>
      </c>
      <c r="B7" s="263"/>
      <c r="C7" s="197">
        <v>9669857.0861100014</v>
      </c>
      <c r="D7" s="197">
        <v>11569136.771910004</v>
      </c>
      <c r="E7" s="198">
        <v>0.19641238426658547</v>
      </c>
      <c r="F7" s="16"/>
      <c r="G7" s="125"/>
    </row>
    <row r="8" spans="1:8" s="83" customFormat="1" ht="4.3499999999999996" customHeight="1" x14ac:dyDescent="0.2">
      <c r="A8" s="12"/>
      <c r="B8" s="13"/>
      <c r="C8" s="96"/>
      <c r="D8" s="96"/>
      <c r="E8" s="55"/>
      <c r="G8" s="125"/>
      <c r="H8" s="15"/>
    </row>
    <row r="9" spans="1:8" ht="13.5" customHeight="1" x14ac:dyDescent="0.2">
      <c r="A9" s="12" t="s">
        <v>68</v>
      </c>
      <c r="B9" s="13" t="s">
        <v>333</v>
      </c>
      <c r="C9" s="97">
        <v>1615379.5938399965</v>
      </c>
      <c r="D9" s="97">
        <v>1805585.475910001</v>
      </c>
      <c r="E9" s="166">
        <v>0.11774686444927585</v>
      </c>
      <c r="G9" s="125"/>
    </row>
    <row r="10" spans="1:8" ht="13.5" customHeight="1" x14ac:dyDescent="0.2">
      <c r="A10" s="12" t="s">
        <v>63</v>
      </c>
      <c r="B10" s="13" t="s">
        <v>228</v>
      </c>
      <c r="C10" s="97">
        <v>1237699.1469499993</v>
      </c>
      <c r="D10" s="97">
        <v>1352760.3161599964</v>
      </c>
      <c r="E10" s="166">
        <v>9.2963762230536151E-2</v>
      </c>
      <c r="G10" s="125"/>
    </row>
    <row r="11" spans="1:8" ht="13.5" customHeight="1" x14ac:dyDescent="0.2">
      <c r="A11" s="12" t="s">
        <v>9</v>
      </c>
      <c r="B11" s="13" t="s">
        <v>326</v>
      </c>
      <c r="C11" s="97">
        <v>917574.71141999867</v>
      </c>
      <c r="D11" s="97">
        <v>1317946.38598</v>
      </c>
      <c r="E11" s="166">
        <v>0.43633686671726557</v>
      </c>
      <c r="G11" s="125"/>
    </row>
    <row r="12" spans="1:8" ht="13.5" customHeight="1" x14ac:dyDescent="0.2">
      <c r="A12" s="12" t="s">
        <v>10</v>
      </c>
      <c r="B12" s="13" t="s">
        <v>203</v>
      </c>
      <c r="C12" s="97">
        <v>689656.49501999957</v>
      </c>
      <c r="D12" s="97">
        <v>863999.1890899979</v>
      </c>
      <c r="E12" s="166">
        <v>0.2527964215938292</v>
      </c>
      <c r="G12" s="125"/>
    </row>
    <row r="13" spans="1:8" ht="13.5" customHeight="1" x14ac:dyDescent="0.2">
      <c r="A13" s="12" t="s">
        <v>69</v>
      </c>
      <c r="B13" s="13" t="s">
        <v>317</v>
      </c>
      <c r="C13" s="97">
        <v>652663.10816999921</v>
      </c>
      <c r="D13" s="97">
        <v>844489.91815999954</v>
      </c>
      <c r="E13" s="166">
        <v>0.29391397734715419</v>
      </c>
      <c r="G13" s="125"/>
    </row>
    <row r="14" spans="1:8" ht="13.5" customHeight="1" x14ac:dyDescent="0.2">
      <c r="A14" s="12" t="s">
        <v>12</v>
      </c>
      <c r="B14" s="13" t="s">
        <v>292</v>
      </c>
      <c r="C14" s="97">
        <v>304479.45983999973</v>
      </c>
      <c r="D14" s="97">
        <v>304954.10213000054</v>
      </c>
      <c r="E14" s="166">
        <v>1.5588647268693911E-3</v>
      </c>
      <c r="G14" s="125"/>
    </row>
    <row r="15" spans="1:8" ht="13.5" customHeight="1" x14ac:dyDescent="0.2">
      <c r="A15" s="12" t="s">
        <v>67</v>
      </c>
      <c r="B15" s="13" t="s">
        <v>340</v>
      </c>
      <c r="C15" s="97">
        <v>251270.42545000033</v>
      </c>
      <c r="D15" s="97">
        <v>244469.91661000048</v>
      </c>
      <c r="E15" s="166">
        <v>-2.7064501633333182E-2</v>
      </c>
      <c r="G15" s="125"/>
    </row>
    <row r="16" spans="1:8" s="83" customFormat="1" ht="19.5" customHeight="1" x14ac:dyDescent="0.2">
      <c r="A16" s="12" t="s">
        <v>11</v>
      </c>
      <c r="B16" s="13" t="s">
        <v>204</v>
      </c>
      <c r="C16" s="97">
        <v>198195.85169000024</v>
      </c>
      <c r="D16" s="97">
        <v>239677.28384000025</v>
      </c>
      <c r="E16" s="166">
        <v>0.2092951582805147</v>
      </c>
      <c r="G16" s="125"/>
    </row>
    <row r="17" spans="1:7" ht="13.5" customHeight="1" x14ac:dyDescent="0.2">
      <c r="A17" s="12" t="s">
        <v>35</v>
      </c>
      <c r="B17" s="13" t="s">
        <v>347</v>
      </c>
      <c r="C17" s="97">
        <v>186585.59068999995</v>
      </c>
      <c r="D17" s="97">
        <v>176909.05710000003</v>
      </c>
      <c r="E17" s="166">
        <v>-5.1861097924098876E-2</v>
      </c>
      <c r="G17" s="140"/>
    </row>
    <row r="18" spans="1:7" ht="13.5" customHeight="1" x14ac:dyDescent="0.2">
      <c r="A18" s="12" t="s">
        <v>91</v>
      </c>
      <c r="B18" s="13" t="s">
        <v>345</v>
      </c>
      <c r="C18" s="97">
        <v>92841.661549999961</v>
      </c>
      <c r="D18" s="97">
        <v>157843.7543399999</v>
      </c>
      <c r="E18" s="166">
        <v>0.70013926619562916</v>
      </c>
      <c r="G18" s="140"/>
    </row>
    <row r="19" spans="1:7" s="83" customFormat="1" ht="13.5" customHeight="1" x14ac:dyDescent="0.2">
      <c r="A19" s="12" t="s">
        <v>61</v>
      </c>
      <c r="B19" s="13" t="s">
        <v>231</v>
      </c>
      <c r="C19" s="97">
        <v>57906.236719999964</v>
      </c>
      <c r="D19" s="97">
        <v>148447.77687999984</v>
      </c>
      <c r="E19" s="166">
        <v>1.5635887477510373</v>
      </c>
      <c r="G19" s="140"/>
    </row>
    <row r="20" spans="1:7" s="83" customFormat="1" ht="13.5" customHeight="1" x14ac:dyDescent="0.2">
      <c r="A20" s="12" t="s">
        <v>100</v>
      </c>
      <c r="B20" s="13" t="s">
        <v>342</v>
      </c>
      <c r="C20" s="97">
        <v>74496.630450000026</v>
      </c>
      <c r="D20" s="97">
        <v>140733.83261999997</v>
      </c>
      <c r="E20" s="166">
        <v>0.88913017635685465</v>
      </c>
      <c r="G20" s="127"/>
    </row>
    <row r="21" spans="1:7" s="83" customFormat="1" ht="7.35" customHeight="1" x14ac:dyDescent="0.2">
      <c r="A21" s="12"/>
      <c r="B21" s="13"/>
      <c r="C21" s="14"/>
      <c r="D21" s="14"/>
      <c r="E21" s="55"/>
      <c r="G21" s="127"/>
    </row>
    <row r="22" spans="1:7" s="83" customFormat="1" ht="15.75" customHeight="1" x14ac:dyDescent="0.2">
      <c r="A22" s="263" t="s">
        <v>52</v>
      </c>
      <c r="B22" s="263"/>
      <c r="C22" s="197">
        <v>5219975.2744929967</v>
      </c>
      <c r="D22" s="197">
        <v>5695557.0584270116</v>
      </c>
      <c r="E22" s="198">
        <v>9.1108052993643218E-2</v>
      </c>
      <c r="G22" s="127"/>
    </row>
    <row r="23" spans="1:7" s="83" customFormat="1" ht="6.75" customHeight="1" x14ac:dyDescent="0.2">
      <c r="A23" s="12"/>
      <c r="B23" s="13"/>
      <c r="C23" s="14"/>
      <c r="D23" s="14"/>
      <c r="E23" s="55"/>
      <c r="G23" s="127"/>
    </row>
    <row r="24" spans="1:7" ht="13.5" customHeight="1" x14ac:dyDescent="0.2">
      <c r="A24" s="12" t="s">
        <v>68</v>
      </c>
      <c r="B24" s="13" t="s">
        <v>333</v>
      </c>
      <c r="C24" s="97">
        <v>0</v>
      </c>
      <c r="D24" s="97">
        <v>0</v>
      </c>
      <c r="E24" s="97">
        <v>0</v>
      </c>
      <c r="G24" s="127"/>
    </row>
    <row r="25" spans="1:7" ht="13.5" customHeight="1" x14ac:dyDescent="0.2">
      <c r="A25" s="12" t="s">
        <v>63</v>
      </c>
      <c r="B25" s="13" t="s">
        <v>228</v>
      </c>
      <c r="C25" s="97">
        <v>248.4</v>
      </c>
      <c r="D25" s="97">
        <v>0</v>
      </c>
      <c r="E25" s="97">
        <v>0</v>
      </c>
      <c r="F25" s="14"/>
      <c r="G25" s="127"/>
    </row>
    <row r="26" spans="1:7" ht="13.5" customHeight="1" x14ac:dyDescent="0.2">
      <c r="A26" s="12" t="s">
        <v>9</v>
      </c>
      <c r="B26" s="13" t="s">
        <v>326</v>
      </c>
      <c r="C26" s="97">
        <v>0</v>
      </c>
      <c r="D26" s="97">
        <v>0</v>
      </c>
      <c r="E26" s="97">
        <v>0</v>
      </c>
      <c r="F26" s="14"/>
      <c r="G26" s="127"/>
    </row>
    <row r="27" spans="1:7" ht="13.5" customHeight="1" x14ac:dyDescent="0.2">
      <c r="A27" s="12" t="s">
        <v>10</v>
      </c>
      <c r="B27" s="13" t="s">
        <v>203</v>
      </c>
      <c r="C27" s="97">
        <v>146.44900000000001</v>
      </c>
      <c r="D27" s="97">
        <v>25.11</v>
      </c>
      <c r="E27" s="166">
        <v>-0.82854099379306112</v>
      </c>
      <c r="F27" s="14"/>
      <c r="G27" s="127"/>
    </row>
    <row r="28" spans="1:7" ht="13.5" customHeight="1" x14ac:dyDescent="0.2">
      <c r="A28" s="12" t="s">
        <v>69</v>
      </c>
      <c r="B28" s="13" t="s">
        <v>317</v>
      </c>
      <c r="C28" s="97">
        <v>561.68959999999993</v>
      </c>
      <c r="D28" s="97">
        <v>15936.50171</v>
      </c>
      <c r="E28" s="166">
        <v>27.372435078021745</v>
      </c>
      <c r="F28" s="14"/>
      <c r="G28" s="127"/>
    </row>
    <row r="29" spans="1:7" ht="13.5" customHeight="1" x14ac:dyDescent="0.2">
      <c r="A29" s="12" t="s">
        <v>12</v>
      </c>
      <c r="B29" s="13" t="s">
        <v>292</v>
      </c>
      <c r="C29" s="97">
        <v>0</v>
      </c>
      <c r="D29" s="97">
        <v>0.71456399999999998</v>
      </c>
      <c r="E29" s="97">
        <v>0</v>
      </c>
      <c r="F29" s="14"/>
      <c r="G29" s="127"/>
    </row>
    <row r="30" spans="1:7" ht="13.5" customHeight="1" x14ac:dyDescent="0.2">
      <c r="A30" s="12" t="s">
        <v>67</v>
      </c>
      <c r="B30" s="13" t="s">
        <v>340</v>
      </c>
      <c r="C30" s="97">
        <v>0</v>
      </c>
      <c r="D30" s="97">
        <v>0</v>
      </c>
      <c r="E30" s="97">
        <v>0</v>
      </c>
      <c r="F30" s="14"/>
      <c r="G30" s="127"/>
    </row>
    <row r="31" spans="1:7" s="83" customFormat="1" ht="13.5" customHeight="1" x14ac:dyDescent="0.2">
      <c r="A31" s="12" t="s">
        <v>11</v>
      </c>
      <c r="B31" s="13" t="s">
        <v>204</v>
      </c>
      <c r="C31" s="97">
        <v>36.9011</v>
      </c>
      <c r="D31" s="97">
        <v>18.470863999999999</v>
      </c>
      <c r="E31" s="166">
        <v>-0.49944950150537526</v>
      </c>
      <c r="F31" s="14"/>
      <c r="G31" s="127"/>
    </row>
    <row r="32" spans="1:7" ht="13.5" customHeight="1" x14ac:dyDescent="0.2">
      <c r="A32" s="12" t="s">
        <v>35</v>
      </c>
      <c r="B32" s="13" t="s">
        <v>347</v>
      </c>
      <c r="C32" s="97">
        <v>86229.95466699994</v>
      </c>
      <c r="D32" s="97">
        <v>98194.927356000015</v>
      </c>
      <c r="E32" s="166">
        <v>0.13875656939872028</v>
      </c>
      <c r="F32" s="14"/>
      <c r="G32" s="127"/>
    </row>
    <row r="33" spans="1:7" ht="13.5" customHeight="1" x14ac:dyDescent="0.2">
      <c r="A33" s="12" t="s">
        <v>91</v>
      </c>
      <c r="B33" s="13" t="s">
        <v>345</v>
      </c>
      <c r="C33" s="97">
        <v>418.74447000000009</v>
      </c>
      <c r="D33" s="97">
        <v>642.24485700000002</v>
      </c>
      <c r="E33" s="166">
        <v>0.53373931600816094</v>
      </c>
      <c r="F33" s="14"/>
      <c r="G33" s="127"/>
    </row>
    <row r="34" spans="1:7" s="83" customFormat="1" ht="13.5" customHeight="1" x14ac:dyDescent="0.2">
      <c r="A34" s="12" t="s">
        <v>61</v>
      </c>
      <c r="B34" s="13" t="s">
        <v>231</v>
      </c>
      <c r="C34" s="97">
        <v>0</v>
      </c>
      <c r="D34" s="97">
        <v>0</v>
      </c>
      <c r="E34" s="97">
        <v>0</v>
      </c>
      <c r="F34" s="14"/>
      <c r="G34" s="127"/>
    </row>
    <row r="35" spans="1:7" s="83" customFormat="1" ht="13.5" customHeight="1" x14ac:dyDescent="0.2">
      <c r="A35" s="12" t="s">
        <v>100</v>
      </c>
      <c r="B35" s="13" t="s">
        <v>342</v>
      </c>
      <c r="C35" s="97">
        <v>12228.826580000003</v>
      </c>
      <c r="D35" s="97">
        <v>11668.972299999999</v>
      </c>
      <c r="E35" s="166">
        <v>-4.5781520928233066E-2</v>
      </c>
      <c r="F35" s="14"/>
      <c r="G35" s="127"/>
    </row>
    <row r="36" spans="1:7" s="83" customFormat="1" ht="6" customHeight="1" x14ac:dyDescent="0.2">
      <c r="A36" s="12"/>
      <c r="B36" s="13"/>
      <c r="C36" s="97"/>
      <c r="D36" s="97"/>
      <c r="E36" s="55"/>
      <c r="G36" s="127"/>
    </row>
    <row r="37" spans="1:7" s="83" customFormat="1" ht="15.75" customHeight="1" x14ac:dyDescent="0.2">
      <c r="A37" s="263" t="s">
        <v>3</v>
      </c>
      <c r="B37" s="263"/>
      <c r="C37" s="197">
        <v>4449881.8116170047</v>
      </c>
      <c r="D37" s="197">
        <v>5873579.7134829927</v>
      </c>
      <c r="E37" s="198">
        <v>0.31994061014142816</v>
      </c>
      <c r="G37" s="127"/>
    </row>
    <row r="38" spans="1:7" s="83" customFormat="1" ht="6.6" customHeight="1" x14ac:dyDescent="0.2">
      <c r="A38" s="78"/>
      <c r="B38" s="78"/>
      <c r="C38" s="98"/>
      <c r="D38" s="98"/>
      <c r="E38" s="55"/>
      <c r="G38" s="127"/>
    </row>
    <row r="39" spans="1:7" s="83" customFormat="1" ht="13.5" customHeight="1" x14ac:dyDescent="0.2">
      <c r="A39" s="12" t="s">
        <v>68</v>
      </c>
      <c r="B39" s="13" t="s">
        <v>333</v>
      </c>
      <c r="C39" s="97">
        <v>1615379.5938399965</v>
      </c>
      <c r="D39" s="97">
        <v>1805585.475910001</v>
      </c>
      <c r="E39" s="166">
        <v>0.11774686444927585</v>
      </c>
      <c r="G39" s="127"/>
    </row>
    <row r="40" spans="1:7" ht="13.5" customHeight="1" x14ac:dyDescent="0.2">
      <c r="A40" s="12" t="s">
        <v>63</v>
      </c>
      <c r="B40" s="13" t="s">
        <v>228</v>
      </c>
      <c r="C40" s="97">
        <v>1237450.7469499994</v>
      </c>
      <c r="D40" s="97">
        <v>1352760.3161599964</v>
      </c>
      <c r="E40" s="166">
        <v>9.318315859779136E-2</v>
      </c>
    </row>
    <row r="41" spans="1:7" ht="13.5" customHeight="1" x14ac:dyDescent="0.2">
      <c r="A41" s="12" t="s">
        <v>9</v>
      </c>
      <c r="B41" s="13" t="s">
        <v>326</v>
      </c>
      <c r="C41" s="97">
        <v>917574.71141999867</v>
      </c>
      <c r="D41" s="97">
        <v>1317946.38598</v>
      </c>
      <c r="E41" s="166">
        <v>0.43633686671726557</v>
      </c>
    </row>
    <row r="42" spans="1:7" ht="13.5" customHeight="1" x14ac:dyDescent="0.2">
      <c r="A42" s="12" t="s">
        <v>10</v>
      </c>
      <c r="B42" s="13" t="s">
        <v>203</v>
      </c>
      <c r="C42" s="97">
        <v>689510.04601999954</v>
      </c>
      <c r="D42" s="97">
        <v>863974.07908999792</v>
      </c>
      <c r="E42" s="166">
        <v>0.25302609305990886</v>
      </c>
    </row>
    <row r="43" spans="1:7" ht="13.5" customHeight="1" x14ac:dyDescent="0.2">
      <c r="A43" s="12" t="s">
        <v>69</v>
      </c>
      <c r="B43" s="13" t="s">
        <v>317</v>
      </c>
      <c r="C43" s="97">
        <v>652101.41856999916</v>
      </c>
      <c r="D43" s="97">
        <v>828553.41644999955</v>
      </c>
      <c r="E43" s="166">
        <v>0.27058980835671864</v>
      </c>
    </row>
    <row r="44" spans="1:7" ht="13.5" customHeight="1" x14ac:dyDescent="0.2">
      <c r="A44" s="12" t="s">
        <v>12</v>
      </c>
      <c r="B44" s="13" t="s">
        <v>292</v>
      </c>
      <c r="C44" s="97">
        <v>304479.45983999973</v>
      </c>
      <c r="D44" s="97">
        <v>304953.38756600051</v>
      </c>
      <c r="E44" s="166">
        <v>1.5565178887595454E-3</v>
      </c>
    </row>
    <row r="45" spans="1:7" ht="13.5" customHeight="1" x14ac:dyDescent="0.2">
      <c r="A45" s="12" t="s">
        <v>67</v>
      </c>
      <c r="B45" s="13" t="s">
        <v>340</v>
      </c>
      <c r="C45" s="97">
        <v>251270.42545000033</v>
      </c>
      <c r="D45" s="97">
        <v>244469.91661000048</v>
      </c>
      <c r="E45" s="166">
        <v>-2.7064501633333182E-2</v>
      </c>
    </row>
    <row r="46" spans="1:7" ht="13.5" customHeight="1" x14ac:dyDescent="0.2">
      <c r="A46" s="12" t="s">
        <v>11</v>
      </c>
      <c r="B46" s="13" t="s">
        <v>204</v>
      </c>
      <c r="C46" s="97">
        <v>198158.95059000026</v>
      </c>
      <c r="D46" s="97">
        <v>239658.81297600025</v>
      </c>
      <c r="E46" s="166">
        <v>0.20942714049725186</v>
      </c>
    </row>
    <row r="47" spans="1:7" s="83" customFormat="1" ht="13.5" customHeight="1" x14ac:dyDescent="0.2">
      <c r="A47" s="12" t="s">
        <v>35</v>
      </c>
      <c r="B47" s="13" t="s">
        <v>347</v>
      </c>
      <c r="C47" s="97">
        <v>100355.63602300001</v>
      </c>
      <c r="D47" s="97">
        <v>78714.12974400002</v>
      </c>
      <c r="E47" s="166">
        <v>-0.21564814032009205</v>
      </c>
      <c r="G47" s="127"/>
    </row>
    <row r="48" spans="1:7" ht="13.5" customHeight="1" x14ac:dyDescent="0.2">
      <c r="A48" s="12" t="s">
        <v>91</v>
      </c>
      <c r="B48" s="13" t="s">
        <v>345</v>
      </c>
      <c r="C48" s="97">
        <v>92422.917079999956</v>
      </c>
      <c r="D48" s="97">
        <v>157201.50948299989</v>
      </c>
      <c r="E48" s="166">
        <v>0.70089318157885572</v>
      </c>
    </row>
    <row r="49" spans="1:7" ht="13.5" customHeight="1" x14ac:dyDescent="0.2">
      <c r="A49" s="12" t="s">
        <v>61</v>
      </c>
      <c r="B49" s="13" t="s">
        <v>231</v>
      </c>
      <c r="C49" s="97">
        <v>57906.236719999964</v>
      </c>
      <c r="D49" s="97">
        <v>148447.77687999984</v>
      </c>
      <c r="E49" s="166">
        <v>1.5635887477510373</v>
      </c>
    </row>
    <row r="50" spans="1:7" s="83" customFormat="1" ht="13.5" customHeight="1" x14ac:dyDescent="0.2">
      <c r="A50" s="12" t="s">
        <v>100</v>
      </c>
      <c r="B50" s="13" t="s">
        <v>342</v>
      </c>
      <c r="C50" s="97">
        <v>62267.803870000025</v>
      </c>
      <c r="D50" s="97">
        <v>129064.86031999998</v>
      </c>
      <c r="E50" s="166">
        <v>1.0727382740116531</v>
      </c>
      <c r="G50" s="127"/>
    </row>
    <row r="51" spans="1:7" s="83" customFormat="1" ht="2.1" customHeight="1" x14ac:dyDescent="0.2">
      <c r="A51" s="12"/>
      <c r="B51" s="13"/>
      <c r="C51" s="79"/>
      <c r="D51" s="79"/>
      <c r="E51" s="80"/>
      <c r="G51" s="141"/>
    </row>
    <row r="52" spans="1:7" ht="8.1" customHeight="1" x14ac:dyDescent="0.2">
      <c r="A52" s="217" t="s">
        <v>44</v>
      </c>
      <c r="B52" s="218"/>
      <c r="C52" s="219"/>
      <c r="D52" s="219"/>
      <c r="E52" s="220"/>
      <c r="F52" s="21"/>
      <c r="G52" s="126"/>
    </row>
    <row r="53" spans="1:7" ht="7.5" customHeight="1" x14ac:dyDescent="0.2">
      <c r="A53" s="11" t="s">
        <v>20</v>
      </c>
      <c r="B53" s="21"/>
      <c r="C53" s="19"/>
      <c r="D53" s="19"/>
      <c r="E53" s="84"/>
      <c r="F53" s="21"/>
      <c r="G53" s="126"/>
    </row>
    <row r="54" spans="1:7" ht="7.5" customHeight="1" x14ac:dyDescent="0.2">
      <c r="A54" s="214" t="s">
        <v>348</v>
      </c>
      <c r="B54" s="11"/>
      <c r="C54" s="11"/>
      <c r="D54" s="11"/>
      <c r="E54" s="11"/>
      <c r="F54" s="11"/>
      <c r="G54" s="11"/>
    </row>
    <row r="55" spans="1:7" ht="7.5" customHeight="1" x14ac:dyDescent="0.15">
      <c r="A55" s="215" t="s">
        <v>349</v>
      </c>
      <c r="C55" s="22"/>
      <c r="D55" s="22"/>
    </row>
    <row r="56" spans="1:7" x14ac:dyDescent="0.2">
      <c r="C56" s="22"/>
      <c r="D56" s="22"/>
      <c r="E56" s="43"/>
    </row>
    <row r="57" spans="1:7" x14ac:dyDescent="0.2">
      <c r="C57" s="22"/>
      <c r="D57" s="22"/>
    </row>
    <row r="58" spans="1:7" x14ac:dyDescent="0.2">
      <c r="C58" s="22"/>
      <c r="D58" s="22"/>
    </row>
    <row r="59" spans="1:7" x14ac:dyDescent="0.2">
      <c r="C59" s="22"/>
      <c r="D59" s="22"/>
    </row>
    <row r="60" spans="1:7" x14ac:dyDescent="0.2">
      <c r="C60" s="22"/>
      <c r="D60" s="22"/>
    </row>
  </sheetData>
  <mergeCells count="7">
    <mergeCell ref="E4:E5"/>
    <mergeCell ref="A22:B22"/>
    <mergeCell ref="A37:B37"/>
    <mergeCell ref="A7:B7"/>
    <mergeCell ref="C4:D4"/>
    <mergeCell ref="A4:A5"/>
    <mergeCell ref="B4:B5"/>
  </mergeCells>
  <phoneticPr fontId="3" type="noConversion"/>
  <printOptions horizontalCentered="1" verticalCentered="1"/>
  <pageMargins left="0.35433070866141736" right="0.35433070866141736" top="0.39370078740157483" bottom="0.39370078740157483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>
    <tabColor rgb="FFFFFFCC"/>
  </sheetPr>
  <dimension ref="A1:E40"/>
  <sheetViews>
    <sheetView showGridLines="0" topLeftCell="A34" zoomScaleNormal="100" zoomScalePageLayoutView="120" workbookViewId="0">
      <selection sqref="A1:D36"/>
    </sheetView>
  </sheetViews>
  <sheetFormatPr baseColWidth="10" defaultColWidth="11.42578125" defaultRowHeight="13.5" x14ac:dyDescent="0.2"/>
  <cols>
    <col min="1" max="1" width="23.140625" style="15" customWidth="1"/>
    <col min="2" max="3" width="9.7109375" style="15" customWidth="1"/>
    <col min="4" max="4" width="9.85546875" style="15" customWidth="1"/>
    <col min="5" max="5" width="11.42578125" style="124"/>
    <col min="6" max="16384" width="11.42578125" style="15"/>
  </cols>
  <sheetData>
    <row r="1" spans="1:5" ht="15" customHeight="1" x14ac:dyDescent="0.25">
      <c r="A1" s="92" t="s">
        <v>303</v>
      </c>
    </row>
    <row r="2" spans="1:5" x14ac:dyDescent="0.2">
      <c r="A2" s="1" t="s">
        <v>354</v>
      </c>
    </row>
    <row r="3" spans="1:5" ht="3" customHeight="1" x14ac:dyDescent="0.2">
      <c r="B3" s="30"/>
      <c r="C3" s="30"/>
      <c r="D3" s="30"/>
    </row>
    <row r="4" spans="1:5" s="16" customFormat="1" ht="14.1" customHeight="1" x14ac:dyDescent="0.2">
      <c r="A4" s="271" t="s">
        <v>24</v>
      </c>
      <c r="B4" s="270" t="s">
        <v>56</v>
      </c>
      <c r="C4" s="270"/>
      <c r="D4" s="272" t="s">
        <v>42</v>
      </c>
      <c r="E4" s="125"/>
    </row>
    <row r="5" spans="1:5" s="16" customFormat="1" ht="14.1" customHeight="1" x14ac:dyDescent="0.2">
      <c r="A5" s="271"/>
      <c r="B5" s="188" t="s">
        <v>25</v>
      </c>
      <c r="C5" s="188" t="s">
        <v>26</v>
      </c>
      <c r="D5" s="272"/>
      <c r="E5" s="124"/>
    </row>
    <row r="6" spans="1:5" ht="15" customHeight="1" x14ac:dyDescent="0.2">
      <c r="A6" s="189" t="s">
        <v>45</v>
      </c>
      <c r="B6" s="190">
        <f>'C.75'!D7</f>
        <v>11569136.771910004</v>
      </c>
      <c r="C6" s="190">
        <f>'C.75'!D22</f>
        <v>5695557.0584270116</v>
      </c>
      <c r="D6" s="190">
        <f>B6-C6</f>
        <v>5873579.7134829927</v>
      </c>
    </row>
    <row r="7" spans="1:5" ht="6" customHeight="1" x14ac:dyDescent="0.2">
      <c r="A7" s="122"/>
      <c r="B7" s="123"/>
      <c r="C7" s="123"/>
      <c r="D7" s="123"/>
    </row>
    <row r="8" spans="1:5" ht="12.95" customHeight="1" x14ac:dyDescent="0.2">
      <c r="A8" s="191" t="s">
        <v>144</v>
      </c>
      <c r="B8" s="192"/>
      <c r="C8" s="191"/>
      <c r="D8" s="192"/>
    </row>
    <row r="9" spans="1:5" ht="12" customHeight="1" x14ac:dyDescent="0.2">
      <c r="A9" s="17" t="s">
        <v>70</v>
      </c>
      <c r="B9" s="89">
        <v>3587791.8781699953</v>
      </c>
      <c r="C9" s="89">
        <v>796470.54066100169</v>
      </c>
      <c r="D9" s="90">
        <v>2791321.3375089937</v>
      </c>
    </row>
    <row r="10" spans="1:5" ht="12" customHeight="1" x14ac:dyDescent="0.2">
      <c r="A10" s="17" t="s">
        <v>221</v>
      </c>
      <c r="B10" s="89">
        <v>1798054.2949000015</v>
      </c>
      <c r="C10" s="89">
        <v>82832.654555999994</v>
      </c>
      <c r="D10" s="90">
        <v>1715221.6403440016</v>
      </c>
    </row>
    <row r="11" spans="1:5" ht="12" customHeight="1" x14ac:dyDescent="0.2">
      <c r="A11" s="17" t="s">
        <v>71</v>
      </c>
      <c r="B11" s="89">
        <v>780806.48300000303</v>
      </c>
      <c r="C11" s="89">
        <v>82270.23354900007</v>
      </c>
      <c r="D11" s="90">
        <v>698536.24945100292</v>
      </c>
    </row>
    <row r="12" spans="1:5" ht="12" customHeight="1" x14ac:dyDescent="0.2">
      <c r="A12" s="17" t="s">
        <v>72</v>
      </c>
      <c r="B12" s="89">
        <v>412760.16756999947</v>
      </c>
      <c r="C12" s="89">
        <v>29239.429221000006</v>
      </c>
      <c r="D12" s="90">
        <v>383520.73834899947</v>
      </c>
    </row>
    <row r="13" spans="1:5" ht="12" customHeight="1" x14ac:dyDescent="0.2">
      <c r="A13" s="17" t="s">
        <v>74</v>
      </c>
      <c r="B13" s="89">
        <v>396781.39135999972</v>
      </c>
      <c r="C13" s="89">
        <v>43983.737272999926</v>
      </c>
      <c r="D13" s="90">
        <v>352797.65408699977</v>
      </c>
    </row>
    <row r="14" spans="1:5" ht="12" customHeight="1" x14ac:dyDescent="0.2">
      <c r="A14" s="17" t="s">
        <v>78</v>
      </c>
      <c r="B14" s="89">
        <v>420819.20168999984</v>
      </c>
      <c r="C14" s="89">
        <v>145846.48144300008</v>
      </c>
      <c r="D14" s="90">
        <v>274972.72024699976</v>
      </c>
    </row>
    <row r="15" spans="1:5" ht="12" customHeight="1" x14ac:dyDescent="0.2">
      <c r="A15" s="17" t="s">
        <v>76</v>
      </c>
      <c r="B15" s="89">
        <v>297826.05492999987</v>
      </c>
      <c r="C15" s="89">
        <v>32992.497129000003</v>
      </c>
      <c r="D15" s="90">
        <v>264833.55780099984</v>
      </c>
    </row>
    <row r="16" spans="1:5" ht="12" customHeight="1" x14ac:dyDescent="0.2">
      <c r="A16" s="17" t="s">
        <v>73</v>
      </c>
      <c r="B16" s="89">
        <v>322865.90727999952</v>
      </c>
      <c r="C16" s="89">
        <v>88018.092226000022</v>
      </c>
      <c r="D16" s="90">
        <v>234847.81505399948</v>
      </c>
    </row>
    <row r="17" spans="1:5" ht="12" customHeight="1" x14ac:dyDescent="0.2">
      <c r="A17" s="17" t="s">
        <v>122</v>
      </c>
      <c r="B17" s="89">
        <v>204789.47324999954</v>
      </c>
      <c r="C17" s="89">
        <v>34487.528819999978</v>
      </c>
      <c r="D17" s="90">
        <v>170301.94442999957</v>
      </c>
    </row>
    <row r="18" spans="1:5" ht="12" customHeight="1" x14ac:dyDescent="0.2">
      <c r="A18" s="17" t="s">
        <v>180</v>
      </c>
      <c r="B18" s="89">
        <v>169170.49174999987</v>
      </c>
      <c r="C18" s="89">
        <v>1024.755699</v>
      </c>
      <c r="D18" s="90">
        <v>168145.73605099987</v>
      </c>
    </row>
    <row r="19" spans="1:5" ht="4.5" customHeight="1" x14ac:dyDescent="0.2">
      <c r="A19" s="44"/>
      <c r="B19" s="91"/>
      <c r="C19" s="91"/>
      <c r="D19" s="91"/>
    </row>
    <row r="20" spans="1:5" ht="12.95" customHeight="1" x14ac:dyDescent="0.2">
      <c r="A20" s="191" t="s">
        <v>145</v>
      </c>
      <c r="B20" s="192"/>
      <c r="C20" s="191"/>
      <c r="D20" s="192"/>
    </row>
    <row r="21" spans="1:5" ht="12" customHeight="1" x14ac:dyDescent="0.2">
      <c r="A21" s="17" t="s">
        <v>87</v>
      </c>
      <c r="B21" s="89">
        <v>95396.780469999983</v>
      </c>
      <c r="C21" s="89">
        <v>1551250.4094589993</v>
      </c>
      <c r="D21" s="90">
        <v>-1455853.6289889994</v>
      </c>
    </row>
    <row r="22" spans="1:5" ht="12" customHeight="1" x14ac:dyDescent="0.2">
      <c r="A22" s="17" t="s">
        <v>86</v>
      </c>
      <c r="B22" s="89">
        <v>48033.400760000033</v>
      </c>
      <c r="C22" s="89">
        <v>534248.73364600015</v>
      </c>
      <c r="D22" s="90">
        <v>-486215.33288600011</v>
      </c>
    </row>
    <row r="23" spans="1:5" ht="12" customHeight="1" x14ac:dyDescent="0.2">
      <c r="A23" s="17" t="s">
        <v>84</v>
      </c>
      <c r="B23" s="89">
        <v>143911.49357000022</v>
      </c>
      <c r="C23" s="89">
        <v>384386.93674699968</v>
      </c>
      <c r="D23" s="90">
        <v>-240475.44317699946</v>
      </c>
    </row>
    <row r="24" spans="1:5" ht="12" customHeight="1" x14ac:dyDescent="0.2">
      <c r="A24" s="17" t="s">
        <v>85</v>
      </c>
      <c r="B24" s="89">
        <v>334637.66295999964</v>
      </c>
      <c r="C24" s="89">
        <v>490009.19367399969</v>
      </c>
      <c r="D24" s="90">
        <v>-155371.53071400005</v>
      </c>
    </row>
    <row r="25" spans="1:5" ht="12" customHeight="1" x14ac:dyDescent="0.2">
      <c r="A25" s="17" t="s">
        <v>139</v>
      </c>
      <c r="B25" s="89">
        <v>20812.225090000004</v>
      </c>
      <c r="C25" s="89">
        <v>68786.514249999949</v>
      </c>
      <c r="D25" s="90">
        <v>-47974.289159999942</v>
      </c>
    </row>
    <row r="26" spans="1:5" ht="12" customHeight="1" x14ac:dyDescent="0.2">
      <c r="A26" s="17" t="s">
        <v>302</v>
      </c>
      <c r="B26" s="89">
        <v>690.06576999999993</v>
      </c>
      <c r="C26" s="89">
        <v>9241.2302590000018</v>
      </c>
      <c r="D26" s="90">
        <v>-8551.1644890000025</v>
      </c>
    </row>
    <row r="27" spans="1:5" ht="12" customHeight="1" x14ac:dyDescent="0.2">
      <c r="A27" s="17" t="s">
        <v>343</v>
      </c>
      <c r="B27" s="89">
        <v>36.133540000000004</v>
      </c>
      <c r="C27" s="89">
        <v>6110.4416239999991</v>
      </c>
      <c r="D27" s="90">
        <v>-6074.3080839999993</v>
      </c>
    </row>
    <row r="28" spans="1:5" ht="12" customHeight="1" x14ac:dyDescent="0.2">
      <c r="A28" s="17" t="s">
        <v>337</v>
      </c>
      <c r="B28" s="89">
        <v>193.55165</v>
      </c>
      <c r="C28" s="89">
        <v>1416.0349529999999</v>
      </c>
      <c r="D28" s="90">
        <v>-1222.483303</v>
      </c>
    </row>
    <row r="29" spans="1:5" ht="12" customHeight="1" x14ac:dyDescent="0.2">
      <c r="A29" s="17" t="s">
        <v>346</v>
      </c>
      <c r="B29" s="89">
        <v>1036.41003</v>
      </c>
      <c r="C29" s="89">
        <v>2064.0312899999999</v>
      </c>
      <c r="D29" s="90">
        <v>-1027.6212599999999</v>
      </c>
    </row>
    <row r="30" spans="1:5" ht="12" customHeight="1" x14ac:dyDescent="0.2">
      <c r="A30" s="17" t="s">
        <v>350</v>
      </c>
      <c r="B30" s="55">
        <v>34.023200000000003</v>
      </c>
      <c r="C30" s="89">
        <v>784.11276500000008</v>
      </c>
      <c r="D30" s="90">
        <v>-750.08956500000011</v>
      </c>
    </row>
    <row r="31" spans="1:5" ht="3" customHeight="1" x14ac:dyDescent="0.2">
      <c r="A31" s="18"/>
      <c r="B31" s="50"/>
      <c r="C31" s="50"/>
      <c r="D31" s="74"/>
    </row>
    <row r="32" spans="1:5" ht="8.1" customHeight="1" x14ac:dyDescent="0.2">
      <c r="A32" s="8" t="s">
        <v>44</v>
      </c>
      <c r="B32" s="19"/>
      <c r="C32" s="19"/>
      <c r="D32" s="20"/>
      <c r="E32" s="126"/>
    </row>
    <row r="33" spans="1:5" ht="7.5" customHeight="1" x14ac:dyDescent="0.2">
      <c r="A33" s="11" t="s">
        <v>20</v>
      </c>
      <c r="B33" s="19"/>
      <c r="C33" s="19"/>
      <c r="D33" s="20"/>
      <c r="E33" s="126"/>
    </row>
    <row r="34" spans="1:5" ht="7.5" customHeight="1" x14ac:dyDescent="0.2">
      <c r="A34" s="214" t="s">
        <v>348</v>
      </c>
      <c r="B34" s="11"/>
      <c r="C34" s="11"/>
      <c r="D34" s="11"/>
      <c r="E34" s="11"/>
    </row>
    <row r="35" spans="1:5" ht="7.5" customHeight="1" x14ac:dyDescent="0.15">
      <c r="A35" s="215" t="s">
        <v>349</v>
      </c>
      <c r="B35" s="22"/>
      <c r="C35" s="22"/>
    </row>
    <row r="36" spans="1:5" x14ac:dyDescent="0.2">
      <c r="B36" s="22"/>
      <c r="C36" s="22"/>
    </row>
    <row r="37" spans="1:5" x14ac:dyDescent="0.2">
      <c r="B37" s="22"/>
      <c r="C37" s="22"/>
    </row>
    <row r="38" spans="1:5" x14ac:dyDescent="0.2">
      <c r="B38" s="22"/>
      <c r="C38" s="22"/>
    </row>
    <row r="39" spans="1:5" x14ac:dyDescent="0.2">
      <c r="B39" s="22"/>
      <c r="C39" s="22"/>
    </row>
    <row r="40" spans="1:5" x14ac:dyDescent="0.2">
      <c r="B40" s="22"/>
      <c r="C40" s="22"/>
    </row>
  </sheetData>
  <mergeCells count="3">
    <mergeCell ref="B4:C4"/>
    <mergeCell ref="A4:A5"/>
    <mergeCell ref="D4:D5"/>
  </mergeCells>
  <phoneticPr fontId="3" type="noConversion"/>
  <printOptions horizontalCentered="1" verticalCentered="1"/>
  <pageMargins left="0.35433070866141736" right="0.35433070866141736" top="0.39370078740157483" bottom="0.39370078740157483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D9EFFF"/>
  </sheetPr>
  <dimension ref="A1:H922"/>
  <sheetViews>
    <sheetView showGridLines="0" zoomScaleNormal="100" zoomScalePageLayoutView="150" workbookViewId="0">
      <selection sqref="A1:H61"/>
    </sheetView>
  </sheetViews>
  <sheetFormatPr baseColWidth="10" defaultColWidth="11.42578125" defaultRowHeight="13.5" x14ac:dyDescent="0.2"/>
  <cols>
    <col min="1" max="1" width="7.85546875" style="15" customWidth="1"/>
    <col min="2" max="2" width="48.7109375" style="15" customWidth="1"/>
    <col min="3" max="4" width="5.85546875" style="15" customWidth="1"/>
    <col min="5" max="5" width="7.42578125" style="15" customWidth="1"/>
    <col min="6" max="6" width="5.85546875" style="15" customWidth="1"/>
    <col min="7" max="7" width="6.85546875" style="15" customWidth="1"/>
    <col min="8" max="8" width="7.28515625" style="15" customWidth="1"/>
    <col min="9" max="9" width="5" style="15" customWidth="1"/>
    <col min="10" max="103" width="10.7109375" style="15" customWidth="1"/>
    <col min="104" max="16384" width="11.42578125" style="15"/>
  </cols>
  <sheetData>
    <row r="1" spans="1:8" ht="15" customHeight="1" x14ac:dyDescent="0.2">
      <c r="A1" s="129" t="s">
        <v>304</v>
      </c>
      <c r="B1" s="129"/>
      <c r="C1" s="129"/>
      <c r="D1" s="129"/>
      <c r="E1" s="129"/>
      <c r="F1" s="129"/>
      <c r="G1" s="129"/>
      <c r="H1" s="129"/>
    </row>
    <row r="2" spans="1:8" x14ac:dyDescent="0.2">
      <c r="A2" s="277" t="s">
        <v>353</v>
      </c>
      <c r="B2" s="277"/>
      <c r="C2" s="277"/>
      <c r="D2" s="277"/>
      <c r="E2" s="277"/>
      <c r="F2" s="277"/>
      <c r="G2" s="277"/>
      <c r="H2" s="277"/>
    </row>
    <row r="3" spans="1:8" ht="3" customHeight="1" x14ac:dyDescent="0.2">
      <c r="A3" s="130"/>
      <c r="B3" s="47"/>
      <c r="C3" s="47"/>
      <c r="D3" s="47"/>
      <c r="E3" s="47"/>
      <c r="F3" s="47"/>
      <c r="G3" s="47"/>
      <c r="H3" s="47"/>
    </row>
    <row r="4" spans="1:8" ht="14.1" customHeight="1" x14ac:dyDescent="0.2">
      <c r="A4" s="271" t="s">
        <v>17</v>
      </c>
      <c r="B4" s="271" t="s">
        <v>4</v>
      </c>
      <c r="C4" s="274" t="s">
        <v>14</v>
      </c>
      <c r="D4" s="275"/>
      <c r="E4" s="276"/>
      <c r="F4" s="274" t="s">
        <v>56</v>
      </c>
      <c r="G4" s="275"/>
      <c r="H4" s="276"/>
    </row>
    <row r="5" spans="1:8" ht="21.75" customHeight="1" x14ac:dyDescent="0.2">
      <c r="A5" s="271"/>
      <c r="B5" s="271"/>
      <c r="C5" s="176">
        <v>2024</v>
      </c>
      <c r="D5" s="177" t="s">
        <v>315</v>
      </c>
      <c r="E5" s="187" t="s">
        <v>327</v>
      </c>
      <c r="F5" s="176">
        <v>2024</v>
      </c>
      <c r="G5" s="177" t="s">
        <v>315</v>
      </c>
      <c r="H5" s="187" t="s">
        <v>327</v>
      </c>
    </row>
    <row r="6" spans="1:8" ht="17.100000000000001" customHeight="1" x14ac:dyDescent="0.2">
      <c r="A6" s="273" t="s">
        <v>6</v>
      </c>
      <c r="B6" s="273"/>
      <c r="C6" s="180"/>
      <c r="D6" s="180"/>
      <c r="E6" s="180"/>
      <c r="F6" s="180">
        <f>F8+F15</f>
        <v>9669857.086109994</v>
      </c>
      <c r="G6" s="180">
        <f>G8+G15</f>
        <v>11569136.771909997</v>
      </c>
      <c r="H6" s="181">
        <f>(G6/F6-1)</f>
        <v>0.19641238426658569</v>
      </c>
    </row>
    <row r="7" spans="1:8" ht="3" customHeight="1" x14ac:dyDescent="0.2">
      <c r="A7" s="41"/>
      <c r="B7" s="41"/>
      <c r="C7" s="51"/>
      <c r="D7" s="51"/>
      <c r="E7" s="51"/>
      <c r="F7" s="51"/>
      <c r="G7" s="51"/>
      <c r="H7" s="52"/>
    </row>
    <row r="8" spans="1:8" ht="14.1" customHeight="1" x14ac:dyDescent="0.2">
      <c r="A8" s="182" t="s">
        <v>7</v>
      </c>
      <c r="B8" s="183"/>
      <c r="C8" s="186"/>
      <c r="D8" s="184"/>
      <c r="E8" s="184"/>
      <c r="F8" s="184">
        <f>SUM(F9:F14)</f>
        <v>1002618.3919099987</v>
      </c>
      <c r="G8" s="184">
        <f>SUM(G9:G14)</f>
        <v>1412203.9301499999</v>
      </c>
      <c r="H8" s="185">
        <f>(G8/F8-1)</f>
        <v>0.4085158835553937</v>
      </c>
    </row>
    <row r="9" spans="1:8" ht="11.1" customHeight="1" x14ac:dyDescent="0.2">
      <c r="A9" s="233" t="s">
        <v>9</v>
      </c>
      <c r="B9" s="234" t="s">
        <v>291</v>
      </c>
      <c r="C9" s="132">
        <v>209697.99047300269</v>
      </c>
      <c r="D9" s="132">
        <v>182027.87614100246</v>
      </c>
      <c r="E9" s="157">
        <f>IFERROR(((D9/C9-1)),"")</f>
        <v>-0.13195221503833432</v>
      </c>
      <c r="F9" s="132">
        <v>917574.71141999867</v>
      </c>
      <c r="G9" s="132">
        <v>1317946.38598</v>
      </c>
      <c r="H9" s="157">
        <f>IFERROR(((G9/F9-1)),"")</f>
        <v>0.43633686671726557</v>
      </c>
    </row>
    <row r="10" spans="1:8" ht="11.1" customHeight="1" x14ac:dyDescent="0.2">
      <c r="A10" s="233" t="s">
        <v>66</v>
      </c>
      <c r="B10" s="234" t="s">
        <v>240</v>
      </c>
      <c r="C10" s="132">
        <v>37320.801025999994</v>
      </c>
      <c r="D10" s="132">
        <v>48349.545064999998</v>
      </c>
      <c r="E10" s="157">
        <f t="shared" ref="E10:E13" si="0">IFERROR(((D10/C10-1)),"")</f>
        <v>0.29551198623300445</v>
      </c>
      <c r="F10" s="132">
        <v>28348.705999999995</v>
      </c>
      <c r="G10" s="132">
        <v>31610.797199999997</v>
      </c>
      <c r="H10" s="157">
        <f t="shared" ref="H10:H14" si="1">IFERROR(((G10/F10-1)),"")</f>
        <v>0.11507019756034031</v>
      </c>
    </row>
    <row r="11" spans="1:8" ht="11.1" customHeight="1" x14ac:dyDescent="0.2">
      <c r="A11" s="233" t="s">
        <v>65</v>
      </c>
      <c r="B11" s="234" t="s">
        <v>263</v>
      </c>
      <c r="C11" s="132">
        <v>28996.983328999995</v>
      </c>
      <c r="D11" s="132">
        <v>33981.359756999991</v>
      </c>
      <c r="E11" s="157">
        <f t="shared" si="0"/>
        <v>0.17189293008335471</v>
      </c>
      <c r="F11" s="132">
        <v>22609.533879999999</v>
      </c>
      <c r="G11" s="132">
        <v>23091.979669999986</v>
      </c>
      <c r="H11" s="157">
        <f t="shared" si="1"/>
        <v>2.1338157281815873E-2</v>
      </c>
    </row>
    <row r="12" spans="1:8" ht="11.1" customHeight="1" x14ac:dyDescent="0.2">
      <c r="A12" s="233" t="s">
        <v>176</v>
      </c>
      <c r="B12" s="234" t="s">
        <v>253</v>
      </c>
      <c r="C12" s="132">
        <v>33958.659999999996</v>
      </c>
      <c r="D12" s="132">
        <v>44580.529999999984</v>
      </c>
      <c r="E12" s="157">
        <f t="shared" si="0"/>
        <v>0.31278825489580542</v>
      </c>
      <c r="F12" s="132">
        <v>5336.8104700000013</v>
      </c>
      <c r="G12" s="132">
        <v>7249.3738299999995</v>
      </c>
      <c r="H12" s="157">
        <f t="shared" si="1"/>
        <v>0.35837198468095455</v>
      </c>
    </row>
    <row r="13" spans="1:8" ht="24" customHeight="1" x14ac:dyDescent="0.2">
      <c r="A13" s="233" t="s">
        <v>201</v>
      </c>
      <c r="B13" s="235" t="s">
        <v>282</v>
      </c>
      <c r="C13" s="132">
        <v>1073.2634999999998</v>
      </c>
      <c r="D13" s="132">
        <v>738.47</v>
      </c>
      <c r="E13" s="157">
        <f t="shared" si="0"/>
        <v>-0.31193970539387561</v>
      </c>
      <c r="F13" s="132">
        <v>6403.1937600000001</v>
      </c>
      <c r="G13" s="132">
        <v>6374.0899999999992</v>
      </c>
      <c r="H13" s="157">
        <f t="shared" si="1"/>
        <v>-4.5451943343973733E-3</v>
      </c>
    </row>
    <row r="14" spans="1:8" x14ac:dyDescent="0.2">
      <c r="A14" s="233"/>
      <c r="B14" s="236" t="s">
        <v>313</v>
      </c>
      <c r="C14" s="132"/>
      <c r="D14" s="132"/>
      <c r="E14" s="237"/>
      <c r="F14" s="132">
        <v>22345.436379999996</v>
      </c>
      <c r="G14" s="132">
        <v>25931.303469999992</v>
      </c>
      <c r="H14" s="157">
        <f t="shared" si="1"/>
        <v>0.16047424758325524</v>
      </c>
    </row>
    <row r="15" spans="1:8" ht="15" customHeight="1" x14ac:dyDescent="0.2">
      <c r="A15" s="182" t="s">
        <v>53</v>
      </c>
      <c r="B15" s="183"/>
      <c r="C15" s="186"/>
      <c r="D15" s="184"/>
      <c r="E15" s="184"/>
      <c r="F15" s="184">
        <f>SUM(F16:F56)</f>
        <v>8667238.6941999961</v>
      </c>
      <c r="G15" s="184">
        <f>SUM(G16:G56)</f>
        <v>10156932.841759996</v>
      </c>
      <c r="H15" s="185">
        <f>(G15/F15-1)</f>
        <v>0.17187644186572193</v>
      </c>
    </row>
    <row r="16" spans="1:8" ht="11.1" customHeight="1" x14ac:dyDescent="0.2">
      <c r="A16" s="233" t="s">
        <v>68</v>
      </c>
      <c r="B16" s="234" t="s">
        <v>229</v>
      </c>
      <c r="C16" s="133">
        <v>205917.9546110004</v>
      </c>
      <c r="D16" s="133">
        <v>259984.91834700073</v>
      </c>
      <c r="E16" s="157">
        <f>IFERROR(((D16/C16-1)),"")</f>
        <v>0.26256556325133573</v>
      </c>
      <c r="F16" s="133">
        <v>1615379.5938399965</v>
      </c>
      <c r="G16" s="133">
        <v>1805585.475910001</v>
      </c>
      <c r="H16" s="157">
        <f>IFERROR(((G16/F16-1)),"")</f>
        <v>0.11774686444927585</v>
      </c>
    </row>
    <row r="17" spans="1:8" ht="11.1" customHeight="1" x14ac:dyDescent="0.2">
      <c r="A17" s="236" t="s">
        <v>63</v>
      </c>
      <c r="B17" s="234" t="s">
        <v>228</v>
      </c>
      <c r="C17" s="133">
        <v>565814.14705900266</v>
      </c>
      <c r="D17" s="133">
        <v>764216.31969200273</v>
      </c>
      <c r="E17" s="157">
        <f t="shared" ref="E17:E55" si="2">IFERROR(((D17/C17-1)),"")</f>
        <v>0.35064901375170243</v>
      </c>
      <c r="F17" s="133">
        <v>1237699.1469499993</v>
      </c>
      <c r="G17" s="133">
        <v>1352760.3161599964</v>
      </c>
      <c r="H17" s="157">
        <f t="shared" ref="H17:H56" si="3">IFERROR(((G17/F17-1)),"")</f>
        <v>9.2963762230536151E-2</v>
      </c>
    </row>
    <row r="18" spans="1:8" ht="11.1" customHeight="1" x14ac:dyDescent="0.2">
      <c r="A18" s="236" t="s">
        <v>10</v>
      </c>
      <c r="B18" s="234" t="s">
        <v>203</v>
      </c>
      <c r="C18" s="133">
        <v>219196.80735799987</v>
      </c>
      <c r="D18" s="133">
        <v>339831.61071699957</v>
      </c>
      <c r="E18" s="157">
        <f t="shared" si="2"/>
        <v>0.55034927202189921</v>
      </c>
      <c r="F18" s="133">
        <v>689656.49501999957</v>
      </c>
      <c r="G18" s="133">
        <v>863999.1890899979</v>
      </c>
      <c r="H18" s="157">
        <f t="shared" si="3"/>
        <v>0.2527964215938292</v>
      </c>
    </row>
    <row r="19" spans="1:8" ht="11.1" customHeight="1" x14ac:dyDescent="0.2">
      <c r="A19" s="236" t="s">
        <v>69</v>
      </c>
      <c r="B19" s="234" t="s">
        <v>317</v>
      </c>
      <c r="C19" s="133">
        <v>85544.830611000041</v>
      </c>
      <c r="D19" s="133">
        <v>100693.50793600001</v>
      </c>
      <c r="E19" s="157">
        <f t="shared" si="2"/>
        <v>0.17708466095263997</v>
      </c>
      <c r="F19" s="133">
        <v>652663.10816999921</v>
      </c>
      <c r="G19" s="133">
        <v>844489.91815999954</v>
      </c>
      <c r="H19" s="157">
        <f t="shared" si="3"/>
        <v>0.29391397734715419</v>
      </c>
    </row>
    <row r="20" spans="1:8" ht="11.1" customHeight="1" x14ac:dyDescent="0.2">
      <c r="A20" s="236" t="s">
        <v>12</v>
      </c>
      <c r="B20" s="234" t="s">
        <v>292</v>
      </c>
      <c r="C20" s="133">
        <v>72412.728069000033</v>
      </c>
      <c r="D20" s="133">
        <v>79664.361080999879</v>
      </c>
      <c r="E20" s="157">
        <f t="shared" si="2"/>
        <v>0.10014307160324032</v>
      </c>
      <c r="F20" s="133">
        <v>304479.45983999973</v>
      </c>
      <c r="G20" s="133">
        <v>304954.10213000054</v>
      </c>
      <c r="H20" s="157">
        <f t="shared" si="3"/>
        <v>1.5588647268693911E-3</v>
      </c>
    </row>
    <row r="21" spans="1:8" ht="11.1" customHeight="1" x14ac:dyDescent="0.2">
      <c r="A21" s="236" t="s">
        <v>67</v>
      </c>
      <c r="B21" s="234" t="s">
        <v>340</v>
      </c>
      <c r="C21" s="133">
        <v>192585.23669000005</v>
      </c>
      <c r="D21" s="133">
        <v>204484.95627700054</v>
      </c>
      <c r="E21" s="157">
        <f t="shared" si="2"/>
        <v>6.1789365537687546E-2</v>
      </c>
      <c r="F21" s="133">
        <v>251270.42545000033</v>
      </c>
      <c r="G21" s="133">
        <v>244469.91661000048</v>
      </c>
      <c r="H21" s="157">
        <f t="shared" si="3"/>
        <v>-2.7064501633333182E-2</v>
      </c>
    </row>
    <row r="22" spans="1:8" ht="11.1" customHeight="1" x14ac:dyDescent="0.2">
      <c r="A22" s="236" t="s">
        <v>11</v>
      </c>
      <c r="B22" s="234" t="s">
        <v>204</v>
      </c>
      <c r="C22" s="133">
        <v>73359.78731499982</v>
      </c>
      <c r="D22" s="133">
        <v>192089.43324600108</v>
      </c>
      <c r="E22" s="157">
        <f t="shared" si="2"/>
        <v>1.6184567905191392</v>
      </c>
      <c r="F22" s="133">
        <v>198195.85169000024</v>
      </c>
      <c r="G22" s="133">
        <v>239677.28384000025</v>
      </c>
      <c r="H22" s="157">
        <f t="shared" si="3"/>
        <v>0.2092951582805147</v>
      </c>
    </row>
    <row r="23" spans="1:8" ht="11.1" customHeight="1" x14ac:dyDescent="0.2">
      <c r="A23" s="236" t="s">
        <v>35</v>
      </c>
      <c r="B23" s="234" t="s">
        <v>278</v>
      </c>
      <c r="C23" s="133">
        <v>170174.10538900003</v>
      </c>
      <c r="D23" s="133">
        <v>178533.04444399994</v>
      </c>
      <c r="E23" s="157">
        <f t="shared" si="2"/>
        <v>4.9119923597613413E-2</v>
      </c>
      <c r="F23" s="133">
        <v>186585.59068999995</v>
      </c>
      <c r="G23" s="133">
        <v>176909.05710000003</v>
      </c>
      <c r="H23" s="157">
        <f t="shared" si="3"/>
        <v>-5.1861097924098876E-2</v>
      </c>
    </row>
    <row r="24" spans="1:8" ht="11.1" customHeight="1" x14ac:dyDescent="0.2">
      <c r="A24" s="236" t="s">
        <v>91</v>
      </c>
      <c r="B24" s="234" t="s">
        <v>238</v>
      </c>
      <c r="C24" s="133">
        <v>33398.995795000032</v>
      </c>
      <c r="D24" s="133">
        <v>57093.463592000036</v>
      </c>
      <c r="E24" s="157">
        <f t="shared" si="2"/>
        <v>0.70943653343455204</v>
      </c>
      <c r="F24" s="133">
        <v>92841.661549999961</v>
      </c>
      <c r="G24" s="133">
        <v>157843.7543399999</v>
      </c>
      <c r="H24" s="157">
        <f t="shared" si="3"/>
        <v>0.70013926619562916</v>
      </c>
    </row>
    <row r="25" spans="1:8" ht="11.1" customHeight="1" x14ac:dyDescent="0.2">
      <c r="A25" s="236" t="s">
        <v>61</v>
      </c>
      <c r="B25" s="234" t="s">
        <v>231</v>
      </c>
      <c r="C25" s="133">
        <v>21480.526642000015</v>
      </c>
      <c r="D25" s="133">
        <v>79209.047095999995</v>
      </c>
      <c r="E25" s="157">
        <f t="shared" si="2"/>
        <v>2.6874816160757304</v>
      </c>
      <c r="F25" s="133">
        <v>57906.236719999964</v>
      </c>
      <c r="G25" s="133">
        <v>148447.77687999984</v>
      </c>
      <c r="H25" s="157">
        <f t="shared" si="3"/>
        <v>1.5635887477510373</v>
      </c>
    </row>
    <row r="26" spans="1:8" ht="24" customHeight="1" x14ac:dyDescent="0.2">
      <c r="A26" s="236" t="s">
        <v>100</v>
      </c>
      <c r="B26" s="234" t="s">
        <v>245</v>
      </c>
      <c r="C26" s="133">
        <v>5925.8666130000001</v>
      </c>
      <c r="D26" s="133">
        <v>8153.6469360000028</v>
      </c>
      <c r="E26" s="157">
        <f t="shared" si="2"/>
        <v>0.37594169232779562</v>
      </c>
      <c r="F26" s="133">
        <v>74496.630450000026</v>
      </c>
      <c r="G26" s="133">
        <v>140733.83261999997</v>
      </c>
      <c r="H26" s="157">
        <f t="shared" si="3"/>
        <v>0.88913017635685465</v>
      </c>
    </row>
    <row r="27" spans="1:8" ht="11.1" customHeight="1" x14ac:dyDescent="0.2">
      <c r="A27" s="236" t="s">
        <v>106</v>
      </c>
      <c r="B27" s="234" t="s">
        <v>321</v>
      </c>
      <c r="C27" s="133">
        <v>561.83230900000046</v>
      </c>
      <c r="D27" s="133">
        <v>734.25146800000061</v>
      </c>
      <c r="E27" s="157">
        <f t="shared" si="2"/>
        <v>0.30688722638056753</v>
      </c>
      <c r="F27" s="133">
        <v>62290.395149999982</v>
      </c>
      <c r="G27" s="133">
        <v>134279.55052999995</v>
      </c>
      <c r="H27" s="157">
        <f t="shared" si="3"/>
        <v>1.1557023391269978</v>
      </c>
    </row>
    <row r="28" spans="1:8" ht="11.1" customHeight="1" x14ac:dyDescent="0.2">
      <c r="A28" s="236" t="s">
        <v>64</v>
      </c>
      <c r="B28" s="234" t="s">
        <v>318</v>
      </c>
      <c r="C28" s="133">
        <v>43272.307538999914</v>
      </c>
      <c r="D28" s="133">
        <v>44569.004469999949</v>
      </c>
      <c r="E28" s="157">
        <f t="shared" si="2"/>
        <v>2.9965976042099607E-2</v>
      </c>
      <c r="F28" s="133">
        <v>106862.27482000006</v>
      </c>
      <c r="G28" s="133">
        <v>121940.87703999989</v>
      </c>
      <c r="H28" s="157">
        <f t="shared" si="3"/>
        <v>0.14110313714917999</v>
      </c>
    </row>
    <row r="29" spans="1:8" ht="11.1" customHeight="1" x14ac:dyDescent="0.2">
      <c r="A29" s="236" t="s">
        <v>88</v>
      </c>
      <c r="B29" s="234" t="s">
        <v>230</v>
      </c>
      <c r="C29" s="133">
        <v>29773.798865000019</v>
      </c>
      <c r="D29" s="133">
        <v>40671.50641499996</v>
      </c>
      <c r="E29" s="157">
        <f t="shared" si="2"/>
        <v>0.36601669808452009</v>
      </c>
      <c r="F29" s="133">
        <v>83784.203010000056</v>
      </c>
      <c r="G29" s="133">
        <v>113849.79906000012</v>
      </c>
      <c r="H29" s="157">
        <f t="shared" si="3"/>
        <v>0.35884564118144779</v>
      </c>
    </row>
    <row r="30" spans="1:8" ht="11.1" customHeight="1" x14ac:dyDescent="0.2">
      <c r="A30" s="236" t="s">
        <v>13</v>
      </c>
      <c r="B30" s="234" t="s">
        <v>319</v>
      </c>
      <c r="C30" s="133">
        <v>127106.40647999987</v>
      </c>
      <c r="D30" s="133">
        <v>124165.13256900004</v>
      </c>
      <c r="E30" s="157">
        <f t="shared" si="2"/>
        <v>-2.3140249122396872E-2</v>
      </c>
      <c r="F30" s="133">
        <v>97027.539879999851</v>
      </c>
      <c r="G30" s="133">
        <v>95748.09568000013</v>
      </c>
      <c r="H30" s="157">
        <f t="shared" si="3"/>
        <v>-1.3186402557274879E-2</v>
      </c>
    </row>
    <row r="31" spans="1:8" ht="11.1" customHeight="1" x14ac:dyDescent="0.2">
      <c r="A31" s="236" t="s">
        <v>92</v>
      </c>
      <c r="B31" s="234" t="s">
        <v>234</v>
      </c>
      <c r="C31" s="133">
        <v>28082.233547000003</v>
      </c>
      <c r="D31" s="133">
        <v>34104.757845</v>
      </c>
      <c r="E31" s="157">
        <f t="shared" si="2"/>
        <v>0.21446030238016367</v>
      </c>
      <c r="F31" s="133">
        <v>77571.767389999979</v>
      </c>
      <c r="G31" s="133">
        <v>93965.229810000063</v>
      </c>
      <c r="H31" s="157">
        <f t="shared" si="3"/>
        <v>0.21133284662163598</v>
      </c>
    </row>
    <row r="32" spans="1:8" ht="11.1" customHeight="1" x14ac:dyDescent="0.2">
      <c r="A32" s="236" t="s">
        <v>98</v>
      </c>
      <c r="B32" s="234" t="s">
        <v>233</v>
      </c>
      <c r="C32" s="133">
        <v>42854.826038999934</v>
      </c>
      <c r="D32" s="133">
        <v>41763.165449000029</v>
      </c>
      <c r="E32" s="157">
        <f t="shared" si="2"/>
        <v>-2.5473457505263086E-2</v>
      </c>
      <c r="F32" s="133">
        <v>92400.564930000008</v>
      </c>
      <c r="G32" s="133">
        <v>93641.394490000137</v>
      </c>
      <c r="H32" s="157">
        <f t="shared" si="3"/>
        <v>1.3428809238776207E-2</v>
      </c>
    </row>
    <row r="33" spans="1:8" ht="11.1" customHeight="1" x14ac:dyDescent="0.2">
      <c r="A33" s="236" t="s">
        <v>90</v>
      </c>
      <c r="B33" s="234" t="s">
        <v>232</v>
      </c>
      <c r="C33" s="133">
        <v>29828.292137000019</v>
      </c>
      <c r="D33" s="133">
        <v>31838.285036999983</v>
      </c>
      <c r="E33" s="157">
        <f t="shared" si="2"/>
        <v>6.7385450389454205E-2</v>
      </c>
      <c r="F33" s="133">
        <v>114660.79656999995</v>
      </c>
      <c r="G33" s="133">
        <v>90678.904159999976</v>
      </c>
      <c r="H33" s="157">
        <f t="shared" si="3"/>
        <v>-0.20915511776825246</v>
      </c>
    </row>
    <row r="34" spans="1:8" ht="11.1" customHeight="1" x14ac:dyDescent="0.2">
      <c r="A34" s="236" t="s">
        <v>101</v>
      </c>
      <c r="B34" s="234" t="s">
        <v>206</v>
      </c>
      <c r="C34" s="133">
        <v>234692.65770099993</v>
      </c>
      <c r="D34" s="133">
        <v>241348.75041499961</v>
      </c>
      <c r="E34" s="157">
        <f t="shared" si="2"/>
        <v>2.836089027752875E-2</v>
      </c>
      <c r="F34" s="133">
        <v>97275.083230000047</v>
      </c>
      <c r="G34" s="133">
        <v>88519.205569999962</v>
      </c>
      <c r="H34" s="157">
        <f t="shared" si="3"/>
        <v>-9.0011515480253435E-2</v>
      </c>
    </row>
    <row r="35" spans="1:8" ht="11.1" customHeight="1" x14ac:dyDescent="0.2">
      <c r="A35" s="236" t="s">
        <v>111</v>
      </c>
      <c r="B35" s="234" t="s">
        <v>247</v>
      </c>
      <c r="C35" s="133">
        <v>9423.0295790000018</v>
      </c>
      <c r="D35" s="133">
        <v>11191.137163999998</v>
      </c>
      <c r="E35" s="157">
        <f t="shared" si="2"/>
        <v>0.18763684971767147</v>
      </c>
      <c r="F35" s="133">
        <v>49176.916829999987</v>
      </c>
      <c r="G35" s="133">
        <v>88211.550029999955</v>
      </c>
      <c r="H35" s="157">
        <f t="shared" si="3"/>
        <v>0.79375926178818923</v>
      </c>
    </row>
    <row r="36" spans="1:8" ht="11.1" customHeight="1" x14ac:dyDescent="0.2">
      <c r="A36" s="236" t="s">
        <v>93</v>
      </c>
      <c r="B36" s="234" t="s">
        <v>236</v>
      </c>
      <c r="C36" s="133">
        <v>94020.947</v>
      </c>
      <c r="D36" s="133">
        <v>93415.755999999994</v>
      </c>
      <c r="E36" s="157">
        <f t="shared" si="2"/>
        <v>-6.4367677555939862E-3</v>
      </c>
      <c r="F36" s="133">
        <v>75786.976640000023</v>
      </c>
      <c r="G36" s="133">
        <v>81006.190049999961</v>
      </c>
      <c r="H36" s="157">
        <f t="shared" si="3"/>
        <v>6.8866890347031751E-2</v>
      </c>
    </row>
    <row r="37" spans="1:8" ht="11.1" customHeight="1" x14ac:dyDescent="0.2">
      <c r="A37" s="236" t="s">
        <v>103</v>
      </c>
      <c r="B37" s="234" t="s">
        <v>209</v>
      </c>
      <c r="C37" s="133">
        <v>50608.812000000005</v>
      </c>
      <c r="D37" s="133">
        <v>72580.350999999995</v>
      </c>
      <c r="E37" s="157">
        <f t="shared" si="2"/>
        <v>0.43414453198387637</v>
      </c>
      <c r="F37" s="133">
        <v>47339.351219999997</v>
      </c>
      <c r="G37" s="133">
        <v>76889.576740000004</v>
      </c>
      <c r="H37" s="157">
        <f t="shared" si="3"/>
        <v>0.62422117664163479</v>
      </c>
    </row>
    <row r="38" spans="1:8" ht="11.1" customHeight="1" x14ac:dyDescent="0.2">
      <c r="A38" s="236" t="s">
        <v>225</v>
      </c>
      <c r="B38" s="234" t="s">
        <v>244</v>
      </c>
      <c r="C38" s="133">
        <v>21485.826259999998</v>
      </c>
      <c r="D38" s="133">
        <v>29168.517814000006</v>
      </c>
      <c r="E38" s="157">
        <f t="shared" si="2"/>
        <v>0.35757021680394097</v>
      </c>
      <c r="F38" s="133">
        <v>51862.477519999971</v>
      </c>
      <c r="G38" s="133">
        <v>74810.374150000047</v>
      </c>
      <c r="H38" s="157">
        <f t="shared" si="3"/>
        <v>0.4424759041091042</v>
      </c>
    </row>
    <row r="39" spans="1:8" ht="11.1" customHeight="1" x14ac:dyDescent="0.2">
      <c r="A39" s="236" t="s">
        <v>95</v>
      </c>
      <c r="B39" s="234" t="s">
        <v>205</v>
      </c>
      <c r="C39" s="133">
        <v>37739.169173000031</v>
      </c>
      <c r="D39" s="133">
        <v>40236.600676000009</v>
      </c>
      <c r="E39" s="157">
        <f t="shared" si="2"/>
        <v>6.6176112451005631E-2</v>
      </c>
      <c r="F39" s="133">
        <v>81108.941119999945</v>
      </c>
      <c r="G39" s="133">
        <v>69821.594020000048</v>
      </c>
      <c r="H39" s="157">
        <f t="shared" si="3"/>
        <v>-0.13916279690176658</v>
      </c>
    </row>
    <row r="40" spans="1:8" ht="24" customHeight="1" x14ac:dyDescent="0.2">
      <c r="A40" s="236" t="s">
        <v>96</v>
      </c>
      <c r="B40" s="234" t="s">
        <v>235</v>
      </c>
      <c r="C40" s="133">
        <v>23074.375881</v>
      </c>
      <c r="D40" s="133">
        <v>26513.524070999993</v>
      </c>
      <c r="E40" s="157">
        <f t="shared" si="2"/>
        <v>0.14904620639520183</v>
      </c>
      <c r="F40" s="133">
        <v>59896.84715999999</v>
      </c>
      <c r="G40" s="133">
        <v>69819.568749999991</v>
      </c>
      <c r="H40" s="157">
        <f t="shared" si="3"/>
        <v>0.16566350418234599</v>
      </c>
    </row>
    <row r="41" spans="1:8" ht="11.1" customHeight="1" x14ac:dyDescent="0.2">
      <c r="A41" s="236" t="s">
        <v>114</v>
      </c>
      <c r="B41" s="234" t="s">
        <v>254</v>
      </c>
      <c r="C41" s="133">
        <v>3856.1729200000004</v>
      </c>
      <c r="D41" s="133">
        <v>3193.5883179999992</v>
      </c>
      <c r="E41" s="157">
        <f t="shared" si="2"/>
        <v>-0.17182440096591967</v>
      </c>
      <c r="F41" s="133">
        <v>58793.012309999984</v>
      </c>
      <c r="G41" s="133">
        <v>63223.057579999993</v>
      </c>
      <c r="H41" s="157">
        <f t="shared" si="3"/>
        <v>7.5349860399082091E-2</v>
      </c>
    </row>
    <row r="42" spans="1:8" ht="24" customHeight="1" x14ac:dyDescent="0.2">
      <c r="A42" s="236" t="s">
        <v>169</v>
      </c>
      <c r="B42" s="234" t="s">
        <v>237</v>
      </c>
      <c r="C42" s="133">
        <v>29613.177290000003</v>
      </c>
      <c r="D42" s="133">
        <v>41276.369856999991</v>
      </c>
      <c r="E42" s="157">
        <f t="shared" si="2"/>
        <v>0.39385144163299568</v>
      </c>
      <c r="F42" s="133">
        <v>44609.702639999989</v>
      </c>
      <c r="G42" s="133">
        <v>62849.82284999999</v>
      </c>
      <c r="H42" s="157">
        <f t="shared" si="3"/>
        <v>0.40888235362601844</v>
      </c>
    </row>
    <row r="43" spans="1:8" ht="24" customHeight="1" x14ac:dyDescent="0.2">
      <c r="A43" s="236" t="s">
        <v>99</v>
      </c>
      <c r="B43" s="234" t="s">
        <v>242</v>
      </c>
      <c r="C43" s="133">
        <v>12817.696209999998</v>
      </c>
      <c r="D43" s="133">
        <v>14819.473386999995</v>
      </c>
      <c r="E43" s="157">
        <f t="shared" si="2"/>
        <v>0.15617293031475254</v>
      </c>
      <c r="F43" s="133">
        <v>46122.633129999995</v>
      </c>
      <c r="G43" s="133">
        <v>60415.535829999957</v>
      </c>
      <c r="H43" s="157">
        <f t="shared" si="3"/>
        <v>0.30988913099810178</v>
      </c>
    </row>
    <row r="44" spans="1:8" ht="11.1" customHeight="1" x14ac:dyDescent="0.2">
      <c r="A44" s="236" t="s">
        <v>115</v>
      </c>
      <c r="B44" s="234" t="s">
        <v>213</v>
      </c>
      <c r="C44" s="133">
        <v>4954.3970970000018</v>
      </c>
      <c r="D44" s="133">
        <v>4246.8147159999999</v>
      </c>
      <c r="E44" s="157">
        <f t="shared" si="2"/>
        <v>-0.14281906903030828</v>
      </c>
      <c r="F44" s="133">
        <v>45316.058509999988</v>
      </c>
      <c r="G44" s="133">
        <v>58233.277519999967</v>
      </c>
      <c r="H44" s="157">
        <f t="shared" si="3"/>
        <v>0.28504727539685537</v>
      </c>
    </row>
    <row r="45" spans="1:8" ht="11.1" customHeight="1" x14ac:dyDescent="0.2">
      <c r="A45" s="236" t="s">
        <v>105</v>
      </c>
      <c r="B45" s="234" t="s">
        <v>210</v>
      </c>
      <c r="C45" s="133">
        <v>13269.53576500001</v>
      </c>
      <c r="D45" s="133">
        <v>30491.810383000025</v>
      </c>
      <c r="E45" s="157">
        <f t="shared" si="2"/>
        <v>1.2978807188888877</v>
      </c>
      <c r="F45" s="133">
        <v>36938.720350000047</v>
      </c>
      <c r="G45" s="133">
        <v>58064.504820000046</v>
      </c>
      <c r="H45" s="157">
        <f t="shared" si="3"/>
        <v>0.57191435625895926</v>
      </c>
    </row>
    <row r="46" spans="1:8" ht="11.1" customHeight="1" x14ac:dyDescent="0.2">
      <c r="A46" s="236" t="s">
        <v>89</v>
      </c>
      <c r="B46" s="234" t="s">
        <v>320</v>
      </c>
      <c r="C46" s="133">
        <v>11828.267481000012</v>
      </c>
      <c r="D46" s="133">
        <v>15326.132341000008</v>
      </c>
      <c r="E46" s="157">
        <f t="shared" si="2"/>
        <v>0.29572081165890851</v>
      </c>
      <c r="F46" s="133">
        <v>43501.470559999965</v>
      </c>
      <c r="G46" s="133">
        <v>56507.520629999977</v>
      </c>
      <c r="H46" s="216">
        <f t="shared" si="3"/>
        <v>0.29897954948583294</v>
      </c>
    </row>
    <row r="47" spans="1:8" ht="11.1" customHeight="1" x14ac:dyDescent="0.2">
      <c r="A47" s="236" t="s">
        <v>200</v>
      </c>
      <c r="B47" s="234" t="s">
        <v>279</v>
      </c>
      <c r="C47" s="133">
        <v>997.41968599999961</v>
      </c>
      <c r="D47" s="133">
        <v>926.52262299999973</v>
      </c>
      <c r="E47" s="157">
        <f t="shared" si="2"/>
        <v>-7.1080472939452188E-2</v>
      </c>
      <c r="F47" s="133">
        <v>103443.31049</v>
      </c>
      <c r="G47" s="133">
        <v>54390.62466999999</v>
      </c>
      <c r="H47" s="157">
        <f t="shared" si="3"/>
        <v>-0.47419872379995032</v>
      </c>
    </row>
    <row r="48" spans="1:8" ht="11.1" customHeight="1" x14ac:dyDescent="0.2">
      <c r="A48" s="236" t="s">
        <v>107</v>
      </c>
      <c r="B48" s="234" t="s">
        <v>207</v>
      </c>
      <c r="C48" s="133">
        <v>24865.900999999998</v>
      </c>
      <c r="D48" s="133">
        <v>31692.025000000001</v>
      </c>
      <c r="E48" s="157">
        <f t="shared" si="2"/>
        <v>0.27451746067838068</v>
      </c>
      <c r="F48" s="133">
        <v>43381.011399999996</v>
      </c>
      <c r="G48" s="133">
        <v>54214.693200000016</v>
      </c>
      <c r="H48" s="157">
        <f t="shared" si="3"/>
        <v>0.24973326924323436</v>
      </c>
    </row>
    <row r="49" spans="1:8" ht="11.1" customHeight="1" x14ac:dyDescent="0.2">
      <c r="A49" s="236" t="s">
        <v>118</v>
      </c>
      <c r="B49" s="234" t="s">
        <v>243</v>
      </c>
      <c r="C49" s="133">
        <v>51970.982810000009</v>
      </c>
      <c r="D49" s="133">
        <v>40621.821532000009</v>
      </c>
      <c r="E49" s="157">
        <f t="shared" si="2"/>
        <v>-0.21837495972495347</v>
      </c>
      <c r="F49" s="133">
        <v>56534.533160000021</v>
      </c>
      <c r="G49" s="133">
        <v>50828.872300000003</v>
      </c>
      <c r="H49" s="157">
        <f t="shared" si="3"/>
        <v>-0.10092346290102483</v>
      </c>
    </row>
    <row r="50" spans="1:8" ht="11.1" customHeight="1" x14ac:dyDescent="0.2">
      <c r="A50" s="236" t="s">
        <v>116</v>
      </c>
      <c r="B50" s="234" t="s">
        <v>250</v>
      </c>
      <c r="C50" s="133">
        <v>813.87567299999989</v>
      </c>
      <c r="D50" s="133">
        <v>1183.0945469999995</v>
      </c>
      <c r="E50" s="157">
        <f t="shared" si="2"/>
        <v>0.45365512970676991</v>
      </c>
      <c r="F50" s="133">
        <v>34805.059789999999</v>
      </c>
      <c r="G50" s="133">
        <v>48150.698730000026</v>
      </c>
      <c r="H50" s="157">
        <f t="shared" si="3"/>
        <v>0.3834396211505553</v>
      </c>
    </row>
    <row r="51" spans="1:8" ht="11.1" customHeight="1" x14ac:dyDescent="0.2">
      <c r="A51" s="236" t="s">
        <v>178</v>
      </c>
      <c r="B51" s="234" t="s">
        <v>255</v>
      </c>
      <c r="C51" s="133">
        <v>6546.5556070000002</v>
      </c>
      <c r="D51" s="133">
        <v>2273.3566739999997</v>
      </c>
      <c r="E51" s="157">
        <f t="shared" si="2"/>
        <v>-0.65274003453523255</v>
      </c>
      <c r="F51" s="133">
        <v>73521.276780000015</v>
      </c>
      <c r="G51" s="133">
        <v>47583.680340000014</v>
      </c>
      <c r="H51" s="216">
        <f t="shared" si="3"/>
        <v>-0.35279034282298816</v>
      </c>
    </row>
    <row r="52" spans="1:8" ht="11.1" customHeight="1" x14ac:dyDescent="0.2">
      <c r="A52" s="236" t="s">
        <v>94</v>
      </c>
      <c r="B52" s="234" t="s">
        <v>251</v>
      </c>
      <c r="C52" s="133">
        <v>18369.500511000006</v>
      </c>
      <c r="D52" s="133">
        <v>24283.825532000032</v>
      </c>
      <c r="E52" s="157">
        <f t="shared" si="2"/>
        <v>0.32196438969358021</v>
      </c>
      <c r="F52" s="133">
        <v>34995.147729999997</v>
      </c>
      <c r="G52" s="133">
        <v>46338.85113000001</v>
      </c>
      <c r="H52" s="157">
        <f t="shared" si="3"/>
        <v>0.3241507504846306</v>
      </c>
    </row>
    <row r="53" spans="1:8" ht="11.1" customHeight="1" x14ac:dyDescent="0.2">
      <c r="A53" s="236" t="s">
        <v>104</v>
      </c>
      <c r="B53" s="234" t="s">
        <v>280</v>
      </c>
      <c r="C53" s="133">
        <v>4492.6710420000027</v>
      </c>
      <c r="D53" s="133">
        <v>3116.5426610000022</v>
      </c>
      <c r="E53" s="157">
        <f t="shared" si="2"/>
        <v>-0.30630517305522309</v>
      </c>
      <c r="F53" s="133">
        <v>33005.652920000008</v>
      </c>
      <c r="G53" s="133">
        <v>45465.452550000024</v>
      </c>
      <c r="H53" s="157">
        <f t="shared" si="3"/>
        <v>0.37750501891904431</v>
      </c>
    </row>
    <row r="54" spans="1:8" ht="11.1" customHeight="1" x14ac:dyDescent="0.2">
      <c r="A54" s="236" t="s">
        <v>175</v>
      </c>
      <c r="B54" s="234" t="s">
        <v>239</v>
      </c>
      <c r="C54" s="133">
        <v>13868.654286000005</v>
      </c>
      <c r="D54" s="133">
        <v>22915.087334000022</v>
      </c>
      <c r="E54" s="157">
        <f t="shared" si="2"/>
        <v>0.65229350025201249</v>
      </c>
      <c r="F54" s="133">
        <v>26744.92497</v>
      </c>
      <c r="G54" s="133">
        <v>44464.795159999987</v>
      </c>
      <c r="H54" s="157">
        <f t="shared" si="3"/>
        <v>0.66255075345608594</v>
      </c>
    </row>
    <row r="55" spans="1:8" ht="11.1" customHeight="1" x14ac:dyDescent="0.2">
      <c r="A55" s="236" t="s">
        <v>102</v>
      </c>
      <c r="B55" s="234" t="s">
        <v>208</v>
      </c>
      <c r="C55" s="133">
        <v>20333.503364000015</v>
      </c>
      <c r="D55" s="133">
        <v>20380.424831999997</v>
      </c>
      <c r="E55" s="157">
        <f t="shared" si="2"/>
        <v>2.3075938838486021E-3</v>
      </c>
      <c r="F55" s="133">
        <v>40825.980510000001</v>
      </c>
      <c r="G55" s="133">
        <v>41106.614619999986</v>
      </c>
      <c r="H55" s="157">
        <f t="shared" si="3"/>
        <v>6.8739098606889204E-3</v>
      </c>
    </row>
    <row r="56" spans="1:8" ht="11.1" customHeight="1" x14ac:dyDescent="0.2">
      <c r="A56" s="233"/>
      <c r="B56" s="235" t="s">
        <v>314</v>
      </c>
      <c r="C56" s="133"/>
      <c r="D56" s="133"/>
      <c r="E56" s="133"/>
      <c r="F56" s="133">
        <v>1486481.8631100007</v>
      </c>
      <c r="G56" s="133">
        <v>1792042.3069100003</v>
      </c>
      <c r="H56" s="157">
        <f t="shared" si="3"/>
        <v>0.20555948335670204</v>
      </c>
    </row>
    <row r="57" spans="1:8" ht="9" customHeight="1" x14ac:dyDescent="0.2">
      <c r="A57" s="217" t="s">
        <v>44</v>
      </c>
      <c r="B57" s="218"/>
      <c r="C57" s="42"/>
      <c r="D57" s="42"/>
      <c r="E57" s="42"/>
      <c r="F57" s="42"/>
      <c r="G57" s="42"/>
      <c r="H57" s="42"/>
    </row>
    <row r="58" spans="1:8" ht="9" customHeight="1" x14ac:dyDescent="0.2">
      <c r="A58" s="11" t="s">
        <v>20</v>
      </c>
      <c r="B58" s="21"/>
      <c r="C58" s="21"/>
      <c r="D58" s="21"/>
      <c r="E58" s="21"/>
      <c r="F58" s="21"/>
      <c r="G58" s="21"/>
      <c r="H58" s="21"/>
    </row>
    <row r="59" spans="1:8" ht="9" customHeight="1" x14ac:dyDescent="0.2">
      <c r="A59" s="214" t="s">
        <v>348</v>
      </c>
      <c r="B59" s="11"/>
      <c r="C59" s="11"/>
      <c r="D59" s="11"/>
      <c r="E59" s="11"/>
      <c r="F59" s="11"/>
      <c r="G59" s="11"/>
      <c r="H59" s="11"/>
    </row>
    <row r="60" spans="1:8" ht="9" customHeight="1" x14ac:dyDescent="0.15">
      <c r="A60" s="215" t="s">
        <v>349</v>
      </c>
      <c r="B60" s="131"/>
      <c r="C60" s="131"/>
      <c r="D60" s="131"/>
      <c r="E60" s="131"/>
      <c r="F60" s="131"/>
      <c r="G60" s="131"/>
      <c r="H60" s="131"/>
    </row>
    <row r="61" spans="1:8" x14ac:dyDescent="0.2">
      <c r="A61" s="131"/>
      <c r="B61" s="131"/>
      <c r="C61" s="131"/>
      <c r="D61" s="131"/>
      <c r="E61" s="131"/>
      <c r="F61" s="131"/>
      <c r="G61" s="131"/>
      <c r="H61" s="131"/>
    </row>
    <row r="62" spans="1:8" x14ac:dyDescent="0.2">
      <c r="A62" s="131"/>
      <c r="B62" s="131"/>
      <c r="C62" s="131"/>
      <c r="D62" s="131"/>
      <c r="E62" s="131"/>
      <c r="F62" s="131"/>
      <c r="G62" s="131"/>
      <c r="H62" s="131"/>
    </row>
    <row r="63" spans="1:8" x14ac:dyDescent="0.2">
      <c r="A63" s="131"/>
      <c r="B63" s="131"/>
      <c r="C63" s="131"/>
      <c r="D63" s="131"/>
      <c r="E63" s="131"/>
      <c r="F63" s="131"/>
      <c r="G63" s="131"/>
      <c r="H63" s="131"/>
    </row>
    <row r="64" spans="1:8" x14ac:dyDescent="0.2">
      <c r="A64" s="131"/>
      <c r="B64" s="131"/>
      <c r="C64" s="131"/>
      <c r="D64" s="131"/>
      <c r="E64" s="131"/>
      <c r="F64" s="131"/>
      <c r="G64" s="131"/>
      <c r="H64" s="131"/>
    </row>
    <row r="65" spans="1:8" x14ac:dyDescent="0.2">
      <c r="A65" s="131"/>
      <c r="B65" s="131"/>
      <c r="C65" s="131"/>
      <c r="D65" s="131"/>
      <c r="E65" s="131"/>
      <c r="F65" s="131"/>
      <c r="G65" s="131"/>
      <c r="H65" s="131"/>
    </row>
    <row r="66" spans="1:8" x14ac:dyDescent="0.2">
      <c r="A66" s="131"/>
      <c r="B66" s="131"/>
      <c r="C66" s="131"/>
      <c r="D66" s="131"/>
      <c r="E66" s="131"/>
      <c r="F66" s="131"/>
      <c r="G66" s="131"/>
      <c r="H66" s="131"/>
    </row>
    <row r="67" spans="1:8" x14ac:dyDescent="0.2">
      <c r="A67" s="131"/>
      <c r="B67" s="131"/>
      <c r="C67" s="131"/>
      <c r="D67" s="131"/>
      <c r="E67" s="131"/>
      <c r="F67" s="131"/>
      <c r="G67" s="131"/>
      <c r="H67" s="131"/>
    </row>
    <row r="68" spans="1:8" x14ac:dyDescent="0.2">
      <c r="A68" s="131"/>
      <c r="B68" s="131"/>
      <c r="C68" s="131"/>
      <c r="D68" s="131"/>
      <c r="E68" s="131"/>
      <c r="F68" s="131"/>
      <c r="G68" s="131"/>
      <c r="H68" s="131"/>
    </row>
    <row r="69" spans="1:8" x14ac:dyDescent="0.2">
      <c r="A69" s="131"/>
      <c r="B69" s="131"/>
      <c r="C69" s="131"/>
      <c r="D69" s="131"/>
      <c r="E69" s="131"/>
      <c r="F69" s="131"/>
      <c r="G69" s="131"/>
      <c r="H69" s="131"/>
    </row>
    <row r="70" spans="1:8" x14ac:dyDescent="0.2">
      <c r="A70" s="131"/>
      <c r="B70" s="131"/>
      <c r="C70" s="131"/>
      <c r="D70" s="131"/>
      <c r="E70" s="131"/>
      <c r="F70" s="131"/>
      <c r="G70" s="131"/>
      <c r="H70" s="131"/>
    </row>
    <row r="71" spans="1:8" x14ac:dyDescent="0.2">
      <c r="A71" s="131"/>
      <c r="B71" s="131"/>
      <c r="C71" s="131"/>
      <c r="D71" s="131"/>
      <c r="E71" s="131"/>
      <c r="F71" s="131"/>
      <c r="G71" s="131"/>
      <c r="H71" s="131"/>
    </row>
    <row r="72" spans="1:8" x14ac:dyDescent="0.2">
      <c r="A72" s="131"/>
      <c r="B72" s="131"/>
      <c r="C72" s="131"/>
      <c r="D72" s="131"/>
      <c r="E72" s="131"/>
      <c r="F72" s="131"/>
      <c r="G72" s="131"/>
      <c r="H72" s="131"/>
    </row>
    <row r="73" spans="1:8" x14ac:dyDescent="0.2">
      <c r="A73" s="131"/>
      <c r="B73" s="131"/>
      <c r="C73" s="131"/>
      <c r="D73" s="131"/>
      <c r="E73" s="131"/>
      <c r="F73" s="131"/>
      <c r="G73" s="131"/>
      <c r="H73" s="131"/>
    </row>
    <row r="74" spans="1:8" x14ac:dyDescent="0.2">
      <c r="A74" s="131"/>
      <c r="B74" s="131"/>
      <c r="C74" s="131"/>
      <c r="D74" s="131"/>
      <c r="E74" s="131"/>
      <c r="F74" s="131"/>
      <c r="G74" s="131"/>
      <c r="H74" s="131"/>
    </row>
    <row r="75" spans="1:8" x14ac:dyDescent="0.2">
      <c r="A75" s="131"/>
      <c r="B75" s="131"/>
      <c r="C75" s="131"/>
      <c r="D75" s="131"/>
      <c r="E75" s="131"/>
      <c r="F75" s="131"/>
      <c r="G75" s="131"/>
      <c r="H75" s="131"/>
    </row>
    <row r="76" spans="1:8" x14ac:dyDescent="0.2">
      <c r="A76" s="131"/>
      <c r="B76" s="131"/>
      <c r="C76" s="131"/>
      <c r="D76" s="131"/>
      <c r="E76" s="131"/>
      <c r="F76" s="131"/>
      <c r="G76" s="131"/>
      <c r="H76" s="131"/>
    </row>
    <row r="77" spans="1:8" x14ac:dyDescent="0.2">
      <c r="A77" s="131"/>
      <c r="B77" s="131"/>
      <c r="C77" s="131"/>
      <c r="D77" s="131"/>
      <c r="E77" s="131"/>
      <c r="F77" s="131"/>
      <c r="G77" s="131"/>
      <c r="H77" s="131"/>
    </row>
    <row r="78" spans="1:8" x14ac:dyDescent="0.2">
      <c r="A78" s="131"/>
      <c r="B78" s="131"/>
      <c r="C78" s="131"/>
      <c r="D78" s="131"/>
      <c r="E78" s="131"/>
      <c r="F78" s="131"/>
      <c r="G78" s="131"/>
      <c r="H78" s="131"/>
    </row>
    <row r="79" spans="1:8" x14ac:dyDescent="0.2">
      <c r="A79" s="131"/>
      <c r="B79" s="131"/>
      <c r="C79" s="131"/>
      <c r="D79" s="131"/>
      <c r="E79" s="131"/>
      <c r="F79" s="131"/>
      <c r="G79" s="131"/>
      <c r="H79" s="131"/>
    </row>
    <row r="80" spans="1:8" x14ac:dyDescent="0.2">
      <c r="A80" s="131"/>
      <c r="B80" s="131"/>
      <c r="C80" s="131"/>
      <c r="D80" s="131"/>
      <c r="E80" s="131"/>
      <c r="F80" s="131"/>
      <c r="G80" s="131"/>
      <c r="H80" s="131"/>
    </row>
    <row r="81" spans="1:8" x14ac:dyDescent="0.2">
      <c r="A81" s="131"/>
      <c r="B81" s="131"/>
      <c r="C81" s="131"/>
      <c r="D81" s="131"/>
      <c r="E81" s="131"/>
      <c r="F81" s="131"/>
      <c r="G81" s="131"/>
      <c r="H81" s="131"/>
    </row>
    <row r="82" spans="1:8" s="131" customFormat="1" ht="12.75" x14ac:dyDescent="0.2"/>
    <row r="83" spans="1:8" s="131" customFormat="1" ht="12.75" x14ac:dyDescent="0.2"/>
    <row r="84" spans="1:8" s="131" customFormat="1" ht="12.75" x14ac:dyDescent="0.2"/>
    <row r="85" spans="1:8" s="131" customFormat="1" ht="12.75" x14ac:dyDescent="0.2"/>
    <row r="86" spans="1:8" s="131" customFormat="1" ht="12.75" x14ac:dyDescent="0.2"/>
    <row r="87" spans="1:8" s="131" customFormat="1" ht="12.75" x14ac:dyDescent="0.2"/>
    <row r="88" spans="1:8" s="131" customFormat="1" ht="12.75" x14ac:dyDescent="0.2"/>
    <row r="89" spans="1:8" s="131" customFormat="1" ht="12.75" x14ac:dyDescent="0.2"/>
    <row r="90" spans="1:8" s="131" customFormat="1" ht="12.75" x14ac:dyDescent="0.2"/>
    <row r="91" spans="1:8" s="131" customFormat="1" ht="12.75" x14ac:dyDescent="0.2"/>
    <row r="92" spans="1:8" s="131" customFormat="1" ht="12.75" x14ac:dyDescent="0.2"/>
    <row r="93" spans="1:8" s="131" customFormat="1" ht="12.75" x14ac:dyDescent="0.2"/>
    <row r="94" spans="1:8" s="131" customFormat="1" ht="12.75" x14ac:dyDescent="0.2"/>
    <row r="95" spans="1:8" s="131" customFormat="1" ht="12.75" x14ac:dyDescent="0.2"/>
    <row r="96" spans="1:8" s="131" customFormat="1" ht="12.75" x14ac:dyDescent="0.2"/>
    <row r="97" s="131" customFormat="1" ht="12.75" x14ac:dyDescent="0.2"/>
    <row r="98" s="131" customFormat="1" ht="12.75" x14ac:dyDescent="0.2"/>
    <row r="99" s="131" customFormat="1" ht="12.75" x14ac:dyDescent="0.2"/>
    <row r="100" s="131" customFormat="1" ht="12.75" x14ac:dyDescent="0.2"/>
    <row r="101" s="131" customFormat="1" ht="12.75" x14ac:dyDescent="0.2"/>
    <row r="102" s="131" customFormat="1" ht="12.75" x14ac:dyDescent="0.2"/>
    <row r="103" s="131" customFormat="1" ht="12.75" x14ac:dyDescent="0.2"/>
    <row r="104" s="131" customFormat="1" ht="12.75" x14ac:dyDescent="0.2"/>
    <row r="105" s="131" customFormat="1" ht="12.75" x14ac:dyDescent="0.2"/>
    <row r="106" s="131" customFormat="1" ht="12.75" x14ac:dyDescent="0.2"/>
    <row r="107" s="131" customFormat="1" ht="12.75" x14ac:dyDescent="0.2"/>
    <row r="108" s="131" customFormat="1" ht="12.75" x14ac:dyDescent="0.2"/>
    <row r="109" s="131" customFormat="1" ht="12.75" x14ac:dyDescent="0.2"/>
    <row r="110" s="131" customFormat="1" ht="12.75" x14ac:dyDescent="0.2"/>
    <row r="111" s="131" customFormat="1" ht="12.75" x14ac:dyDescent="0.2"/>
    <row r="112" s="131" customFormat="1" ht="12.75" x14ac:dyDescent="0.2"/>
    <row r="113" s="131" customFormat="1" ht="12.75" x14ac:dyDescent="0.2"/>
    <row r="114" s="131" customFormat="1" ht="12.75" x14ac:dyDescent="0.2"/>
    <row r="115" s="131" customFormat="1" ht="12.75" x14ac:dyDescent="0.2"/>
    <row r="116" s="131" customFormat="1" ht="12.75" x14ac:dyDescent="0.2"/>
    <row r="117" s="131" customFormat="1" ht="12.75" x14ac:dyDescent="0.2"/>
    <row r="118" s="131" customFormat="1" ht="12.75" x14ac:dyDescent="0.2"/>
    <row r="119" s="131" customFormat="1" ht="12.75" x14ac:dyDescent="0.2"/>
    <row r="120" s="131" customFormat="1" ht="12.75" x14ac:dyDescent="0.2"/>
    <row r="121" s="131" customFormat="1" ht="12.75" x14ac:dyDescent="0.2"/>
    <row r="122" s="131" customFormat="1" ht="12.75" x14ac:dyDescent="0.2"/>
    <row r="123" s="131" customFormat="1" ht="12.75" x14ac:dyDescent="0.2"/>
    <row r="124" s="131" customFormat="1" ht="12.75" x14ac:dyDescent="0.2"/>
    <row r="125" s="131" customFormat="1" ht="12.75" x14ac:dyDescent="0.2"/>
    <row r="126" s="131" customFormat="1" ht="12.75" x14ac:dyDescent="0.2"/>
    <row r="127" s="131" customFormat="1" ht="12.75" x14ac:dyDescent="0.2"/>
    <row r="128" s="131" customFormat="1" ht="12.75" x14ac:dyDescent="0.2"/>
    <row r="129" s="131" customFormat="1" ht="12.75" x14ac:dyDescent="0.2"/>
    <row r="130" s="131" customFormat="1" ht="12.75" x14ac:dyDescent="0.2"/>
    <row r="131" s="131" customFormat="1" ht="12.75" x14ac:dyDescent="0.2"/>
    <row r="132" s="131" customFormat="1" ht="12.75" x14ac:dyDescent="0.2"/>
    <row r="133" s="131" customFormat="1" ht="12.75" x14ac:dyDescent="0.2"/>
    <row r="134" s="131" customFormat="1" ht="12.75" x14ac:dyDescent="0.2"/>
    <row r="135" s="131" customFormat="1" ht="12.75" x14ac:dyDescent="0.2"/>
    <row r="136" s="131" customFormat="1" ht="12.75" x14ac:dyDescent="0.2"/>
    <row r="137" s="131" customFormat="1" ht="12.75" x14ac:dyDescent="0.2"/>
    <row r="138" s="131" customFormat="1" ht="12.75" x14ac:dyDescent="0.2"/>
    <row r="139" s="131" customFormat="1" ht="12.75" x14ac:dyDescent="0.2"/>
    <row r="140" s="131" customFormat="1" ht="12.75" x14ac:dyDescent="0.2"/>
    <row r="141" s="131" customFormat="1" ht="12.75" x14ac:dyDescent="0.2"/>
    <row r="142" s="131" customFormat="1" ht="12.75" x14ac:dyDescent="0.2"/>
    <row r="143" s="131" customFormat="1" ht="12.75" x14ac:dyDescent="0.2"/>
    <row r="144" s="131" customFormat="1" ht="12.75" x14ac:dyDescent="0.2"/>
    <row r="145" s="131" customFormat="1" ht="12.75" x14ac:dyDescent="0.2"/>
    <row r="146" s="131" customFormat="1" ht="12.75" x14ac:dyDescent="0.2"/>
    <row r="147" s="131" customFormat="1" ht="12.75" x14ac:dyDescent="0.2"/>
    <row r="148" s="131" customFormat="1" ht="12.75" x14ac:dyDescent="0.2"/>
    <row r="149" s="131" customFormat="1" ht="12.75" x14ac:dyDescent="0.2"/>
    <row r="150" s="131" customFormat="1" ht="12.75" x14ac:dyDescent="0.2"/>
    <row r="151" s="131" customFormat="1" ht="12.75" x14ac:dyDescent="0.2"/>
    <row r="152" s="131" customFormat="1" ht="12.75" x14ac:dyDescent="0.2"/>
    <row r="153" s="131" customFormat="1" ht="12.75" x14ac:dyDescent="0.2"/>
    <row r="154" s="131" customFormat="1" ht="12.75" x14ac:dyDescent="0.2"/>
    <row r="155" s="131" customFormat="1" ht="12.75" x14ac:dyDescent="0.2"/>
    <row r="156" s="131" customFormat="1" ht="12.75" x14ac:dyDescent="0.2"/>
    <row r="157" s="131" customFormat="1" ht="12.75" x14ac:dyDescent="0.2"/>
    <row r="158" s="131" customFormat="1" ht="12.75" x14ac:dyDescent="0.2"/>
    <row r="159" s="131" customFormat="1" ht="12.75" x14ac:dyDescent="0.2"/>
    <row r="160" s="131" customFormat="1" ht="12.75" x14ac:dyDescent="0.2"/>
    <row r="161" s="131" customFormat="1" ht="12.75" x14ac:dyDescent="0.2"/>
    <row r="162" s="131" customFormat="1" ht="12.75" x14ac:dyDescent="0.2"/>
    <row r="163" s="131" customFormat="1" ht="12.75" x14ac:dyDescent="0.2"/>
    <row r="164" s="131" customFormat="1" ht="12.75" x14ac:dyDescent="0.2"/>
    <row r="165" s="131" customFormat="1" ht="12.75" x14ac:dyDescent="0.2"/>
    <row r="166" s="131" customFormat="1" ht="12.75" x14ac:dyDescent="0.2"/>
    <row r="167" s="131" customFormat="1" ht="12.75" x14ac:dyDescent="0.2"/>
    <row r="168" s="131" customFormat="1" ht="12.75" x14ac:dyDescent="0.2"/>
    <row r="169" s="131" customFormat="1" ht="12.75" x14ac:dyDescent="0.2"/>
    <row r="170" s="131" customFormat="1" ht="12.75" x14ac:dyDescent="0.2"/>
    <row r="171" s="131" customFormat="1" ht="12.75" x14ac:dyDescent="0.2"/>
    <row r="172" s="131" customFormat="1" ht="12.75" x14ac:dyDescent="0.2"/>
    <row r="173" s="131" customFormat="1" ht="12.75" x14ac:dyDescent="0.2"/>
    <row r="174" s="131" customFormat="1" ht="12.75" x14ac:dyDescent="0.2"/>
    <row r="175" s="131" customFormat="1" ht="12.75" x14ac:dyDescent="0.2"/>
    <row r="176" s="131" customFormat="1" ht="12.75" x14ac:dyDescent="0.2"/>
    <row r="177" s="131" customFormat="1" ht="12.75" x14ac:dyDescent="0.2"/>
    <row r="178" s="131" customFormat="1" ht="12.75" x14ac:dyDescent="0.2"/>
    <row r="179" s="131" customFormat="1" ht="12.75" x14ac:dyDescent="0.2"/>
    <row r="180" s="131" customFormat="1" ht="12.75" x14ac:dyDescent="0.2"/>
    <row r="181" s="131" customFormat="1" ht="12.75" x14ac:dyDescent="0.2"/>
    <row r="182" s="131" customFormat="1" ht="12.75" x14ac:dyDescent="0.2"/>
    <row r="183" s="131" customFormat="1" ht="12.75" x14ac:dyDescent="0.2"/>
    <row r="184" s="131" customFormat="1" ht="12.75" x14ac:dyDescent="0.2"/>
    <row r="185" s="131" customFormat="1" ht="12.75" x14ac:dyDescent="0.2"/>
    <row r="186" s="131" customFormat="1" ht="12.75" x14ac:dyDescent="0.2"/>
    <row r="187" s="131" customFormat="1" ht="12.75" x14ac:dyDescent="0.2"/>
    <row r="188" s="131" customFormat="1" ht="12.75" x14ac:dyDescent="0.2"/>
    <row r="189" s="131" customFormat="1" ht="12.75" x14ac:dyDescent="0.2"/>
    <row r="190" s="131" customFormat="1" ht="12.75" x14ac:dyDescent="0.2"/>
    <row r="191" s="131" customFormat="1" ht="12.75" x14ac:dyDescent="0.2"/>
    <row r="192" s="131" customFormat="1" ht="12.75" x14ac:dyDescent="0.2"/>
    <row r="193" s="131" customFormat="1" ht="12.75" x14ac:dyDescent="0.2"/>
    <row r="194" s="131" customFormat="1" ht="12.75" x14ac:dyDescent="0.2"/>
    <row r="195" s="131" customFormat="1" ht="12.75" x14ac:dyDescent="0.2"/>
    <row r="196" s="131" customFormat="1" ht="12.75" x14ac:dyDescent="0.2"/>
    <row r="197" s="131" customFormat="1" ht="12.75" x14ac:dyDescent="0.2"/>
    <row r="198" s="131" customFormat="1" ht="12.75" x14ac:dyDescent="0.2"/>
    <row r="199" s="131" customFormat="1" ht="12.75" x14ac:dyDescent="0.2"/>
    <row r="200" s="131" customFormat="1" ht="12.75" x14ac:dyDescent="0.2"/>
    <row r="201" s="131" customFormat="1" ht="12.75" x14ac:dyDescent="0.2"/>
    <row r="202" s="131" customFormat="1" ht="12.75" x14ac:dyDescent="0.2"/>
    <row r="203" s="131" customFormat="1" ht="12.75" x14ac:dyDescent="0.2"/>
    <row r="204" s="131" customFormat="1" ht="12.75" x14ac:dyDescent="0.2"/>
    <row r="205" s="131" customFormat="1" ht="12.75" x14ac:dyDescent="0.2"/>
    <row r="206" s="131" customFormat="1" ht="12.75" x14ac:dyDescent="0.2"/>
    <row r="207" s="131" customFormat="1" ht="12.75" x14ac:dyDescent="0.2"/>
    <row r="208" s="131" customFormat="1" ht="12.75" x14ac:dyDescent="0.2"/>
    <row r="209" s="131" customFormat="1" ht="12.75" x14ac:dyDescent="0.2"/>
    <row r="210" s="131" customFormat="1" ht="12.75" x14ac:dyDescent="0.2"/>
    <row r="211" s="131" customFormat="1" ht="12.75" x14ac:dyDescent="0.2"/>
    <row r="212" s="131" customFormat="1" ht="12.75" x14ac:dyDescent="0.2"/>
    <row r="213" s="131" customFormat="1" ht="12.75" x14ac:dyDescent="0.2"/>
    <row r="214" s="131" customFormat="1" ht="12.75" x14ac:dyDescent="0.2"/>
    <row r="215" s="131" customFormat="1" ht="12.75" x14ac:dyDescent="0.2"/>
    <row r="216" s="131" customFormat="1" ht="12.75" x14ac:dyDescent="0.2"/>
    <row r="217" s="131" customFormat="1" ht="12.75" x14ac:dyDescent="0.2"/>
    <row r="218" s="131" customFormat="1" ht="12.75" x14ac:dyDescent="0.2"/>
    <row r="219" s="131" customFormat="1" ht="12.75" x14ac:dyDescent="0.2"/>
    <row r="220" s="131" customFormat="1" ht="12.75" x14ac:dyDescent="0.2"/>
    <row r="221" s="131" customFormat="1" ht="12.75" x14ac:dyDescent="0.2"/>
    <row r="222" s="131" customFormat="1" ht="12.75" x14ac:dyDescent="0.2"/>
    <row r="223" s="131" customFormat="1" ht="12.75" x14ac:dyDescent="0.2"/>
    <row r="224" s="131" customFormat="1" ht="12.75" x14ac:dyDescent="0.2"/>
    <row r="225" s="131" customFormat="1" ht="12.75" x14ac:dyDescent="0.2"/>
    <row r="226" s="131" customFormat="1" ht="12.75" x14ac:dyDescent="0.2"/>
    <row r="227" s="131" customFormat="1" ht="12.75" x14ac:dyDescent="0.2"/>
    <row r="228" s="131" customFormat="1" ht="12.75" x14ac:dyDescent="0.2"/>
    <row r="229" s="131" customFormat="1" ht="12.75" x14ac:dyDescent="0.2"/>
    <row r="230" s="131" customFormat="1" ht="12.75" x14ac:dyDescent="0.2"/>
    <row r="231" s="131" customFormat="1" ht="12.75" x14ac:dyDescent="0.2"/>
    <row r="232" s="131" customFormat="1" ht="12.75" x14ac:dyDescent="0.2"/>
    <row r="233" s="131" customFormat="1" ht="12.75" x14ac:dyDescent="0.2"/>
    <row r="234" s="131" customFormat="1" ht="12.75" x14ac:dyDescent="0.2"/>
    <row r="235" s="131" customFormat="1" ht="12.75" x14ac:dyDescent="0.2"/>
    <row r="236" s="131" customFormat="1" ht="12.75" x14ac:dyDescent="0.2"/>
    <row r="237" s="131" customFormat="1" ht="12.75" x14ac:dyDescent="0.2"/>
    <row r="238" s="131" customFormat="1" ht="12.75" x14ac:dyDescent="0.2"/>
    <row r="239" s="131" customFormat="1" ht="12.75" x14ac:dyDescent="0.2"/>
    <row r="240" s="131" customFormat="1" ht="12.75" x14ac:dyDescent="0.2"/>
    <row r="241" s="131" customFormat="1" ht="12.75" x14ac:dyDescent="0.2"/>
    <row r="242" s="131" customFormat="1" ht="12.75" x14ac:dyDescent="0.2"/>
    <row r="243" s="131" customFormat="1" ht="12.75" x14ac:dyDescent="0.2"/>
    <row r="244" s="131" customFormat="1" ht="12.75" x14ac:dyDescent="0.2"/>
    <row r="245" s="131" customFormat="1" ht="12.75" x14ac:dyDescent="0.2"/>
    <row r="246" s="131" customFormat="1" ht="12.75" x14ac:dyDescent="0.2"/>
    <row r="247" s="131" customFormat="1" ht="12.75" x14ac:dyDescent="0.2"/>
    <row r="248" s="131" customFormat="1" ht="12.75" x14ac:dyDescent="0.2"/>
    <row r="249" s="131" customFormat="1" ht="12.75" x14ac:dyDescent="0.2"/>
    <row r="250" s="131" customFormat="1" ht="12.75" x14ac:dyDescent="0.2"/>
    <row r="251" s="131" customFormat="1" ht="12.75" x14ac:dyDescent="0.2"/>
    <row r="252" s="131" customFormat="1" ht="12.75" x14ac:dyDescent="0.2"/>
    <row r="253" s="131" customFormat="1" ht="12.75" x14ac:dyDescent="0.2"/>
    <row r="254" s="131" customFormat="1" ht="12.75" x14ac:dyDescent="0.2"/>
    <row r="255" s="131" customFormat="1" ht="12.75" x14ac:dyDescent="0.2"/>
    <row r="256" s="131" customFormat="1" ht="12.75" x14ac:dyDescent="0.2"/>
    <row r="257" s="131" customFormat="1" ht="12.75" x14ac:dyDescent="0.2"/>
    <row r="258" s="131" customFormat="1" ht="12.75" x14ac:dyDescent="0.2"/>
    <row r="259" s="131" customFormat="1" ht="12.75" x14ac:dyDescent="0.2"/>
    <row r="260" s="131" customFormat="1" ht="12.75" x14ac:dyDescent="0.2"/>
    <row r="261" s="131" customFormat="1" ht="12.75" x14ac:dyDescent="0.2"/>
    <row r="262" s="131" customFormat="1" ht="12.75" x14ac:dyDescent="0.2"/>
    <row r="263" s="131" customFormat="1" ht="12.75" x14ac:dyDescent="0.2"/>
    <row r="264" s="131" customFormat="1" ht="12.75" x14ac:dyDescent="0.2"/>
    <row r="265" s="131" customFormat="1" ht="12.75" x14ac:dyDescent="0.2"/>
    <row r="266" s="131" customFormat="1" ht="12.75" x14ac:dyDescent="0.2"/>
    <row r="267" s="131" customFormat="1" ht="12.75" x14ac:dyDescent="0.2"/>
    <row r="268" s="131" customFormat="1" ht="12.75" x14ac:dyDescent="0.2"/>
    <row r="269" s="131" customFormat="1" ht="12.75" x14ac:dyDescent="0.2"/>
    <row r="270" s="131" customFormat="1" ht="12.75" x14ac:dyDescent="0.2"/>
    <row r="271" s="131" customFormat="1" ht="12.75" x14ac:dyDescent="0.2"/>
    <row r="272" s="131" customFormat="1" ht="12.75" x14ac:dyDescent="0.2"/>
    <row r="273" s="131" customFormat="1" ht="12.75" x14ac:dyDescent="0.2"/>
    <row r="274" s="131" customFormat="1" ht="12.75" x14ac:dyDescent="0.2"/>
    <row r="275" s="131" customFormat="1" ht="12.75" x14ac:dyDescent="0.2"/>
    <row r="276" s="131" customFormat="1" ht="12.75" x14ac:dyDescent="0.2"/>
    <row r="277" s="131" customFormat="1" ht="12.75" x14ac:dyDescent="0.2"/>
    <row r="278" s="131" customFormat="1" ht="12.75" x14ac:dyDescent="0.2"/>
    <row r="279" s="131" customFormat="1" ht="12.75" x14ac:dyDescent="0.2"/>
    <row r="280" s="131" customFormat="1" ht="12.75" x14ac:dyDescent="0.2"/>
    <row r="281" s="131" customFormat="1" ht="12.75" x14ac:dyDescent="0.2"/>
    <row r="282" s="131" customFormat="1" ht="12.75" x14ac:dyDescent="0.2"/>
    <row r="283" s="131" customFormat="1" ht="12.75" x14ac:dyDescent="0.2"/>
    <row r="284" s="131" customFormat="1" ht="12.75" x14ac:dyDescent="0.2"/>
    <row r="285" s="131" customFormat="1" ht="12.75" x14ac:dyDescent="0.2"/>
    <row r="286" s="131" customFormat="1" ht="12.75" x14ac:dyDescent="0.2"/>
    <row r="287" s="131" customFormat="1" ht="12.75" x14ac:dyDescent="0.2"/>
    <row r="288" s="131" customFormat="1" ht="12.75" x14ac:dyDescent="0.2"/>
    <row r="289" s="131" customFormat="1" ht="12.75" x14ac:dyDescent="0.2"/>
    <row r="290" s="131" customFormat="1" ht="12.75" x14ac:dyDescent="0.2"/>
    <row r="291" s="131" customFormat="1" ht="12.75" x14ac:dyDescent="0.2"/>
    <row r="292" s="131" customFormat="1" ht="12.75" x14ac:dyDescent="0.2"/>
    <row r="293" s="131" customFormat="1" ht="12.75" x14ac:dyDescent="0.2"/>
    <row r="294" s="131" customFormat="1" ht="12.75" x14ac:dyDescent="0.2"/>
    <row r="295" s="131" customFormat="1" ht="12.75" x14ac:dyDescent="0.2"/>
    <row r="296" s="131" customFormat="1" ht="12.75" x14ac:dyDescent="0.2"/>
    <row r="297" s="131" customFormat="1" ht="12.75" x14ac:dyDescent="0.2"/>
    <row r="298" s="131" customFormat="1" ht="12.75" x14ac:dyDescent="0.2"/>
    <row r="299" s="131" customFormat="1" ht="12.75" x14ac:dyDescent="0.2"/>
    <row r="300" s="131" customFormat="1" ht="12.75" x14ac:dyDescent="0.2"/>
    <row r="301" s="131" customFormat="1" ht="12.75" x14ac:dyDescent="0.2"/>
    <row r="302" s="131" customFormat="1" ht="12.75" x14ac:dyDescent="0.2"/>
    <row r="303" s="131" customFormat="1" ht="12.75" x14ac:dyDescent="0.2"/>
    <row r="304" s="131" customFormat="1" ht="12.75" x14ac:dyDescent="0.2"/>
    <row r="305" s="131" customFormat="1" ht="12.75" x14ac:dyDescent="0.2"/>
    <row r="306" s="131" customFormat="1" ht="12.75" x14ac:dyDescent="0.2"/>
    <row r="307" s="131" customFormat="1" ht="12.75" x14ac:dyDescent="0.2"/>
    <row r="308" s="131" customFormat="1" ht="12.75" x14ac:dyDescent="0.2"/>
    <row r="309" s="131" customFormat="1" ht="12.75" x14ac:dyDescent="0.2"/>
    <row r="310" s="131" customFormat="1" ht="12.75" x14ac:dyDescent="0.2"/>
    <row r="311" s="131" customFormat="1" ht="12.75" x14ac:dyDescent="0.2"/>
    <row r="312" s="131" customFormat="1" ht="12.75" x14ac:dyDescent="0.2"/>
    <row r="313" s="131" customFormat="1" ht="12.75" x14ac:dyDescent="0.2"/>
    <row r="314" s="131" customFormat="1" ht="12.75" x14ac:dyDescent="0.2"/>
    <row r="315" s="131" customFormat="1" ht="12.75" x14ac:dyDescent="0.2"/>
    <row r="316" s="131" customFormat="1" ht="12.75" x14ac:dyDescent="0.2"/>
    <row r="317" s="131" customFormat="1" ht="12.75" x14ac:dyDescent="0.2"/>
    <row r="318" s="131" customFormat="1" ht="12.75" x14ac:dyDescent="0.2"/>
    <row r="319" s="131" customFormat="1" ht="12.75" x14ac:dyDescent="0.2"/>
    <row r="320" s="131" customFormat="1" ht="12.75" x14ac:dyDescent="0.2"/>
    <row r="321" s="131" customFormat="1" ht="12.75" x14ac:dyDescent="0.2"/>
    <row r="322" s="131" customFormat="1" ht="12.75" x14ac:dyDescent="0.2"/>
    <row r="323" s="131" customFormat="1" ht="12.75" x14ac:dyDescent="0.2"/>
    <row r="324" s="131" customFormat="1" ht="12.75" x14ac:dyDescent="0.2"/>
    <row r="325" s="131" customFormat="1" ht="12.75" x14ac:dyDescent="0.2"/>
    <row r="326" s="131" customFormat="1" ht="12.75" x14ac:dyDescent="0.2"/>
    <row r="327" s="131" customFormat="1" ht="12.75" x14ac:dyDescent="0.2"/>
    <row r="328" s="131" customFormat="1" ht="12.75" x14ac:dyDescent="0.2"/>
    <row r="329" s="131" customFormat="1" ht="12.75" x14ac:dyDescent="0.2"/>
    <row r="330" s="131" customFormat="1" ht="12.75" x14ac:dyDescent="0.2"/>
    <row r="331" s="131" customFormat="1" ht="12.75" x14ac:dyDescent="0.2"/>
    <row r="332" s="131" customFormat="1" ht="12.75" x14ac:dyDescent="0.2"/>
    <row r="333" s="131" customFormat="1" ht="12.75" x14ac:dyDescent="0.2"/>
    <row r="334" s="131" customFormat="1" ht="12.75" x14ac:dyDescent="0.2"/>
    <row r="335" s="131" customFormat="1" ht="12.75" x14ac:dyDescent="0.2"/>
    <row r="336" s="131" customFormat="1" ht="12.75" x14ac:dyDescent="0.2"/>
    <row r="337" s="131" customFormat="1" ht="12.75" x14ac:dyDescent="0.2"/>
    <row r="338" s="131" customFormat="1" ht="12.75" x14ac:dyDescent="0.2"/>
    <row r="339" s="131" customFormat="1" ht="12.75" x14ac:dyDescent="0.2"/>
    <row r="340" s="131" customFormat="1" ht="12.75" x14ac:dyDescent="0.2"/>
    <row r="341" s="131" customFormat="1" ht="12.75" x14ac:dyDescent="0.2"/>
    <row r="342" s="131" customFormat="1" ht="12.75" x14ac:dyDescent="0.2"/>
    <row r="343" s="131" customFormat="1" ht="12.75" x14ac:dyDescent="0.2"/>
    <row r="344" s="131" customFormat="1" ht="12.75" x14ac:dyDescent="0.2"/>
    <row r="345" s="131" customFormat="1" ht="12.75" x14ac:dyDescent="0.2"/>
    <row r="346" s="131" customFormat="1" ht="12.75" x14ac:dyDescent="0.2"/>
    <row r="347" s="131" customFormat="1" ht="12.75" x14ac:dyDescent="0.2"/>
    <row r="348" s="131" customFormat="1" ht="12.75" x14ac:dyDescent="0.2"/>
    <row r="349" s="131" customFormat="1" ht="12.75" x14ac:dyDescent="0.2"/>
    <row r="350" s="131" customFormat="1" ht="12.75" x14ac:dyDescent="0.2"/>
    <row r="351" s="131" customFormat="1" ht="12.75" x14ac:dyDescent="0.2"/>
    <row r="352" s="131" customFormat="1" ht="12.75" x14ac:dyDescent="0.2"/>
    <row r="353" s="131" customFormat="1" ht="12.75" x14ac:dyDescent="0.2"/>
    <row r="354" s="131" customFormat="1" ht="12.75" x14ac:dyDescent="0.2"/>
    <row r="355" s="131" customFormat="1" ht="12.75" x14ac:dyDescent="0.2"/>
    <row r="356" s="131" customFormat="1" ht="12.75" x14ac:dyDescent="0.2"/>
    <row r="357" s="131" customFormat="1" ht="12.75" x14ac:dyDescent="0.2"/>
    <row r="358" s="131" customFormat="1" ht="12.75" x14ac:dyDescent="0.2"/>
    <row r="359" s="131" customFormat="1" ht="12.75" x14ac:dyDescent="0.2"/>
    <row r="360" s="131" customFormat="1" ht="12.75" x14ac:dyDescent="0.2"/>
    <row r="361" s="131" customFormat="1" ht="12.75" x14ac:dyDescent="0.2"/>
    <row r="362" s="131" customFormat="1" ht="12.75" x14ac:dyDescent="0.2"/>
    <row r="363" s="131" customFormat="1" ht="12.75" x14ac:dyDescent="0.2"/>
    <row r="364" s="131" customFormat="1" ht="12.75" x14ac:dyDescent="0.2"/>
    <row r="365" s="131" customFormat="1" ht="12.75" x14ac:dyDescent="0.2"/>
    <row r="366" s="131" customFormat="1" ht="12.75" x14ac:dyDescent="0.2"/>
    <row r="367" s="131" customFormat="1" ht="12.75" x14ac:dyDescent="0.2"/>
    <row r="368" s="131" customFormat="1" ht="12.75" x14ac:dyDescent="0.2"/>
    <row r="369" s="131" customFormat="1" ht="12.75" x14ac:dyDescent="0.2"/>
    <row r="370" s="131" customFormat="1" ht="12.75" x14ac:dyDescent="0.2"/>
    <row r="371" s="131" customFormat="1" ht="12.75" x14ac:dyDescent="0.2"/>
    <row r="372" s="131" customFormat="1" ht="12.75" x14ac:dyDescent="0.2"/>
    <row r="373" s="131" customFormat="1" ht="12.75" x14ac:dyDescent="0.2"/>
    <row r="374" s="131" customFormat="1" ht="12.75" x14ac:dyDescent="0.2"/>
    <row r="375" s="131" customFormat="1" ht="12.75" x14ac:dyDescent="0.2"/>
    <row r="376" s="131" customFormat="1" ht="12.75" x14ac:dyDescent="0.2"/>
    <row r="377" s="131" customFormat="1" ht="12.75" x14ac:dyDescent="0.2"/>
    <row r="378" s="131" customFormat="1" ht="12.75" x14ac:dyDescent="0.2"/>
    <row r="379" s="131" customFormat="1" ht="12.75" x14ac:dyDescent="0.2"/>
    <row r="380" s="131" customFormat="1" ht="12.75" x14ac:dyDescent="0.2"/>
    <row r="381" s="131" customFormat="1" ht="12.75" x14ac:dyDescent="0.2"/>
    <row r="382" s="131" customFormat="1" ht="12.75" x14ac:dyDescent="0.2"/>
    <row r="383" s="131" customFormat="1" ht="12.75" x14ac:dyDescent="0.2"/>
    <row r="384" s="131" customFormat="1" ht="12.75" x14ac:dyDescent="0.2"/>
    <row r="385" s="131" customFormat="1" ht="12.75" x14ac:dyDescent="0.2"/>
    <row r="386" s="131" customFormat="1" ht="12.75" x14ac:dyDescent="0.2"/>
    <row r="387" s="131" customFormat="1" ht="12.75" x14ac:dyDescent="0.2"/>
    <row r="388" s="131" customFormat="1" ht="12.75" x14ac:dyDescent="0.2"/>
    <row r="389" s="131" customFormat="1" ht="12.75" x14ac:dyDescent="0.2"/>
    <row r="390" s="131" customFormat="1" ht="12.75" x14ac:dyDescent="0.2"/>
    <row r="391" s="131" customFormat="1" ht="12.75" x14ac:dyDescent="0.2"/>
    <row r="392" s="131" customFormat="1" ht="12.75" x14ac:dyDescent="0.2"/>
    <row r="393" s="131" customFormat="1" ht="12.75" x14ac:dyDescent="0.2"/>
    <row r="394" s="131" customFormat="1" ht="12.75" x14ac:dyDescent="0.2"/>
    <row r="395" s="131" customFormat="1" ht="12.75" x14ac:dyDescent="0.2"/>
    <row r="396" s="131" customFormat="1" ht="12.75" x14ac:dyDescent="0.2"/>
    <row r="397" s="131" customFormat="1" ht="12.75" x14ac:dyDescent="0.2"/>
    <row r="398" s="131" customFormat="1" ht="12.75" x14ac:dyDescent="0.2"/>
    <row r="399" s="131" customFormat="1" ht="12.75" x14ac:dyDescent="0.2"/>
    <row r="400" s="131" customFormat="1" ht="12.75" x14ac:dyDescent="0.2"/>
    <row r="401" s="131" customFormat="1" ht="12.75" x14ac:dyDescent="0.2"/>
    <row r="402" s="131" customFormat="1" ht="12.75" x14ac:dyDescent="0.2"/>
    <row r="403" s="131" customFormat="1" ht="12.75" x14ac:dyDescent="0.2"/>
    <row r="404" s="131" customFormat="1" ht="12.75" x14ac:dyDescent="0.2"/>
    <row r="405" s="131" customFormat="1" ht="12.75" x14ac:dyDescent="0.2"/>
    <row r="406" s="131" customFormat="1" ht="12.75" x14ac:dyDescent="0.2"/>
    <row r="407" s="131" customFormat="1" ht="12.75" x14ac:dyDescent="0.2"/>
    <row r="408" s="131" customFormat="1" ht="12.75" x14ac:dyDescent="0.2"/>
    <row r="409" s="131" customFormat="1" ht="12.75" x14ac:dyDescent="0.2"/>
    <row r="410" s="131" customFormat="1" ht="12.75" x14ac:dyDescent="0.2"/>
    <row r="411" s="131" customFormat="1" ht="12.75" x14ac:dyDescent="0.2"/>
    <row r="412" s="131" customFormat="1" ht="12.75" x14ac:dyDescent="0.2"/>
    <row r="413" s="131" customFormat="1" ht="12.75" x14ac:dyDescent="0.2"/>
    <row r="414" s="131" customFormat="1" ht="12.75" x14ac:dyDescent="0.2"/>
    <row r="415" s="131" customFormat="1" ht="12.75" x14ac:dyDescent="0.2"/>
    <row r="416" s="131" customFormat="1" ht="12.75" x14ac:dyDescent="0.2"/>
    <row r="417" s="131" customFormat="1" ht="12.75" x14ac:dyDescent="0.2"/>
    <row r="418" s="131" customFormat="1" ht="12.75" x14ac:dyDescent="0.2"/>
    <row r="419" s="131" customFormat="1" ht="12.75" x14ac:dyDescent="0.2"/>
    <row r="420" s="131" customFormat="1" ht="12.75" x14ac:dyDescent="0.2"/>
    <row r="421" s="131" customFormat="1" ht="12.75" x14ac:dyDescent="0.2"/>
    <row r="422" s="131" customFormat="1" ht="12.75" x14ac:dyDescent="0.2"/>
    <row r="423" s="131" customFormat="1" ht="12.75" x14ac:dyDescent="0.2"/>
    <row r="424" s="131" customFormat="1" ht="12.75" x14ac:dyDescent="0.2"/>
    <row r="425" s="131" customFormat="1" ht="12.75" x14ac:dyDescent="0.2"/>
    <row r="426" s="131" customFormat="1" ht="12.75" x14ac:dyDescent="0.2"/>
    <row r="427" s="131" customFormat="1" ht="12.75" x14ac:dyDescent="0.2"/>
    <row r="428" s="131" customFormat="1" ht="12.75" x14ac:dyDescent="0.2"/>
    <row r="429" s="131" customFormat="1" ht="12.75" x14ac:dyDescent="0.2"/>
    <row r="430" s="131" customFormat="1" ht="12.75" x14ac:dyDescent="0.2"/>
    <row r="431" s="131" customFormat="1" ht="12.75" x14ac:dyDescent="0.2"/>
    <row r="432" s="131" customFormat="1" ht="12.75" x14ac:dyDescent="0.2"/>
    <row r="433" s="131" customFormat="1" ht="12.75" x14ac:dyDescent="0.2"/>
    <row r="434" s="131" customFormat="1" ht="12.75" x14ac:dyDescent="0.2"/>
    <row r="435" s="131" customFormat="1" ht="12.75" x14ac:dyDescent="0.2"/>
    <row r="436" s="131" customFormat="1" ht="12.75" x14ac:dyDescent="0.2"/>
    <row r="437" s="131" customFormat="1" ht="12.75" x14ac:dyDescent="0.2"/>
    <row r="438" s="131" customFormat="1" ht="12.75" x14ac:dyDescent="0.2"/>
    <row r="439" s="131" customFormat="1" ht="12.75" x14ac:dyDescent="0.2"/>
    <row r="440" s="131" customFormat="1" ht="12.75" x14ac:dyDescent="0.2"/>
    <row r="441" s="131" customFormat="1" ht="12.75" x14ac:dyDescent="0.2"/>
    <row r="442" s="131" customFormat="1" ht="12.75" x14ac:dyDescent="0.2"/>
    <row r="443" s="131" customFormat="1" ht="12.75" x14ac:dyDescent="0.2"/>
    <row r="444" s="131" customFormat="1" ht="12.75" x14ac:dyDescent="0.2"/>
    <row r="445" s="131" customFormat="1" ht="12.75" x14ac:dyDescent="0.2"/>
    <row r="446" s="131" customFormat="1" ht="12.75" x14ac:dyDescent="0.2"/>
    <row r="447" s="131" customFormat="1" ht="12.75" x14ac:dyDescent="0.2"/>
    <row r="448" s="131" customFormat="1" ht="12.75" x14ac:dyDescent="0.2"/>
    <row r="449" s="131" customFormat="1" ht="12.75" x14ac:dyDescent="0.2"/>
    <row r="450" s="131" customFormat="1" ht="12.75" x14ac:dyDescent="0.2"/>
    <row r="451" s="131" customFormat="1" ht="12.75" x14ac:dyDescent="0.2"/>
    <row r="452" s="131" customFormat="1" ht="12.75" x14ac:dyDescent="0.2"/>
    <row r="453" s="131" customFormat="1" ht="12.75" x14ac:dyDescent="0.2"/>
    <row r="454" s="131" customFormat="1" ht="12.75" x14ac:dyDescent="0.2"/>
    <row r="455" s="131" customFormat="1" ht="12.75" x14ac:dyDescent="0.2"/>
    <row r="456" s="131" customFormat="1" ht="12.75" x14ac:dyDescent="0.2"/>
    <row r="457" s="131" customFormat="1" ht="12.75" x14ac:dyDescent="0.2"/>
    <row r="458" s="131" customFormat="1" ht="12.75" x14ac:dyDescent="0.2"/>
    <row r="459" s="131" customFormat="1" ht="12.75" x14ac:dyDescent="0.2"/>
    <row r="460" s="131" customFormat="1" ht="12.75" x14ac:dyDescent="0.2"/>
    <row r="461" s="131" customFormat="1" ht="12.75" x14ac:dyDescent="0.2"/>
    <row r="462" s="131" customFormat="1" ht="12.75" x14ac:dyDescent="0.2"/>
    <row r="463" s="131" customFormat="1" ht="12.75" x14ac:dyDescent="0.2"/>
    <row r="464" s="131" customFormat="1" ht="12.75" x14ac:dyDescent="0.2"/>
    <row r="465" s="131" customFormat="1" ht="12.75" x14ac:dyDescent="0.2"/>
    <row r="466" s="131" customFormat="1" ht="12.75" x14ac:dyDescent="0.2"/>
    <row r="467" s="131" customFormat="1" ht="12.75" x14ac:dyDescent="0.2"/>
    <row r="468" s="131" customFormat="1" ht="12.75" x14ac:dyDescent="0.2"/>
    <row r="469" s="131" customFormat="1" ht="12.75" x14ac:dyDescent="0.2"/>
    <row r="470" s="131" customFormat="1" ht="12.75" x14ac:dyDescent="0.2"/>
    <row r="471" s="131" customFormat="1" ht="12.75" x14ac:dyDescent="0.2"/>
    <row r="472" s="131" customFormat="1" ht="12.75" x14ac:dyDescent="0.2"/>
    <row r="473" s="131" customFormat="1" ht="12.75" x14ac:dyDescent="0.2"/>
    <row r="474" s="131" customFormat="1" ht="12.75" x14ac:dyDescent="0.2"/>
    <row r="475" s="131" customFormat="1" ht="12.75" x14ac:dyDescent="0.2"/>
    <row r="476" s="131" customFormat="1" ht="12.75" x14ac:dyDescent="0.2"/>
    <row r="477" s="131" customFormat="1" ht="12.75" x14ac:dyDescent="0.2"/>
    <row r="478" s="131" customFormat="1" ht="12.75" x14ac:dyDescent="0.2"/>
    <row r="479" s="131" customFormat="1" ht="12.75" x14ac:dyDescent="0.2"/>
    <row r="480" s="131" customFormat="1" ht="12.75" x14ac:dyDescent="0.2"/>
    <row r="481" s="131" customFormat="1" ht="12.75" x14ac:dyDescent="0.2"/>
    <row r="482" s="131" customFormat="1" ht="12.75" x14ac:dyDescent="0.2"/>
    <row r="483" s="131" customFormat="1" ht="12.75" x14ac:dyDescent="0.2"/>
    <row r="484" s="131" customFormat="1" ht="12.75" x14ac:dyDescent="0.2"/>
    <row r="485" s="131" customFormat="1" ht="12.75" x14ac:dyDescent="0.2"/>
    <row r="486" s="131" customFormat="1" ht="12.75" x14ac:dyDescent="0.2"/>
    <row r="487" s="131" customFormat="1" ht="12.75" x14ac:dyDescent="0.2"/>
    <row r="488" s="131" customFormat="1" ht="12.75" x14ac:dyDescent="0.2"/>
    <row r="489" s="131" customFormat="1" ht="12.75" x14ac:dyDescent="0.2"/>
    <row r="490" s="131" customFormat="1" ht="12.75" x14ac:dyDescent="0.2"/>
    <row r="491" s="131" customFormat="1" ht="12.75" x14ac:dyDescent="0.2"/>
    <row r="492" s="131" customFormat="1" ht="12.75" x14ac:dyDescent="0.2"/>
    <row r="493" s="131" customFormat="1" ht="12.75" x14ac:dyDescent="0.2"/>
    <row r="494" s="131" customFormat="1" ht="12.75" x14ac:dyDescent="0.2"/>
    <row r="495" s="131" customFormat="1" ht="12.75" x14ac:dyDescent="0.2"/>
    <row r="496" s="131" customFormat="1" ht="12.75" x14ac:dyDescent="0.2"/>
    <row r="497" s="131" customFormat="1" ht="12.75" x14ac:dyDescent="0.2"/>
    <row r="498" s="131" customFormat="1" ht="12.75" x14ac:dyDescent="0.2"/>
    <row r="499" s="131" customFormat="1" ht="12.75" x14ac:dyDescent="0.2"/>
    <row r="500" s="131" customFormat="1" ht="12.75" x14ac:dyDescent="0.2"/>
    <row r="501" s="131" customFormat="1" ht="12.75" x14ac:dyDescent="0.2"/>
    <row r="502" s="131" customFormat="1" ht="12.75" x14ac:dyDescent="0.2"/>
    <row r="503" s="131" customFormat="1" ht="12.75" x14ac:dyDescent="0.2"/>
    <row r="504" s="131" customFormat="1" ht="12.75" x14ac:dyDescent="0.2"/>
    <row r="505" s="131" customFormat="1" ht="12.75" x14ac:dyDescent="0.2"/>
    <row r="506" s="131" customFormat="1" ht="12.75" x14ac:dyDescent="0.2"/>
    <row r="507" s="131" customFormat="1" ht="12.75" x14ac:dyDescent="0.2"/>
    <row r="508" s="131" customFormat="1" ht="12.75" x14ac:dyDescent="0.2"/>
    <row r="509" s="131" customFormat="1" ht="12.75" x14ac:dyDescent="0.2"/>
    <row r="510" s="131" customFormat="1" ht="12.75" x14ac:dyDescent="0.2"/>
    <row r="511" s="131" customFormat="1" ht="12.75" x14ac:dyDescent="0.2"/>
    <row r="512" s="131" customFormat="1" ht="12.75" x14ac:dyDescent="0.2"/>
    <row r="513" s="131" customFormat="1" ht="12.75" x14ac:dyDescent="0.2"/>
    <row r="514" s="131" customFormat="1" ht="12.75" x14ac:dyDescent="0.2"/>
    <row r="515" s="131" customFormat="1" ht="12.75" x14ac:dyDescent="0.2"/>
    <row r="516" s="131" customFormat="1" ht="12.75" x14ac:dyDescent="0.2"/>
    <row r="517" s="131" customFormat="1" ht="12.75" x14ac:dyDescent="0.2"/>
    <row r="518" s="131" customFormat="1" ht="12.75" x14ac:dyDescent="0.2"/>
    <row r="519" s="131" customFormat="1" ht="12.75" x14ac:dyDescent="0.2"/>
    <row r="520" s="131" customFormat="1" ht="12.75" x14ac:dyDescent="0.2"/>
    <row r="521" s="131" customFormat="1" ht="12.75" x14ac:dyDescent="0.2"/>
    <row r="522" s="131" customFormat="1" ht="12.75" x14ac:dyDescent="0.2"/>
    <row r="523" s="131" customFormat="1" ht="12.75" x14ac:dyDescent="0.2"/>
    <row r="524" s="131" customFormat="1" ht="12.75" x14ac:dyDescent="0.2"/>
    <row r="525" s="131" customFormat="1" ht="12.75" x14ac:dyDescent="0.2"/>
    <row r="526" s="131" customFormat="1" ht="12.75" x14ac:dyDescent="0.2"/>
    <row r="527" s="131" customFormat="1" ht="12.75" x14ac:dyDescent="0.2"/>
    <row r="528" s="131" customFormat="1" ht="12.75" x14ac:dyDescent="0.2"/>
    <row r="529" s="131" customFormat="1" ht="12.75" x14ac:dyDescent="0.2"/>
    <row r="530" s="131" customFormat="1" ht="12.75" x14ac:dyDescent="0.2"/>
    <row r="531" s="131" customFormat="1" ht="12.75" x14ac:dyDescent="0.2"/>
    <row r="532" s="131" customFormat="1" ht="12.75" x14ac:dyDescent="0.2"/>
    <row r="533" s="131" customFormat="1" ht="12.75" x14ac:dyDescent="0.2"/>
    <row r="534" s="131" customFormat="1" ht="12.75" x14ac:dyDescent="0.2"/>
    <row r="535" s="131" customFormat="1" ht="12.75" x14ac:dyDescent="0.2"/>
    <row r="536" s="131" customFormat="1" ht="12.75" x14ac:dyDescent="0.2"/>
    <row r="537" s="131" customFormat="1" ht="12.75" x14ac:dyDescent="0.2"/>
    <row r="538" s="131" customFormat="1" ht="12.75" x14ac:dyDescent="0.2"/>
    <row r="539" s="131" customFormat="1" ht="12.75" x14ac:dyDescent="0.2"/>
    <row r="540" s="131" customFormat="1" ht="12.75" x14ac:dyDescent="0.2"/>
    <row r="541" s="131" customFormat="1" ht="12.75" x14ac:dyDescent="0.2"/>
    <row r="542" s="131" customFormat="1" ht="12.75" x14ac:dyDescent="0.2"/>
    <row r="543" s="131" customFormat="1" ht="12.75" x14ac:dyDescent="0.2"/>
    <row r="544" s="131" customFormat="1" ht="12.75" x14ac:dyDescent="0.2"/>
    <row r="545" s="131" customFormat="1" ht="12.75" x14ac:dyDescent="0.2"/>
    <row r="546" s="131" customFormat="1" ht="12.75" x14ac:dyDescent="0.2"/>
    <row r="547" s="131" customFormat="1" ht="12.75" x14ac:dyDescent="0.2"/>
    <row r="548" s="131" customFormat="1" ht="12.75" x14ac:dyDescent="0.2"/>
    <row r="549" s="131" customFormat="1" ht="12.75" x14ac:dyDescent="0.2"/>
    <row r="550" s="131" customFormat="1" ht="12.75" x14ac:dyDescent="0.2"/>
    <row r="551" s="131" customFormat="1" ht="12.75" x14ac:dyDescent="0.2"/>
    <row r="552" s="131" customFormat="1" ht="12.75" x14ac:dyDescent="0.2"/>
    <row r="553" s="131" customFormat="1" ht="12.75" x14ac:dyDescent="0.2"/>
    <row r="554" s="131" customFormat="1" ht="12.75" x14ac:dyDescent="0.2"/>
    <row r="555" s="131" customFormat="1" ht="12.75" x14ac:dyDescent="0.2"/>
    <row r="556" s="131" customFormat="1" ht="12.75" x14ac:dyDescent="0.2"/>
    <row r="557" s="131" customFormat="1" ht="12.75" x14ac:dyDescent="0.2"/>
    <row r="558" s="131" customFormat="1" ht="12.75" x14ac:dyDescent="0.2"/>
    <row r="559" s="131" customFormat="1" ht="12.75" x14ac:dyDescent="0.2"/>
    <row r="560" s="131" customFormat="1" ht="12.75" x14ac:dyDescent="0.2"/>
    <row r="561" s="131" customFormat="1" ht="12.75" x14ac:dyDescent="0.2"/>
    <row r="562" s="131" customFormat="1" ht="12.75" x14ac:dyDescent="0.2"/>
    <row r="563" s="131" customFormat="1" ht="12.75" x14ac:dyDescent="0.2"/>
    <row r="564" s="131" customFormat="1" ht="12.75" x14ac:dyDescent="0.2"/>
    <row r="565" s="131" customFormat="1" ht="12.75" x14ac:dyDescent="0.2"/>
    <row r="566" s="131" customFormat="1" ht="12.75" x14ac:dyDescent="0.2"/>
    <row r="567" s="131" customFormat="1" ht="12.75" x14ac:dyDescent="0.2"/>
    <row r="568" s="131" customFormat="1" ht="12.75" x14ac:dyDescent="0.2"/>
    <row r="569" s="131" customFormat="1" ht="12.75" x14ac:dyDescent="0.2"/>
    <row r="570" s="131" customFormat="1" ht="12.75" x14ac:dyDescent="0.2"/>
    <row r="571" s="131" customFormat="1" ht="12.75" x14ac:dyDescent="0.2"/>
    <row r="572" s="131" customFormat="1" ht="12.75" x14ac:dyDescent="0.2"/>
    <row r="573" s="131" customFormat="1" ht="12.75" x14ac:dyDescent="0.2"/>
    <row r="574" s="131" customFormat="1" ht="12.75" x14ac:dyDescent="0.2"/>
    <row r="575" s="131" customFormat="1" ht="12.75" x14ac:dyDescent="0.2"/>
    <row r="576" s="131" customFormat="1" ht="12.75" x14ac:dyDescent="0.2"/>
    <row r="577" s="131" customFormat="1" ht="12.75" x14ac:dyDescent="0.2"/>
    <row r="578" s="131" customFormat="1" ht="12.75" x14ac:dyDescent="0.2"/>
    <row r="579" s="131" customFormat="1" ht="12.75" x14ac:dyDescent="0.2"/>
    <row r="580" s="131" customFormat="1" ht="12.75" x14ac:dyDescent="0.2"/>
    <row r="581" s="131" customFormat="1" ht="12.75" x14ac:dyDescent="0.2"/>
    <row r="582" s="131" customFormat="1" ht="12.75" x14ac:dyDescent="0.2"/>
    <row r="583" s="131" customFormat="1" ht="12.75" x14ac:dyDescent="0.2"/>
    <row r="584" s="131" customFormat="1" ht="12.75" x14ac:dyDescent="0.2"/>
    <row r="585" s="131" customFormat="1" ht="12.75" x14ac:dyDescent="0.2"/>
    <row r="586" s="131" customFormat="1" ht="12.75" x14ac:dyDescent="0.2"/>
    <row r="587" s="131" customFormat="1" ht="12.75" x14ac:dyDescent="0.2"/>
    <row r="588" s="131" customFormat="1" ht="12.75" x14ac:dyDescent="0.2"/>
    <row r="589" s="131" customFormat="1" ht="12.75" x14ac:dyDescent="0.2"/>
    <row r="590" s="131" customFormat="1" ht="12.75" x14ac:dyDescent="0.2"/>
    <row r="591" s="131" customFormat="1" ht="12.75" x14ac:dyDescent="0.2"/>
    <row r="592" s="131" customFormat="1" ht="12.75" x14ac:dyDescent="0.2"/>
    <row r="593" s="131" customFormat="1" ht="12.75" x14ac:dyDescent="0.2"/>
    <row r="594" s="131" customFormat="1" ht="12.75" x14ac:dyDescent="0.2"/>
    <row r="595" s="131" customFormat="1" ht="12.75" x14ac:dyDescent="0.2"/>
    <row r="596" s="131" customFormat="1" ht="12.75" x14ac:dyDescent="0.2"/>
    <row r="597" s="131" customFormat="1" ht="12.75" x14ac:dyDescent="0.2"/>
    <row r="598" s="131" customFormat="1" ht="12.75" x14ac:dyDescent="0.2"/>
    <row r="599" s="131" customFormat="1" ht="12.75" x14ac:dyDescent="0.2"/>
    <row r="600" s="131" customFormat="1" ht="12.75" x14ac:dyDescent="0.2"/>
    <row r="601" s="131" customFormat="1" ht="12.75" x14ac:dyDescent="0.2"/>
    <row r="602" s="131" customFormat="1" ht="12.75" x14ac:dyDescent="0.2"/>
    <row r="603" s="131" customFormat="1" ht="12.75" x14ac:dyDescent="0.2"/>
    <row r="604" s="131" customFormat="1" ht="12.75" x14ac:dyDescent="0.2"/>
    <row r="605" s="131" customFormat="1" ht="12.75" x14ac:dyDescent="0.2"/>
    <row r="606" s="131" customFormat="1" ht="12.75" x14ac:dyDescent="0.2"/>
    <row r="607" s="131" customFormat="1" ht="12.75" x14ac:dyDescent="0.2"/>
    <row r="608" s="131" customFormat="1" ht="12.75" x14ac:dyDescent="0.2"/>
    <row r="609" s="131" customFormat="1" ht="12.75" x14ac:dyDescent="0.2"/>
    <row r="610" s="131" customFormat="1" ht="12.75" x14ac:dyDescent="0.2"/>
    <row r="611" s="131" customFormat="1" ht="12.75" x14ac:dyDescent="0.2"/>
    <row r="612" s="131" customFormat="1" ht="12.75" x14ac:dyDescent="0.2"/>
    <row r="613" s="131" customFormat="1" ht="12.75" x14ac:dyDescent="0.2"/>
    <row r="614" s="131" customFormat="1" ht="12.75" x14ac:dyDescent="0.2"/>
    <row r="615" s="131" customFormat="1" ht="12.75" x14ac:dyDescent="0.2"/>
    <row r="616" s="131" customFormat="1" ht="12.75" x14ac:dyDescent="0.2"/>
    <row r="617" s="131" customFormat="1" ht="12.75" x14ac:dyDescent="0.2"/>
    <row r="618" s="131" customFormat="1" ht="12.75" x14ac:dyDescent="0.2"/>
    <row r="619" s="131" customFormat="1" ht="12.75" x14ac:dyDescent="0.2"/>
    <row r="620" s="131" customFormat="1" ht="12.75" x14ac:dyDescent="0.2"/>
    <row r="621" s="131" customFormat="1" ht="12.75" x14ac:dyDescent="0.2"/>
    <row r="622" s="131" customFormat="1" ht="12.75" x14ac:dyDescent="0.2"/>
    <row r="623" s="131" customFormat="1" ht="12.75" x14ac:dyDescent="0.2"/>
    <row r="624" s="131" customFormat="1" ht="12.75" x14ac:dyDescent="0.2"/>
    <row r="625" s="131" customFormat="1" ht="12.75" x14ac:dyDescent="0.2"/>
    <row r="626" s="131" customFormat="1" ht="12.75" x14ac:dyDescent="0.2"/>
    <row r="627" s="131" customFormat="1" ht="12.75" x14ac:dyDescent="0.2"/>
    <row r="628" s="131" customFormat="1" ht="12.75" x14ac:dyDescent="0.2"/>
    <row r="629" s="131" customFormat="1" ht="12.75" x14ac:dyDescent="0.2"/>
    <row r="630" s="131" customFormat="1" ht="12.75" x14ac:dyDescent="0.2"/>
    <row r="631" s="131" customFormat="1" ht="12.75" x14ac:dyDescent="0.2"/>
    <row r="632" s="131" customFormat="1" ht="12.75" x14ac:dyDescent="0.2"/>
    <row r="633" s="131" customFormat="1" ht="12.75" x14ac:dyDescent="0.2"/>
    <row r="634" s="131" customFormat="1" ht="12.75" x14ac:dyDescent="0.2"/>
    <row r="635" s="131" customFormat="1" ht="12.75" x14ac:dyDescent="0.2"/>
    <row r="636" s="131" customFormat="1" ht="12.75" x14ac:dyDescent="0.2"/>
    <row r="637" s="131" customFormat="1" ht="12.75" x14ac:dyDescent="0.2"/>
    <row r="638" s="131" customFormat="1" ht="12.75" x14ac:dyDescent="0.2"/>
    <row r="639" s="131" customFormat="1" ht="12.75" x14ac:dyDescent="0.2"/>
    <row r="640" s="131" customFormat="1" ht="12.75" x14ac:dyDescent="0.2"/>
    <row r="641" s="131" customFormat="1" ht="12.75" x14ac:dyDescent="0.2"/>
    <row r="642" s="131" customFormat="1" ht="12.75" x14ac:dyDescent="0.2"/>
    <row r="643" s="131" customFormat="1" ht="12.75" x14ac:dyDescent="0.2"/>
    <row r="644" s="131" customFormat="1" ht="12.75" x14ac:dyDescent="0.2"/>
    <row r="645" s="131" customFormat="1" ht="12.75" x14ac:dyDescent="0.2"/>
    <row r="646" s="131" customFormat="1" ht="12.75" x14ac:dyDescent="0.2"/>
    <row r="647" s="131" customFormat="1" ht="12.75" x14ac:dyDescent="0.2"/>
    <row r="648" s="131" customFormat="1" ht="12.75" x14ac:dyDescent="0.2"/>
    <row r="649" s="131" customFormat="1" ht="12.75" x14ac:dyDescent="0.2"/>
    <row r="650" s="131" customFormat="1" ht="12.75" x14ac:dyDescent="0.2"/>
    <row r="651" s="131" customFormat="1" ht="12.75" x14ac:dyDescent="0.2"/>
    <row r="652" s="131" customFormat="1" ht="12.75" x14ac:dyDescent="0.2"/>
    <row r="653" s="131" customFormat="1" ht="12.75" x14ac:dyDescent="0.2"/>
    <row r="654" s="131" customFormat="1" ht="12.75" x14ac:dyDescent="0.2"/>
    <row r="655" s="131" customFormat="1" ht="12.75" x14ac:dyDescent="0.2"/>
    <row r="656" s="131" customFormat="1" ht="12.75" x14ac:dyDescent="0.2"/>
    <row r="657" s="131" customFormat="1" ht="12.75" x14ac:dyDescent="0.2"/>
    <row r="658" s="131" customFormat="1" ht="12.75" x14ac:dyDescent="0.2"/>
    <row r="659" s="131" customFormat="1" ht="12.75" x14ac:dyDescent="0.2"/>
    <row r="660" s="131" customFormat="1" ht="12.75" x14ac:dyDescent="0.2"/>
    <row r="661" s="131" customFormat="1" ht="12.75" x14ac:dyDescent="0.2"/>
    <row r="662" s="131" customFormat="1" ht="12.75" x14ac:dyDescent="0.2"/>
    <row r="663" s="131" customFormat="1" ht="12.75" x14ac:dyDescent="0.2"/>
    <row r="664" s="131" customFormat="1" ht="12.75" x14ac:dyDescent="0.2"/>
    <row r="665" s="131" customFormat="1" ht="12.75" x14ac:dyDescent="0.2"/>
    <row r="666" s="131" customFormat="1" ht="12.75" x14ac:dyDescent="0.2"/>
    <row r="667" s="131" customFormat="1" ht="12.75" x14ac:dyDescent="0.2"/>
    <row r="668" s="131" customFormat="1" ht="12.75" x14ac:dyDescent="0.2"/>
    <row r="669" s="131" customFormat="1" ht="12.75" x14ac:dyDescent="0.2"/>
    <row r="670" s="131" customFormat="1" ht="12.75" x14ac:dyDescent="0.2"/>
    <row r="671" s="131" customFormat="1" ht="12.75" x14ac:dyDescent="0.2"/>
    <row r="672" s="131" customFormat="1" ht="12.75" x14ac:dyDescent="0.2"/>
    <row r="673" s="131" customFormat="1" ht="12.75" x14ac:dyDescent="0.2"/>
    <row r="674" s="131" customFormat="1" ht="12.75" x14ac:dyDescent="0.2"/>
    <row r="675" s="131" customFormat="1" ht="12.75" x14ac:dyDescent="0.2"/>
    <row r="676" s="131" customFormat="1" ht="12.75" x14ac:dyDescent="0.2"/>
    <row r="677" s="131" customFormat="1" ht="12.75" x14ac:dyDescent="0.2"/>
    <row r="678" s="131" customFormat="1" ht="12.75" x14ac:dyDescent="0.2"/>
    <row r="679" s="131" customFormat="1" ht="12.75" x14ac:dyDescent="0.2"/>
    <row r="680" s="131" customFormat="1" ht="12.75" x14ac:dyDescent="0.2"/>
    <row r="681" s="131" customFormat="1" ht="12.75" x14ac:dyDescent="0.2"/>
    <row r="682" s="131" customFormat="1" ht="12.75" x14ac:dyDescent="0.2"/>
    <row r="683" s="131" customFormat="1" ht="12.75" x14ac:dyDescent="0.2"/>
    <row r="684" s="131" customFormat="1" ht="12.75" x14ac:dyDescent="0.2"/>
    <row r="685" s="131" customFormat="1" ht="12.75" x14ac:dyDescent="0.2"/>
    <row r="686" s="131" customFormat="1" ht="12.75" x14ac:dyDescent="0.2"/>
    <row r="687" s="131" customFormat="1" ht="12.75" x14ac:dyDescent="0.2"/>
    <row r="688" s="131" customFormat="1" ht="12.75" x14ac:dyDescent="0.2"/>
    <row r="689" s="131" customFormat="1" ht="12.75" x14ac:dyDescent="0.2"/>
    <row r="690" s="131" customFormat="1" ht="12.75" x14ac:dyDescent="0.2"/>
    <row r="691" s="131" customFormat="1" ht="12.75" x14ac:dyDescent="0.2"/>
    <row r="692" s="131" customFormat="1" ht="12.75" x14ac:dyDescent="0.2"/>
    <row r="693" s="131" customFormat="1" ht="12.75" x14ac:dyDescent="0.2"/>
    <row r="694" s="131" customFormat="1" ht="12.75" x14ac:dyDescent="0.2"/>
    <row r="695" s="131" customFormat="1" ht="12.75" x14ac:dyDescent="0.2"/>
    <row r="696" s="131" customFormat="1" ht="12.75" x14ac:dyDescent="0.2"/>
    <row r="697" s="131" customFormat="1" ht="12.75" x14ac:dyDescent="0.2"/>
    <row r="698" s="131" customFormat="1" ht="12.75" x14ac:dyDescent="0.2"/>
    <row r="699" s="131" customFormat="1" ht="12.75" x14ac:dyDescent="0.2"/>
    <row r="700" s="131" customFormat="1" ht="12.75" x14ac:dyDescent="0.2"/>
    <row r="701" s="131" customFormat="1" ht="12.75" x14ac:dyDescent="0.2"/>
    <row r="702" s="131" customFormat="1" ht="12.75" x14ac:dyDescent="0.2"/>
    <row r="703" s="131" customFormat="1" ht="12.75" x14ac:dyDescent="0.2"/>
    <row r="704" s="131" customFormat="1" ht="12.75" x14ac:dyDescent="0.2"/>
    <row r="705" s="131" customFormat="1" ht="12.75" x14ac:dyDescent="0.2"/>
    <row r="706" s="131" customFormat="1" ht="12.75" x14ac:dyDescent="0.2"/>
    <row r="707" s="131" customFormat="1" ht="12.75" x14ac:dyDescent="0.2"/>
    <row r="708" s="131" customFormat="1" ht="12.75" x14ac:dyDescent="0.2"/>
    <row r="709" s="131" customFormat="1" ht="12.75" x14ac:dyDescent="0.2"/>
    <row r="710" s="131" customFormat="1" ht="12.75" x14ac:dyDescent="0.2"/>
    <row r="711" s="131" customFormat="1" ht="12.75" x14ac:dyDescent="0.2"/>
    <row r="712" s="131" customFormat="1" ht="12.75" x14ac:dyDescent="0.2"/>
    <row r="713" s="131" customFormat="1" ht="12.75" x14ac:dyDescent="0.2"/>
    <row r="714" s="131" customFormat="1" ht="12.75" x14ac:dyDescent="0.2"/>
    <row r="715" s="131" customFormat="1" ht="12.75" x14ac:dyDescent="0.2"/>
    <row r="716" s="131" customFormat="1" ht="12.75" x14ac:dyDescent="0.2"/>
    <row r="717" s="131" customFormat="1" ht="12.75" x14ac:dyDescent="0.2"/>
    <row r="718" s="131" customFormat="1" ht="12.75" x14ac:dyDescent="0.2"/>
    <row r="719" s="131" customFormat="1" ht="12.75" x14ac:dyDescent="0.2"/>
    <row r="720" s="131" customFormat="1" ht="12.75" x14ac:dyDescent="0.2"/>
    <row r="721" s="131" customFormat="1" ht="12.75" x14ac:dyDescent="0.2"/>
    <row r="722" s="131" customFormat="1" ht="12.75" x14ac:dyDescent="0.2"/>
    <row r="723" s="131" customFormat="1" ht="12.75" x14ac:dyDescent="0.2"/>
    <row r="724" s="131" customFormat="1" ht="12.75" x14ac:dyDescent="0.2"/>
    <row r="725" s="131" customFormat="1" ht="12.75" x14ac:dyDescent="0.2"/>
    <row r="726" s="131" customFormat="1" ht="12.75" x14ac:dyDescent="0.2"/>
    <row r="727" s="131" customFormat="1" ht="12.75" x14ac:dyDescent="0.2"/>
    <row r="728" s="131" customFormat="1" ht="12.75" x14ac:dyDescent="0.2"/>
    <row r="729" s="131" customFormat="1" ht="12.75" x14ac:dyDescent="0.2"/>
    <row r="730" s="131" customFormat="1" ht="12.75" x14ac:dyDescent="0.2"/>
    <row r="731" s="131" customFormat="1" ht="12.75" x14ac:dyDescent="0.2"/>
    <row r="732" s="131" customFormat="1" ht="12.75" x14ac:dyDescent="0.2"/>
    <row r="733" s="131" customFormat="1" ht="12.75" x14ac:dyDescent="0.2"/>
    <row r="734" s="131" customFormat="1" ht="12.75" x14ac:dyDescent="0.2"/>
    <row r="735" s="131" customFormat="1" ht="12.75" x14ac:dyDescent="0.2"/>
    <row r="736" s="131" customFormat="1" ht="12.75" x14ac:dyDescent="0.2"/>
    <row r="737" s="131" customFormat="1" ht="12.75" x14ac:dyDescent="0.2"/>
    <row r="738" s="131" customFormat="1" ht="12.75" x14ac:dyDescent="0.2"/>
    <row r="739" s="131" customFormat="1" ht="12.75" x14ac:dyDescent="0.2"/>
    <row r="740" s="131" customFormat="1" ht="12.75" x14ac:dyDescent="0.2"/>
    <row r="741" s="131" customFormat="1" ht="12.75" x14ac:dyDescent="0.2"/>
    <row r="742" s="131" customFormat="1" ht="12.75" x14ac:dyDescent="0.2"/>
    <row r="743" s="131" customFormat="1" ht="12.75" x14ac:dyDescent="0.2"/>
    <row r="744" s="131" customFormat="1" ht="12.75" x14ac:dyDescent="0.2"/>
    <row r="745" s="131" customFormat="1" ht="12.75" x14ac:dyDescent="0.2"/>
    <row r="746" s="131" customFormat="1" ht="12.75" x14ac:dyDescent="0.2"/>
    <row r="747" s="131" customFormat="1" ht="12.75" x14ac:dyDescent="0.2"/>
    <row r="748" s="131" customFormat="1" ht="12.75" x14ac:dyDescent="0.2"/>
    <row r="749" s="131" customFormat="1" ht="12.75" x14ac:dyDescent="0.2"/>
    <row r="750" s="131" customFormat="1" ht="12.75" x14ac:dyDescent="0.2"/>
    <row r="751" s="131" customFormat="1" ht="12.75" x14ac:dyDescent="0.2"/>
    <row r="752" s="131" customFormat="1" ht="12.75" x14ac:dyDescent="0.2"/>
    <row r="753" s="131" customFormat="1" ht="12.75" x14ac:dyDescent="0.2"/>
    <row r="754" s="131" customFormat="1" ht="12.75" x14ac:dyDescent="0.2"/>
    <row r="755" s="131" customFormat="1" ht="12.75" x14ac:dyDescent="0.2"/>
    <row r="756" s="131" customFormat="1" ht="12.75" x14ac:dyDescent="0.2"/>
    <row r="757" s="131" customFormat="1" ht="12.75" x14ac:dyDescent="0.2"/>
    <row r="758" s="131" customFormat="1" ht="12.75" x14ac:dyDescent="0.2"/>
    <row r="759" s="131" customFormat="1" ht="12.75" x14ac:dyDescent="0.2"/>
    <row r="760" s="131" customFormat="1" ht="12.75" x14ac:dyDescent="0.2"/>
    <row r="761" s="131" customFormat="1" ht="12.75" x14ac:dyDescent="0.2"/>
    <row r="762" s="131" customFormat="1" ht="12.75" x14ac:dyDescent="0.2"/>
    <row r="763" s="131" customFormat="1" ht="12.75" x14ac:dyDescent="0.2"/>
    <row r="764" s="131" customFormat="1" ht="12.75" x14ac:dyDescent="0.2"/>
    <row r="765" s="131" customFormat="1" ht="12.75" x14ac:dyDescent="0.2"/>
    <row r="766" s="131" customFormat="1" ht="12.75" x14ac:dyDescent="0.2"/>
    <row r="767" s="131" customFormat="1" ht="12.75" x14ac:dyDescent="0.2"/>
    <row r="768" s="131" customFormat="1" ht="12.75" x14ac:dyDescent="0.2"/>
    <row r="769" s="131" customFormat="1" ht="12.75" x14ac:dyDescent="0.2"/>
    <row r="770" s="131" customFormat="1" ht="12.75" x14ac:dyDescent="0.2"/>
    <row r="771" s="131" customFormat="1" ht="12.75" x14ac:dyDescent="0.2"/>
    <row r="772" s="131" customFormat="1" ht="12.75" x14ac:dyDescent="0.2"/>
    <row r="773" s="131" customFormat="1" ht="12.75" x14ac:dyDescent="0.2"/>
    <row r="774" s="131" customFormat="1" ht="12.75" x14ac:dyDescent="0.2"/>
    <row r="775" s="131" customFormat="1" ht="12.75" x14ac:dyDescent="0.2"/>
    <row r="776" s="131" customFormat="1" ht="12.75" x14ac:dyDescent="0.2"/>
    <row r="777" s="131" customFormat="1" ht="12.75" x14ac:dyDescent="0.2"/>
    <row r="778" s="131" customFormat="1" ht="12.75" x14ac:dyDescent="0.2"/>
    <row r="779" s="131" customFormat="1" ht="12.75" x14ac:dyDescent="0.2"/>
    <row r="780" s="131" customFormat="1" ht="12.75" x14ac:dyDescent="0.2"/>
    <row r="781" s="131" customFormat="1" ht="12.75" x14ac:dyDescent="0.2"/>
    <row r="782" s="131" customFormat="1" ht="12.75" x14ac:dyDescent="0.2"/>
    <row r="783" s="131" customFormat="1" ht="12.75" x14ac:dyDescent="0.2"/>
    <row r="784" s="131" customFormat="1" ht="12.75" x14ac:dyDescent="0.2"/>
    <row r="785" s="131" customFormat="1" ht="12.75" x14ac:dyDescent="0.2"/>
    <row r="786" s="131" customFormat="1" ht="12.75" x14ac:dyDescent="0.2"/>
    <row r="787" s="131" customFormat="1" ht="12.75" x14ac:dyDescent="0.2"/>
    <row r="788" s="131" customFormat="1" ht="12.75" x14ac:dyDescent="0.2"/>
    <row r="789" s="131" customFormat="1" ht="12.75" x14ac:dyDescent="0.2"/>
    <row r="790" s="131" customFormat="1" ht="12.75" x14ac:dyDescent="0.2"/>
    <row r="791" s="131" customFormat="1" ht="12.75" x14ac:dyDescent="0.2"/>
    <row r="792" s="131" customFormat="1" ht="12.75" x14ac:dyDescent="0.2"/>
    <row r="793" s="131" customFormat="1" ht="12.75" x14ac:dyDescent="0.2"/>
    <row r="794" s="131" customFormat="1" ht="12.75" x14ac:dyDescent="0.2"/>
    <row r="795" s="131" customFormat="1" ht="12.75" x14ac:dyDescent="0.2"/>
    <row r="796" s="131" customFormat="1" ht="12.75" x14ac:dyDescent="0.2"/>
    <row r="797" s="131" customFormat="1" ht="12.75" x14ac:dyDescent="0.2"/>
    <row r="798" s="131" customFormat="1" ht="12.75" x14ac:dyDescent="0.2"/>
    <row r="799" s="131" customFormat="1" ht="12.75" x14ac:dyDescent="0.2"/>
    <row r="800" s="131" customFormat="1" ht="12.75" x14ac:dyDescent="0.2"/>
    <row r="801" s="131" customFormat="1" ht="12.75" x14ac:dyDescent="0.2"/>
    <row r="802" s="131" customFormat="1" ht="12.75" x14ac:dyDescent="0.2"/>
    <row r="803" s="131" customFormat="1" ht="12.75" x14ac:dyDescent="0.2"/>
    <row r="804" s="131" customFormat="1" ht="12.75" x14ac:dyDescent="0.2"/>
    <row r="805" s="131" customFormat="1" ht="12.75" x14ac:dyDescent="0.2"/>
    <row r="806" s="131" customFormat="1" ht="12.75" x14ac:dyDescent="0.2"/>
    <row r="807" s="131" customFormat="1" ht="12.75" x14ac:dyDescent="0.2"/>
    <row r="808" s="131" customFormat="1" ht="12.75" x14ac:dyDescent="0.2"/>
    <row r="809" s="131" customFormat="1" ht="12.75" x14ac:dyDescent="0.2"/>
    <row r="810" s="131" customFormat="1" ht="12.75" x14ac:dyDescent="0.2"/>
    <row r="811" s="131" customFormat="1" ht="12.75" x14ac:dyDescent="0.2"/>
    <row r="812" s="131" customFormat="1" ht="12.75" x14ac:dyDescent="0.2"/>
    <row r="813" s="131" customFormat="1" ht="12.75" x14ac:dyDescent="0.2"/>
    <row r="814" s="131" customFormat="1" ht="12.75" x14ac:dyDescent="0.2"/>
    <row r="815" s="131" customFormat="1" ht="12.75" x14ac:dyDescent="0.2"/>
    <row r="816" s="131" customFormat="1" ht="12.75" x14ac:dyDescent="0.2"/>
    <row r="817" s="131" customFormat="1" ht="12.75" x14ac:dyDescent="0.2"/>
    <row r="818" s="131" customFormat="1" ht="12.75" x14ac:dyDescent="0.2"/>
    <row r="819" s="131" customFormat="1" ht="12.75" x14ac:dyDescent="0.2"/>
    <row r="820" s="131" customFormat="1" ht="12.75" x14ac:dyDescent="0.2"/>
    <row r="821" s="131" customFormat="1" ht="12.75" x14ac:dyDescent="0.2"/>
    <row r="822" s="131" customFormat="1" ht="12.75" x14ac:dyDescent="0.2"/>
    <row r="823" s="131" customFormat="1" ht="12.75" x14ac:dyDescent="0.2"/>
    <row r="824" s="131" customFormat="1" ht="12.75" x14ac:dyDescent="0.2"/>
    <row r="825" s="131" customFormat="1" ht="12.75" x14ac:dyDescent="0.2"/>
    <row r="826" s="131" customFormat="1" ht="12.75" x14ac:dyDescent="0.2"/>
    <row r="827" s="131" customFormat="1" ht="12.75" x14ac:dyDescent="0.2"/>
    <row r="828" s="131" customFormat="1" ht="12.75" x14ac:dyDescent="0.2"/>
    <row r="829" s="131" customFormat="1" ht="12.75" x14ac:dyDescent="0.2"/>
    <row r="830" s="131" customFormat="1" ht="12.75" x14ac:dyDescent="0.2"/>
    <row r="831" s="131" customFormat="1" ht="12.75" x14ac:dyDescent="0.2"/>
    <row r="832" s="131" customFormat="1" ht="12.75" x14ac:dyDescent="0.2"/>
    <row r="833" s="131" customFormat="1" ht="12.75" x14ac:dyDescent="0.2"/>
    <row r="834" s="131" customFormat="1" ht="12.75" x14ac:dyDescent="0.2"/>
    <row r="835" s="131" customFormat="1" ht="12.75" x14ac:dyDescent="0.2"/>
    <row r="836" s="131" customFormat="1" ht="12.75" x14ac:dyDescent="0.2"/>
    <row r="837" s="131" customFormat="1" ht="12.75" x14ac:dyDescent="0.2"/>
    <row r="838" s="131" customFormat="1" ht="12.75" x14ac:dyDescent="0.2"/>
    <row r="839" s="131" customFormat="1" ht="12.75" x14ac:dyDescent="0.2"/>
    <row r="840" s="131" customFormat="1" ht="12.75" x14ac:dyDescent="0.2"/>
    <row r="841" s="131" customFormat="1" ht="12.75" x14ac:dyDescent="0.2"/>
    <row r="842" s="131" customFormat="1" ht="12.75" x14ac:dyDescent="0.2"/>
    <row r="843" s="131" customFormat="1" ht="12.75" x14ac:dyDescent="0.2"/>
    <row r="844" s="131" customFormat="1" ht="12.75" x14ac:dyDescent="0.2"/>
    <row r="845" s="131" customFormat="1" ht="12.75" x14ac:dyDescent="0.2"/>
    <row r="846" s="131" customFormat="1" ht="12.75" x14ac:dyDescent="0.2"/>
    <row r="847" s="131" customFormat="1" ht="12.75" x14ac:dyDescent="0.2"/>
    <row r="848" s="131" customFormat="1" ht="12.75" x14ac:dyDescent="0.2"/>
    <row r="849" s="131" customFormat="1" ht="12.75" x14ac:dyDescent="0.2"/>
    <row r="850" s="131" customFormat="1" ht="12.75" x14ac:dyDescent="0.2"/>
    <row r="851" s="131" customFormat="1" ht="12.75" x14ac:dyDescent="0.2"/>
    <row r="852" s="131" customFormat="1" ht="12.75" x14ac:dyDescent="0.2"/>
    <row r="853" s="131" customFormat="1" ht="12.75" x14ac:dyDescent="0.2"/>
    <row r="854" s="131" customFormat="1" ht="12.75" x14ac:dyDescent="0.2"/>
    <row r="855" s="131" customFormat="1" ht="12.75" x14ac:dyDescent="0.2"/>
    <row r="856" s="131" customFormat="1" ht="12.75" x14ac:dyDescent="0.2"/>
    <row r="857" s="131" customFormat="1" ht="12.75" x14ac:dyDescent="0.2"/>
    <row r="858" s="131" customFormat="1" ht="12.75" x14ac:dyDescent="0.2"/>
    <row r="859" s="131" customFormat="1" ht="12.75" x14ac:dyDescent="0.2"/>
    <row r="860" s="131" customFormat="1" ht="12.75" x14ac:dyDescent="0.2"/>
    <row r="861" s="131" customFormat="1" ht="12.75" x14ac:dyDescent="0.2"/>
    <row r="862" s="131" customFormat="1" ht="12.75" x14ac:dyDescent="0.2"/>
    <row r="863" s="131" customFormat="1" ht="12.75" x14ac:dyDescent="0.2"/>
    <row r="864" s="131" customFormat="1" ht="12.75" x14ac:dyDescent="0.2"/>
    <row r="865" s="131" customFormat="1" ht="12.75" x14ac:dyDescent="0.2"/>
    <row r="866" s="131" customFormat="1" ht="12.75" x14ac:dyDescent="0.2"/>
    <row r="867" s="131" customFormat="1" ht="12.75" x14ac:dyDescent="0.2"/>
    <row r="868" s="131" customFormat="1" ht="12.75" x14ac:dyDescent="0.2"/>
    <row r="869" s="131" customFormat="1" ht="12.75" x14ac:dyDescent="0.2"/>
    <row r="870" s="131" customFormat="1" ht="12.75" x14ac:dyDescent="0.2"/>
    <row r="871" s="131" customFormat="1" ht="12.75" x14ac:dyDescent="0.2"/>
    <row r="872" s="131" customFormat="1" ht="12.75" x14ac:dyDescent="0.2"/>
    <row r="873" s="131" customFormat="1" ht="12.75" x14ac:dyDescent="0.2"/>
    <row r="874" s="131" customFormat="1" ht="12.75" x14ac:dyDescent="0.2"/>
    <row r="875" s="131" customFormat="1" ht="12.75" x14ac:dyDescent="0.2"/>
    <row r="876" s="131" customFormat="1" ht="12.75" x14ac:dyDescent="0.2"/>
    <row r="877" s="131" customFormat="1" ht="12.75" x14ac:dyDescent="0.2"/>
    <row r="878" s="131" customFormat="1" ht="12.75" x14ac:dyDescent="0.2"/>
    <row r="879" s="131" customFormat="1" ht="12.75" x14ac:dyDescent="0.2"/>
    <row r="880" s="131" customFormat="1" ht="12.75" x14ac:dyDescent="0.2"/>
    <row r="881" s="131" customFormat="1" ht="12.75" x14ac:dyDescent="0.2"/>
    <row r="882" s="131" customFormat="1" ht="12.75" x14ac:dyDescent="0.2"/>
    <row r="883" s="131" customFormat="1" ht="12.75" x14ac:dyDescent="0.2"/>
    <row r="884" s="131" customFormat="1" ht="12.75" x14ac:dyDescent="0.2"/>
    <row r="885" s="131" customFormat="1" ht="12.75" x14ac:dyDescent="0.2"/>
    <row r="886" s="131" customFormat="1" ht="12.75" x14ac:dyDescent="0.2"/>
    <row r="887" s="131" customFormat="1" ht="12.75" x14ac:dyDescent="0.2"/>
    <row r="888" s="131" customFormat="1" ht="12.75" x14ac:dyDescent="0.2"/>
    <row r="889" s="131" customFormat="1" ht="12.75" x14ac:dyDescent="0.2"/>
    <row r="890" s="131" customFormat="1" ht="12.75" x14ac:dyDescent="0.2"/>
    <row r="891" s="131" customFormat="1" ht="12.75" x14ac:dyDescent="0.2"/>
    <row r="892" s="131" customFormat="1" ht="12.75" x14ac:dyDescent="0.2"/>
    <row r="893" s="131" customFormat="1" ht="12.75" x14ac:dyDescent="0.2"/>
    <row r="894" s="131" customFormat="1" ht="12.75" x14ac:dyDescent="0.2"/>
    <row r="895" s="131" customFormat="1" ht="12.75" x14ac:dyDescent="0.2"/>
    <row r="896" s="131" customFormat="1" ht="12.75" x14ac:dyDescent="0.2"/>
    <row r="897" s="131" customFormat="1" ht="12.75" x14ac:dyDescent="0.2"/>
    <row r="898" s="131" customFormat="1" ht="12.75" x14ac:dyDescent="0.2"/>
    <row r="899" s="131" customFormat="1" ht="12.75" x14ac:dyDescent="0.2"/>
    <row r="900" s="131" customFormat="1" ht="12.75" x14ac:dyDescent="0.2"/>
    <row r="901" s="131" customFormat="1" ht="12.75" x14ac:dyDescent="0.2"/>
    <row r="902" s="131" customFormat="1" ht="12.75" x14ac:dyDescent="0.2"/>
    <row r="903" s="131" customFormat="1" ht="12.75" x14ac:dyDescent="0.2"/>
    <row r="904" s="131" customFormat="1" ht="12.75" x14ac:dyDescent="0.2"/>
    <row r="905" s="131" customFormat="1" ht="12.75" x14ac:dyDescent="0.2"/>
    <row r="906" s="131" customFormat="1" ht="12.75" x14ac:dyDescent="0.2"/>
    <row r="907" s="131" customFormat="1" ht="12.75" x14ac:dyDescent="0.2"/>
    <row r="908" s="131" customFormat="1" ht="12.75" x14ac:dyDescent="0.2"/>
    <row r="909" s="131" customFormat="1" ht="12.75" x14ac:dyDescent="0.2"/>
    <row r="910" s="131" customFormat="1" ht="12.75" x14ac:dyDescent="0.2"/>
    <row r="911" s="131" customFormat="1" ht="12.75" x14ac:dyDescent="0.2"/>
    <row r="912" s="131" customFormat="1" ht="12.75" x14ac:dyDescent="0.2"/>
    <row r="913" s="131" customFormat="1" ht="12.75" x14ac:dyDescent="0.2"/>
    <row r="914" s="131" customFormat="1" ht="12.75" x14ac:dyDescent="0.2"/>
    <row r="915" s="131" customFormat="1" ht="12.75" x14ac:dyDescent="0.2"/>
    <row r="916" s="131" customFormat="1" ht="12.75" x14ac:dyDescent="0.2"/>
    <row r="917" s="131" customFormat="1" ht="12.75" x14ac:dyDescent="0.2"/>
    <row r="918" s="131" customFormat="1" ht="12.75" x14ac:dyDescent="0.2"/>
    <row r="919" s="131" customFormat="1" ht="12.75" x14ac:dyDescent="0.2"/>
    <row r="920" s="131" customFormat="1" ht="12.75" x14ac:dyDescent="0.2"/>
    <row r="921" s="131" customFormat="1" ht="12.75" x14ac:dyDescent="0.2"/>
    <row r="922" s="131" customFormat="1" ht="12.75" x14ac:dyDescent="0.2"/>
  </sheetData>
  <mergeCells count="6">
    <mergeCell ref="A6:B6"/>
    <mergeCell ref="F4:H4"/>
    <mergeCell ref="A2:H2"/>
    <mergeCell ref="A4:A5"/>
    <mergeCell ref="B4:B5"/>
    <mergeCell ref="C4:E4"/>
  </mergeCells>
  <phoneticPr fontId="3" type="noConversion"/>
  <conditionalFormatting sqref="C16:G55">
    <cfRule type="containsBlanks" dxfId="76" priority="1">
      <formula>LEN(TRIM(C16))=0</formula>
    </cfRule>
  </conditionalFormatting>
  <conditionalFormatting sqref="E9:E13">
    <cfRule type="containsBlanks" dxfId="75" priority="2">
      <formula>LEN(TRIM(E9))=0</formula>
    </cfRule>
  </conditionalFormatting>
  <conditionalFormatting sqref="H9:H14">
    <cfRule type="containsBlanks" dxfId="74" priority="42">
      <formula>LEN(TRIM(H9))=0</formula>
    </cfRule>
  </conditionalFormatting>
  <conditionalFormatting sqref="H16:H56">
    <cfRule type="containsBlanks" dxfId="73" priority="28">
      <formula>LEN(TRIM(H16))=0</formula>
    </cfRule>
  </conditionalFormatting>
  <printOptions horizontalCentered="1" verticalCentered="1"/>
  <pageMargins left="0.15748031496062992" right="0.15748031496062992" top="0.78740157480314965" bottom="0.78740157480314965" header="0" footer="0"/>
  <pageSetup orientation="portrait" verticalDpi="0" r:id="rId1"/>
  <ignoredErrors>
    <ignoredError sqref="B2 F1:H4 B1 A3:B5 C1:D3 C4" numberStoredAsText="1"/>
    <ignoredError sqref="H15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D9EFFF"/>
  </sheetPr>
  <dimension ref="A1:J123"/>
  <sheetViews>
    <sheetView showGridLines="0" topLeftCell="A46" zoomScaleNormal="100" workbookViewId="0">
      <selection activeCell="A62" sqref="A62:H123"/>
    </sheetView>
  </sheetViews>
  <sheetFormatPr baseColWidth="10" defaultColWidth="11.42578125" defaultRowHeight="12.75" x14ac:dyDescent="0.25"/>
  <cols>
    <col min="1" max="1" width="7.7109375" style="38" customWidth="1"/>
    <col min="2" max="2" width="48.85546875" style="38" customWidth="1"/>
    <col min="3" max="3" width="5.85546875" style="38" customWidth="1"/>
    <col min="4" max="4" width="7.140625" style="38" customWidth="1"/>
    <col min="5" max="5" width="5.85546875" style="38" customWidth="1"/>
    <col min="6" max="7" width="6.42578125" style="38" customWidth="1"/>
    <col min="8" max="8" width="5.85546875" style="38" customWidth="1"/>
    <col min="9" max="16384" width="11.42578125" style="38"/>
  </cols>
  <sheetData>
    <row r="1" spans="1:10" ht="15" customHeight="1" x14ac:dyDescent="0.25">
      <c r="A1" s="82" t="s">
        <v>331</v>
      </c>
      <c r="B1" s="82"/>
      <c r="C1" s="82"/>
      <c r="D1" s="82"/>
      <c r="E1" s="82"/>
    </row>
    <row r="2" spans="1:10" ht="13.5" x14ac:dyDescent="0.25">
      <c r="A2" s="282" t="s">
        <v>372</v>
      </c>
      <c r="B2" s="282"/>
      <c r="C2" s="82"/>
      <c r="D2" s="82"/>
      <c r="E2" s="82"/>
    </row>
    <row r="3" spans="1:10" ht="4.3499999999999996" customHeight="1" x14ac:dyDescent="0.25">
      <c r="A3" s="49"/>
      <c r="B3" s="49"/>
      <c r="C3" s="49"/>
      <c r="D3" s="49"/>
      <c r="E3" s="49"/>
    </row>
    <row r="4" spans="1:10" ht="12" customHeight="1" x14ac:dyDescent="0.25">
      <c r="A4" s="280" t="s">
        <v>31</v>
      </c>
      <c r="B4" s="280" t="s">
        <v>4</v>
      </c>
      <c r="C4" s="278" t="s">
        <v>355</v>
      </c>
      <c r="D4" s="279"/>
      <c r="E4" s="174" t="s">
        <v>32</v>
      </c>
      <c r="F4" s="278" t="s">
        <v>220</v>
      </c>
      <c r="G4" s="279"/>
      <c r="H4" s="174" t="s">
        <v>32</v>
      </c>
    </row>
    <row r="5" spans="1:10" x14ac:dyDescent="0.25">
      <c r="A5" s="281"/>
      <c r="B5" s="281"/>
      <c r="C5" s="176">
        <v>2024</v>
      </c>
      <c r="D5" s="177" t="s">
        <v>315</v>
      </c>
      <c r="E5" s="175" t="s">
        <v>33</v>
      </c>
      <c r="F5" s="176">
        <v>2024</v>
      </c>
      <c r="G5" s="177" t="s">
        <v>315</v>
      </c>
      <c r="H5" s="178" t="s">
        <v>33</v>
      </c>
    </row>
    <row r="6" spans="1:10" ht="3.95" customHeight="1" x14ac:dyDescent="0.25">
      <c r="A6" s="99"/>
      <c r="B6" s="99"/>
      <c r="C6" s="99"/>
      <c r="D6" s="99"/>
      <c r="E6" s="99"/>
      <c r="F6" s="66"/>
      <c r="G6" s="66"/>
      <c r="H6" s="99"/>
    </row>
    <row r="7" spans="1:10" ht="11.1" customHeight="1" x14ac:dyDescent="0.25">
      <c r="A7" s="93" t="s">
        <v>68</v>
      </c>
      <c r="B7" s="13" t="s">
        <v>229</v>
      </c>
      <c r="C7" s="133">
        <v>205917.95461100008</v>
      </c>
      <c r="D7" s="133">
        <v>259984.91834700003</v>
      </c>
      <c r="E7" s="157">
        <v>0.2625655632513344</v>
      </c>
      <c r="F7" s="133">
        <v>89359.219472000041</v>
      </c>
      <c r="G7" s="133">
        <v>91439.936750000066</v>
      </c>
      <c r="H7" s="168">
        <v>2.32848640609713E-2</v>
      </c>
    </row>
    <row r="8" spans="1:10" ht="11.1" customHeight="1" x14ac:dyDescent="0.25">
      <c r="A8" s="93" t="s">
        <v>63</v>
      </c>
      <c r="B8" s="13" t="s">
        <v>228</v>
      </c>
      <c r="C8" s="133">
        <v>565814.14705899975</v>
      </c>
      <c r="D8" s="133">
        <v>764216.3196919997</v>
      </c>
      <c r="E8" s="157">
        <v>0.35064901375170421</v>
      </c>
      <c r="F8" s="133">
        <v>3157.4829999999993</v>
      </c>
      <c r="G8" s="133">
        <v>5035.3226000000004</v>
      </c>
      <c r="H8" s="168">
        <v>0.59472674912264023</v>
      </c>
      <c r="I8" s="128"/>
      <c r="J8" s="128"/>
    </row>
    <row r="9" spans="1:10" ht="11.1" customHeight="1" x14ac:dyDescent="0.25">
      <c r="A9" s="93" t="s">
        <v>9</v>
      </c>
      <c r="B9" s="13" t="s">
        <v>291</v>
      </c>
      <c r="C9" s="133">
        <v>209697.99047299993</v>
      </c>
      <c r="D9" s="133">
        <v>182027.87614099993</v>
      </c>
      <c r="E9" s="157">
        <v>-0.13195221503833499</v>
      </c>
      <c r="F9" s="133">
        <v>33773.964360999977</v>
      </c>
      <c r="G9" s="133">
        <v>41044.46292499992</v>
      </c>
      <c r="H9" s="168">
        <v>0.21526932658208908</v>
      </c>
      <c r="I9" s="128"/>
      <c r="J9" s="128"/>
    </row>
    <row r="10" spans="1:10" ht="11.1" customHeight="1" x14ac:dyDescent="0.25">
      <c r="A10" s="93" t="s">
        <v>10</v>
      </c>
      <c r="B10" s="13" t="s">
        <v>203</v>
      </c>
      <c r="C10" s="133">
        <v>219196.80735800025</v>
      </c>
      <c r="D10" s="133">
        <v>339831.61071700021</v>
      </c>
      <c r="E10" s="157">
        <v>0.55034927202189943</v>
      </c>
      <c r="F10" s="133">
        <v>56990.240200000117</v>
      </c>
      <c r="G10" s="133">
        <v>53164.36602000003</v>
      </c>
      <c r="H10" s="168">
        <v>-6.7132094312528978E-2</v>
      </c>
      <c r="I10" s="128"/>
      <c r="J10" s="128"/>
    </row>
    <row r="11" spans="1:10" ht="11.1" customHeight="1" x14ac:dyDescent="0.25">
      <c r="A11" s="93" t="s">
        <v>69</v>
      </c>
      <c r="B11" s="13" t="s">
        <v>317</v>
      </c>
      <c r="C11" s="133">
        <v>85544.830611000012</v>
      </c>
      <c r="D11" s="133">
        <v>100693.50793599998</v>
      </c>
      <c r="E11" s="157">
        <v>0.17708466095264019</v>
      </c>
      <c r="F11" s="133">
        <v>8333.7423980000021</v>
      </c>
      <c r="G11" s="133">
        <v>11180.832423999998</v>
      </c>
      <c r="H11" s="168">
        <v>0.34163403307057627</v>
      </c>
      <c r="I11" s="128"/>
      <c r="J11" s="128"/>
    </row>
    <row r="12" spans="1:10" ht="11.1" customHeight="1" x14ac:dyDescent="0.25">
      <c r="A12" s="93" t="s">
        <v>12</v>
      </c>
      <c r="B12" s="13" t="s">
        <v>292</v>
      </c>
      <c r="C12" s="133">
        <v>72412.72806899999</v>
      </c>
      <c r="D12" s="133">
        <v>79664.361080999995</v>
      </c>
      <c r="E12" s="157">
        <v>0.10014307160324276</v>
      </c>
      <c r="F12" s="133">
        <v>13889.082922</v>
      </c>
      <c r="G12" s="133">
        <v>12910.364906999997</v>
      </c>
      <c r="H12" s="168">
        <v>-7.0466712632965445E-2</v>
      </c>
      <c r="I12" s="128"/>
      <c r="J12" s="128"/>
    </row>
    <row r="13" spans="1:10" ht="11.1" customHeight="1" x14ac:dyDescent="0.25">
      <c r="A13" s="93" t="s">
        <v>67</v>
      </c>
      <c r="B13" s="13" t="s">
        <v>340</v>
      </c>
      <c r="C13" s="133">
        <v>192585.2366899999</v>
      </c>
      <c r="D13" s="133">
        <v>204484.95627699973</v>
      </c>
      <c r="E13" s="157">
        <v>6.1789365537684215E-2</v>
      </c>
      <c r="F13" s="133">
        <v>6118.1292000000049</v>
      </c>
      <c r="G13" s="133">
        <v>8701.8518160000003</v>
      </c>
      <c r="H13" s="168">
        <v>0.42230599118436296</v>
      </c>
      <c r="I13" s="128"/>
      <c r="J13" s="128"/>
    </row>
    <row r="14" spans="1:10" ht="11.1" customHeight="1" x14ac:dyDescent="0.25">
      <c r="A14" s="93" t="s">
        <v>11</v>
      </c>
      <c r="B14" s="13" t="s">
        <v>204</v>
      </c>
      <c r="C14" s="133">
        <v>73359.787314999965</v>
      </c>
      <c r="D14" s="133">
        <v>192089.4332459998</v>
      </c>
      <c r="E14" s="157">
        <v>1.6184567905191165</v>
      </c>
      <c r="F14" s="133">
        <v>5797.5459270000001</v>
      </c>
      <c r="G14" s="133">
        <v>3233.1978599999998</v>
      </c>
      <c r="H14" s="168">
        <v>-0.44231612811508136</v>
      </c>
      <c r="I14" s="128"/>
      <c r="J14" s="128"/>
    </row>
    <row r="15" spans="1:10" ht="11.1" customHeight="1" x14ac:dyDescent="0.25">
      <c r="A15" s="93" t="s">
        <v>35</v>
      </c>
      <c r="B15" s="13" t="s">
        <v>278</v>
      </c>
      <c r="C15" s="133">
        <v>170174.105389</v>
      </c>
      <c r="D15" s="133">
        <v>178533.044444</v>
      </c>
      <c r="E15" s="157">
        <v>4.9119923597614079E-2</v>
      </c>
      <c r="F15" s="133">
        <v>20433.695036000001</v>
      </c>
      <c r="G15" s="133">
        <v>19609.753952000003</v>
      </c>
      <c r="H15" s="168">
        <v>-4.0322667170493709E-2</v>
      </c>
      <c r="I15" s="128"/>
      <c r="J15" s="128"/>
    </row>
    <row r="16" spans="1:10" ht="11.1" customHeight="1" x14ac:dyDescent="0.25">
      <c r="A16" s="93" t="s">
        <v>91</v>
      </c>
      <c r="B16" s="13" t="s">
        <v>238</v>
      </c>
      <c r="C16" s="133">
        <v>33398.995795000003</v>
      </c>
      <c r="D16" s="133">
        <v>57093.463592000007</v>
      </c>
      <c r="E16" s="157">
        <v>0.70943653343455271</v>
      </c>
      <c r="F16" s="133">
        <v>3764.0615930000013</v>
      </c>
      <c r="G16" s="133">
        <v>7930.8536400000021</v>
      </c>
      <c r="H16" s="168">
        <v>1.106993587657799</v>
      </c>
      <c r="I16" s="128"/>
      <c r="J16" s="128"/>
    </row>
    <row r="17" spans="1:10" ht="11.1" customHeight="1" x14ac:dyDescent="0.25">
      <c r="A17" s="93" t="s">
        <v>61</v>
      </c>
      <c r="B17" s="13" t="s">
        <v>231</v>
      </c>
      <c r="C17" s="133">
        <v>21480.526642000001</v>
      </c>
      <c r="D17" s="133">
        <v>79209.047096000024</v>
      </c>
      <c r="E17" s="157">
        <v>2.687481616075734</v>
      </c>
      <c r="F17" s="133">
        <v>2729.6753470000012</v>
      </c>
      <c r="G17" s="133">
        <v>2646.4778610000008</v>
      </c>
      <c r="H17" s="168">
        <v>-3.0478894162793813E-2</v>
      </c>
      <c r="J17" s="128"/>
    </row>
    <row r="18" spans="1:10" ht="24" customHeight="1" x14ac:dyDescent="0.25">
      <c r="A18" s="93" t="s">
        <v>100</v>
      </c>
      <c r="B18" s="13" t="s">
        <v>245</v>
      </c>
      <c r="C18" s="133">
        <v>5925.8666129999992</v>
      </c>
      <c r="D18" s="133">
        <v>8153.646936000001</v>
      </c>
      <c r="E18" s="157">
        <v>0.37594169232779562</v>
      </c>
      <c r="F18" s="133">
        <v>560.63233000000014</v>
      </c>
      <c r="G18" s="133">
        <v>1906.8751900000002</v>
      </c>
      <c r="H18" s="168">
        <v>2.401293660677756</v>
      </c>
    </row>
    <row r="19" spans="1:10" ht="11.1" customHeight="1" x14ac:dyDescent="0.25">
      <c r="A19" s="93" t="s">
        <v>106</v>
      </c>
      <c r="B19" s="13" t="s">
        <v>321</v>
      </c>
      <c r="C19" s="133">
        <v>561.83230900000001</v>
      </c>
      <c r="D19" s="133">
        <v>734.25146800000005</v>
      </c>
      <c r="E19" s="157">
        <v>0.30688722638056753</v>
      </c>
      <c r="F19" s="133">
        <v>63.82677000000001</v>
      </c>
      <c r="G19" s="133">
        <v>83.204219999999992</v>
      </c>
      <c r="H19" s="168">
        <v>0.30359440090733059</v>
      </c>
    </row>
    <row r="20" spans="1:10" ht="11.1" customHeight="1" x14ac:dyDescent="0.25">
      <c r="A20" s="93" t="s">
        <v>64</v>
      </c>
      <c r="B20" s="13" t="s">
        <v>318</v>
      </c>
      <c r="C20" s="133">
        <v>43272.307539000009</v>
      </c>
      <c r="D20" s="133">
        <v>44569.00447</v>
      </c>
      <c r="E20" s="157">
        <v>2.9965976042098497E-2</v>
      </c>
      <c r="F20" s="133">
        <v>4966.4542199999978</v>
      </c>
      <c r="G20" s="133">
        <v>4972.760395000003</v>
      </c>
      <c r="H20" s="168">
        <v>1.269753977517718E-3</v>
      </c>
    </row>
    <row r="21" spans="1:10" ht="11.1" customHeight="1" x14ac:dyDescent="0.25">
      <c r="A21" s="93" t="s">
        <v>88</v>
      </c>
      <c r="B21" s="13" t="s">
        <v>230</v>
      </c>
      <c r="C21" s="133">
        <v>29773.798865000001</v>
      </c>
      <c r="D21" s="133">
        <v>40671.506415000018</v>
      </c>
      <c r="E21" s="157">
        <v>0.36601669808452297</v>
      </c>
      <c r="F21" s="133">
        <v>13.093770999999998</v>
      </c>
      <c r="G21" s="133">
        <v>1.9481850000000001</v>
      </c>
      <c r="H21" s="168">
        <v>-0.85121284005959774</v>
      </c>
    </row>
    <row r="22" spans="1:10" ht="11.1" customHeight="1" x14ac:dyDescent="0.25">
      <c r="A22" s="93" t="s">
        <v>13</v>
      </c>
      <c r="B22" s="13" t="s">
        <v>319</v>
      </c>
      <c r="C22" s="133">
        <v>127106.40648000002</v>
      </c>
      <c r="D22" s="133">
        <v>124165.13256899999</v>
      </c>
      <c r="E22" s="157">
        <v>-2.3140249122398315E-2</v>
      </c>
      <c r="F22" s="133">
        <v>11673.668320000002</v>
      </c>
      <c r="G22" s="133">
        <v>11188.175079999997</v>
      </c>
      <c r="H22" s="168">
        <v>-4.158874714370886E-2</v>
      </c>
    </row>
    <row r="23" spans="1:10" ht="11.1" customHeight="1" x14ac:dyDescent="0.25">
      <c r="A23" s="93" t="s">
        <v>92</v>
      </c>
      <c r="B23" s="13" t="s">
        <v>234</v>
      </c>
      <c r="C23" s="133">
        <v>28082.233547000003</v>
      </c>
      <c r="D23" s="133">
        <v>34104.757845</v>
      </c>
      <c r="E23" s="157">
        <v>0.21446030238016367</v>
      </c>
      <c r="F23" s="133">
        <v>6454.373829000001</v>
      </c>
      <c r="G23" s="133">
        <v>7632.9987530000008</v>
      </c>
      <c r="H23" s="168">
        <v>0.1826087170074262</v>
      </c>
    </row>
    <row r="24" spans="1:10" ht="11.1" customHeight="1" x14ac:dyDescent="0.25">
      <c r="A24" s="93" t="s">
        <v>98</v>
      </c>
      <c r="B24" s="13" t="s">
        <v>233</v>
      </c>
      <c r="C24" s="133">
        <v>42854.826039</v>
      </c>
      <c r="D24" s="133">
        <v>41763.165449</v>
      </c>
      <c r="E24" s="157">
        <v>-2.5473457505265196E-2</v>
      </c>
      <c r="F24" s="133">
        <v>4575.9351679999982</v>
      </c>
      <c r="G24" s="133">
        <v>3705.4957049999994</v>
      </c>
      <c r="H24" s="168">
        <v>-0.19022110913788171</v>
      </c>
    </row>
    <row r="25" spans="1:10" ht="11.1" customHeight="1" x14ac:dyDescent="0.25">
      <c r="A25" s="93" t="s">
        <v>90</v>
      </c>
      <c r="B25" s="13" t="s">
        <v>232</v>
      </c>
      <c r="C25" s="133">
        <v>29828.292137000004</v>
      </c>
      <c r="D25" s="133">
        <v>31838.285036999998</v>
      </c>
      <c r="E25" s="157">
        <v>6.7385450389455315E-2</v>
      </c>
      <c r="F25" s="133">
        <v>2861.1449549999993</v>
      </c>
      <c r="G25" s="133">
        <v>2456.8905399999999</v>
      </c>
      <c r="H25" s="168">
        <v>-0.14129113391949744</v>
      </c>
    </row>
    <row r="26" spans="1:10" ht="11.1" customHeight="1" x14ac:dyDescent="0.25">
      <c r="A26" s="93" t="s">
        <v>101</v>
      </c>
      <c r="B26" s="13" t="s">
        <v>206</v>
      </c>
      <c r="C26" s="133">
        <v>234692.65770100002</v>
      </c>
      <c r="D26" s="133">
        <v>241348.75041500008</v>
      </c>
      <c r="E26" s="157">
        <v>2.8360890277530304E-2</v>
      </c>
      <c r="F26" s="133">
        <v>48197.413898000028</v>
      </c>
      <c r="G26" s="133">
        <v>52510.356500000038</v>
      </c>
      <c r="H26" s="168">
        <v>8.9484938157210481E-2</v>
      </c>
    </row>
    <row r="27" spans="1:10" ht="11.1" customHeight="1" x14ac:dyDescent="0.25">
      <c r="A27" s="93" t="s">
        <v>111</v>
      </c>
      <c r="B27" s="13" t="s">
        <v>247</v>
      </c>
      <c r="C27" s="133">
        <v>9423.0295789999982</v>
      </c>
      <c r="D27" s="133">
        <v>11191.137164</v>
      </c>
      <c r="E27" s="157">
        <v>0.18763684971767214</v>
      </c>
      <c r="F27" s="133">
        <v>1433.7590759999998</v>
      </c>
      <c r="G27" s="133">
        <v>1449.3025799999998</v>
      </c>
      <c r="H27" s="168">
        <v>1.0841084991325189E-2</v>
      </c>
    </row>
    <row r="28" spans="1:10" ht="11.1" customHeight="1" x14ac:dyDescent="0.25">
      <c r="A28" s="93" t="s">
        <v>93</v>
      </c>
      <c r="B28" s="13" t="s">
        <v>236</v>
      </c>
      <c r="C28" s="133">
        <v>94020.947000000015</v>
      </c>
      <c r="D28" s="133">
        <v>93415.756000000023</v>
      </c>
      <c r="E28" s="157">
        <v>-6.4367677555937641E-3</v>
      </c>
      <c r="F28" s="133">
        <v>8365.634</v>
      </c>
      <c r="G28" s="133">
        <v>11775.6</v>
      </c>
      <c r="H28" s="168">
        <v>0.40761596789914556</v>
      </c>
    </row>
    <row r="29" spans="1:10" ht="11.1" customHeight="1" x14ac:dyDescent="0.25">
      <c r="A29" s="93" t="s">
        <v>103</v>
      </c>
      <c r="B29" s="13" t="s">
        <v>209</v>
      </c>
      <c r="C29" s="133">
        <v>50608.811999999998</v>
      </c>
      <c r="D29" s="133">
        <v>72580.35100000001</v>
      </c>
      <c r="E29" s="157">
        <v>0.43414453198387681</v>
      </c>
      <c r="F29" s="133">
        <v>8267.06</v>
      </c>
      <c r="G29" s="133">
        <v>20830.359</v>
      </c>
      <c r="H29" s="168">
        <v>1.5196816038591714</v>
      </c>
    </row>
    <row r="30" spans="1:10" ht="11.1" customHeight="1" x14ac:dyDescent="0.25">
      <c r="A30" s="93" t="s">
        <v>225</v>
      </c>
      <c r="B30" s="13" t="s">
        <v>244</v>
      </c>
      <c r="C30" s="133">
        <v>21485.826259999998</v>
      </c>
      <c r="D30" s="133">
        <v>29168.517813999995</v>
      </c>
      <c r="E30" s="157">
        <v>0.35757021680394052</v>
      </c>
      <c r="F30" s="133">
        <v>5315.4379909999998</v>
      </c>
      <c r="G30" s="133">
        <v>5397.4453299999996</v>
      </c>
      <c r="H30" s="168">
        <v>1.5428143294842878E-2</v>
      </c>
    </row>
    <row r="31" spans="1:10" ht="11.1" customHeight="1" x14ac:dyDescent="0.25">
      <c r="A31" s="93" t="s">
        <v>95</v>
      </c>
      <c r="B31" s="13" t="s">
        <v>205</v>
      </c>
      <c r="C31" s="133">
        <v>37739.169173000002</v>
      </c>
      <c r="D31" s="133">
        <v>40236.600676000002</v>
      </c>
      <c r="E31" s="157">
        <v>6.6176112451006297E-2</v>
      </c>
      <c r="F31" s="133">
        <v>5390.1202940000021</v>
      </c>
      <c r="G31" s="133">
        <v>5920.9358909999992</v>
      </c>
      <c r="H31" s="168">
        <v>9.8479360022980078E-2</v>
      </c>
    </row>
    <row r="32" spans="1:10" ht="24" customHeight="1" x14ac:dyDescent="0.25">
      <c r="A32" s="93" t="s">
        <v>96</v>
      </c>
      <c r="B32" s="13" t="s">
        <v>235</v>
      </c>
      <c r="C32" s="133">
        <v>23074.375881</v>
      </c>
      <c r="D32" s="133">
        <v>26513.524070999996</v>
      </c>
      <c r="E32" s="157">
        <v>0.14904620639520205</v>
      </c>
      <c r="F32" s="133">
        <v>4279.6312379999999</v>
      </c>
      <c r="G32" s="133">
        <v>4219.1618819999994</v>
      </c>
      <c r="H32" s="168">
        <v>-1.4129571600253077E-2</v>
      </c>
    </row>
    <row r="33" spans="1:8" ht="11.1" customHeight="1" x14ac:dyDescent="0.25">
      <c r="A33" s="93" t="s">
        <v>114</v>
      </c>
      <c r="B33" s="13" t="s">
        <v>254</v>
      </c>
      <c r="C33" s="133">
        <v>3856.1729200000004</v>
      </c>
      <c r="D33" s="133">
        <v>3193.5883180000001</v>
      </c>
      <c r="E33" s="157">
        <v>-0.17182440096591944</v>
      </c>
      <c r="F33" s="133">
        <v>726.30833200000006</v>
      </c>
      <c r="G33" s="133">
        <v>133.4811</v>
      </c>
      <c r="H33" s="168">
        <v>-0.8162197869430472</v>
      </c>
    </row>
    <row r="34" spans="1:8" ht="24" customHeight="1" x14ac:dyDescent="0.25">
      <c r="A34" s="93" t="s">
        <v>169</v>
      </c>
      <c r="B34" s="13" t="s">
        <v>237</v>
      </c>
      <c r="C34" s="133">
        <v>29613.17729</v>
      </c>
      <c r="D34" s="133">
        <v>41276.369857000005</v>
      </c>
      <c r="E34" s="157">
        <v>0.39385144163299635</v>
      </c>
      <c r="F34" s="133">
        <v>3949.301539999999</v>
      </c>
      <c r="G34" s="133">
        <v>4225.5179919999982</v>
      </c>
      <c r="H34" s="168">
        <v>6.9940582961917741E-2</v>
      </c>
    </row>
    <row r="35" spans="1:8" ht="24" customHeight="1" x14ac:dyDescent="0.25">
      <c r="A35" s="93" t="s">
        <v>99</v>
      </c>
      <c r="B35" s="13" t="s">
        <v>242</v>
      </c>
      <c r="C35" s="133">
        <v>12817.69621</v>
      </c>
      <c r="D35" s="133">
        <v>14819.473387</v>
      </c>
      <c r="E35" s="157">
        <v>0.15617293031475277</v>
      </c>
      <c r="F35" s="133">
        <v>728.91531999999995</v>
      </c>
      <c r="G35" s="133">
        <v>669.15170000000001</v>
      </c>
      <c r="H35" s="168">
        <v>-8.198979821140262E-2</v>
      </c>
    </row>
    <row r="36" spans="1:8" ht="11.1" customHeight="1" x14ac:dyDescent="0.25">
      <c r="A36" s="93" t="s">
        <v>115</v>
      </c>
      <c r="B36" s="13" t="s">
        <v>213</v>
      </c>
      <c r="C36" s="133">
        <v>4954.3970970000009</v>
      </c>
      <c r="D36" s="133">
        <v>4246.8147159999999</v>
      </c>
      <c r="E36" s="157">
        <v>-0.14281906903030805</v>
      </c>
      <c r="F36" s="133">
        <v>710.05958400000009</v>
      </c>
      <c r="G36" s="133">
        <v>993.48467599999981</v>
      </c>
      <c r="H36" s="168">
        <v>0.3991567727364127</v>
      </c>
    </row>
    <row r="37" spans="1:8" ht="11.1" customHeight="1" x14ac:dyDescent="0.25">
      <c r="A37" s="93" t="s">
        <v>105</v>
      </c>
      <c r="B37" s="13" t="s">
        <v>210</v>
      </c>
      <c r="C37" s="133">
        <v>13269.535765000001</v>
      </c>
      <c r="D37" s="133">
        <v>30491.810382999996</v>
      </c>
      <c r="E37" s="157">
        <v>1.2978807188888868</v>
      </c>
      <c r="F37" s="133">
        <v>1308.5653070000005</v>
      </c>
      <c r="G37" s="133">
        <v>5592.9088540000002</v>
      </c>
      <c r="H37" s="168">
        <v>3.2740769788725554</v>
      </c>
    </row>
    <row r="38" spans="1:8" ht="11.1" customHeight="1" x14ac:dyDescent="0.25">
      <c r="A38" s="93" t="s">
        <v>89</v>
      </c>
      <c r="B38" s="13" t="s">
        <v>320</v>
      </c>
      <c r="C38" s="133">
        <v>11828.267481000003</v>
      </c>
      <c r="D38" s="133">
        <v>15326.132340999999</v>
      </c>
      <c r="E38" s="216">
        <v>0.29572081165890873</v>
      </c>
      <c r="F38" s="133">
        <v>1826.3272190000002</v>
      </c>
      <c r="G38" s="133">
        <v>1781.9273009999999</v>
      </c>
      <c r="H38" s="168">
        <v>-2.4311042149561368E-2</v>
      </c>
    </row>
    <row r="39" spans="1:8" ht="11.1" customHeight="1" x14ac:dyDescent="0.25">
      <c r="A39" s="93" t="s">
        <v>200</v>
      </c>
      <c r="B39" s="13" t="s">
        <v>279</v>
      </c>
      <c r="C39" s="133">
        <v>997.41968600000007</v>
      </c>
      <c r="D39" s="133">
        <v>926.52262299999984</v>
      </c>
      <c r="E39" s="157">
        <v>-7.1080472939452521E-2</v>
      </c>
      <c r="F39" s="133">
        <v>18.148800000000001</v>
      </c>
      <c r="G39" s="133">
        <v>75.592600000000004</v>
      </c>
      <c r="H39" s="168">
        <v>3.1651569249757561</v>
      </c>
    </row>
    <row r="40" spans="1:8" ht="11.1" customHeight="1" x14ac:dyDescent="0.25">
      <c r="A40" s="93" t="s">
        <v>107</v>
      </c>
      <c r="B40" s="13" t="s">
        <v>207</v>
      </c>
      <c r="C40" s="133">
        <v>24865.901000000002</v>
      </c>
      <c r="D40" s="133">
        <v>31692.025000000001</v>
      </c>
      <c r="E40" s="157">
        <v>0.27451746067838045</v>
      </c>
      <c r="F40" s="133">
        <v>3274</v>
      </c>
      <c r="G40" s="133">
        <v>3811</v>
      </c>
      <c r="H40" s="168">
        <v>0.16401954795357354</v>
      </c>
    </row>
    <row r="41" spans="1:8" ht="11.1" customHeight="1" x14ac:dyDescent="0.25">
      <c r="A41" s="93" t="s">
        <v>118</v>
      </c>
      <c r="B41" s="13" t="s">
        <v>243</v>
      </c>
      <c r="C41" s="133">
        <v>51970.982809999994</v>
      </c>
      <c r="D41" s="133">
        <v>40621.821532000002</v>
      </c>
      <c r="E41" s="157">
        <v>-0.21837495972495335</v>
      </c>
      <c r="F41" s="133">
        <v>5611.21</v>
      </c>
      <c r="G41" s="133">
        <v>7001.57</v>
      </c>
      <c r="H41" s="168">
        <v>0.24778256383204322</v>
      </c>
    </row>
    <row r="42" spans="1:8" ht="11.1" customHeight="1" x14ac:dyDescent="0.25">
      <c r="A42" s="93" t="s">
        <v>116</v>
      </c>
      <c r="B42" s="13" t="s">
        <v>250</v>
      </c>
      <c r="C42" s="133">
        <v>813.87567300000001</v>
      </c>
      <c r="D42" s="133">
        <v>1183.0945470000001</v>
      </c>
      <c r="E42" s="157">
        <v>0.45365512970677058</v>
      </c>
      <c r="F42" s="133">
        <v>104.63540900000001</v>
      </c>
      <c r="G42" s="133">
        <v>136.745938</v>
      </c>
      <c r="H42" s="168">
        <v>0.30688014035478162</v>
      </c>
    </row>
    <row r="43" spans="1:8" ht="11.1" customHeight="1" x14ac:dyDescent="0.25">
      <c r="A43" s="93" t="s">
        <v>178</v>
      </c>
      <c r="B43" s="13" t="s">
        <v>255</v>
      </c>
      <c r="C43" s="133">
        <v>6546.5556070000002</v>
      </c>
      <c r="D43" s="133">
        <v>2273.3566739999997</v>
      </c>
      <c r="E43" s="157">
        <v>-0.65274003453523255</v>
      </c>
      <c r="F43" s="133">
        <v>844.93744000000004</v>
      </c>
      <c r="G43" s="133">
        <v>169.46760300000003</v>
      </c>
      <c r="H43" s="168">
        <v>-0.79943177449918656</v>
      </c>
    </row>
    <row r="44" spans="1:8" ht="11.1" customHeight="1" x14ac:dyDescent="0.25">
      <c r="A44" s="93" t="s">
        <v>94</v>
      </c>
      <c r="B44" s="13" t="s">
        <v>251</v>
      </c>
      <c r="C44" s="133">
        <v>18369.500510999998</v>
      </c>
      <c r="D44" s="133">
        <v>24283.825531999995</v>
      </c>
      <c r="E44" s="216">
        <v>0.32196438969357866</v>
      </c>
      <c r="F44" s="133">
        <v>4678.0384649999987</v>
      </c>
      <c r="G44" s="133">
        <v>4130.6291529999999</v>
      </c>
      <c r="H44" s="226">
        <v>-0.11701684714556937</v>
      </c>
    </row>
    <row r="45" spans="1:8" ht="11.1" customHeight="1" x14ac:dyDescent="0.25">
      <c r="A45" s="93" t="s">
        <v>104</v>
      </c>
      <c r="B45" s="13" t="s">
        <v>280</v>
      </c>
      <c r="C45" s="133">
        <v>4492.671041999999</v>
      </c>
      <c r="D45" s="133">
        <v>3116.542661</v>
      </c>
      <c r="E45" s="157">
        <v>-0.30630517305522309</v>
      </c>
      <c r="F45" s="133">
        <v>262.18124999999998</v>
      </c>
      <c r="G45" s="133">
        <v>208.18524999999997</v>
      </c>
      <c r="H45" s="168">
        <v>-0.20594912870390236</v>
      </c>
    </row>
    <row r="46" spans="1:8" ht="11.1" customHeight="1" x14ac:dyDescent="0.25">
      <c r="A46" s="93" t="s">
        <v>175</v>
      </c>
      <c r="B46" s="13" t="s">
        <v>239</v>
      </c>
      <c r="C46" s="133">
        <v>13868.654286000001</v>
      </c>
      <c r="D46" s="133">
        <v>22915.087334</v>
      </c>
      <c r="E46" s="157">
        <v>0.65229350025201138</v>
      </c>
      <c r="F46" s="133">
        <v>5620.0192969999998</v>
      </c>
      <c r="G46" s="133">
        <v>8530.5848480000022</v>
      </c>
      <c r="H46" s="168">
        <v>0.51789244790559352</v>
      </c>
    </row>
    <row r="47" spans="1:8" ht="11.1" customHeight="1" x14ac:dyDescent="0.25">
      <c r="A47" s="93" t="s">
        <v>102</v>
      </c>
      <c r="B47" s="13" t="s">
        <v>208</v>
      </c>
      <c r="C47" s="133">
        <v>20333.503364</v>
      </c>
      <c r="D47" s="133">
        <v>20380.424832000001</v>
      </c>
      <c r="E47" s="157">
        <v>2.3075938838494903E-3</v>
      </c>
      <c r="F47" s="133">
        <v>2151.0041349999992</v>
      </c>
      <c r="G47" s="133">
        <v>1600.6580080000001</v>
      </c>
      <c r="H47" s="168">
        <v>-0.25585544818118133</v>
      </c>
    </row>
    <row r="48" spans="1:8" ht="11.1" customHeight="1" x14ac:dyDescent="0.25">
      <c r="A48" s="93" t="s">
        <v>110</v>
      </c>
      <c r="B48" s="13" t="s">
        <v>211</v>
      </c>
      <c r="C48" s="133">
        <v>5219.9317209999999</v>
      </c>
      <c r="D48" s="133">
        <v>4187.2811680000004</v>
      </c>
      <c r="E48" s="157">
        <v>-0.19782836408484117</v>
      </c>
      <c r="F48" s="133">
        <v>116.412807</v>
      </c>
      <c r="G48" s="133">
        <v>166.76432400000002</v>
      </c>
      <c r="H48" s="168">
        <v>0.43252558114160089</v>
      </c>
    </row>
    <row r="49" spans="1:8" ht="11.1" customHeight="1" x14ac:dyDescent="0.25">
      <c r="A49" s="93" t="s">
        <v>97</v>
      </c>
      <c r="B49" s="13" t="s">
        <v>322</v>
      </c>
      <c r="C49" s="133">
        <v>18060.838456999998</v>
      </c>
      <c r="D49" s="133">
        <v>21802.136607</v>
      </c>
      <c r="E49" s="157">
        <v>0.20714974882851878</v>
      </c>
      <c r="F49" s="133">
        <v>1604.5518429999997</v>
      </c>
      <c r="G49" s="133">
        <v>3412.6003319999995</v>
      </c>
      <c r="H49" s="168">
        <v>1.1268246002070748</v>
      </c>
    </row>
    <row r="50" spans="1:8" ht="11.1" customHeight="1" x14ac:dyDescent="0.25">
      <c r="A50" s="93" t="s">
        <v>199</v>
      </c>
      <c r="B50" s="13" t="s">
        <v>289</v>
      </c>
      <c r="C50" s="133">
        <v>17.449187000000002</v>
      </c>
      <c r="D50" s="133">
        <v>1786.9852579999999</v>
      </c>
      <c r="E50" s="157">
        <v>101.41080332281382</v>
      </c>
      <c r="F50" s="133">
        <v>8.7187000000000001E-2</v>
      </c>
      <c r="G50" s="133">
        <v>1.26</v>
      </c>
      <c r="H50" s="168">
        <v>13.451695780334225</v>
      </c>
    </row>
    <row r="51" spans="1:8" ht="11.1" customHeight="1" x14ac:dyDescent="0.25">
      <c r="A51" s="93" t="s">
        <v>112</v>
      </c>
      <c r="B51" s="13" t="s">
        <v>341</v>
      </c>
      <c r="C51" s="133">
        <v>12479.841866000002</v>
      </c>
      <c r="D51" s="133">
        <v>11372.690249000001</v>
      </c>
      <c r="E51" s="157">
        <v>-8.8715195984679696E-2</v>
      </c>
      <c r="F51" s="133">
        <v>1980.0183950000001</v>
      </c>
      <c r="G51" s="133">
        <v>1869.7297700000001</v>
      </c>
      <c r="H51" s="168">
        <v>-5.5700808274561475E-2</v>
      </c>
    </row>
    <row r="52" spans="1:8" ht="11.1" customHeight="1" x14ac:dyDescent="0.25">
      <c r="A52" s="93" t="s">
        <v>177</v>
      </c>
      <c r="B52" s="13" t="s">
        <v>241</v>
      </c>
      <c r="C52" s="133">
        <v>31996.242077999999</v>
      </c>
      <c r="D52" s="133">
        <v>39970.810927999999</v>
      </c>
      <c r="E52" s="157">
        <v>0.24923454543692047</v>
      </c>
      <c r="F52" s="133">
        <v>2159.038</v>
      </c>
      <c r="G52" s="133">
        <v>2227.1689999999999</v>
      </c>
      <c r="H52" s="168">
        <v>3.155618381890446E-2</v>
      </c>
    </row>
    <row r="53" spans="1:8" ht="33" customHeight="1" x14ac:dyDescent="0.25">
      <c r="A53" s="93" t="s">
        <v>108</v>
      </c>
      <c r="B53" s="13" t="s">
        <v>249</v>
      </c>
      <c r="C53" s="133">
        <v>7805.5292619999991</v>
      </c>
      <c r="D53" s="133">
        <v>8911.4775249999984</v>
      </c>
      <c r="E53" s="157">
        <v>0.14168779923536201</v>
      </c>
      <c r="F53" s="133">
        <v>709.86778799999979</v>
      </c>
      <c r="G53" s="133">
        <v>786.66589900000031</v>
      </c>
      <c r="H53" s="168">
        <v>0.10818649937106395</v>
      </c>
    </row>
    <row r="54" spans="1:8" ht="24" customHeight="1" x14ac:dyDescent="0.25">
      <c r="A54" s="93" t="s">
        <v>109</v>
      </c>
      <c r="B54" s="13" t="s">
        <v>248</v>
      </c>
      <c r="C54" s="133">
        <v>2101.148224</v>
      </c>
      <c r="D54" s="133">
        <v>1926.304738</v>
      </c>
      <c r="E54" s="157">
        <v>-8.3213304041514391E-2</v>
      </c>
      <c r="F54" s="133">
        <v>159.09366500000002</v>
      </c>
      <c r="G54" s="133">
        <v>156.69923800000001</v>
      </c>
      <c r="H54" s="168">
        <v>-1.5050423283667569E-2</v>
      </c>
    </row>
    <row r="55" spans="1:8" ht="11.1" customHeight="1" x14ac:dyDescent="0.25">
      <c r="A55" s="93" t="s">
        <v>195</v>
      </c>
      <c r="B55" s="13" t="s">
        <v>246</v>
      </c>
      <c r="C55" s="133">
        <v>690.58903899999996</v>
      </c>
      <c r="D55" s="133">
        <v>939.80517600000007</v>
      </c>
      <c r="E55" s="157">
        <v>0.36087473580651497</v>
      </c>
      <c r="F55" s="133">
        <v>150.16680299999999</v>
      </c>
      <c r="G55" s="133">
        <v>220.79387299999996</v>
      </c>
      <c r="H55" s="168">
        <v>0.47032412350151698</v>
      </c>
    </row>
    <row r="56" spans="1:8" ht="11.1" customHeight="1" x14ac:dyDescent="0.25">
      <c r="A56" s="93" t="s">
        <v>66</v>
      </c>
      <c r="B56" s="13" t="s">
        <v>240</v>
      </c>
      <c r="C56" s="133">
        <v>37320.801026000001</v>
      </c>
      <c r="D56" s="133">
        <v>48349.545065000006</v>
      </c>
      <c r="E56" s="157">
        <v>0.29551198623300423</v>
      </c>
      <c r="F56" s="133">
        <v>2543.5428279999996</v>
      </c>
      <c r="G56" s="133">
        <v>12356.544553999998</v>
      </c>
      <c r="H56" s="168">
        <v>3.8580053058182671</v>
      </c>
    </row>
    <row r="57" spans="1:8" ht="11.1" customHeight="1" x14ac:dyDescent="0.25">
      <c r="A57" s="120"/>
      <c r="B57" s="116" t="s">
        <v>18</v>
      </c>
      <c r="C57" s="134">
        <v>783477.32094600168</v>
      </c>
      <c r="D57" s="134">
        <v>898875.41920099955</v>
      </c>
      <c r="E57" s="161">
        <v>0.14728964728125327</v>
      </c>
      <c r="F57" s="134">
        <v>93212.997785000014</v>
      </c>
      <c r="G57" s="134">
        <v>137282.49488000022</v>
      </c>
      <c r="H57" s="169">
        <v>0.47278274642178642</v>
      </c>
    </row>
    <row r="58" spans="1:8" ht="8.1" customHeight="1" x14ac:dyDescent="0.25">
      <c r="A58" s="8" t="s">
        <v>44</v>
      </c>
      <c r="B58" s="37"/>
      <c r="C58" s="37"/>
      <c r="D58" s="37"/>
      <c r="E58" s="37"/>
    </row>
    <row r="59" spans="1:8" ht="8.25" customHeight="1" x14ac:dyDescent="0.25">
      <c r="A59" s="11" t="s">
        <v>20</v>
      </c>
      <c r="B59" s="37"/>
      <c r="C59" s="37"/>
      <c r="D59" s="37"/>
      <c r="E59" s="37"/>
    </row>
    <row r="60" spans="1:8" ht="8.25" customHeight="1" x14ac:dyDescent="0.25">
      <c r="A60" s="214" t="s">
        <v>348</v>
      </c>
      <c r="B60" s="37"/>
      <c r="C60" s="37"/>
      <c r="D60" s="37"/>
      <c r="E60" s="37"/>
    </row>
    <row r="61" spans="1:8" ht="8.25" customHeight="1" x14ac:dyDescent="0.25">
      <c r="A61" s="215" t="s">
        <v>349</v>
      </c>
    </row>
    <row r="62" spans="1:8" ht="15" customHeight="1" x14ac:dyDescent="0.25">
      <c r="A62" s="62" t="s">
        <v>344</v>
      </c>
      <c r="B62" s="62"/>
      <c r="C62" s="82"/>
      <c r="D62" s="82"/>
      <c r="E62" s="82"/>
    </row>
    <row r="63" spans="1:8" ht="13.5" x14ac:dyDescent="0.25">
      <c r="A63" s="282" t="s">
        <v>59</v>
      </c>
      <c r="B63" s="282"/>
      <c r="C63" s="82"/>
      <c r="D63" s="82"/>
      <c r="E63" s="82"/>
    </row>
    <row r="64" spans="1:8" ht="3" customHeight="1" x14ac:dyDescent="0.25">
      <c r="A64" s="49"/>
      <c r="B64" s="49"/>
      <c r="C64" s="49"/>
      <c r="D64" s="49"/>
      <c r="E64" s="49"/>
    </row>
    <row r="65" spans="1:8" ht="13.35" customHeight="1" x14ac:dyDescent="0.25">
      <c r="A65" s="280" t="s">
        <v>31</v>
      </c>
      <c r="B65" s="280" t="s">
        <v>4</v>
      </c>
      <c r="C65" s="278" t="s">
        <v>355</v>
      </c>
      <c r="D65" s="279"/>
      <c r="E65" s="174" t="s">
        <v>32</v>
      </c>
      <c r="F65" s="278" t="s">
        <v>220</v>
      </c>
      <c r="G65" s="279"/>
      <c r="H65" s="174" t="s">
        <v>32</v>
      </c>
    </row>
    <row r="66" spans="1:8" x14ac:dyDescent="0.25">
      <c r="A66" s="281"/>
      <c r="B66" s="281"/>
      <c r="C66" s="176">
        <v>2024</v>
      </c>
      <c r="D66" s="177" t="s">
        <v>315</v>
      </c>
      <c r="E66" s="175" t="s">
        <v>33</v>
      </c>
      <c r="F66" s="176">
        <v>2024</v>
      </c>
      <c r="G66" s="177" t="s">
        <v>315</v>
      </c>
      <c r="H66" s="178" t="s">
        <v>33</v>
      </c>
    </row>
    <row r="67" spans="1:8" ht="14.1" customHeight="1" x14ac:dyDescent="0.25">
      <c r="A67" s="283" t="s">
        <v>45</v>
      </c>
      <c r="B67" s="283"/>
      <c r="C67" s="180">
        <v>9669857.0861100033</v>
      </c>
      <c r="D67" s="180">
        <v>11569136.771909999</v>
      </c>
      <c r="E67" s="181">
        <v>0.19641238426658481</v>
      </c>
      <c r="F67" s="180">
        <v>1574539.3573099999</v>
      </c>
      <c r="G67" s="180">
        <v>1777607.755889999</v>
      </c>
      <c r="H67" s="181">
        <v>0.1289700366251425</v>
      </c>
    </row>
    <row r="68" spans="1:8" ht="3.95" customHeight="1" x14ac:dyDescent="0.25">
      <c r="A68" s="100"/>
      <c r="B68" s="100"/>
      <c r="C68" s="100"/>
      <c r="D68" s="100"/>
      <c r="E68" s="100"/>
      <c r="F68" s="101"/>
      <c r="G68" s="101"/>
      <c r="H68" s="102"/>
    </row>
    <row r="69" spans="1:8" ht="11.1" customHeight="1" x14ac:dyDescent="0.25">
      <c r="A69" s="93" t="s">
        <v>68</v>
      </c>
      <c r="B69" s="13" t="s">
        <v>229</v>
      </c>
      <c r="C69" s="133">
        <v>1615379.5938399995</v>
      </c>
      <c r="D69" s="133">
        <v>1805585.47591</v>
      </c>
      <c r="E69" s="157">
        <v>0.11774686444927318</v>
      </c>
      <c r="F69" s="133">
        <v>605053.65421999991</v>
      </c>
      <c r="G69" s="133">
        <v>566281.66581999976</v>
      </c>
      <c r="H69" s="168">
        <v>-6.4080248304561938E-2</v>
      </c>
    </row>
    <row r="70" spans="1:8" ht="11.1" customHeight="1" x14ac:dyDescent="0.25">
      <c r="A70" s="93" t="s">
        <v>63</v>
      </c>
      <c r="B70" s="13" t="s">
        <v>228</v>
      </c>
      <c r="C70" s="133">
        <v>1237699.1469499997</v>
      </c>
      <c r="D70" s="133">
        <v>1352760.3161600004</v>
      </c>
      <c r="E70" s="157">
        <v>9.2963762230539038E-2</v>
      </c>
      <c r="F70" s="133">
        <v>7166.3671099999992</v>
      </c>
      <c r="G70" s="133">
        <v>9645.9442599999984</v>
      </c>
      <c r="H70" s="168">
        <v>0.34600197170194913</v>
      </c>
    </row>
    <row r="71" spans="1:8" ht="11.1" customHeight="1" x14ac:dyDescent="0.25">
      <c r="A71" s="93" t="s">
        <v>9</v>
      </c>
      <c r="B71" s="13" t="s">
        <v>291</v>
      </c>
      <c r="C71" s="133">
        <v>917574.71142000007</v>
      </c>
      <c r="D71" s="133">
        <v>1317946.3859800003</v>
      </c>
      <c r="E71" s="157">
        <v>0.43633686671726357</v>
      </c>
      <c r="F71" s="133">
        <v>179209.07570999983</v>
      </c>
      <c r="G71" s="133">
        <v>319577.39013999992</v>
      </c>
      <c r="H71" s="168">
        <v>0.78326565702033557</v>
      </c>
    </row>
    <row r="72" spans="1:8" ht="11.1" customHeight="1" x14ac:dyDescent="0.25">
      <c r="A72" s="93" t="s">
        <v>10</v>
      </c>
      <c r="B72" s="13" t="s">
        <v>203</v>
      </c>
      <c r="C72" s="133">
        <v>689656.49502000026</v>
      </c>
      <c r="D72" s="133">
        <v>863999.18909000047</v>
      </c>
      <c r="E72" s="157">
        <v>0.25279642159383164</v>
      </c>
      <c r="F72" s="133">
        <v>171383.93842000005</v>
      </c>
      <c r="G72" s="133">
        <v>154668.53301000001</v>
      </c>
      <c r="H72" s="168">
        <v>-9.7531924893898836E-2</v>
      </c>
    </row>
    <row r="73" spans="1:8" ht="11.1" customHeight="1" x14ac:dyDescent="0.25">
      <c r="A73" s="93" t="s">
        <v>69</v>
      </c>
      <c r="B73" s="13" t="s">
        <v>317</v>
      </c>
      <c r="C73" s="133">
        <v>652663.10817000002</v>
      </c>
      <c r="D73" s="133">
        <v>844489.91816000012</v>
      </c>
      <c r="E73" s="157">
        <v>0.2939139773471533</v>
      </c>
      <c r="F73" s="133">
        <v>62969.45953</v>
      </c>
      <c r="G73" s="133">
        <v>71546.159289999981</v>
      </c>
      <c r="H73" s="168">
        <v>0.13620411901286622</v>
      </c>
    </row>
    <row r="74" spans="1:8" ht="11.1" customHeight="1" x14ac:dyDescent="0.25">
      <c r="A74" s="93" t="s">
        <v>12</v>
      </c>
      <c r="B74" s="13" t="s">
        <v>292</v>
      </c>
      <c r="C74" s="133">
        <v>304479.45984000002</v>
      </c>
      <c r="D74" s="133">
        <v>304954.10212999996</v>
      </c>
      <c r="E74" s="157">
        <v>1.5588647268665046E-3</v>
      </c>
      <c r="F74" s="133">
        <v>48068.289819999976</v>
      </c>
      <c r="G74" s="133">
        <v>48936.688840000003</v>
      </c>
      <c r="H74" s="168">
        <v>1.8065943749026481E-2</v>
      </c>
    </row>
    <row r="75" spans="1:8" ht="11.1" customHeight="1" x14ac:dyDescent="0.25">
      <c r="A75" s="93" t="s">
        <v>67</v>
      </c>
      <c r="B75" s="13" t="s">
        <v>340</v>
      </c>
      <c r="C75" s="133">
        <v>251270.42544999995</v>
      </c>
      <c r="D75" s="133">
        <v>244469.91660999996</v>
      </c>
      <c r="E75" s="157">
        <v>-2.7064501633333737E-2</v>
      </c>
      <c r="F75" s="133">
        <v>8447.6917599999997</v>
      </c>
      <c r="G75" s="133">
        <v>11768.964980000002</v>
      </c>
      <c r="H75" s="168">
        <v>0.3931574818728949</v>
      </c>
    </row>
    <row r="76" spans="1:8" ht="11.1" customHeight="1" x14ac:dyDescent="0.25">
      <c r="A76" s="93" t="s">
        <v>11</v>
      </c>
      <c r="B76" s="13" t="s">
        <v>204</v>
      </c>
      <c r="C76" s="133">
        <v>198195.85169000004</v>
      </c>
      <c r="D76" s="133">
        <v>239677.28383999993</v>
      </c>
      <c r="E76" s="157">
        <v>0.20929515828051426</v>
      </c>
      <c r="F76" s="133">
        <v>12143.306240000002</v>
      </c>
      <c r="G76" s="133">
        <v>6298.4889600000024</v>
      </c>
      <c r="H76" s="168">
        <v>-0.48132009227826233</v>
      </c>
    </row>
    <row r="77" spans="1:8" ht="11.1" customHeight="1" x14ac:dyDescent="0.25">
      <c r="A77" s="93" t="s">
        <v>35</v>
      </c>
      <c r="B77" s="13" t="s">
        <v>278</v>
      </c>
      <c r="C77" s="133">
        <v>186585.59069000004</v>
      </c>
      <c r="D77" s="133">
        <v>176909.05710000001</v>
      </c>
      <c r="E77" s="157">
        <v>-5.1861097924099431E-2</v>
      </c>
      <c r="F77" s="133">
        <v>21176.179300000003</v>
      </c>
      <c r="G77" s="133">
        <v>19629.241389999999</v>
      </c>
      <c r="H77" s="168">
        <v>-7.3050850584741922E-2</v>
      </c>
    </row>
    <row r="78" spans="1:8" ht="11.1" customHeight="1" x14ac:dyDescent="0.25">
      <c r="A78" s="93" t="s">
        <v>91</v>
      </c>
      <c r="B78" s="13" t="s">
        <v>238</v>
      </c>
      <c r="C78" s="133">
        <v>92841.66154999999</v>
      </c>
      <c r="D78" s="133">
        <v>157843.75433999998</v>
      </c>
      <c r="E78" s="157">
        <v>0.70013926619562961</v>
      </c>
      <c r="F78" s="133">
        <v>10134.11073</v>
      </c>
      <c r="G78" s="133">
        <v>22158.606049999991</v>
      </c>
      <c r="H78" s="168">
        <v>1.186536800353275</v>
      </c>
    </row>
    <row r="79" spans="1:8" ht="11.1" customHeight="1" x14ac:dyDescent="0.25">
      <c r="A79" s="93" t="s">
        <v>61</v>
      </c>
      <c r="B79" s="13" t="s">
        <v>231</v>
      </c>
      <c r="C79" s="133">
        <v>57906.236720000001</v>
      </c>
      <c r="D79" s="133">
        <v>148447.77687999999</v>
      </c>
      <c r="E79" s="157">
        <v>1.5635887477510382</v>
      </c>
      <c r="F79" s="133">
        <v>5191.5740999999998</v>
      </c>
      <c r="G79" s="133">
        <v>4966.3747499999999</v>
      </c>
      <c r="H79" s="168">
        <v>-4.337785528285143E-2</v>
      </c>
    </row>
    <row r="80" spans="1:8" ht="24" customHeight="1" x14ac:dyDescent="0.25">
      <c r="A80" s="93" t="s">
        <v>100</v>
      </c>
      <c r="B80" s="13" t="s">
        <v>245</v>
      </c>
      <c r="C80" s="133">
        <v>74496.630449999997</v>
      </c>
      <c r="D80" s="133">
        <v>140733.83261999997</v>
      </c>
      <c r="E80" s="157">
        <v>0.88913017635685532</v>
      </c>
      <c r="F80" s="133">
        <v>10054.103290000001</v>
      </c>
      <c r="G80" s="133">
        <v>28450.583399999996</v>
      </c>
      <c r="H80" s="168">
        <v>1.8297484697911823</v>
      </c>
    </row>
    <row r="81" spans="1:8" ht="11.1" customHeight="1" x14ac:dyDescent="0.25">
      <c r="A81" s="93" t="s">
        <v>106</v>
      </c>
      <c r="B81" s="13" t="s">
        <v>321</v>
      </c>
      <c r="C81" s="133">
        <v>62290.395149999997</v>
      </c>
      <c r="D81" s="133">
        <v>134279.55053000001</v>
      </c>
      <c r="E81" s="157">
        <v>1.1557023391269983</v>
      </c>
      <c r="F81" s="133">
        <v>9197.3862099999988</v>
      </c>
      <c r="G81" s="133">
        <v>14642.876749999996</v>
      </c>
      <c r="H81" s="168">
        <v>0.59206935706139041</v>
      </c>
    </row>
    <row r="82" spans="1:8" ht="11.1" customHeight="1" x14ac:dyDescent="0.25">
      <c r="A82" s="93" t="s">
        <v>64</v>
      </c>
      <c r="B82" s="13" t="s">
        <v>318</v>
      </c>
      <c r="C82" s="133">
        <v>106862.27481999998</v>
      </c>
      <c r="D82" s="133">
        <v>121940.87703999999</v>
      </c>
      <c r="E82" s="157">
        <v>0.14110313714918177</v>
      </c>
      <c r="F82" s="133">
        <v>12447.742070000004</v>
      </c>
      <c r="G82" s="133">
        <v>14470.170720000002</v>
      </c>
      <c r="H82" s="168">
        <v>0.16247353444719925</v>
      </c>
    </row>
    <row r="83" spans="1:8" ht="11.1" customHeight="1" x14ac:dyDescent="0.25">
      <c r="A83" s="93" t="s">
        <v>88</v>
      </c>
      <c r="B83" s="13" t="s">
        <v>230</v>
      </c>
      <c r="C83" s="133">
        <v>83784.203009999997</v>
      </c>
      <c r="D83" s="133">
        <v>113849.79905999999</v>
      </c>
      <c r="E83" s="157">
        <v>0.35884564118144735</v>
      </c>
      <c r="F83" s="133">
        <v>41.085409999999996</v>
      </c>
      <c r="G83" s="133">
        <v>7.9276799999999996</v>
      </c>
      <c r="H83" s="168">
        <v>-0.80704391169517353</v>
      </c>
    </row>
    <row r="84" spans="1:8" ht="11.1" customHeight="1" x14ac:dyDescent="0.25">
      <c r="A84" s="93" t="s">
        <v>13</v>
      </c>
      <c r="B84" s="13" t="s">
        <v>319</v>
      </c>
      <c r="C84" s="133">
        <v>97027.539879999982</v>
      </c>
      <c r="D84" s="133">
        <v>95748.095679999969</v>
      </c>
      <c r="E84" s="157">
        <v>-1.3186402557277876E-2</v>
      </c>
      <c r="F84" s="133">
        <v>9002.7587099999982</v>
      </c>
      <c r="G84" s="133">
        <v>8683.1085099999946</v>
      </c>
      <c r="H84" s="168">
        <v>-3.5505805531025225E-2</v>
      </c>
    </row>
    <row r="85" spans="1:8" ht="11.1" customHeight="1" x14ac:dyDescent="0.25">
      <c r="A85" s="93" t="s">
        <v>92</v>
      </c>
      <c r="B85" s="13" t="s">
        <v>234</v>
      </c>
      <c r="C85" s="133">
        <v>77571.767389999994</v>
      </c>
      <c r="D85" s="133">
        <v>93965.229810000004</v>
      </c>
      <c r="E85" s="157">
        <v>0.21133284662163487</v>
      </c>
      <c r="F85" s="133">
        <v>17749.334100000004</v>
      </c>
      <c r="G85" s="133">
        <v>20787.966660000006</v>
      </c>
      <c r="H85" s="168">
        <v>0.17119698930000982</v>
      </c>
    </row>
    <row r="86" spans="1:8" ht="11.1" customHeight="1" x14ac:dyDescent="0.25">
      <c r="A86" s="93" t="s">
        <v>98</v>
      </c>
      <c r="B86" s="13" t="s">
        <v>233</v>
      </c>
      <c r="C86" s="133">
        <v>92400.564930000008</v>
      </c>
      <c r="D86" s="133">
        <v>93641.394490000006</v>
      </c>
      <c r="E86" s="157">
        <v>1.3428809238774875E-2</v>
      </c>
      <c r="F86" s="133">
        <v>9723.6901300000063</v>
      </c>
      <c r="G86" s="133">
        <v>8698.1874900000021</v>
      </c>
      <c r="H86" s="168">
        <v>-0.10546434802936322</v>
      </c>
    </row>
    <row r="87" spans="1:8" ht="11.1" customHeight="1" x14ac:dyDescent="0.25">
      <c r="A87" s="93" t="s">
        <v>90</v>
      </c>
      <c r="B87" s="13" t="s">
        <v>232</v>
      </c>
      <c r="C87" s="133">
        <v>114660.79656999998</v>
      </c>
      <c r="D87" s="133">
        <v>90678.904159999976</v>
      </c>
      <c r="E87" s="157">
        <v>-0.20915511776825257</v>
      </c>
      <c r="F87" s="133">
        <v>11316.356180000006</v>
      </c>
      <c r="G87" s="133">
        <v>8187.3623999999991</v>
      </c>
      <c r="H87" s="168">
        <v>-0.27650188189817171</v>
      </c>
    </row>
    <row r="88" spans="1:8" ht="11.1" customHeight="1" x14ac:dyDescent="0.25">
      <c r="A88" s="93" t="s">
        <v>101</v>
      </c>
      <c r="B88" s="13" t="s">
        <v>206</v>
      </c>
      <c r="C88" s="133">
        <v>97275.083230000004</v>
      </c>
      <c r="D88" s="133">
        <v>88519.20557000002</v>
      </c>
      <c r="E88" s="157">
        <v>-9.0011515480252324E-2</v>
      </c>
      <c r="F88" s="133">
        <v>19661.206469999986</v>
      </c>
      <c r="G88" s="133">
        <v>20377.65755</v>
      </c>
      <c r="H88" s="168">
        <v>3.6439832982437137E-2</v>
      </c>
    </row>
    <row r="89" spans="1:8" ht="11.1" customHeight="1" x14ac:dyDescent="0.25">
      <c r="A89" s="93" t="s">
        <v>111</v>
      </c>
      <c r="B89" s="13" t="s">
        <v>247</v>
      </c>
      <c r="C89" s="133">
        <v>49176.916829999995</v>
      </c>
      <c r="D89" s="133">
        <v>88211.550029999984</v>
      </c>
      <c r="E89" s="157">
        <v>0.79375926178818945</v>
      </c>
      <c r="F89" s="133">
        <v>7906.5933099999993</v>
      </c>
      <c r="G89" s="133">
        <v>12669.233690000001</v>
      </c>
      <c r="H89" s="168">
        <v>0.60236314089613918</v>
      </c>
    </row>
    <row r="90" spans="1:8" ht="11.1" customHeight="1" x14ac:dyDescent="0.25">
      <c r="A90" s="93" t="s">
        <v>93</v>
      </c>
      <c r="B90" s="13" t="s">
        <v>236</v>
      </c>
      <c r="C90" s="133">
        <v>75786.976640000008</v>
      </c>
      <c r="D90" s="133">
        <v>81006.190050000005</v>
      </c>
      <c r="E90" s="157">
        <v>6.8866890347032639E-2</v>
      </c>
      <c r="F90" s="133">
        <v>6597.00155</v>
      </c>
      <c r="G90" s="133">
        <v>10894.372369999999</v>
      </c>
      <c r="H90" s="168">
        <v>0.65141273462335314</v>
      </c>
    </row>
    <row r="91" spans="1:8" ht="11.1" customHeight="1" x14ac:dyDescent="0.25">
      <c r="A91" s="93" t="s">
        <v>103</v>
      </c>
      <c r="B91" s="13" t="s">
        <v>209</v>
      </c>
      <c r="C91" s="133">
        <v>47339.351219999997</v>
      </c>
      <c r="D91" s="133">
        <v>76889.576740000004</v>
      </c>
      <c r="E91" s="157">
        <v>0.62422117664163479</v>
      </c>
      <c r="F91" s="133">
        <v>8130.0336299999999</v>
      </c>
      <c r="G91" s="133">
        <v>22010.928670000001</v>
      </c>
      <c r="H91" s="168">
        <v>1.7073601010430264</v>
      </c>
    </row>
    <row r="92" spans="1:8" ht="11.1" customHeight="1" x14ac:dyDescent="0.25">
      <c r="A92" s="93" t="s">
        <v>225</v>
      </c>
      <c r="B92" s="13" t="s">
        <v>244</v>
      </c>
      <c r="C92" s="133">
        <v>51862.47752</v>
      </c>
      <c r="D92" s="133">
        <v>74810.374150000003</v>
      </c>
      <c r="E92" s="157">
        <v>0.44247590410910242</v>
      </c>
      <c r="F92" s="133">
        <v>12814.93183</v>
      </c>
      <c r="G92" s="133">
        <v>13992.730330000002</v>
      </c>
      <c r="H92" s="168">
        <v>9.1908292265960645E-2</v>
      </c>
    </row>
    <row r="93" spans="1:8" ht="11.1" customHeight="1" x14ac:dyDescent="0.25">
      <c r="A93" s="93" t="s">
        <v>95</v>
      </c>
      <c r="B93" s="13" t="s">
        <v>205</v>
      </c>
      <c r="C93" s="133">
        <v>81108.941119999989</v>
      </c>
      <c r="D93" s="133">
        <v>69821.594020000004</v>
      </c>
      <c r="E93" s="157">
        <v>-0.13916279690176758</v>
      </c>
      <c r="F93" s="133">
        <v>10972.721210000005</v>
      </c>
      <c r="G93" s="133">
        <v>8997.033010000001</v>
      </c>
      <c r="H93" s="168">
        <v>-0.18005453361919543</v>
      </c>
    </row>
    <row r="94" spans="1:8" ht="24" customHeight="1" x14ac:dyDescent="0.25">
      <c r="A94" s="93" t="s">
        <v>96</v>
      </c>
      <c r="B94" s="13" t="s">
        <v>235</v>
      </c>
      <c r="C94" s="133">
        <v>59896.847160000005</v>
      </c>
      <c r="D94" s="133">
        <v>69819.568750000006</v>
      </c>
      <c r="E94" s="157">
        <v>0.16566350418234599</v>
      </c>
      <c r="F94" s="133">
        <v>11040.288030000002</v>
      </c>
      <c r="G94" s="133">
        <v>11265.888429999999</v>
      </c>
      <c r="H94" s="168">
        <v>2.0434285716728562E-2</v>
      </c>
    </row>
    <row r="95" spans="1:8" ht="25.5" x14ac:dyDescent="0.25">
      <c r="A95" s="93" t="s">
        <v>114</v>
      </c>
      <c r="B95" s="13" t="s">
        <v>254</v>
      </c>
      <c r="C95" s="133">
        <v>58793.012310000006</v>
      </c>
      <c r="D95" s="133">
        <v>63223.057580000008</v>
      </c>
      <c r="E95" s="157">
        <v>7.5349860399081869E-2</v>
      </c>
      <c r="F95" s="133">
        <v>16351.924849999999</v>
      </c>
      <c r="G95" s="133">
        <v>1839.1902700000001</v>
      </c>
      <c r="H95" s="168">
        <v>-0.88752453996264546</v>
      </c>
    </row>
    <row r="96" spans="1:8" ht="24" customHeight="1" x14ac:dyDescent="0.25">
      <c r="A96" s="93" t="s">
        <v>169</v>
      </c>
      <c r="B96" s="13" t="s">
        <v>237</v>
      </c>
      <c r="C96" s="133">
        <v>44609.702640000003</v>
      </c>
      <c r="D96" s="133">
        <v>62849.82284999999</v>
      </c>
      <c r="E96" s="157">
        <v>0.40888235362601799</v>
      </c>
      <c r="F96" s="133">
        <v>5912.7302200000004</v>
      </c>
      <c r="G96" s="133">
        <v>6418.9086099999995</v>
      </c>
      <c r="H96" s="168">
        <v>8.5608233619020035E-2</v>
      </c>
    </row>
    <row r="97" spans="1:8" ht="25.5" x14ac:dyDescent="0.25">
      <c r="A97" s="93" t="s">
        <v>99</v>
      </c>
      <c r="B97" s="13" t="s">
        <v>242</v>
      </c>
      <c r="C97" s="133">
        <v>46122.633129999995</v>
      </c>
      <c r="D97" s="133">
        <v>60415.535830000008</v>
      </c>
      <c r="E97" s="157">
        <v>0.30988913099810289</v>
      </c>
      <c r="F97" s="133">
        <v>2760.25684</v>
      </c>
      <c r="G97" s="133">
        <v>2748.3510199999996</v>
      </c>
      <c r="H97" s="168">
        <v>-4.3133015114638074E-3</v>
      </c>
    </row>
    <row r="98" spans="1:8" ht="11.1" customHeight="1" x14ac:dyDescent="0.25">
      <c r="A98" s="93" t="s">
        <v>115</v>
      </c>
      <c r="B98" s="13" t="s">
        <v>213</v>
      </c>
      <c r="C98" s="133">
        <v>45316.058510000003</v>
      </c>
      <c r="D98" s="133">
        <v>58233.277520000003</v>
      </c>
      <c r="E98" s="157">
        <v>0.28504727539685581</v>
      </c>
      <c r="F98" s="133">
        <v>8671.6016199999995</v>
      </c>
      <c r="G98" s="133">
        <v>12231.666539999998</v>
      </c>
      <c r="H98" s="168">
        <v>0.41054295111864225</v>
      </c>
    </row>
    <row r="99" spans="1:8" ht="11.1" customHeight="1" x14ac:dyDescent="0.25">
      <c r="A99" s="93" t="s">
        <v>105</v>
      </c>
      <c r="B99" s="13" t="s">
        <v>210</v>
      </c>
      <c r="C99" s="133">
        <v>36938.720350000003</v>
      </c>
      <c r="D99" s="133">
        <v>58064.504820000002</v>
      </c>
      <c r="E99" s="157">
        <v>0.57191435625896014</v>
      </c>
      <c r="F99" s="133">
        <v>3768.1101800000019</v>
      </c>
      <c r="G99" s="133">
        <v>10194.41258</v>
      </c>
      <c r="H99" s="168">
        <v>1.7054443986560912</v>
      </c>
    </row>
    <row r="100" spans="1:8" ht="11.1" customHeight="1" x14ac:dyDescent="0.25">
      <c r="A100" s="93" t="s">
        <v>89</v>
      </c>
      <c r="B100" s="13" t="s">
        <v>320</v>
      </c>
      <c r="C100" s="133">
        <v>43501.470560000002</v>
      </c>
      <c r="D100" s="133">
        <v>56507.520629999999</v>
      </c>
      <c r="E100" s="216">
        <v>0.29897954948583227</v>
      </c>
      <c r="F100" s="133">
        <v>6805.6815800000004</v>
      </c>
      <c r="G100" s="133">
        <v>7016.7973300000003</v>
      </c>
      <c r="H100" s="226">
        <v>3.1020515361813272E-2</v>
      </c>
    </row>
    <row r="101" spans="1:8" ht="11.1" customHeight="1" x14ac:dyDescent="0.25">
      <c r="A101" s="93" t="s">
        <v>200</v>
      </c>
      <c r="B101" s="13" t="s">
        <v>279</v>
      </c>
      <c r="C101" s="133">
        <v>103443.31049</v>
      </c>
      <c r="D101" s="133">
        <v>54390.624670000005</v>
      </c>
      <c r="E101" s="157">
        <v>-0.47419872379995021</v>
      </c>
      <c r="F101" s="133">
        <v>1661.6599999999999</v>
      </c>
      <c r="G101" s="133">
        <v>3449.4613400000003</v>
      </c>
      <c r="H101" s="168">
        <v>1.0759128461899552</v>
      </c>
    </row>
    <row r="102" spans="1:8" ht="11.1" customHeight="1" x14ac:dyDescent="0.25">
      <c r="A102" s="93" t="s">
        <v>107</v>
      </c>
      <c r="B102" s="13" t="s">
        <v>207</v>
      </c>
      <c r="C102" s="133">
        <v>43381.011399999996</v>
      </c>
      <c r="D102" s="133">
        <v>54214.693199999994</v>
      </c>
      <c r="E102" s="157">
        <v>0.24973326924323391</v>
      </c>
      <c r="F102" s="133">
        <v>5428.6495999999997</v>
      </c>
      <c r="G102" s="133">
        <v>6496.1669300000012</v>
      </c>
      <c r="H102" s="168">
        <v>0.19664509752112225</v>
      </c>
    </row>
    <row r="103" spans="1:8" ht="11.1" customHeight="1" x14ac:dyDescent="0.25">
      <c r="A103" s="93" t="s">
        <v>118</v>
      </c>
      <c r="B103" s="13" t="s">
        <v>243</v>
      </c>
      <c r="C103" s="133">
        <v>56534.533159999999</v>
      </c>
      <c r="D103" s="133">
        <v>50828.872300000003</v>
      </c>
      <c r="E103" s="157">
        <v>-0.1009234629010245</v>
      </c>
      <c r="F103" s="133">
        <v>6549.4370100000006</v>
      </c>
      <c r="G103" s="133">
        <v>8245.8748400000022</v>
      </c>
      <c r="H103" s="168">
        <v>0.25902040548062333</v>
      </c>
    </row>
    <row r="104" spans="1:8" ht="11.1" customHeight="1" x14ac:dyDescent="0.25">
      <c r="A104" s="93" t="s">
        <v>116</v>
      </c>
      <c r="B104" s="13" t="s">
        <v>250</v>
      </c>
      <c r="C104" s="133">
        <v>34805.059789999999</v>
      </c>
      <c r="D104" s="133">
        <v>48150.698730000011</v>
      </c>
      <c r="E104" s="157">
        <v>0.38343962115055485</v>
      </c>
      <c r="F104" s="133">
        <v>4651.90834</v>
      </c>
      <c r="G104" s="133">
        <v>5167.5050600000013</v>
      </c>
      <c r="H104" s="168">
        <v>0.11083552862952617</v>
      </c>
    </row>
    <row r="105" spans="1:8" ht="11.1" customHeight="1" x14ac:dyDescent="0.25">
      <c r="A105" s="93" t="s">
        <v>178</v>
      </c>
      <c r="B105" s="13" t="s">
        <v>255</v>
      </c>
      <c r="C105" s="133">
        <v>73521.276779999986</v>
      </c>
      <c r="D105" s="133">
        <v>47583.680340000006</v>
      </c>
      <c r="E105" s="157">
        <v>-0.35279034282298793</v>
      </c>
      <c r="F105" s="133">
        <v>15820.944739999999</v>
      </c>
      <c r="G105" s="133">
        <v>2019.2579999999998</v>
      </c>
      <c r="H105" s="168">
        <v>-0.87236805177033949</v>
      </c>
    </row>
    <row r="106" spans="1:8" ht="11.1" customHeight="1" x14ac:dyDescent="0.25">
      <c r="A106" s="93" t="s">
        <v>94</v>
      </c>
      <c r="B106" s="13" t="s">
        <v>251</v>
      </c>
      <c r="C106" s="133">
        <v>34995.147729999997</v>
      </c>
      <c r="D106" s="133">
        <v>46338.851129999995</v>
      </c>
      <c r="E106" s="216">
        <v>0.32415075048463016</v>
      </c>
      <c r="F106" s="133">
        <v>8931.4523700000027</v>
      </c>
      <c r="G106" s="133">
        <v>7690.2935200000002</v>
      </c>
      <c r="H106" s="226">
        <v>-0.1389649520126145</v>
      </c>
    </row>
    <row r="107" spans="1:8" ht="11.1" customHeight="1" x14ac:dyDescent="0.25">
      <c r="A107" s="93" t="s">
        <v>104</v>
      </c>
      <c r="B107" s="13" t="s">
        <v>280</v>
      </c>
      <c r="C107" s="133">
        <v>33005.65292</v>
      </c>
      <c r="D107" s="133">
        <v>45465.452550000002</v>
      </c>
      <c r="E107" s="157">
        <v>0.37750501891904409</v>
      </c>
      <c r="F107" s="133">
        <v>2065.6332600000001</v>
      </c>
      <c r="G107" s="133">
        <v>3345.3762300000008</v>
      </c>
      <c r="H107" s="168">
        <v>0.61954026146926044</v>
      </c>
    </row>
    <row r="108" spans="1:8" ht="11.1" customHeight="1" x14ac:dyDescent="0.25">
      <c r="A108" s="93" t="s">
        <v>175</v>
      </c>
      <c r="B108" s="13" t="s">
        <v>239</v>
      </c>
      <c r="C108" s="133">
        <v>26744.924970000004</v>
      </c>
      <c r="D108" s="133">
        <v>44464.795159999994</v>
      </c>
      <c r="E108" s="157">
        <v>0.66255075345608594</v>
      </c>
      <c r="F108" s="133">
        <v>10708.07847</v>
      </c>
      <c r="G108" s="133">
        <v>16349.299799999993</v>
      </c>
      <c r="H108" s="168">
        <v>0.52681919971025315</v>
      </c>
    </row>
    <row r="109" spans="1:8" ht="11.1" customHeight="1" x14ac:dyDescent="0.25">
      <c r="A109" s="93" t="s">
        <v>102</v>
      </c>
      <c r="B109" s="13" t="s">
        <v>208</v>
      </c>
      <c r="C109" s="133">
        <v>40825.980509999994</v>
      </c>
      <c r="D109" s="133">
        <v>41106.614619999993</v>
      </c>
      <c r="E109" s="157">
        <v>6.8739098606893645E-3</v>
      </c>
      <c r="F109" s="133">
        <v>4250.4714100000001</v>
      </c>
      <c r="G109" s="133">
        <v>3555.8489200000004</v>
      </c>
      <c r="H109" s="168">
        <v>-0.16342245906319364</v>
      </c>
    </row>
    <row r="110" spans="1:8" ht="11.1" customHeight="1" x14ac:dyDescent="0.25">
      <c r="A110" s="93" t="s">
        <v>110</v>
      </c>
      <c r="B110" s="13" t="s">
        <v>211</v>
      </c>
      <c r="C110" s="133">
        <v>47778.200550000001</v>
      </c>
      <c r="D110" s="133">
        <v>40262.397239999998</v>
      </c>
      <c r="E110" s="157">
        <v>-0.15730611918158566</v>
      </c>
      <c r="F110" s="133">
        <v>1574.7032200000001</v>
      </c>
      <c r="G110" s="133">
        <v>2094.9008600000006</v>
      </c>
      <c r="H110" s="226">
        <v>0.33034646363395415</v>
      </c>
    </row>
    <row r="111" spans="1:8" ht="11.1" customHeight="1" x14ac:dyDescent="0.25">
      <c r="A111" s="93" t="s">
        <v>97</v>
      </c>
      <c r="B111" s="13" t="s">
        <v>322</v>
      </c>
      <c r="C111" s="133">
        <v>32636.575019999997</v>
      </c>
      <c r="D111" s="133">
        <v>39386.521309999996</v>
      </c>
      <c r="E111" s="157">
        <v>0.20682152725473091</v>
      </c>
      <c r="F111" s="133">
        <v>2805.7947699999995</v>
      </c>
      <c r="G111" s="133">
        <v>6279.1930599999996</v>
      </c>
      <c r="H111" s="168">
        <v>1.2379374026704029</v>
      </c>
    </row>
    <row r="112" spans="1:8" ht="11.1" customHeight="1" x14ac:dyDescent="0.25">
      <c r="A112" s="93" t="s">
        <v>199</v>
      </c>
      <c r="B112" s="13" t="s">
        <v>289</v>
      </c>
      <c r="C112" s="133">
        <v>422.09334999999999</v>
      </c>
      <c r="D112" s="133">
        <v>38698.398610000004</v>
      </c>
      <c r="E112" s="157">
        <v>90.682085514969629</v>
      </c>
      <c r="F112" s="133">
        <v>0.80249999999999999</v>
      </c>
      <c r="G112" s="133">
        <v>30.72</v>
      </c>
      <c r="H112" s="168">
        <v>37.280373831775698</v>
      </c>
    </row>
    <row r="113" spans="1:8" ht="11.1" customHeight="1" x14ac:dyDescent="0.25">
      <c r="A113" s="93" t="s">
        <v>112</v>
      </c>
      <c r="B113" s="13" t="s">
        <v>341</v>
      </c>
      <c r="C113" s="133">
        <v>42001.16921</v>
      </c>
      <c r="D113" s="133">
        <v>38594.005799999999</v>
      </c>
      <c r="E113" s="157">
        <v>-8.1120680068801354E-2</v>
      </c>
      <c r="F113" s="133">
        <v>7173.1032299999997</v>
      </c>
      <c r="G113" s="133">
        <v>6942.2402699999975</v>
      </c>
      <c r="H113" s="168">
        <v>-3.2184530543832968E-2</v>
      </c>
    </row>
    <row r="114" spans="1:8" ht="11.1" customHeight="1" x14ac:dyDescent="0.25">
      <c r="A114" s="93" t="s">
        <v>177</v>
      </c>
      <c r="B114" s="13" t="s">
        <v>241</v>
      </c>
      <c r="C114" s="133">
        <v>32527.634510000004</v>
      </c>
      <c r="D114" s="133">
        <v>36183.041229999995</v>
      </c>
      <c r="E114" s="157">
        <v>0.11237849831583069</v>
      </c>
      <c r="F114" s="133">
        <v>2138.8121599999999</v>
      </c>
      <c r="G114" s="133">
        <v>1957.1379500000005</v>
      </c>
      <c r="H114" s="168">
        <v>-8.494163882068051E-2</v>
      </c>
    </row>
    <row r="115" spans="1:8" ht="33" customHeight="1" x14ac:dyDescent="0.25">
      <c r="A115" s="93" t="s">
        <v>108</v>
      </c>
      <c r="B115" s="13" t="s">
        <v>249</v>
      </c>
      <c r="C115" s="133">
        <v>30595.610160000004</v>
      </c>
      <c r="D115" s="133">
        <v>34616.561410000002</v>
      </c>
      <c r="E115" s="157">
        <v>0.13142248933662048</v>
      </c>
      <c r="F115" s="133">
        <v>2985.7747199999999</v>
      </c>
      <c r="G115" s="133">
        <v>3319.2058300000008</v>
      </c>
      <c r="H115" s="168">
        <v>0.11167323099312765</v>
      </c>
    </row>
    <row r="116" spans="1:8" ht="24" customHeight="1" x14ac:dyDescent="0.25">
      <c r="A116" s="93" t="s">
        <v>109</v>
      </c>
      <c r="B116" s="13" t="s">
        <v>248</v>
      </c>
      <c r="C116" s="133">
        <v>31348.011349999997</v>
      </c>
      <c r="D116" s="133">
        <v>33334.164539999998</v>
      </c>
      <c r="E116" s="157">
        <v>6.3358187791392462E-2</v>
      </c>
      <c r="F116" s="133">
        <v>2825.4313799999995</v>
      </c>
      <c r="G116" s="133">
        <v>2767.6234199999999</v>
      </c>
      <c r="H116" s="168">
        <v>-2.0459870449941575E-2</v>
      </c>
    </row>
    <row r="117" spans="1:8" ht="11.1" customHeight="1" x14ac:dyDescent="0.25">
      <c r="A117" s="93" t="s">
        <v>195</v>
      </c>
      <c r="B117" s="13" t="s">
        <v>246</v>
      </c>
      <c r="C117" s="133">
        <v>26948.052200000002</v>
      </c>
      <c r="D117" s="133">
        <v>32019.910779999998</v>
      </c>
      <c r="E117" s="157">
        <v>0.18820872626927732</v>
      </c>
      <c r="F117" s="133">
        <v>3421.5425700000001</v>
      </c>
      <c r="G117" s="133">
        <v>6366.8365099999983</v>
      </c>
      <c r="H117" s="168">
        <v>0.86080879595778281</v>
      </c>
    </row>
    <row r="118" spans="1:8" ht="11.1" customHeight="1" x14ac:dyDescent="0.25">
      <c r="A118" s="93" t="s">
        <v>66</v>
      </c>
      <c r="B118" s="13" t="s">
        <v>240</v>
      </c>
      <c r="C118" s="133">
        <v>28348.706000000006</v>
      </c>
      <c r="D118" s="133">
        <v>31610.797200000001</v>
      </c>
      <c r="E118" s="157">
        <v>0.11507019756033987</v>
      </c>
      <c r="F118" s="133">
        <v>1906.4268</v>
      </c>
      <c r="G118" s="133">
        <v>7320.372980000001</v>
      </c>
      <c r="H118" s="168">
        <v>2.83983952596554</v>
      </c>
    </row>
    <row r="119" spans="1:8" ht="11.1" customHeight="1" x14ac:dyDescent="0.25">
      <c r="A119" s="116"/>
      <c r="B119" s="116" t="s">
        <v>18</v>
      </c>
      <c r="C119" s="134">
        <v>1298919.4912500004</v>
      </c>
      <c r="D119" s="134">
        <v>1561594.0529600007</v>
      </c>
      <c r="E119" s="161">
        <v>0.20222543697240103</v>
      </c>
      <c r="F119" s="134">
        <v>157769.5463999997</v>
      </c>
      <c r="G119" s="134">
        <v>204147.02887000021</v>
      </c>
      <c r="H119" s="169">
        <v>0.29395712625310932</v>
      </c>
    </row>
    <row r="120" spans="1:8" ht="8.1" customHeight="1" x14ac:dyDescent="0.25">
      <c r="A120" s="8" t="s">
        <v>44</v>
      </c>
      <c r="B120" s="37"/>
      <c r="C120" s="37"/>
      <c r="D120" s="37"/>
      <c r="E120" s="37"/>
    </row>
    <row r="121" spans="1:8" s="128" customFormat="1" ht="8.4499999999999993" customHeight="1" x14ac:dyDescent="0.25">
      <c r="A121" s="221" t="s">
        <v>20</v>
      </c>
      <c r="B121" s="222"/>
      <c r="C121" s="222"/>
      <c r="D121" s="222"/>
      <c r="E121" s="222"/>
    </row>
    <row r="122" spans="1:8" s="128" customFormat="1" ht="8.4499999999999993" customHeight="1" x14ac:dyDescent="0.25">
      <c r="A122" s="223" t="s">
        <v>348</v>
      </c>
      <c r="B122" s="222"/>
      <c r="C122" s="222"/>
      <c r="D122" s="222"/>
      <c r="E122" s="222"/>
    </row>
    <row r="123" spans="1:8" s="128" customFormat="1" ht="8.4499999999999993" customHeight="1" x14ac:dyDescent="0.25">
      <c r="A123" s="224" t="s">
        <v>349</v>
      </c>
    </row>
  </sheetData>
  <mergeCells count="11">
    <mergeCell ref="A2:B2"/>
    <mergeCell ref="A4:A5"/>
    <mergeCell ref="B4:B5"/>
    <mergeCell ref="A63:B63"/>
    <mergeCell ref="A67:B67"/>
    <mergeCell ref="F4:G4"/>
    <mergeCell ref="F65:G65"/>
    <mergeCell ref="A65:A66"/>
    <mergeCell ref="B65:B66"/>
    <mergeCell ref="C4:D4"/>
    <mergeCell ref="C65:D65"/>
  </mergeCells>
  <phoneticPr fontId="11" type="noConversion"/>
  <conditionalFormatting sqref="C7:H57">
    <cfRule type="containsBlanks" dxfId="72" priority="2">
      <formula>LEN(TRIM(C7))=0</formula>
    </cfRule>
  </conditionalFormatting>
  <conditionalFormatting sqref="C69:H119">
    <cfRule type="containsBlanks" dxfId="71" priority="1">
      <formula>LEN(TRIM(C69))=0</formula>
    </cfRule>
  </conditionalFormatting>
  <pageMargins left="0.75" right="0.75" top="1" bottom="1" header="0" footer="0"/>
  <pageSetup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>
    <tabColor rgb="FFD9EFFF"/>
  </sheetPr>
  <dimension ref="A1:J62"/>
  <sheetViews>
    <sheetView showGridLines="0" zoomScaleNormal="100" zoomScalePageLayoutView="120" workbookViewId="0">
      <selection sqref="A1:G62"/>
    </sheetView>
  </sheetViews>
  <sheetFormatPr baseColWidth="10" defaultColWidth="11.42578125" defaultRowHeight="13.5" x14ac:dyDescent="0.2"/>
  <cols>
    <col min="1" max="1" width="8.85546875" style="15" customWidth="1"/>
    <col min="2" max="2" width="48.85546875" style="15" customWidth="1"/>
    <col min="3" max="7" width="6.85546875" style="15" customWidth="1"/>
    <col min="8" max="16384" width="11.42578125" style="15"/>
  </cols>
  <sheetData>
    <row r="1" spans="1:10" ht="15" customHeight="1" x14ac:dyDescent="0.25">
      <c r="A1" s="82" t="s">
        <v>375</v>
      </c>
      <c r="B1" s="82"/>
      <c r="C1" s="82"/>
      <c r="D1" s="82"/>
      <c r="E1" s="82"/>
      <c r="F1" s="82"/>
      <c r="G1" s="82"/>
    </row>
    <row r="2" spans="1:10" ht="11.25" customHeight="1" x14ac:dyDescent="0.25">
      <c r="A2" s="282" t="s">
        <v>309</v>
      </c>
      <c r="B2" s="282"/>
      <c r="C2" s="282"/>
      <c r="D2" s="282"/>
      <c r="E2" s="282"/>
      <c r="F2" s="82"/>
      <c r="G2" s="82"/>
    </row>
    <row r="3" spans="1:10" ht="5.0999999999999996" customHeight="1" x14ac:dyDescent="0.25">
      <c r="A3" s="46"/>
    </row>
    <row r="4" spans="1:10" s="38" customFormat="1" ht="15" customHeight="1" x14ac:dyDescent="0.25">
      <c r="A4" s="280" t="s">
        <v>31</v>
      </c>
      <c r="B4" s="280" t="s">
        <v>4</v>
      </c>
      <c r="C4" s="278" t="s">
        <v>355</v>
      </c>
      <c r="D4" s="279"/>
      <c r="E4" s="286" t="s">
        <v>327</v>
      </c>
      <c r="F4" s="199" t="s">
        <v>374</v>
      </c>
      <c r="G4" s="284" t="s">
        <v>373</v>
      </c>
    </row>
    <row r="5" spans="1:10" s="38" customFormat="1" ht="15" customHeight="1" x14ac:dyDescent="0.25">
      <c r="A5" s="281"/>
      <c r="B5" s="281"/>
      <c r="C5" s="176">
        <v>2024</v>
      </c>
      <c r="D5" s="177" t="s">
        <v>315</v>
      </c>
      <c r="E5" s="287"/>
      <c r="F5" s="200">
        <v>2024</v>
      </c>
      <c r="G5" s="285"/>
    </row>
    <row r="6" spans="1:10" s="38" customFormat="1" ht="14.1" customHeight="1" x14ac:dyDescent="0.25">
      <c r="A6" s="283" t="s">
        <v>45</v>
      </c>
      <c r="B6" s="283"/>
      <c r="C6" s="180">
        <f>SUM(C8:C58)</f>
        <v>9669857.0861099958</v>
      </c>
      <c r="D6" s="180">
        <f>SUM(D8:D58)</f>
        <v>11569136.771909995</v>
      </c>
      <c r="E6" s="181">
        <f>(D6/C6-1)</f>
        <v>0.19641238426658525</v>
      </c>
      <c r="F6" s="181">
        <f>SUM(F7:F58)</f>
        <v>0.99999999999999978</v>
      </c>
      <c r="G6" s="201">
        <f>SUM(G7:G58)</f>
        <v>19.641238426658575</v>
      </c>
    </row>
    <row r="7" spans="1:10" ht="3.95" customHeight="1" x14ac:dyDescent="0.25">
      <c r="A7" s="41"/>
      <c r="B7" s="41"/>
      <c r="C7" s="103"/>
      <c r="D7" s="103"/>
      <c r="E7" s="103"/>
      <c r="F7" s="103"/>
      <c r="G7" s="156"/>
      <c r="J7" s="38"/>
    </row>
    <row r="8" spans="1:10" ht="11.1" customHeight="1" x14ac:dyDescent="0.25">
      <c r="A8" s="94" t="s">
        <v>68</v>
      </c>
      <c r="B8" s="13" t="s">
        <v>229</v>
      </c>
      <c r="C8" s="133">
        <v>1615379.5938399965</v>
      </c>
      <c r="D8" s="133">
        <v>1805585.475910001</v>
      </c>
      <c r="E8" s="157">
        <f>IFERROR(((D8/C8-1)),"")</f>
        <v>0.11774686444927585</v>
      </c>
      <c r="F8" s="158">
        <f>C8/$C$6</f>
        <v>0.16705309907427326</v>
      </c>
      <c r="G8" s="159">
        <f>F8*E8*100</f>
        <v>1.9669978612529904</v>
      </c>
      <c r="J8" s="38"/>
    </row>
    <row r="9" spans="1:10" ht="11.1" customHeight="1" x14ac:dyDescent="0.25">
      <c r="A9" s="94" t="s">
        <v>63</v>
      </c>
      <c r="B9" s="13" t="s">
        <v>228</v>
      </c>
      <c r="C9" s="133">
        <v>1237699.1469499993</v>
      </c>
      <c r="D9" s="133">
        <v>1352760.3161599964</v>
      </c>
      <c r="E9" s="157">
        <f t="shared" ref="E9:E58" si="0">IFERROR(((D9/C9-1)),"")</f>
        <v>9.2963762230536151E-2</v>
      </c>
      <c r="F9" s="158">
        <f t="shared" ref="F9:F58" si="1">C9/$C$6</f>
        <v>0.12799559868654714</v>
      </c>
      <c r="G9" s="159">
        <f t="shared" ref="G9:G58" si="2">F9*E9*100</f>
        <v>1.1898952402851293</v>
      </c>
      <c r="J9" s="38"/>
    </row>
    <row r="10" spans="1:10" ht="11.1" customHeight="1" x14ac:dyDescent="0.25">
      <c r="A10" s="94" t="s">
        <v>9</v>
      </c>
      <c r="B10" s="13" t="s">
        <v>291</v>
      </c>
      <c r="C10" s="133">
        <v>917574.71141999867</v>
      </c>
      <c r="D10" s="133">
        <v>1317946.38598</v>
      </c>
      <c r="E10" s="157">
        <f t="shared" si="0"/>
        <v>0.43633686671726557</v>
      </c>
      <c r="F10" s="158">
        <f t="shared" si="1"/>
        <v>9.4890203986367494E-2</v>
      </c>
      <c r="G10" s="159">
        <f t="shared" si="2"/>
        <v>4.1404094289573781</v>
      </c>
      <c r="J10" s="38"/>
    </row>
    <row r="11" spans="1:10" ht="11.1" customHeight="1" x14ac:dyDescent="0.25">
      <c r="A11" s="94" t="s">
        <v>10</v>
      </c>
      <c r="B11" s="13" t="s">
        <v>203</v>
      </c>
      <c r="C11" s="133">
        <v>689656.49501999957</v>
      </c>
      <c r="D11" s="133">
        <v>863999.1890899979</v>
      </c>
      <c r="E11" s="157">
        <f t="shared" si="0"/>
        <v>0.2527964215938292</v>
      </c>
      <c r="F11" s="158">
        <f t="shared" si="1"/>
        <v>7.13202365741928E-2</v>
      </c>
      <c r="G11" s="159">
        <f t="shared" si="2"/>
        <v>1.8029500593181278</v>
      </c>
      <c r="J11" s="38"/>
    </row>
    <row r="12" spans="1:10" ht="11.1" customHeight="1" x14ac:dyDescent="0.25">
      <c r="A12" s="94" t="s">
        <v>69</v>
      </c>
      <c r="B12" s="13" t="s">
        <v>317</v>
      </c>
      <c r="C12" s="133">
        <v>652663.10816999921</v>
      </c>
      <c r="D12" s="133">
        <v>844489.91815999954</v>
      </c>
      <c r="E12" s="157">
        <f t="shared" si="0"/>
        <v>0.29391397734715419</v>
      </c>
      <c r="F12" s="158">
        <f t="shared" si="1"/>
        <v>6.7494597113280971E-2</v>
      </c>
      <c r="G12" s="159">
        <f t="shared" si="2"/>
        <v>1.9837605487008161</v>
      </c>
      <c r="J12" s="38"/>
    </row>
    <row r="13" spans="1:10" ht="11.1" customHeight="1" x14ac:dyDescent="0.25">
      <c r="A13" s="94" t="s">
        <v>12</v>
      </c>
      <c r="B13" s="13" t="s">
        <v>292</v>
      </c>
      <c r="C13" s="133">
        <v>304479.45983999973</v>
      </c>
      <c r="D13" s="133">
        <v>304954.10213000054</v>
      </c>
      <c r="E13" s="157">
        <f t="shared" si="0"/>
        <v>1.5588647268693911E-3</v>
      </c>
      <c r="F13" s="158">
        <f t="shared" si="1"/>
        <v>3.1487482920234781E-2</v>
      </c>
      <c r="G13" s="159">
        <f t="shared" si="2"/>
        <v>4.9084726462256412E-3</v>
      </c>
      <c r="J13" s="38"/>
    </row>
    <row r="14" spans="1:10" ht="11.1" customHeight="1" x14ac:dyDescent="0.2">
      <c r="A14" s="94" t="s">
        <v>67</v>
      </c>
      <c r="B14" s="13" t="s">
        <v>340</v>
      </c>
      <c r="C14" s="133">
        <v>251270.42545000033</v>
      </c>
      <c r="D14" s="133">
        <v>244469.91661000048</v>
      </c>
      <c r="E14" s="157">
        <f t="shared" si="0"/>
        <v>-2.7064501633333182E-2</v>
      </c>
      <c r="F14" s="158">
        <f t="shared" si="1"/>
        <v>2.5984916138102075E-2</v>
      </c>
      <c r="G14" s="159">
        <f t="shared" si="2"/>
        <v>-7.0326880526168936E-2</v>
      </c>
    </row>
    <row r="15" spans="1:10" ht="11.1" customHeight="1" x14ac:dyDescent="0.2">
      <c r="A15" s="94" t="s">
        <v>11</v>
      </c>
      <c r="B15" s="13" t="s">
        <v>204</v>
      </c>
      <c r="C15" s="133">
        <v>198195.85169000024</v>
      </c>
      <c r="D15" s="133">
        <v>239677.28384000025</v>
      </c>
      <c r="E15" s="157">
        <f t="shared" si="0"/>
        <v>0.2092951582805147</v>
      </c>
      <c r="F15" s="158">
        <f t="shared" si="1"/>
        <v>2.0496254487017529E-2</v>
      </c>
      <c r="G15" s="159">
        <f t="shared" si="2"/>
        <v>0.42897668270180428</v>
      </c>
    </row>
    <row r="16" spans="1:10" ht="11.1" customHeight="1" x14ac:dyDescent="0.2">
      <c r="A16" s="94" t="s">
        <v>35</v>
      </c>
      <c r="B16" s="13" t="s">
        <v>278</v>
      </c>
      <c r="C16" s="133">
        <v>186585.59068999995</v>
      </c>
      <c r="D16" s="133">
        <v>176909.05710000003</v>
      </c>
      <c r="E16" s="157">
        <f t="shared" si="0"/>
        <v>-5.1861097924098876E-2</v>
      </c>
      <c r="F16" s="158">
        <f t="shared" si="1"/>
        <v>1.9295589275876244E-2</v>
      </c>
      <c r="G16" s="159">
        <f t="shared" si="2"/>
        <v>-0.100069044493941</v>
      </c>
    </row>
    <row r="17" spans="1:7" ht="11.1" customHeight="1" x14ac:dyDescent="0.2">
      <c r="A17" s="94" t="s">
        <v>91</v>
      </c>
      <c r="B17" s="13" t="s">
        <v>238</v>
      </c>
      <c r="C17" s="133">
        <v>92841.661549999961</v>
      </c>
      <c r="D17" s="133">
        <v>157843.7543399999</v>
      </c>
      <c r="E17" s="157">
        <f t="shared" si="0"/>
        <v>0.70013926619562916</v>
      </c>
      <c r="F17" s="158">
        <f t="shared" si="1"/>
        <v>9.6011410223797253E-3</v>
      </c>
      <c r="G17" s="159">
        <f t="shared" si="2"/>
        <v>0.67221358300496936</v>
      </c>
    </row>
    <row r="18" spans="1:7" ht="11.1" customHeight="1" x14ac:dyDescent="0.2">
      <c r="A18" s="94" t="s">
        <v>61</v>
      </c>
      <c r="B18" s="13" t="s">
        <v>231</v>
      </c>
      <c r="C18" s="133">
        <v>57906.236719999964</v>
      </c>
      <c r="D18" s="133">
        <v>148447.77687999984</v>
      </c>
      <c r="E18" s="157">
        <f t="shared" si="0"/>
        <v>1.5635887477510373</v>
      </c>
      <c r="F18" s="158">
        <f t="shared" si="1"/>
        <v>5.9883239436059306E-3</v>
      </c>
      <c r="G18" s="159">
        <f t="shared" si="2"/>
        <v>0.93632759361103501</v>
      </c>
    </row>
    <row r="19" spans="1:7" ht="24" customHeight="1" x14ac:dyDescent="0.2">
      <c r="A19" s="94" t="s">
        <v>100</v>
      </c>
      <c r="B19" s="13" t="s">
        <v>245</v>
      </c>
      <c r="C19" s="133">
        <v>74496.630450000026</v>
      </c>
      <c r="D19" s="133">
        <v>140733.83261999997</v>
      </c>
      <c r="E19" s="157">
        <f t="shared" si="0"/>
        <v>0.88913017635685465</v>
      </c>
      <c r="F19" s="158">
        <f t="shared" si="1"/>
        <v>7.7040053215479982E-3</v>
      </c>
      <c r="G19" s="159">
        <f t="shared" si="2"/>
        <v>0.68498636102021182</v>
      </c>
    </row>
    <row r="20" spans="1:7" ht="11.1" customHeight="1" x14ac:dyDescent="0.2">
      <c r="A20" s="94" t="s">
        <v>106</v>
      </c>
      <c r="B20" s="13" t="s">
        <v>321</v>
      </c>
      <c r="C20" s="133">
        <v>62290.395149999982</v>
      </c>
      <c r="D20" s="133">
        <v>134279.55052999995</v>
      </c>
      <c r="E20" s="157">
        <f t="shared" si="0"/>
        <v>1.1557023391269978</v>
      </c>
      <c r="F20" s="158">
        <f t="shared" si="1"/>
        <v>6.4417079379048255E-3</v>
      </c>
      <c r="G20" s="159">
        <f t="shared" si="2"/>
        <v>0.74446969318095568</v>
      </c>
    </row>
    <row r="21" spans="1:7" ht="11.1" customHeight="1" x14ac:dyDescent="0.2">
      <c r="A21" s="94" t="s">
        <v>64</v>
      </c>
      <c r="B21" s="13" t="s">
        <v>318</v>
      </c>
      <c r="C21" s="133">
        <v>106862.27482000006</v>
      </c>
      <c r="D21" s="133">
        <v>121940.87703999989</v>
      </c>
      <c r="E21" s="157">
        <f t="shared" si="0"/>
        <v>0.14110313714917999</v>
      </c>
      <c r="F21" s="158">
        <f t="shared" si="1"/>
        <v>1.1051070751965868E-2</v>
      </c>
      <c r="G21" s="159">
        <f t="shared" si="2"/>
        <v>0.15593407519599317</v>
      </c>
    </row>
    <row r="22" spans="1:7" ht="11.1" customHeight="1" x14ac:dyDescent="0.2">
      <c r="A22" s="94" t="s">
        <v>88</v>
      </c>
      <c r="B22" s="13" t="s">
        <v>230</v>
      </c>
      <c r="C22" s="133">
        <v>83784.203010000056</v>
      </c>
      <c r="D22" s="133">
        <v>113849.79906000012</v>
      </c>
      <c r="E22" s="157">
        <f t="shared" si="0"/>
        <v>0.35884564118144779</v>
      </c>
      <c r="F22" s="158">
        <f t="shared" si="1"/>
        <v>8.6644716942455759E-3</v>
      </c>
      <c r="G22" s="159">
        <f t="shared" si="2"/>
        <v>0.3109207900620059</v>
      </c>
    </row>
    <row r="23" spans="1:7" ht="11.1" customHeight="1" x14ac:dyDescent="0.2">
      <c r="A23" s="94" t="s">
        <v>13</v>
      </c>
      <c r="B23" s="13" t="s">
        <v>319</v>
      </c>
      <c r="C23" s="133">
        <v>97027.539879999851</v>
      </c>
      <c r="D23" s="133">
        <v>95748.09568000013</v>
      </c>
      <c r="E23" s="157">
        <f t="shared" si="0"/>
        <v>-1.3186402557274879E-2</v>
      </c>
      <c r="F23" s="158">
        <f t="shared" si="1"/>
        <v>1.0034020049724668E-2</v>
      </c>
      <c r="G23" s="159">
        <f t="shared" si="2"/>
        <v>-1.3231262764343677E-2</v>
      </c>
    </row>
    <row r="24" spans="1:7" ht="11.1" customHeight="1" x14ac:dyDescent="0.2">
      <c r="A24" s="94" t="s">
        <v>92</v>
      </c>
      <c r="B24" s="13" t="s">
        <v>234</v>
      </c>
      <c r="C24" s="133">
        <v>77571.767389999979</v>
      </c>
      <c r="D24" s="133">
        <v>93965.229810000063</v>
      </c>
      <c r="E24" s="157">
        <f t="shared" si="0"/>
        <v>0.21133284662163598</v>
      </c>
      <c r="F24" s="158">
        <f t="shared" si="1"/>
        <v>8.0220179780553166E-3</v>
      </c>
      <c r="G24" s="159">
        <f t="shared" si="2"/>
        <v>0.16953158949523706</v>
      </c>
    </row>
    <row r="25" spans="1:7" ht="11.1" customHeight="1" x14ac:dyDescent="0.2">
      <c r="A25" s="94" t="s">
        <v>98</v>
      </c>
      <c r="B25" s="13" t="s">
        <v>233</v>
      </c>
      <c r="C25" s="133">
        <v>92400.564930000008</v>
      </c>
      <c r="D25" s="133">
        <v>93641.394490000137</v>
      </c>
      <c r="E25" s="157">
        <f t="shared" si="0"/>
        <v>1.3428809238776207E-2</v>
      </c>
      <c r="F25" s="158">
        <f t="shared" si="1"/>
        <v>9.5555253926892358E-3</v>
      </c>
      <c r="G25" s="159">
        <f t="shared" si="2"/>
        <v>1.2831932767470586E-2</v>
      </c>
    </row>
    <row r="26" spans="1:7" ht="11.1" customHeight="1" x14ac:dyDescent="0.2">
      <c r="A26" s="94" t="s">
        <v>90</v>
      </c>
      <c r="B26" s="13" t="s">
        <v>232</v>
      </c>
      <c r="C26" s="133">
        <v>114660.79656999995</v>
      </c>
      <c r="D26" s="133">
        <v>90678.904159999976</v>
      </c>
      <c r="E26" s="157">
        <f t="shared" si="0"/>
        <v>-0.20915511776825246</v>
      </c>
      <c r="F26" s="158">
        <f t="shared" si="1"/>
        <v>1.1857548208721858E-2</v>
      </c>
      <c r="G26" s="159">
        <f t="shared" si="2"/>
        <v>-0.24800668920379512</v>
      </c>
    </row>
    <row r="27" spans="1:7" ht="11.1" customHeight="1" x14ac:dyDescent="0.2">
      <c r="A27" s="94" t="s">
        <v>101</v>
      </c>
      <c r="B27" s="13" t="s">
        <v>206</v>
      </c>
      <c r="C27" s="133">
        <v>97275.083230000047</v>
      </c>
      <c r="D27" s="133">
        <v>88519.205569999962</v>
      </c>
      <c r="E27" s="157">
        <f t="shared" si="0"/>
        <v>-9.0011515480253435E-2</v>
      </c>
      <c r="F27" s="158">
        <f t="shared" si="1"/>
        <v>1.005961953354287E-2</v>
      </c>
      <c r="G27" s="159">
        <f t="shared" si="2"/>
        <v>-9.0548159936895384E-2</v>
      </c>
    </row>
    <row r="28" spans="1:7" ht="11.1" customHeight="1" x14ac:dyDescent="0.2">
      <c r="A28" s="94" t="s">
        <v>111</v>
      </c>
      <c r="B28" s="13" t="s">
        <v>247</v>
      </c>
      <c r="C28" s="133">
        <v>49176.916829999987</v>
      </c>
      <c r="D28" s="133">
        <v>88211.550029999955</v>
      </c>
      <c r="E28" s="157">
        <f t="shared" si="0"/>
        <v>0.79375926178818923</v>
      </c>
      <c r="F28" s="158">
        <f t="shared" si="1"/>
        <v>5.0855887933068666E-3</v>
      </c>
      <c r="G28" s="159">
        <f t="shared" si="2"/>
        <v>0.40367332063335465</v>
      </c>
    </row>
    <row r="29" spans="1:7" ht="11.1" customHeight="1" x14ac:dyDescent="0.2">
      <c r="A29" s="94" t="s">
        <v>93</v>
      </c>
      <c r="B29" s="13" t="s">
        <v>236</v>
      </c>
      <c r="C29" s="133">
        <v>75786.976640000023</v>
      </c>
      <c r="D29" s="133">
        <v>81006.190049999961</v>
      </c>
      <c r="E29" s="157">
        <f t="shared" si="0"/>
        <v>6.8866890347031751E-2</v>
      </c>
      <c r="F29" s="158">
        <f t="shared" si="1"/>
        <v>7.8374453691629192E-3</v>
      </c>
      <c r="G29" s="159">
        <f t="shared" si="2"/>
        <v>5.3974049083899446E-2</v>
      </c>
    </row>
    <row r="30" spans="1:7" ht="11.1" customHeight="1" x14ac:dyDescent="0.2">
      <c r="A30" s="94" t="s">
        <v>103</v>
      </c>
      <c r="B30" s="13" t="s">
        <v>209</v>
      </c>
      <c r="C30" s="133">
        <v>47339.351219999997</v>
      </c>
      <c r="D30" s="133">
        <v>76889.576740000004</v>
      </c>
      <c r="E30" s="157">
        <f t="shared" si="0"/>
        <v>0.62422117664163479</v>
      </c>
      <c r="F30" s="158">
        <f t="shared" si="1"/>
        <v>4.8955585174055285E-3</v>
      </c>
      <c r="G30" s="159">
        <f t="shared" si="2"/>
        <v>0.30559112980528558</v>
      </c>
    </row>
    <row r="31" spans="1:7" ht="11.1" customHeight="1" x14ac:dyDescent="0.2">
      <c r="A31" s="94" t="s">
        <v>225</v>
      </c>
      <c r="B31" s="13" t="s">
        <v>244</v>
      </c>
      <c r="C31" s="133">
        <v>51862.477519999971</v>
      </c>
      <c r="D31" s="133">
        <v>74810.374150000047</v>
      </c>
      <c r="E31" s="157">
        <f t="shared" si="0"/>
        <v>0.4424759041091042</v>
      </c>
      <c r="F31" s="158">
        <f t="shared" si="1"/>
        <v>5.3633137551222371E-3</v>
      </c>
      <c r="G31" s="159">
        <f t="shared" si="2"/>
        <v>0.23731371028185066</v>
      </c>
    </row>
    <row r="32" spans="1:7" ht="11.1" customHeight="1" x14ac:dyDescent="0.2">
      <c r="A32" s="94" t="s">
        <v>95</v>
      </c>
      <c r="B32" s="13" t="s">
        <v>205</v>
      </c>
      <c r="C32" s="133">
        <v>81108.941119999945</v>
      </c>
      <c r="D32" s="133">
        <v>69821.594020000048</v>
      </c>
      <c r="E32" s="157">
        <f t="shared" si="0"/>
        <v>-0.13916279690176658</v>
      </c>
      <c r="F32" s="158">
        <f t="shared" si="1"/>
        <v>8.3878117740237013E-3</v>
      </c>
      <c r="G32" s="159">
        <f t="shared" si="2"/>
        <v>-0.11672713463587069</v>
      </c>
    </row>
    <row r="33" spans="1:7" ht="24" customHeight="1" x14ac:dyDescent="0.2">
      <c r="A33" s="94" t="s">
        <v>96</v>
      </c>
      <c r="B33" s="13" t="s">
        <v>235</v>
      </c>
      <c r="C33" s="133">
        <v>59896.84715999999</v>
      </c>
      <c r="D33" s="133">
        <v>69819.568749999991</v>
      </c>
      <c r="E33" s="157">
        <f t="shared" si="0"/>
        <v>0.16566350418234599</v>
      </c>
      <c r="F33" s="158">
        <f t="shared" si="1"/>
        <v>6.194181219703567E-3</v>
      </c>
      <c r="G33" s="159">
        <f t="shared" si="2"/>
        <v>0.10261497663965709</v>
      </c>
    </row>
    <row r="34" spans="1:7" ht="11.1" customHeight="1" x14ac:dyDescent="0.2">
      <c r="A34" s="94" t="s">
        <v>114</v>
      </c>
      <c r="B34" s="13" t="s">
        <v>254</v>
      </c>
      <c r="C34" s="133">
        <v>58793.012309999984</v>
      </c>
      <c r="D34" s="133">
        <v>63223.057579999993</v>
      </c>
      <c r="E34" s="157">
        <f t="shared" si="0"/>
        <v>7.5349860399082091E-2</v>
      </c>
      <c r="F34" s="158">
        <f t="shared" si="1"/>
        <v>6.0800290827929208E-3</v>
      </c>
      <c r="G34" s="159">
        <f t="shared" si="2"/>
        <v>4.5812934261080573E-2</v>
      </c>
    </row>
    <row r="35" spans="1:7" ht="24" customHeight="1" x14ac:dyDescent="0.2">
      <c r="A35" s="94" t="s">
        <v>169</v>
      </c>
      <c r="B35" s="13" t="s">
        <v>237</v>
      </c>
      <c r="C35" s="133">
        <v>44609.702639999989</v>
      </c>
      <c r="D35" s="133">
        <v>62849.82284999999</v>
      </c>
      <c r="E35" s="157">
        <f t="shared" si="0"/>
        <v>0.40888235362601844</v>
      </c>
      <c r="F35" s="158">
        <f t="shared" si="1"/>
        <v>4.6132742441538652E-3</v>
      </c>
      <c r="G35" s="159">
        <f t="shared" si="2"/>
        <v>0.18862864308719238</v>
      </c>
    </row>
    <row r="36" spans="1:7" ht="24" customHeight="1" x14ac:dyDescent="0.2">
      <c r="A36" s="94" t="s">
        <v>99</v>
      </c>
      <c r="B36" s="13" t="s">
        <v>242</v>
      </c>
      <c r="C36" s="133">
        <v>46122.633129999995</v>
      </c>
      <c r="D36" s="133">
        <v>60415.535829999957</v>
      </c>
      <c r="E36" s="157">
        <f t="shared" si="0"/>
        <v>0.30988913099810178</v>
      </c>
      <c r="F36" s="158">
        <f t="shared" si="1"/>
        <v>4.7697326567785166E-3</v>
      </c>
      <c r="G36" s="159">
        <f t="shared" si="2"/>
        <v>0.14780883081023619</v>
      </c>
    </row>
    <row r="37" spans="1:7" ht="11.1" customHeight="1" x14ac:dyDescent="0.2">
      <c r="A37" s="94" t="s">
        <v>115</v>
      </c>
      <c r="B37" s="13" t="s">
        <v>213</v>
      </c>
      <c r="C37" s="133">
        <v>45316.058509999988</v>
      </c>
      <c r="D37" s="133">
        <v>58233.277519999967</v>
      </c>
      <c r="E37" s="157">
        <f t="shared" si="0"/>
        <v>0.28504727539685537</v>
      </c>
      <c r="F37" s="158">
        <f t="shared" si="1"/>
        <v>4.6863214323087576E-3</v>
      </c>
      <c r="G37" s="159">
        <f>F37*E37*100</f>
        <v>0.13358231559135</v>
      </c>
    </row>
    <row r="38" spans="1:7" ht="11.1" customHeight="1" x14ac:dyDescent="0.2">
      <c r="A38" s="94" t="s">
        <v>105</v>
      </c>
      <c r="B38" s="13" t="s">
        <v>210</v>
      </c>
      <c r="C38" s="133">
        <v>36938.720350000047</v>
      </c>
      <c r="D38" s="133">
        <v>58064.504820000046</v>
      </c>
      <c r="E38" s="157">
        <f t="shared" si="0"/>
        <v>0.57191435625895926</v>
      </c>
      <c r="F38" s="158">
        <f t="shared" si="1"/>
        <v>3.8199861715701748E-3</v>
      </c>
      <c r="G38" s="159">
        <f t="shared" si="2"/>
        <v>0.21847049322316828</v>
      </c>
    </row>
    <row r="39" spans="1:7" ht="11.1" customHeight="1" x14ac:dyDescent="0.2">
      <c r="A39" s="94" t="s">
        <v>89</v>
      </c>
      <c r="B39" s="13" t="s">
        <v>320</v>
      </c>
      <c r="C39" s="133">
        <v>43501.470559999965</v>
      </c>
      <c r="D39" s="133">
        <v>56507.520629999977</v>
      </c>
      <c r="E39" s="157">
        <f t="shared" si="0"/>
        <v>0.29897954948583294</v>
      </c>
      <c r="F39" s="158">
        <f t="shared" si="1"/>
        <v>4.4986673714636875E-3</v>
      </c>
      <c r="G39" s="159">
        <f t="shared" si="2"/>
        <v>0.13450095440068294</v>
      </c>
    </row>
    <row r="40" spans="1:7" ht="11.1" customHeight="1" x14ac:dyDescent="0.2">
      <c r="A40" s="94" t="s">
        <v>200</v>
      </c>
      <c r="B40" s="13" t="s">
        <v>279</v>
      </c>
      <c r="C40" s="133">
        <v>103443.31049</v>
      </c>
      <c r="D40" s="133">
        <v>54390.62466999999</v>
      </c>
      <c r="E40" s="157">
        <f t="shared" si="0"/>
        <v>-0.47419872379995032</v>
      </c>
      <c r="F40" s="158">
        <f t="shared" si="1"/>
        <v>1.0697501479994813E-2</v>
      </c>
      <c r="G40" s="159">
        <f t="shared" si="2"/>
        <v>-0.50727415496616202</v>
      </c>
    </row>
    <row r="41" spans="1:7" ht="11.1" customHeight="1" x14ac:dyDescent="0.2">
      <c r="A41" s="94" t="s">
        <v>107</v>
      </c>
      <c r="B41" s="13" t="s">
        <v>207</v>
      </c>
      <c r="C41" s="133">
        <v>43381.011399999996</v>
      </c>
      <c r="D41" s="133">
        <v>54214.693200000016</v>
      </c>
      <c r="E41" s="157">
        <f t="shared" si="0"/>
        <v>0.24973326924323436</v>
      </c>
      <c r="F41" s="158">
        <f t="shared" si="1"/>
        <v>4.4862101904601537E-3</v>
      </c>
      <c r="G41" s="159">
        <f t="shared" si="2"/>
        <v>0.11203559373759273</v>
      </c>
    </row>
    <row r="42" spans="1:7" ht="11.1" customHeight="1" x14ac:dyDescent="0.2">
      <c r="A42" s="94" t="s">
        <v>118</v>
      </c>
      <c r="B42" s="13" t="s">
        <v>243</v>
      </c>
      <c r="C42" s="133">
        <v>56534.533160000021</v>
      </c>
      <c r="D42" s="133">
        <v>50828.872300000003</v>
      </c>
      <c r="E42" s="157">
        <f t="shared" si="0"/>
        <v>-0.10092346290102483</v>
      </c>
      <c r="F42" s="158">
        <f t="shared" si="1"/>
        <v>5.8464703931568459E-3</v>
      </c>
      <c r="G42" s="159">
        <f t="shared" si="2"/>
        <v>-5.9004603782570504E-2</v>
      </c>
    </row>
    <row r="43" spans="1:7" ht="11.1" customHeight="1" x14ac:dyDescent="0.2">
      <c r="A43" s="94" t="s">
        <v>116</v>
      </c>
      <c r="B43" s="13" t="s">
        <v>250</v>
      </c>
      <c r="C43" s="133">
        <v>34805.059789999999</v>
      </c>
      <c r="D43" s="133">
        <v>48150.698730000026</v>
      </c>
      <c r="E43" s="157">
        <f t="shared" si="0"/>
        <v>0.3834396211505553</v>
      </c>
      <c r="F43" s="158">
        <f t="shared" si="1"/>
        <v>3.5993354896624876E-3</v>
      </c>
      <c r="G43" s="159">
        <f t="shared" si="2"/>
        <v>0.13801278365499328</v>
      </c>
    </row>
    <row r="44" spans="1:7" ht="11.1" customHeight="1" x14ac:dyDescent="0.2">
      <c r="A44" s="94" t="s">
        <v>178</v>
      </c>
      <c r="B44" s="13" t="s">
        <v>255</v>
      </c>
      <c r="C44" s="133">
        <v>73521.276780000015</v>
      </c>
      <c r="D44" s="133">
        <v>47583.680340000014</v>
      </c>
      <c r="E44" s="216">
        <f t="shared" si="0"/>
        <v>-0.35279034282298816</v>
      </c>
      <c r="F44" s="158">
        <f t="shared" si="1"/>
        <v>7.6031399559780112E-3</v>
      </c>
      <c r="G44" s="159">
        <f t="shared" si="2"/>
        <v>-0.26823143516006415</v>
      </c>
    </row>
    <row r="45" spans="1:7" ht="11.1" customHeight="1" x14ac:dyDescent="0.2">
      <c r="A45" s="94" t="s">
        <v>94</v>
      </c>
      <c r="B45" s="13" t="s">
        <v>251</v>
      </c>
      <c r="C45" s="133">
        <v>34995.147729999997</v>
      </c>
      <c r="D45" s="133">
        <v>46338.85113000001</v>
      </c>
      <c r="E45" s="157">
        <f t="shared" si="0"/>
        <v>0.3241507504846306</v>
      </c>
      <c r="F45" s="158">
        <f t="shared" si="1"/>
        <v>3.6189932713967228E-3</v>
      </c>
      <c r="G45" s="159">
        <f t="shared" si="2"/>
        <v>0.11730993849220761</v>
      </c>
    </row>
    <row r="46" spans="1:7" ht="11.1" customHeight="1" x14ac:dyDescent="0.2">
      <c r="A46" s="94" t="s">
        <v>104</v>
      </c>
      <c r="B46" s="13" t="s">
        <v>280</v>
      </c>
      <c r="C46" s="133">
        <v>33005.652920000008</v>
      </c>
      <c r="D46" s="133">
        <v>45465.452550000024</v>
      </c>
      <c r="E46" s="157">
        <f t="shared" si="0"/>
        <v>0.37750501891904431</v>
      </c>
      <c r="F46" s="158">
        <f t="shared" si="1"/>
        <v>3.4132513672213505E-3</v>
      </c>
      <c r="G46" s="159">
        <f t="shared" si="2"/>
        <v>0.12885195219583498</v>
      </c>
    </row>
    <row r="47" spans="1:7" ht="11.1" customHeight="1" x14ac:dyDescent="0.2">
      <c r="A47" s="94" t="s">
        <v>175</v>
      </c>
      <c r="B47" s="13" t="s">
        <v>239</v>
      </c>
      <c r="C47" s="133">
        <v>26744.92497</v>
      </c>
      <c r="D47" s="133">
        <v>44464.795159999987</v>
      </c>
      <c r="E47" s="157">
        <f t="shared" si="0"/>
        <v>0.66255075345608594</v>
      </c>
      <c r="F47" s="158">
        <f t="shared" si="1"/>
        <v>2.7658035410282355E-3</v>
      </c>
      <c r="G47" s="159">
        <f t="shared" si="2"/>
        <v>0.18324852200197678</v>
      </c>
    </row>
    <row r="48" spans="1:7" ht="11.1" customHeight="1" x14ac:dyDescent="0.2">
      <c r="A48" s="94" t="s">
        <v>102</v>
      </c>
      <c r="B48" s="13" t="s">
        <v>208</v>
      </c>
      <c r="C48" s="133">
        <v>40825.980510000001</v>
      </c>
      <c r="D48" s="133">
        <v>41106.614619999986</v>
      </c>
      <c r="E48" s="157">
        <f t="shared" si="0"/>
        <v>6.8739098606889204E-3</v>
      </c>
      <c r="F48" s="158">
        <f t="shared" si="1"/>
        <v>4.2219838562705721E-3</v>
      </c>
      <c r="G48" s="159">
        <f t="shared" si="2"/>
        <v>2.9021536461287722E-3</v>
      </c>
    </row>
    <row r="49" spans="1:7" ht="11.1" customHeight="1" x14ac:dyDescent="0.2">
      <c r="A49" s="94" t="s">
        <v>110</v>
      </c>
      <c r="B49" s="13" t="s">
        <v>211</v>
      </c>
      <c r="C49" s="133">
        <v>47778.200550000016</v>
      </c>
      <c r="D49" s="133">
        <v>40262.397240000013</v>
      </c>
      <c r="E49" s="157">
        <f t="shared" si="0"/>
        <v>-0.15730611918158566</v>
      </c>
      <c r="F49" s="158">
        <f t="shared" si="1"/>
        <v>4.9409417455227667E-3</v>
      </c>
      <c r="G49" s="159">
        <f t="shared" si="2"/>
        <v>-7.7724037109047614E-2</v>
      </c>
    </row>
    <row r="50" spans="1:7" ht="11.1" customHeight="1" x14ac:dyDescent="0.2">
      <c r="A50" s="94" t="s">
        <v>97</v>
      </c>
      <c r="B50" s="13" t="s">
        <v>322</v>
      </c>
      <c r="C50" s="133">
        <v>32636.575019999986</v>
      </c>
      <c r="D50" s="133">
        <v>39386.521310000033</v>
      </c>
      <c r="E50" s="157">
        <f t="shared" si="0"/>
        <v>0.20682152725473246</v>
      </c>
      <c r="F50" s="158">
        <f t="shared" si="1"/>
        <v>3.3750834918625538E-3</v>
      </c>
      <c r="G50" s="159">
        <f t="shared" si="2"/>
        <v>6.9803992239924881E-2</v>
      </c>
    </row>
    <row r="51" spans="1:7" ht="11.1" customHeight="1" x14ac:dyDescent="0.2">
      <c r="A51" s="94" t="s">
        <v>199</v>
      </c>
      <c r="B51" s="13" t="s">
        <v>289</v>
      </c>
      <c r="C51" s="133">
        <v>422.09334999999999</v>
      </c>
      <c r="D51" s="133">
        <v>38698.398610000004</v>
      </c>
      <c r="E51" s="157">
        <f t="shared" si="0"/>
        <v>90.682085514969629</v>
      </c>
      <c r="F51" s="158">
        <f t="shared" si="1"/>
        <v>4.3650422776806548E-5</v>
      </c>
      <c r="G51" s="159">
        <f t="shared" si="2"/>
        <v>0.39583113710109491</v>
      </c>
    </row>
    <row r="52" spans="1:7" ht="11.1" customHeight="1" x14ac:dyDescent="0.2">
      <c r="A52" s="94" t="s">
        <v>112</v>
      </c>
      <c r="B52" s="13" t="s">
        <v>341</v>
      </c>
      <c r="C52" s="133">
        <v>42001.169210000022</v>
      </c>
      <c r="D52" s="133">
        <v>38594.005800000006</v>
      </c>
      <c r="E52" s="157">
        <f>IFERROR(((D52/C52-1)),"")</f>
        <v>-8.1120680068801687E-2</v>
      </c>
      <c r="F52" s="158">
        <f t="shared" si="1"/>
        <v>4.3435149905505285E-3</v>
      </c>
      <c r="G52" s="159">
        <f t="shared" si="2"/>
        <v>-3.5234888992249358E-2</v>
      </c>
    </row>
    <row r="53" spans="1:7" ht="11.1" customHeight="1" x14ac:dyDescent="0.2">
      <c r="A53" s="94" t="s">
        <v>177</v>
      </c>
      <c r="B53" s="13" t="s">
        <v>241</v>
      </c>
      <c r="C53" s="133">
        <v>32527.634509999978</v>
      </c>
      <c r="D53" s="133">
        <v>36183.041229999995</v>
      </c>
      <c r="E53" s="157">
        <f t="shared" si="0"/>
        <v>0.11237849831583158</v>
      </c>
      <c r="F53" s="158">
        <f t="shared" si="1"/>
        <v>3.3638175021969475E-3</v>
      </c>
      <c r="G53" s="159">
        <f t="shared" si="2"/>
        <v>3.7802075950540442E-2</v>
      </c>
    </row>
    <row r="54" spans="1:7" ht="33" customHeight="1" x14ac:dyDescent="0.2">
      <c r="A54" s="94" t="s">
        <v>108</v>
      </c>
      <c r="B54" s="13" t="s">
        <v>249</v>
      </c>
      <c r="C54" s="133">
        <v>30595.610160000026</v>
      </c>
      <c r="D54" s="133">
        <v>34616.561410000024</v>
      </c>
      <c r="E54" s="157">
        <f t="shared" si="0"/>
        <v>0.13142248933662048</v>
      </c>
      <c r="F54" s="158">
        <f t="shared" si="1"/>
        <v>3.1640188564884025E-3</v>
      </c>
      <c r="G54" s="159">
        <f t="shared" si="2"/>
        <v>4.1582323442771324E-2</v>
      </c>
    </row>
    <row r="55" spans="1:7" ht="24" customHeight="1" x14ac:dyDescent="0.2">
      <c r="A55" s="94" t="s">
        <v>109</v>
      </c>
      <c r="B55" s="13" t="s">
        <v>248</v>
      </c>
      <c r="C55" s="133">
        <v>31348.011349999993</v>
      </c>
      <c r="D55" s="133">
        <v>33334.164539999998</v>
      </c>
      <c r="E55" s="157">
        <f t="shared" si="0"/>
        <v>6.3358187791392462E-2</v>
      </c>
      <c r="F55" s="158">
        <f t="shared" si="1"/>
        <v>3.2418277820288571E-3</v>
      </c>
      <c r="G55" s="159">
        <f t="shared" si="2"/>
        <v>2.0539633340113765E-2</v>
      </c>
    </row>
    <row r="56" spans="1:7" ht="11.1" customHeight="1" x14ac:dyDescent="0.2">
      <c r="A56" s="94" t="s">
        <v>195</v>
      </c>
      <c r="B56" s="13" t="s">
        <v>246</v>
      </c>
      <c r="C56" s="133">
        <v>26948.052200000002</v>
      </c>
      <c r="D56" s="133">
        <v>32019.910780000009</v>
      </c>
      <c r="E56" s="157">
        <f t="shared" si="0"/>
        <v>0.18820872626927776</v>
      </c>
      <c r="F56" s="158">
        <f t="shared" si="1"/>
        <v>2.7868097697854089E-3</v>
      </c>
      <c r="G56" s="159">
        <f t="shared" si="2"/>
        <v>5.2450191712609104E-2</v>
      </c>
    </row>
    <row r="57" spans="1:7" ht="11.1" customHeight="1" x14ac:dyDescent="0.2">
      <c r="A57" s="94" t="s">
        <v>66</v>
      </c>
      <c r="B57" s="13" t="s">
        <v>240</v>
      </c>
      <c r="C57" s="133">
        <v>28348.705999999995</v>
      </c>
      <c r="D57" s="133">
        <v>31610.797199999997</v>
      </c>
      <c r="E57" s="157">
        <f t="shared" si="0"/>
        <v>0.11507019756034031</v>
      </c>
      <c r="F57" s="158">
        <f t="shared" si="1"/>
        <v>2.931657184543164E-3</v>
      </c>
      <c r="G57" s="159">
        <f t="shared" si="2"/>
        <v>3.373463714045729E-2</v>
      </c>
    </row>
    <row r="58" spans="1:7" ht="11.1" customHeight="1" x14ac:dyDescent="0.2">
      <c r="A58" s="120"/>
      <c r="B58" s="160" t="s">
        <v>18</v>
      </c>
      <c r="C58" s="134">
        <v>1298919.4912500004</v>
      </c>
      <c r="D58" s="134">
        <v>1561594.0529600007</v>
      </c>
      <c r="E58" s="161">
        <f t="shared" si="0"/>
        <v>0.20222543697240103</v>
      </c>
      <c r="F58" s="162">
        <f t="shared" si="1"/>
        <v>0.13432664823100623</v>
      </c>
      <c r="G58" s="163">
        <f t="shared" si="2"/>
        <v>2.7164265135553234</v>
      </c>
    </row>
    <row r="59" spans="1:7" ht="8.1" customHeight="1" x14ac:dyDescent="0.2">
      <c r="A59" s="8" t="s">
        <v>44</v>
      </c>
      <c r="B59" s="37"/>
      <c r="C59" s="21"/>
      <c r="D59" s="21"/>
      <c r="E59" s="21"/>
      <c r="F59" s="21"/>
      <c r="G59" s="21"/>
    </row>
    <row r="60" spans="1:7" ht="8.1" customHeight="1" x14ac:dyDescent="0.2">
      <c r="A60" s="11" t="s">
        <v>20</v>
      </c>
      <c r="B60" s="37"/>
      <c r="C60" s="21"/>
      <c r="D60" s="21"/>
      <c r="E60" s="21"/>
      <c r="F60" s="21"/>
      <c r="G60" s="21"/>
    </row>
    <row r="61" spans="1:7" ht="8.1" customHeight="1" x14ac:dyDescent="0.2">
      <c r="A61" s="214" t="s">
        <v>348</v>
      </c>
      <c r="B61" s="11"/>
      <c r="C61" s="11"/>
      <c r="D61" s="11"/>
      <c r="E61" s="11"/>
      <c r="F61" s="11"/>
      <c r="G61" s="11"/>
    </row>
    <row r="62" spans="1:7" ht="8.1" customHeight="1" x14ac:dyDescent="0.15">
      <c r="A62" s="215" t="s">
        <v>349</v>
      </c>
    </row>
  </sheetData>
  <mergeCells count="7">
    <mergeCell ref="G4:G5"/>
    <mergeCell ref="A6:B6"/>
    <mergeCell ref="A2:E2"/>
    <mergeCell ref="A4:A5"/>
    <mergeCell ref="B4:B5"/>
    <mergeCell ref="C4:D4"/>
    <mergeCell ref="E4:E5"/>
  </mergeCells>
  <phoneticPr fontId="3" type="noConversion"/>
  <conditionalFormatting sqref="C8:G58">
    <cfRule type="containsBlanks" dxfId="70" priority="1">
      <formula>LEN(TRIM(C8))=0</formula>
    </cfRule>
  </conditionalFormatting>
  <printOptions horizontalCentered="1" verticalCentered="1"/>
  <pageMargins left="0.35433070866141736" right="0.35433070866141736" top="0.51181102362204722" bottom="0.59055118110236227" header="0.70866141732283472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9">
    <tabColor rgb="FFD9EFFF"/>
  </sheetPr>
  <dimension ref="A1:F62"/>
  <sheetViews>
    <sheetView showGridLines="0" zoomScaleNormal="100" zoomScalePageLayoutView="120" workbookViewId="0">
      <selection sqref="A1:F63"/>
    </sheetView>
  </sheetViews>
  <sheetFormatPr baseColWidth="10" defaultColWidth="11.42578125" defaultRowHeight="13.5" x14ac:dyDescent="0.2"/>
  <cols>
    <col min="1" max="1" width="16.42578125" style="15" customWidth="1"/>
    <col min="2" max="3" width="7.85546875" style="15" customWidth="1"/>
    <col min="4" max="4" width="8.85546875" style="15" customWidth="1"/>
    <col min="5" max="5" width="7.28515625" style="15" customWidth="1"/>
    <col min="6" max="6" width="8.7109375" style="15" customWidth="1"/>
    <col min="7" max="16384" width="11.42578125" style="15"/>
  </cols>
  <sheetData>
    <row r="1" spans="1:6" ht="15" customHeight="1" x14ac:dyDescent="0.25">
      <c r="A1" s="82" t="s">
        <v>377</v>
      </c>
      <c r="B1" s="82"/>
      <c r="C1" s="82"/>
      <c r="D1" s="82"/>
      <c r="E1" s="82"/>
      <c r="F1" s="82"/>
    </row>
    <row r="2" spans="1:6" ht="11.25" customHeight="1" x14ac:dyDescent="0.25">
      <c r="A2" s="82" t="s">
        <v>378</v>
      </c>
      <c r="B2" s="82"/>
      <c r="C2" s="82"/>
      <c r="D2" s="82"/>
      <c r="E2" s="82"/>
      <c r="F2" s="82"/>
    </row>
    <row r="3" spans="1:6" ht="5.0999999999999996" customHeight="1" x14ac:dyDescent="0.2"/>
    <row r="4" spans="1:6" s="38" customFormat="1" ht="15" customHeight="1" x14ac:dyDescent="0.25">
      <c r="A4" s="288" t="s">
        <v>310</v>
      </c>
      <c r="B4" s="278" t="s">
        <v>355</v>
      </c>
      <c r="C4" s="279"/>
      <c r="D4" s="286" t="s">
        <v>327</v>
      </c>
      <c r="E4" s="199" t="s">
        <v>374</v>
      </c>
      <c r="F4" s="284" t="s">
        <v>376</v>
      </c>
    </row>
    <row r="5" spans="1:6" s="38" customFormat="1" ht="15" customHeight="1" x14ac:dyDescent="0.25">
      <c r="A5" s="288"/>
      <c r="B5" s="176">
        <v>2024</v>
      </c>
      <c r="C5" s="177" t="s">
        <v>315</v>
      </c>
      <c r="D5" s="287"/>
      <c r="E5" s="200">
        <v>2024</v>
      </c>
      <c r="F5" s="285"/>
    </row>
    <row r="6" spans="1:6" s="38" customFormat="1" ht="14.1" customHeight="1" x14ac:dyDescent="0.25">
      <c r="A6" s="179"/>
      <c r="B6" s="180">
        <f>SUM(B8:B58)</f>
        <v>9669857.0861099921</v>
      </c>
      <c r="C6" s="180">
        <f>SUM(C8:C58)</f>
        <v>11569136.771910004</v>
      </c>
      <c r="D6" s="238">
        <f>(C6/B6-1)</f>
        <v>0.1964123842665868</v>
      </c>
      <c r="E6" s="238">
        <f>SUM(E7:E58)</f>
        <v>0.99999999999999978</v>
      </c>
      <c r="F6" s="201">
        <f>SUM(F7:F58)</f>
        <v>19.641238426658635</v>
      </c>
    </row>
    <row r="7" spans="1:6" ht="3.95" customHeight="1" x14ac:dyDescent="0.2">
      <c r="A7" s="41"/>
      <c r="B7" s="103"/>
      <c r="C7" s="103"/>
      <c r="D7" s="239"/>
      <c r="E7" s="239"/>
      <c r="F7" s="156"/>
    </row>
    <row r="8" spans="1:6" ht="11.1" customHeight="1" x14ac:dyDescent="0.2">
      <c r="A8" s="13" t="s">
        <v>70</v>
      </c>
      <c r="B8" s="133">
        <v>3057012.4796399898</v>
      </c>
      <c r="C8" s="133">
        <v>3587791.8781699953</v>
      </c>
      <c r="D8" s="240">
        <f>IFERROR(((C8/B8-1)),"")</f>
        <v>0.17362683406268364</v>
      </c>
      <c r="E8" s="241">
        <f>B8/$B$6</f>
        <v>0.3161383309409147</v>
      </c>
      <c r="F8" s="159">
        <f>E8*D8*100</f>
        <v>5.489009752713196</v>
      </c>
    </row>
    <row r="9" spans="1:6" ht="11.1" customHeight="1" x14ac:dyDescent="0.2">
      <c r="A9" s="13" t="s">
        <v>221</v>
      </c>
      <c r="B9" s="133">
        <v>1465769.8093800002</v>
      </c>
      <c r="C9" s="133">
        <v>1798054.2949000015</v>
      </c>
      <c r="D9" s="240">
        <f t="shared" ref="D9:D58" si="0">IFERROR(((C9/B9-1)),"")</f>
        <v>0.22669622705665682</v>
      </c>
      <c r="E9" s="241">
        <f t="shared" ref="E9:E58" si="1">B9/$B$6</f>
        <v>0.15158133117452854</v>
      </c>
      <c r="F9" s="159">
        <f t="shared" ref="F9:F58" si="2">E9*D9*100</f>
        <v>3.4362915869491215</v>
      </c>
    </row>
    <row r="10" spans="1:6" ht="11.1" customHeight="1" x14ac:dyDescent="0.2">
      <c r="A10" s="13" t="s">
        <v>71</v>
      </c>
      <c r="B10" s="133">
        <v>683733.55616000178</v>
      </c>
      <c r="C10" s="133">
        <v>780806.48300000303</v>
      </c>
      <c r="D10" s="240">
        <f t="shared" si="0"/>
        <v>0.1419747882277187</v>
      </c>
      <c r="E10" s="241">
        <f t="shared" si="1"/>
        <v>7.0707720917833686E-2</v>
      </c>
      <c r="F10" s="159">
        <f t="shared" si="2"/>
        <v>1.0038713703374074</v>
      </c>
    </row>
    <row r="11" spans="1:6" ht="11.1" customHeight="1" x14ac:dyDescent="0.2">
      <c r="A11" s="13" t="s">
        <v>81</v>
      </c>
      <c r="B11" s="133">
        <v>377939.03358999954</v>
      </c>
      <c r="C11" s="133">
        <v>410208.89650000114</v>
      </c>
      <c r="D11" s="240">
        <f t="shared" si="0"/>
        <v>8.5383778974809532E-2</v>
      </c>
      <c r="E11" s="241">
        <f t="shared" si="1"/>
        <v>3.9084241910139497E-2</v>
      </c>
      <c r="F11" s="159">
        <f t="shared" si="2"/>
        <v>0.33371602726533384</v>
      </c>
    </row>
    <row r="12" spans="1:6" ht="11.1" customHeight="1" x14ac:dyDescent="0.2">
      <c r="A12" s="13" t="s">
        <v>72</v>
      </c>
      <c r="B12" s="133">
        <v>373028.61946999928</v>
      </c>
      <c r="C12" s="133">
        <v>412760.16756999947</v>
      </c>
      <c r="D12" s="240">
        <f t="shared" si="0"/>
        <v>0.10651072337680412</v>
      </c>
      <c r="E12" s="241">
        <f t="shared" si="1"/>
        <v>3.857643563376198E-2</v>
      </c>
      <c r="F12" s="159">
        <f t="shared" si="2"/>
        <v>0.41088040646507118</v>
      </c>
    </row>
    <row r="13" spans="1:6" ht="11.1" customHeight="1" x14ac:dyDescent="0.2">
      <c r="A13" s="13" t="s">
        <v>73</v>
      </c>
      <c r="B13" s="133">
        <v>327585.94317999971</v>
      </c>
      <c r="C13" s="133">
        <v>322865.90727999952</v>
      </c>
      <c r="D13" s="240">
        <f t="shared" si="0"/>
        <v>-1.4408542241407085E-2</v>
      </c>
      <c r="E13" s="241">
        <f t="shared" si="1"/>
        <v>3.3877020132029853E-2</v>
      </c>
      <c r="F13" s="159">
        <f t="shared" si="2"/>
        <v>-4.8811847558535036E-2</v>
      </c>
    </row>
    <row r="14" spans="1:6" ht="11.1" customHeight="1" x14ac:dyDescent="0.2">
      <c r="A14" s="13" t="s">
        <v>179</v>
      </c>
      <c r="B14" s="133">
        <v>299054.23135000002</v>
      </c>
      <c r="C14" s="133">
        <v>389025.47703999997</v>
      </c>
      <c r="D14" s="240">
        <f t="shared" si="0"/>
        <v>0.30085260885241083</v>
      </c>
      <c r="E14" s="241">
        <f t="shared" si="1"/>
        <v>3.0926437556100854E-2</v>
      </c>
      <c r="F14" s="159">
        <f t="shared" si="2"/>
        <v>0.93042994212641195</v>
      </c>
    </row>
    <row r="15" spans="1:6" ht="11.1" customHeight="1" x14ac:dyDescent="0.2">
      <c r="A15" s="13" t="s">
        <v>74</v>
      </c>
      <c r="B15" s="133">
        <v>281589.14717999985</v>
      </c>
      <c r="C15" s="133">
        <v>396781.39135999972</v>
      </c>
      <c r="D15" s="240">
        <f t="shared" si="0"/>
        <v>0.40907913296234266</v>
      </c>
      <c r="E15" s="241">
        <f t="shared" si="1"/>
        <v>2.9120300814422694E-2</v>
      </c>
      <c r="F15" s="159">
        <f t="shared" si="2"/>
        <v>1.1912507408766637</v>
      </c>
    </row>
    <row r="16" spans="1:6" ht="11.1" customHeight="1" x14ac:dyDescent="0.2">
      <c r="A16" s="13" t="s">
        <v>78</v>
      </c>
      <c r="B16" s="133">
        <v>240407.08152999994</v>
      </c>
      <c r="C16" s="133">
        <v>420819.20168999984</v>
      </c>
      <c r="D16" s="240">
        <f t="shared" si="0"/>
        <v>0.75044428396959106</v>
      </c>
      <c r="E16" s="241">
        <f t="shared" si="1"/>
        <v>2.4861492717956117E-2</v>
      </c>
      <c r="F16" s="159">
        <f t="shared" si="2"/>
        <v>1.8657165101141782</v>
      </c>
    </row>
    <row r="17" spans="1:6" ht="11.1" customHeight="1" x14ac:dyDescent="0.2">
      <c r="A17" s="13" t="s">
        <v>76</v>
      </c>
      <c r="B17" s="133">
        <v>236100.14268999983</v>
      </c>
      <c r="C17" s="133">
        <v>297826.05492999987</v>
      </c>
      <c r="D17" s="240">
        <f t="shared" si="0"/>
        <v>0.26143953805672338</v>
      </c>
      <c r="E17" s="241">
        <f t="shared" si="1"/>
        <v>2.4416094321511699E-2</v>
      </c>
      <c r="F17" s="159">
        <f t="shared" si="2"/>
        <v>0.63833324205654052</v>
      </c>
    </row>
    <row r="18" spans="1:6" ht="11.1" customHeight="1" x14ac:dyDescent="0.2">
      <c r="A18" s="13" t="s">
        <v>85</v>
      </c>
      <c r="B18" s="133">
        <v>220448.78133000017</v>
      </c>
      <c r="C18" s="133">
        <v>334637.66295999964</v>
      </c>
      <c r="D18" s="240">
        <f t="shared" si="0"/>
        <v>0.51798372819791072</v>
      </c>
      <c r="E18" s="241">
        <f t="shared" si="1"/>
        <v>2.2797522172965507E-2</v>
      </c>
      <c r="F18" s="159">
        <f t="shared" si="2"/>
        <v>1.1808745528827209</v>
      </c>
    </row>
    <row r="19" spans="1:6" ht="11.1" customHeight="1" x14ac:dyDescent="0.2">
      <c r="A19" s="13" t="s">
        <v>119</v>
      </c>
      <c r="B19" s="133">
        <v>219675.04697000014</v>
      </c>
      <c r="C19" s="133">
        <v>299953.67449000041</v>
      </c>
      <c r="D19" s="240">
        <f t="shared" si="0"/>
        <v>0.36544263277641864</v>
      </c>
      <c r="E19" s="241">
        <f t="shared" si="1"/>
        <v>2.2717507095895605E-2</v>
      </c>
      <c r="F19" s="159">
        <f t="shared" si="2"/>
        <v>0.83019456032410632</v>
      </c>
    </row>
    <row r="20" spans="1:6" ht="11.1" customHeight="1" x14ac:dyDescent="0.2">
      <c r="A20" s="13" t="s">
        <v>75</v>
      </c>
      <c r="B20" s="133">
        <v>196369.78753000006</v>
      </c>
      <c r="C20" s="133">
        <v>82258.336949999997</v>
      </c>
      <c r="D20" s="240">
        <f t="shared" si="0"/>
        <v>-0.58110492461864527</v>
      </c>
      <c r="E20" s="241">
        <f t="shared" si="1"/>
        <v>2.030741362373082E-2</v>
      </c>
      <c r="F20" s="159">
        <f t="shared" si="2"/>
        <v>-1.1800738063017748</v>
      </c>
    </row>
    <row r="21" spans="1:6" ht="11.1" customHeight="1" x14ac:dyDescent="0.2">
      <c r="A21" s="13" t="s">
        <v>217</v>
      </c>
      <c r="B21" s="133">
        <v>147074.88131</v>
      </c>
      <c r="C21" s="133">
        <v>127511.50246999992</v>
      </c>
      <c r="D21" s="240">
        <f t="shared" si="0"/>
        <v>-0.13301645165883202</v>
      </c>
      <c r="E21" s="241">
        <f t="shared" si="1"/>
        <v>1.5209623058572581E-2</v>
      </c>
      <c r="F21" s="159">
        <f t="shared" si="2"/>
        <v>-0.20231300903196769</v>
      </c>
    </row>
    <row r="22" spans="1:6" ht="11.1" customHeight="1" x14ac:dyDescent="0.2">
      <c r="A22" s="13" t="s">
        <v>122</v>
      </c>
      <c r="B22" s="133">
        <v>143729.46004999973</v>
      </c>
      <c r="C22" s="133">
        <v>204789.47324999954</v>
      </c>
      <c r="D22" s="240">
        <f t="shared" si="0"/>
        <v>0.42482601116541185</v>
      </c>
      <c r="E22" s="241">
        <f t="shared" si="1"/>
        <v>1.4863659180284688E-2</v>
      </c>
      <c r="F22" s="159">
        <f t="shared" si="2"/>
        <v>0.63144690408824988</v>
      </c>
    </row>
    <row r="23" spans="1:6" ht="11.1" customHeight="1" x14ac:dyDescent="0.2">
      <c r="A23" s="13" t="s">
        <v>124</v>
      </c>
      <c r="B23" s="133">
        <v>135376.90133000002</v>
      </c>
      <c r="C23" s="133">
        <v>39747.014829999986</v>
      </c>
      <c r="D23" s="240">
        <f t="shared" si="0"/>
        <v>-0.7063973658762428</v>
      </c>
      <c r="E23" s="241">
        <f t="shared" si="1"/>
        <v>1.3999886464140051E-2</v>
      </c>
      <c r="F23" s="159">
        <f t="shared" si="2"/>
        <v>-0.98894829208349988</v>
      </c>
    </row>
    <row r="24" spans="1:6" ht="11.1" customHeight="1" x14ac:dyDescent="0.2">
      <c r="A24" s="13" t="s">
        <v>77</v>
      </c>
      <c r="B24" s="133">
        <v>116762.34895000001</v>
      </c>
      <c r="C24" s="133">
        <v>111696.22293000016</v>
      </c>
      <c r="D24" s="240">
        <f t="shared" si="0"/>
        <v>-4.3388353056936779E-2</v>
      </c>
      <c r="E24" s="241">
        <f t="shared" si="1"/>
        <v>1.207487845065675E-2</v>
      </c>
      <c r="F24" s="159">
        <f t="shared" si="2"/>
        <v>-5.2390908933669295E-2</v>
      </c>
    </row>
    <row r="25" spans="1:6" ht="11.1" customHeight="1" x14ac:dyDescent="0.2">
      <c r="A25" s="13" t="s">
        <v>84</v>
      </c>
      <c r="B25" s="133">
        <v>99148.690989999901</v>
      </c>
      <c r="C25" s="133">
        <v>143911.49357000022</v>
      </c>
      <c r="D25" s="240">
        <f t="shared" si="0"/>
        <v>0.45147144287073937</v>
      </c>
      <c r="E25" s="241">
        <f t="shared" si="1"/>
        <v>1.0253377077559852E-2</v>
      </c>
      <c r="F25" s="159">
        <f t="shared" si="2"/>
        <v>0.46291069435037108</v>
      </c>
    </row>
    <row r="26" spans="1:6" ht="11.1" customHeight="1" x14ac:dyDescent="0.2">
      <c r="A26" s="13" t="s">
        <v>180</v>
      </c>
      <c r="B26" s="133">
        <v>93139.353699999891</v>
      </c>
      <c r="C26" s="133">
        <v>169170.49174999987</v>
      </c>
      <c r="D26" s="240">
        <f t="shared" si="0"/>
        <v>0.81631592908508743</v>
      </c>
      <c r="E26" s="241">
        <f t="shared" si="1"/>
        <v>9.6319266014579918E-3</v>
      </c>
      <c r="F26" s="159">
        <f t="shared" si="2"/>
        <v>0.786269511254855</v>
      </c>
    </row>
    <row r="27" spans="1:6" ht="11.1" customHeight="1" x14ac:dyDescent="0.2">
      <c r="A27" s="13" t="s">
        <v>121</v>
      </c>
      <c r="B27" s="133">
        <v>86982.883590000201</v>
      </c>
      <c r="C27" s="133">
        <v>115038.73349999997</v>
      </c>
      <c r="D27" s="240">
        <f t="shared" si="0"/>
        <v>0.3225444909626467</v>
      </c>
      <c r="E27" s="241">
        <f t="shared" si="1"/>
        <v>8.9952605106175185E-3</v>
      </c>
      <c r="F27" s="159">
        <f t="shared" si="2"/>
        <v>0.29013717224735247</v>
      </c>
    </row>
    <row r="28" spans="1:6" ht="11.1" customHeight="1" x14ac:dyDescent="0.2">
      <c r="A28" s="13" t="s">
        <v>183</v>
      </c>
      <c r="B28" s="133">
        <v>80644.026210000084</v>
      </c>
      <c r="C28" s="133">
        <v>79261.362449999899</v>
      </c>
      <c r="D28" s="240">
        <f t="shared" si="0"/>
        <v>-1.7145271943636353E-2</v>
      </c>
      <c r="E28" s="241">
        <f t="shared" si="1"/>
        <v>8.3397329962444887E-3</v>
      </c>
      <c r="F28" s="159">
        <f t="shared" si="2"/>
        <v>-1.4298699015792898E-2</v>
      </c>
    </row>
    <row r="29" spans="1:6" ht="11.1" customHeight="1" x14ac:dyDescent="0.2">
      <c r="A29" s="13" t="s">
        <v>181</v>
      </c>
      <c r="B29" s="133">
        <v>53558.975149999904</v>
      </c>
      <c r="C29" s="133">
        <v>62934.312659999952</v>
      </c>
      <c r="D29" s="240">
        <f t="shared" si="0"/>
        <v>0.17504699228734344</v>
      </c>
      <c r="E29" s="241">
        <f t="shared" si="1"/>
        <v>5.5387556065263121E-3</v>
      </c>
      <c r="F29" s="159">
        <f t="shared" si="2"/>
        <v>9.6954250993709162E-2</v>
      </c>
    </row>
    <row r="30" spans="1:6" ht="11.1" customHeight="1" x14ac:dyDescent="0.2">
      <c r="A30" s="13" t="s">
        <v>86</v>
      </c>
      <c r="B30" s="133">
        <v>52936.524470000004</v>
      </c>
      <c r="C30" s="133">
        <v>48033.400760000033</v>
      </c>
      <c r="D30" s="240">
        <f t="shared" si="0"/>
        <v>-9.2622697827067446E-2</v>
      </c>
      <c r="E30" s="241">
        <f t="shared" si="1"/>
        <v>5.4743854018317667E-3</v>
      </c>
      <c r="F30" s="159">
        <f t="shared" si="2"/>
        <v>-5.0705234486277291E-2</v>
      </c>
    </row>
    <row r="31" spans="1:6" ht="11.1" customHeight="1" x14ac:dyDescent="0.2">
      <c r="A31" s="13" t="s">
        <v>120</v>
      </c>
      <c r="B31" s="133">
        <v>51795.653160000038</v>
      </c>
      <c r="C31" s="133">
        <v>76286.171299999827</v>
      </c>
      <c r="D31" s="240">
        <f t="shared" si="0"/>
        <v>0.47282960337129132</v>
      </c>
      <c r="E31" s="241">
        <f t="shared" si="1"/>
        <v>5.356403171087246E-3</v>
      </c>
      <c r="F31" s="159">
        <f t="shared" si="2"/>
        <v>0.25326659868819096</v>
      </c>
    </row>
    <row r="32" spans="1:6" ht="11.1" customHeight="1" x14ac:dyDescent="0.2">
      <c r="A32" s="13" t="s">
        <v>126</v>
      </c>
      <c r="B32" s="133">
        <v>43192.098470000041</v>
      </c>
      <c r="C32" s="133">
        <v>46497.17429000001</v>
      </c>
      <c r="D32" s="240">
        <f t="shared" si="0"/>
        <v>7.6520380742685523E-2</v>
      </c>
      <c r="E32" s="241">
        <f t="shared" si="1"/>
        <v>4.4666739213800972E-3</v>
      </c>
      <c r="F32" s="159">
        <f t="shared" si="2"/>
        <v>3.4179158911742925E-2</v>
      </c>
    </row>
    <row r="33" spans="1:6" ht="11.1" customHeight="1" x14ac:dyDescent="0.2">
      <c r="A33" s="13" t="s">
        <v>182</v>
      </c>
      <c r="B33" s="133">
        <v>41488.57670000002</v>
      </c>
      <c r="C33" s="133">
        <v>44417.851599999995</v>
      </c>
      <c r="D33" s="240">
        <f t="shared" si="0"/>
        <v>7.0604371925826248E-2</v>
      </c>
      <c r="E33" s="241">
        <f t="shared" si="1"/>
        <v>4.2905056745456121E-3</v>
      </c>
      <c r="F33" s="159">
        <f t="shared" si="2"/>
        <v>3.0292845839548645E-2</v>
      </c>
    </row>
    <row r="34" spans="1:6" ht="11.1" customHeight="1" x14ac:dyDescent="0.2">
      <c r="A34" s="13" t="s">
        <v>79</v>
      </c>
      <c r="B34" s="133">
        <v>40368.731499999987</v>
      </c>
      <c r="C34" s="133">
        <v>48486.016869999963</v>
      </c>
      <c r="D34" s="240">
        <f t="shared" si="0"/>
        <v>0.20107853450881841</v>
      </c>
      <c r="E34" s="241">
        <f t="shared" si="1"/>
        <v>4.1746978409832524E-3</v>
      </c>
      <c r="F34" s="159">
        <f t="shared" si="2"/>
        <v>8.3944212388204056E-2</v>
      </c>
    </row>
    <row r="35" spans="1:6" ht="11.1" customHeight="1" x14ac:dyDescent="0.2">
      <c r="A35" s="13" t="s">
        <v>129</v>
      </c>
      <c r="B35" s="133">
        <v>35189.622239999968</v>
      </c>
      <c r="C35" s="133">
        <v>44408.339200000024</v>
      </c>
      <c r="D35" s="240">
        <f t="shared" si="0"/>
        <v>0.26197260365930153</v>
      </c>
      <c r="E35" s="241">
        <f t="shared" si="1"/>
        <v>3.6391046865157047E-3</v>
      </c>
      <c r="F35" s="159">
        <f t="shared" si="2"/>
        <v>9.5334572971528544E-2</v>
      </c>
    </row>
    <row r="36" spans="1:6" ht="11.1" customHeight="1" x14ac:dyDescent="0.2">
      <c r="A36" s="13" t="s">
        <v>223</v>
      </c>
      <c r="B36" s="133">
        <v>34374.40211000001</v>
      </c>
      <c r="C36" s="133">
        <v>60789.792369999959</v>
      </c>
      <c r="D36" s="240">
        <f t="shared" si="0"/>
        <v>0.768461082623902</v>
      </c>
      <c r="E36" s="241">
        <f t="shared" si="1"/>
        <v>3.5547993940237442E-3</v>
      </c>
      <c r="F36" s="159">
        <f t="shared" si="2"/>
        <v>0.27317249908422769</v>
      </c>
    </row>
    <row r="37" spans="1:6" ht="11.1" customHeight="1" x14ac:dyDescent="0.2">
      <c r="A37" s="13" t="s">
        <v>123</v>
      </c>
      <c r="B37" s="133">
        <v>29877.264150000025</v>
      </c>
      <c r="C37" s="133">
        <v>42464.377550000034</v>
      </c>
      <c r="D37" s="240">
        <f t="shared" si="0"/>
        <v>0.42129404274788662</v>
      </c>
      <c r="E37" s="241">
        <f t="shared" si="1"/>
        <v>3.0897317182604924E-3</v>
      </c>
      <c r="F37" s="159">
        <f t="shared" si="2"/>
        <v>0.13016855665923369</v>
      </c>
    </row>
    <row r="38" spans="1:6" ht="11.1" customHeight="1" x14ac:dyDescent="0.2">
      <c r="A38" s="13" t="s">
        <v>87</v>
      </c>
      <c r="B38" s="133">
        <v>29567.20593</v>
      </c>
      <c r="C38" s="133">
        <v>95396.780469999983</v>
      </c>
      <c r="D38" s="240">
        <f t="shared" si="0"/>
        <v>2.2264388016862569</v>
      </c>
      <c r="E38" s="241">
        <f t="shared" si="1"/>
        <v>3.0576673126297828E-3</v>
      </c>
      <c r="F38" s="159">
        <f t="shared" si="2"/>
        <v>0.68077091474866902</v>
      </c>
    </row>
    <row r="39" spans="1:6" ht="11.1" customHeight="1" x14ac:dyDescent="0.2">
      <c r="A39" s="13" t="s">
        <v>139</v>
      </c>
      <c r="B39" s="133">
        <v>23701.638769999983</v>
      </c>
      <c r="C39" s="133">
        <v>20812.225090000004</v>
      </c>
      <c r="D39" s="240">
        <f t="shared" si="0"/>
        <v>-0.12190775954518451</v>
      </c>
      <c r="E39" s="241">
        <f t="shared" si="1"/>
        <v>2.4510847015563001E-3</v>
      </c>
      <c r="F39" s="159">
        <f t="shared" si="2"/>
        <v>-2.9880624442220578E-2</v>
      </c>
    </row>
    <row r="40" spans="1:6" ht="11.1" customHeight="1" x14ac:dyDescent="0.2">
      <c r="A40" s="13" t="s">
        <v>218</v>
      </c>
      <c r="B40" s="133">
        <v>22158.227560000003</v>
      </c>
      <c r="C40" s="133">
        <v>14452.736260000009</v>
      </c>
      <c r="D40" s="240">
        <f t="shared" si="0"/>
        <v>-0.3477485407682126</v>
      </c>
      <c r="E40" s="241">
        <f t="shared" si="1"/>
        <v>2.2914741513427946E-3</v>
      </c>
      <c r="F40" s="159">
        <f t="shared" si="2"/>
        <v>-7.9685679233753512E-2</v>
      </c>
    </row>
    <row r="41" spans="1:6" ht="11.1" customHeight="1" x14ac:dyDescent="0.2">
      <c r="A41" s="13" t="s">
        <v>193</v>
      </c>
      <c r="B41" s="133">
        <v>19960.675190000002</v>
      </c>
      <c r="C41" s="133">
        <v>20181.035229999994</v>
      </c>
      <c r="D41" s="240">
        <f t="shared" si="0"/>
        <v>1.1039708722397901E-2</v>
      </c>
      <c r="E41" s="241">
        <f t="shared" si="1"/>
        <v>2.0642161525501737E-3</v>
      </c>
      <c r="F41" s="159">
        <f t="shared" si="2"/>
        <v>2.2788345064222787E-3</v>
      </c>
    </row>
    <row r="42" spans="1:6" ht="11.1" customHeight="1" x14ac:dyDescent="0.2">
      <c r="A42" s="13" t="s">
        <v>128</v>
      </c>
      <c r="B42" s="133">
        <v>19828.620059999997</v>
      </c>
      <c r="C42" s="133">
        <v>17985.376310000007</v>
      </c>
      <c r="D42" s="240">
        <f t="shared" si="0"/>
        <v>-9.2958750756354513E-2</v>
      </c>
      <c r="E42" s="241">
        <f t="shared" si="1"/>
        <v>2.0505597842270379E-3</v>
      </c>
      <c r="F42" s="159">
        <f t="shared" si="2"/>
        <v>-1.9061747589296529E-2</v>
      </c>
    </row>
    <row r="43" spans="1:6" ht="11.1" customHeight="1" x14ac:dyDescent="0.2">
      <c r="A43" s="13" t="s">
        <v>131</v>
      </c>
      <c r="B43" s="133">
        <v>18164.563070000004</v>
      </c>
      <c r="C43" s="133">
        <v>37168.624220000005</v>
      </c>
      <c r="D43" s="240">
        <f t="shared" si="0"/>
        <v>1.0462162550656937</v>
      </c>
      <c r="E43" s="241">
        <f t="shared" si="1"/>
        <v>1.8784727538623093E-3</v>
      </c>
      <c r="F43" s="159">
        <f t="shared" si="2"/>
        <v>0.19652887297887658</v>
      </c>
    </row>
    <row r="44" spans="1:6" ht="11.1" customHeight="1" x14ac:dyDescent="0.2">
      <c r="A44" s="13" t="s">
        <v>127</v>
      </c>
      <c r="B44" s="133">
        <v>17527.479629999994</v>
      </c>
      <c r="C44" s="133">
        <v>21063.079210000011</v>
      </c>
      <c r="D44" s="240">
        <f t="shared" si="0"/>
        <v>0.20171751185198872</v>
      </c>
      <c r="E44" s="241">
        <f t="shared" si="1"/>
        <v>1.8125893148076483E-3</v>
      </c>
      <c r="F44" s="159">
        <f t="shared" si="2"/>
        <v>3.6563100659249989E-2</v>
      </c>
    </row>
    <row r="45" spans="1:6" ht="11.1" customHeight="1" x14ac:dyDescent="0.2">
      <c r="A45" s="13" t="s">
        <v>219</v>
      </c>
      <c r="B45" s="133">
        <v>16679.485359999999</v>
      </c>
      <c r="C45" s="133">
        <v>17692.108150000011</v>
      </c>
      <c r="D45" s="240">
        <f t="shared" si="0"/>
        <v>6.0710673509653867E-2</v>
      </c>
      <c r="E45" s="241">
        <f t="shared" si="1"/>
        <v>1.7248947126590733E-3</v>
      </c>
      <c r="F45" s="159">
        <f t="shared" si="2"/>
        <v>1.0471951973877321E-2</v>
      </c>
    </row>
    <row r="46" spans="1:6" ht="11.1" customHeight="1" x14ac:dyDescent="0.2">
      <c r="A46" s="13" t="s">
        <v>294</v>
      </c>
      <c r="B46" s="133">
        <v>16160.694099999992</v>
      </c>
      <c r="C46" s="133">
        <v>19061.934329999993</v>
      </c>
      <c r="D46" s="240">
        <f t="shared" si="0"/>
        <v>0.17952448156295486</v>
      </c>
      <c r="E46" s="241">
        <f t="shared" si="1"/>
        <v>1.6712443582246514E-3</v>
      </c>
      <c r="F46" s="159">
        <f t="shared" si="2"/>
        <v>3.0002927697529377E-2</v>
      </c>
    </row>
    <row r="47" spans="1:6" ht="11.1" customHeight="1" x14ac:dyDescent="0.2">
      <c r="A47" s="13" t="s">
        <v>311</v>
      </c>
      <c r="B47" s="133">
        <v>15757.168939999998</v>
      </c>
      <c r="C47" s="133">
        <v>13885.9776</v>
      </c>
      <c r="D47" s="240">
        <f t="shared" si="0"/>
        <v>-0.11875174703813252</v>
      </c>
      <c r="E47" s="241">
        <f t="shared" si="1"/>
        <v>1.6295141489354546E-3</v>
      </c>
      <c r="F47" s="159">
        <f t="shared" si="2"/>
        <v>-1.935076520094409E-2</v>
      </c>
    </row>
    <row r="48" spans="1:6" ht="11.1" customHeight="1" x14ac:dyDescent="0.2">
      <c r="A48" s="13" t="s">
        <v>130</v>
      </c>
      <c r="B48" s="133">
        <v>14080.317649999997</v>
      </c>
      <c r="C48" s="133">
        <v>19821.565449999998</v>
      </c>
      <c r="D48" s="240">
        <f t="shared" si="0"/>
        <v>0.40774987771671478</v>
      </c>
      <c r="E48" s="241">
        <f t="shared" si="1"/>
        <v>1.4561040069790993E-3</v>
      </c>
      <c r="F48" s="159">
        <f t="shared" si="2"/>
        <v>5.9372623078854617E-2</v>
      </c>
    </row>
    <row r="49" spans="1:6" ht="11.1" customHeight="1" x14ac:dyDescent="0.2">
      <c r="A49" s="13" t="s">
        <v>143</v>
      </c>
      <c r="B49" s="133">
        <v>12973.207310000007</v>
      </c>
      <c r="C49" s="133">
        <v>14523.037519999998</v>
      </c>
      <c r="D49" s="240">
        <f t="shared" si="0"/>
        <v>0.11946392075345558</v>
      </c>
      <c r="E49" s="241">
        <f t="shared" si="1"/>
        <v>1.3416131380716086E-3</v>
      </c>
      <c r="F49" s="159">
        <f t="shared" si="2"/>
        <v>1.6027436560838149E-2</v>
      </c>
    </row>
    <row r="50" spans="1:6" ht="11.1" customHeight="1" x14ac:dyDescent="0.2">
      <c r="A50" s="13" t="s">
        <v>305</v>
      </c>
      <c r="B50" s="133">
        <v>12504.895360000002</v>
      </c>
      <c r="C50" s="133">
        <v>18733.719149999994</v>
      </c>
      <c r="D50" s="240">
        <f t="shared" si="0"/>
        <v>0.49811082865390643</v>
      </c>
      <c r="E50" s="241">
        <f t="shared" si="1"/>
        <v>1.2931830583062416E-3</v>
      </c>
      <c r="F50" s="159">
        <f t="shared" si="2"/>
        <v>6.441484847741151E-2</v>
      </c>
    </row>
    <row r="51" spans="1:6" ht="11.1" customHeight="1" x14ac:dyDescent="0.2">
      <c r="A51" s="13" t="s">
        <v>82</v>
      </c>
      <c r="B51" s="133">
        <v>12226.512900000005</v>
      </c>
      <c r="C51" s="133">
        <v>9983.8696900000014</v>
      </c>
      <c r="D51" s="240">
        <f t="shared" si="0"/>
        <v>-0.18342459770356945</v>
      </c>
      <c r="E51" s="241">
        <f t="shared" si="1"/>
        <v>1.2643943743038822E-3</v>
      </c>
      <c r="F51" s="159">
        <f t="shared" si="2"/>
        <v>-2.3192102944534602E-2</v>
      </c>
    </row>
    <row r="52" spans="1:6" ht="11.1" customHeight="1" x14ac:dyDescent="0.2">
      <c r="A52" s="13" t="s">
        <v>133</v>
      </c>
      <c r="B52" s="133">
        <v>11670.904719999997</v>
      </c>
      <c r="C52" s="133">
        <v>10127.384910000004</v>
      </c>
      <c r="D52" s="240">
        <f>IFERROR(((C52/B52-1)),"")</f>
        <v>-0.13225365531045075</v>
      </c>
      <c r="E52" s="241">
        <f t="shared" si="1"/>
        <v>1.2069366295769104E-3</v>
      </c>
      <c r="F52" s="159">
        <f t="shared" si="2"/>
        <v>-1.596217809896219E-2</v>
      </c>
    </row>
    <row r="53" spans="1:6" ht="11.1" customHeight="1" x14ac:dyDescent="0.2">
      <c r="A53" s="13" t="s">
        <v>132</v>
      </c>
      <c r="B53" s="133">
        <v>10657.660109999997</v>
      </c>
      <c r="C53" s="133">
        <v>16750.973430000002</v>
      </c>
      <c r="D53" s="240">
        <f t="shared" si="0"/>
        <v>0.57173087311000814</v>
      </c>
      <c r="E53" s="241">
        <f t="shared" si="1"/>
        <v>1.1021528048546765E-3</v>
      </c>
      <c r="F53" s="159">
        <f t="shared" si="2"/>
        <v>6.301347854202087E-2</v>
      </c>
    </row>
    <row r="54" spans="1:6" ht="11.1" customHeight="1" x14ac:dyDescent="0.2">
      <c r="A54" s="13" t="s">
        <v>80</v>
      </c>
      <c r="B54" s="133">
        <v>10092.942860000005</v>
      </c>
      <c r="C54" s="133">
        <v>13174.679930000004</v>
      </c>
      <c r="D54" s="240">
        <f t="shared" si="0"/>
        <v>0.30533582848402241</v>
      </c>
      <c r="E54" s="241">
        <f t="shared" si="1"/>
        <v>1.0437530534445792E-3</v>
      </c>
      <c r="F54" s="159">
        <f t="shared" si="2"/>
        <v>3.1869520330622868E-2</v>
      </c>
    </row>
    <row r="55" spans="1:6" ht="11.1" customHeight="1" x14ac:dyDescent="0.2">
      <c r="A55" s="13" t="s">
        <v>202</v>
      </c>
      <c r="B55" s="133">
        <v>9667.8576400000056</v>
      </c>
      <c r="C55" s="133">
        <v>14418.779400000001</v>
      </c>
      <c r="D55" s="240">
        <f t="shared" si="0"/>
        <v>0.49141412057449285</v>
      </c>
      <c r="E55" s="241">
        <f t="shared" si="1"/>
        <v>9.9979322899064775E-4</v>
      </c>
      <c r="F55" s="159">
        <f t="shared" si="2"/>
        <v>4.9131251038077174E-2</v>
      </c>
    </row>
    <row r="56" spans="1:6" ht="11.1" customHeight="1" x14ac:dyDescent="0.2">
      <c r="A56" s="13" t="s">
        <v>125</v>
      </c>
      <c r="B56" s="133">
        <v>9396.0752100000045</v>
      </c>
      <c r="C56" s="133">
        <v>17158.92628</v>
      </c>
      <c r="D56" s="240">
        <f t="shared" si="0"/>
        <v>0.8261801759247509</v>
      </c>
      <c r="E56" s="241">
        <f t="shared" si="1"/>
        <v>9.716870814457791E-4</v>
      </c>
      <c r="F56" s="159">
        <f t="shared" si="2"/>
        <v>8.0278860389268153E-2</v>
      </c>
    </row>
    <row r="57" spans="1:6" ht="11.1" customHeight="1" x14ac:dyDescent="0.2">
      <c r="A57" s="13" t="s">
        <v>135</v>
      </c>
      <c r="B57" s="133">
        <v>8385.3549800000001</v>
      </c>
      <c r="C57" s="133">
        <v>8074.1338000000005</v>
      </c>
      <c r="D57" s="240">
        <f t="shared" si="0"/>
        <v>-3.7114848535607203E-2</v>
      </c>
      <c r="E57" s="241">
        <f t="shared" si="1"/>
        <v>8.6716431332216056E-4</v>
      </c>
      <c r="F57" s="159">
        <f t="shared" si="2"/>
        <v>-3.2184672144435814E-3</v>
      </c>
    </row>
    <row r="58" spans="1:6" ht="11.1" customHeight="1" x14ac:dyDescent="0.2">
      <c r="A58" s="160" t="s">
        <v>18</v>
      </c>
      <c r="B58" s="134">
        <v>94341.544679999904</v>
      </c>
      <c r="C58" s="134">
        <v>149436.66729000001</v>
      </c>
      <c r="D58" s="242">
        <f t="shared" si="0"/>
        <v>0.58399640155224319</v>
      </c>
      <c r="E58" s="243">
        <f t="shared" si="1"/>
        <v>9.7562501534292894E-3</v>
      </c>
      <c r="F58" s="163">
        <f t="shared" si="2"/>
        <v>0.56976149822462252</v>
      </c>
    </row>
    <row r="59" spans="1:6" ht="8.1" customHeight="1" x14ac:dyDescent="0.2">
      <c r="A59" s="8" t="s">
        <v>44</v>
      </c>
      <c r="B59" s="21"/>
      <c r="C59" s="21"/>
      <c r="D59" s="21"/>
      <c r="E59" s="21"/>
      <c r="F59" s="21"/>
    </row>
    <row r="60" spans="1:6" ht="8.1" customHeight="1" x14ac:dyDescent="0.2">
      <c r="A60" s="11" t="s">
        <v>20</v>
      </c>
      <c r="B60" s="21"/>
      <c r="C60" s="21"/>
      <c r="D60" s="21"/>
      <c r="E60" s="21"/>
      <c r="F60" s="21"/>
    </row>
    <row r="61" spans="1:6" ht="8.1" customHeight="1" x14ac:dyDescent="0.2">
      <c r="A61" s="214" t="s">
        <v>348</v>
      </c>
      <c r="B61" s="11"/>
      <c r="C61" s="11"/>
      <c r="D61" s="11"/>
      <c r="E61" s="11"/>
      <c r="F61" s="11"/>
    </row>
    <row r="62" spans="1:6" ht="8.1" customHeight="1" x14ac:dyDescent="0.15">
      <c r="A62" s="215" t="s">
        <v>349</v>
      </c>
    </row>
  </sheetData>
  <mergeCells count="4">
    <mergeCell ref="A4:A5"/>
    <mergeCell ref="B4:C4"/>
    <mergeCell ref="F4:F5"/>
    <mergeCell ref="D4:D5"/>
  </mergeCells>
  <phoneticPr fontId="11" type="noConversion"/>
  <conditionalFormatting sqref="B8:F58">
    <cfRule type="containsBlanks" dxfId="69" priority="4">
      <formula>LEN(TRIM(B8))=0</formula>
    </cfRule>
  </conditionalFormatting>
  <printOptions horizontalCentered="1" verticalCentered="1"/>
  <pageMargins left="0.35433070866141736" right="0.35433070866141736" top="0.51181102362204722" bottom="0.59055118110236227" header="0.70866141732283472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10">
    <tabColor rgb="FFD9EFFF"/>
  </sheetPr>
  <dimension ref="A1:I512"/>
  <sheetViews>
    <sheetView showGridLines="0" zoomScaleNormal="100" zoomScalePageLayoutView="150" workbookViewId="0">
      <selection sqref="A1:H63"/>
    </sheetView>
  </sheetViews>
  <sheetFormatPr baseColWidth="10" defaultColWidth="11.42578125" defaultRowHeight="13.5" x14ac:dyDescent="0.25"/>
  <cols>
    <col min="1" max="1" width="13.7109375" style="23" customWidth="1"/>
    <col min="2" max="3" width="7.7109375" style="23" customWidth="1"/>
    <col min="4" max="4" width="7.42578125" style="23" customWidth="1"/>
    <col min="5" max="6" width="8.140625" style="23" customWidth="1"/>
    <col min="7" max="8" width="7.42578125" style="23" customWidth="1"/>
    <col min="9" max="16384" width="11.42578125" style="23"/>
  </cols>
  <sheetData>
    <row r="1" spans="1:9" ht="15" customHeight="1" x14ac:dyDescent="0.25">
      <c r="A1" s="82" t="s">
        <v>379</v>
      </c>
      <c r="B1" s="45"/>
      <c r="C1" s="45"/>
      <c r="D1" s="45"/>
      <c r="E1" s="45"/>
      <c r="F1" s="45"/>
    </row>
    <row r="2" spans="1:9" ht="5.0999999999999996" customHeight="1" x14ac:dyDescent="0.25"/>
    <row r="3" spans="1:9" ht="14.1" customHeight="1" x14ac:dyDescent="0.25">
      <c r="A3" s="289" t="s">
        <v>8</v>
      </c>
      <c r="B3" s="289" t="s">
        <v>14</v>
      </c>
      <c r="C3" s="289"/>
      <c r="D3" s="289"/>
      <c r="E3" s="289" t="s">
        <v>56</v>
      </c>
      <c r="F3" s="289"/>
      <c r="G3" s="289"/>
      <c r="H3" s="289"/>
    </row>
    <row r="4" spans="1:9" ht="25.5" x14ac:dyDescent="0.25">
      <c r="A4" s="289"/>
      <c r="B4" s="176">
        <v>2024</v>
      </c>
      <c r="C4" s="177" t="s">
        <v>315</v>
      </c>
      <c r="D4" s="187" t="s">
        <v>327</v>
      </c>
      <c r="E4" s="176">
        <v>2024</v>
      </c>
      <c r="F4" s="177" t="s">
        <v>315</v>
      </c>
      <c r="G4" s="187" t="s">
        <v>327</v>
      </c>
      <c r="H4" s="202" t="s">
        <v>332</v>
      </c>
    </row>
    <row r="5" spans="1:9" ht="15" customHeight="1" x14ac:dyDescent="0.25">
      <c r="A5" s="290" t="s">
        <v>45</v>
      </c>
      <c r="B5" s="290"/>
      <c r="C5" s="290"/>
      <c r="D5" s="290"/>
      <c r="E5" s="203">
        <f>SUM($E$7:$E$57)</f>
        <v>9669857.0861099921</v>
      </c>
      <c r="F5" s="203">
        <f>SUM($F$7:$F$57)</f>
        <v>11569136.771910004</v>
      </c>
      <c r="G5" s="244">
        <f>(F5/E5-1)</f>
        <v>0.1964123842665868</v>
      </c>
      <c r="H5" s="244">
        <f>SUM($H$7:$H$57)</f>
        <v>0.99999999999999978</v>
      </c>
      <c r="I5" s="5"/>
    </row>
    <row r="6" spans="1:9" ht="3" customHeight="1" x14ac:dyDescent="0.25">
      <c r="A6" s="104"/>
      <c r="B6" s="69"/>
      <c r="C6" s="69"/>
      <c r="D6" s="69"/>
      <c r="E6" s="105"/>
      <c r="F6" s="105"/>
      <c r="G6" s="245"/>
      <c r="H6" s="245"/>
      <c r="I6" s="5"/>
    </row>
    <row r="7" spans="1:9" ht="12" customHeight="1" x14ac:dyDescent="0.25">
      <c r="A7" s="3" t="s">
        <v>70</v>
      </c>
      <c r="B7" s="133">
        <v>976225.8845679959</v>
      </c>
      <c r="C7" s="133">
        <v>1237233.0539350025</v>
      </c>
      <c r="D7" s="170">
        <f>IFERROR(((C7/B7-1)),"")</f>
        <v>0.26736350008021836</v>
      </c>
      <c r="E7" s="70">
        <v>3057012.4796399898</v>
      </c>
      <c r="F7" s="70">
        <v>3587791.8781699953</v>
      </c>
      <c r="G7" s="246">
        <f>IFERROR(((F7/E7-1)),"")</f>
        <v>0.17362683406268364</v>
      </c>
      <c r="H7" s="246">
        <f>(F7/$F$5)</f>
        <v>0.31011750910242453</v>
      </c>
    </row>
    <row r="8" spans="1:9" ht="12" customHeight="1" x14ac:dyDescent="0.25">
      <c r="A8" s="3" t="s">
        <v>221</v>
      </c>
      <c r="B8" s="133">
        <v>553137.73440900107</v>
      </c>
      <c r="C8" s="133">
        <v>732783.7542629994</v>
      </c>
      <c r="D8" s="170">
        <f t="shared" ref="D8:D57" si="0">IFERROR(((C8/B8-1)),"")</f>
        <v>0.32477628749363974</v>
      </c>
      <c r="E8" s="70">
        <v>1465769.8093800002</v>
      </c>
      <c r="F8" s="70">
        <v>1798054.2949000015</v>
      </c>
      <c r="G8" s="246">
        <f t="shared" ref="G8:G57" si="1">IFERROR(((F8/E8-1)),"")</f>
        <v>0.22669622705665682</v>
      </c>
      <c r="H8" s="246">
        <f t="shared" ref="H8:H57" si="2">(F8/$F$5)</f>
        <v>0.15541818982257152</v>
      </c>
    </row>
    <row r="9" spans="1:9" ht="12" customHeight="1" x14ac:dyDescent="0.25">
      <c r="A9" s="3" t="s">
        <v>71</v>
      </c>
      <c r="B9" s="133">
        <v>271027.70110299991</v>
      </c>
      <c r="C9" s="133">
        <v>351069.09498399799</v>
      </c>
      <c r="D9" s="170">
        <f t="shared" si="0"/>
        <v>0.29532550936769209</v>
      </c>
      <c r="E9" s="70">
        <v>683733.55616000178</v>
      </c>
      <c r="F9" s="70">
        <v>780806.48300000303</v>
      </c>
      <c r="G9" s="246">
        <f t="shared" si="1"/>
        <v>0.1419747882277187</v>
      </c>
      <c r="H9" s="246">
        <f t="shared" si="2"/>
        <v>6.7490470412261874E-2</v>
      </c>
    </row>
    <row r="10" spans="1:9" ht="12" customHeight="1" x14ac:dyDescent="0.25">
      <c r="A10" s="3" t="s">
        <v>78</v>
      </c>
      <c r="B10" s="133">
        <v>104061.69249199984</v>
      </c>
      <c r="C10" s="133">
        <v>149089.9497749997</v>
      </c>
      <c r="D10" s="170">
        <f t="shared" si="0"/>
        <v>0.43270733162889496</v>
      </c>
      <c r="E10" s="70">
        <v>240407.08152999994</v>
      </c>
      <c r="F10" s="70">
        <v>420819.20168999984</v>
      </c>
      <c r="G10" s="246">
        <f t="shared" si="1"/>
        <v>0.75044428396959106</v>
      </c>
      <c r="H10" s="246">
        <f t="shared" si="2"/>
        <v>3.6374295678805839E-2</v>
      </c>
    </row>
    <row r="11" spans="1:9" ht="12" customHeight="1" x14ac:dyDescent="0.25">
      <c r="A11" s="3" t="s">
        <v>72</v>
      </c>
      <c r="B11" s="133">
        <v>120635.80442199999</v>
      </c>
      <c r="C11" s="133">
        <v>146277.61821500008</v>
      </c>
      <c r="D11" s="170">
        <f t="shared" si="0"/>
        <v>0.21255558344272019</v>
      </c>
      <c r="E11" s="70">
        <v>373028.61946999928</v>
      </c>
      <c r="F11" s="70">
        <v>412760.16756999947</v>
      </c>
      <c r="G11" s="246">
        <f t="shared" si="1"/>
        <v>0.10651072337680412</v>
      </c>
      <c r="H11" s="246">
        <f t="shared" si="2"/>
        <v>3.5677697974163973E-2</v>
      </c>
    </row>
    <row r="12" spans="1:9" ht="12" customHeight="1" x14ac:dyDescent="0.25">
      <c r="A12" s="3" t="s">
        <v>81</v>
      </c>
      <c r="B12" s="133">
        <v>266564.79056100023</v>
      </c>
      <c r="C12" s="133">
        <v>284450.60190899996</v>
      </c>
      <c r="D12" s="170">
        <f t="shared" si="0"/>
        <v>6.7097426146784267E-2</v>
      </c>
      <c r="E12" s="70">
        <v>377939.03358999954</v>
      </c>
      <c r="F12" s="70">
        <v>410208.89650000114</v>
      </c>
      <c r="G12" s="246">
        <f t="shared" si="1"/>
        <v>8.5383778974809532E-2</v>
      </c>
      <c r="H12" s="246">
        <f t="shared" si="2"/>
        <v>3.5457174081993136E-2</v>
      </c>
    </row>
    <row r="13" spans="1:9" ht="12" customHeight="1" x14ac:dyDescent="0.25">
      <c r="A13" s="3" t="s">
        <v>74</v>
      </c>
      <c r="B13" s="133">
        <v>63498.032029999944</v>
      </c>
      <c r="C13" s="133">
        <v>68995.526736</v>
      </c>
      <c r="D13" s="170">
        <f t="shared" si="0"/>
        <v>8.6577402956405702E-2</v>
      </c>
      <c r="E13" s="70">
        <v>281589.14717999985</v>
      </c>
      <c r="F13" s="70">
        <v>396781.39135999972</v>
      </c>
      <c r="G13" s="246">
        <f t="shared" si="1"/>
        <v>0.40907913296234266</v>
      </c>
      <c r="H13" s="246">
        <f t="shared" si="2"/>
        <v>3.4296542532316628E-2</v>
      </c>
    </row>
    <row r="14" spans="1:9" ht="12" customHeight="1" x14ac:dyDescent="0.25">
      <c r="A14" s="3" t="s">
        <v>179</v>
      </c>
      <c r="B14" s="133">
        <v>118179.08174200004</v>
      </c>
      <c r="C14" s="133">
        <v>154664.93996499997</v>
      </c>
      <c r="D14" s="170">
        <f t="shared" si="0"/>
        <v>0.30873364122639901</v>
      </c>
      <c r="E14" s="70">
        <v>299054.23135000002</v>
      </c>
      <c r="F14" s="70">
        <v>389025.47703999997</v>
      </c>
      <c r="G14" s="246">
        <f t="shared" si="1"/>
        <v>0.30085260885241083</v>
      </c>
      <c r="H14" s="246">
        <f t="shared" si="2"/>
        <v>3.362614555517731E-2</v>
      </c>
    </row>
    <row r="15" spans="1:9" ht="12" customHeight="1" x14ac:dyDescent="0.25">
      <c r="A15" s="3" t="s">
        <v>85</v>
      </c>
      <c r="B15" s="133">
        <v>69368.633256000132</v>
      </c>
      <c r="C15" s="133">
        <v>96082.446109999946</v>
      </c>
      <c r="D15" s="170">
        <f t="shared" si="0"/>
        <v>0.38509931074199399</v>
      </c>
      <c r="E15" s="70">
        <v>220448.78133000017</v>
      </c>
      <c r="F15" s="70">
        <v>334637.66295999964</v>
      </c>
      <c r="G15" s="246">
        <f t="shared" si="1"/>
        <v>0.51798372819791072</v>
      </c>
      <c r="H15" s="246">
        <f t="shared" si="2"/>
        <v>2.8925033004407356E-2</v>
      </c>
    </row>
    <row r="16" spans="1:9" ht="12" customHeight="1" x14ac:dyDescent="0.25">
      <c r="A16" s="3" t="s">
        <v>73</v>
      </c>
      <c r="B16" s="133">
        <v>325884.47840399999</v>
      </c>
      <c r="C16" s="133">
        <v>331541.3453790003</v>
      </c>
      <c r="D16" s="170">
        <f t="shared" si="0"/>
        <v>1.7358503856042651E-2</v>
      </c>
      <c r="E16" s="70">
        <v>327585.94317999971</v>
      </c>
      <c r="F16" s="70">
        <v>322865.90727999952</v>
      </c>
      <c r="G16" s="246">
        <f t="shared" si="1"/>
        <v>-1.4408542241407085E-2</v>
      </c>
      <c r="H16" s="246">
        <f t="shared" si="2"/>
        <v>2.7907519259684231E-2</v>
      </c>
    </row>
    <row r="17" spans="1:8" ht="12" customHeight="1" x14ac:dyDescent="0.25">
      <c r="A17" s="3" t="s">
        <v>119</v>
      </c>
      <c r="B17" s="133">
        <v>165483.35926799983</v>
      </c>
      <c r="C17" s="133">
        <v>194667.38880300007</v>
      </c>
      <c r="D17" s="170">
        <f t="shared" si="0"/>
        <v>0.17635627935094544</v>
      </c>
      <c r="E17" s="70">
        <v>219675.04697000014</v>
      </c>
      <c r="F17" s="70">
        <v>299953.67449000041</v>
      </c>
      <c r="G17" s="246">
        <f t="shared" si="1"/>
        <v>0.36544263277641864</v>
      </c>
      <c r="H17" s="246">
        <f t="shared" si="2"/>
        <v>2.5927057515500323E-2</v>
      </c>
    </row>
    <row r="18" spans="1:8" ht="12" customHeight="1" x14ac:dyDescent="0.25">
      <c r="A18" s="3" t="s">
        <v>76</v>
      </c>
      <c r="B18" s="133">
        <v>58619.281785000079</v>
      </c>
      <c r="C18" s="133">
        <v>66469.553631999908</v>
      </c>
      <c r="D18" s="170">
        <f t="shared" si="0"/>
        <v>0.13391961839096789</v>
      </c>
      <c r="E18" s="70">
        <v>236100.14268999983</v>
      </c>
      <c r="F18" s="70">
        <v>297826.05492999987</v>
      </c>
      <c r="G18" s="246">
        <f t="shared" si="1"/>
        <v>0.26143953805672338</v>
      </c>
      <c r="H18" s="246">
        <f t="shared" si="2"/>
        <v>2.5743152734880353E-2</v>
      </c>
    </row>
    <row r="19" spans="1:8" ht="12" customHeight="1" x14ac:dyDescent="0.25">
      <c r="A19" s="3" t="s">
        <v>122</v>
      </c>
      <c r="B19" s="133">
        <v>46631.21775999992</v>
      </c>
      <c r="C19" s="133">
        <v>58532.905527999981</v>
      </c>
      <c r="D19" s="170">
        <f t="shared" si="0"/>
        <v>0.25523004415744177</v>
      </c>
      <c r="E19" s="70">
        <v>143729.46004999973</v>
      </c>
      <c r="F19" s="70">
        <v>204789.47324999954</v>
      </c>
      <c r="G19" s="246">
        <f t="shared" si="1"/>
        <v>0.42482601116541185</v>
      </c>
      <c r="H19" s="246">
        <f t="shared" si="2"/>
        <v>1.7701361587083204E-2</v>
      </c>
    </row>
    <row r="20" spans="1:8" ht="12" customHeight="1" x14ac:dyDescent="0.25">
      <c r="A20" s="3" t="s">
        <v>180</v>
      </c>
      <c r="B20" s="133">
        <v>32880.217700999994</v>
      </c>
      <c r="C20" s="133">
        <v>50691.608594000019</v>
      </c>
      <c r="D20" s="170">
        <f t="shared" si="0"/>
        <v>0.54170538209235519</v>
      </c>
      <c r="E20" s="70">
        <v>93139.353699999891</v>
      </c>
      <c r="F20" s="70">
        <v>169170.49174999987</v>
      </c>
      <c r="G20" s="246">
        <f t="shared" si="1"/>
        <v>0.81631592908508743</v>
      </c>
      <c r="H20" s="246">
        <f t="shared" si="2"/>
        <v>1.4622568224860799E-2</v>
      </c>
    </row>
    <row r="21" spans="1:8" ht="12" customHeight="1" x14ac:dyDescent="0.25">
      <c r="A21" s="3" t="s">
        <v>84</v>
      </c>
      <c r="B21" s="133">
        <v>42798.93820400002</v>
      </c>
      <c r="C21" s="133">
        <v>53226.079182999973</v>
      </c>
      <c r="D21" s="170">
        <f t="shared" si="0"/>
        <v>0.24363083330009871</v>
      </c>
      <c r="E21" s="70">
        <v>99148.690989999901</v>
      </c>
      <c r="F21" s="70">
        <v>143911.49357000022</v>
      </c>
      <c r="G21" s="246">
        <f t="shared" si="1"/>
        <v>0.45147144287073937</v>
      </c>
      <c r="H21" s="246">
        <f t="shared" si="2"/>
        <v>1.2439259419891982E-2</v>
      </c>
    </row>
    <row r="22" spans="1:8" ht="12" customHeight="1" x14ac:dyDescent="0.25">
      <c r="A22" s="3" t="s">
        <v>217</v>
      </c>
      <c r="B22" s="133">
        <v>21167.146489999999</v>
      </c>
      <c r="C22" s="133">
        <v>17298.991849999999</v>
      </c>
      <c r="D22" s="170">
        <f t="shared" si="0"/>
        <v>-0.18274332073184418</v>
      </c>
      <c r="E22" s="70">
        <v>147074.88131</v>
      </c>
      <c r="F22" s="70">
        <v>127511.50246999992</v>
      </c>
      <c r="G22" s="246">
        <f t="shared" si="1"/>
        <v>-0.13301645165883202</v>
      </c>
      <c r="H22" s="246">
        <f t="shared" si="2"/>
        <v>1.1021695480305783E-2</v>
      </c>
    </row>
    <row r="23" spans="1:8" ht="12" customHeight="1" x14ac:dyDescent="0.25">
      <c r="A23" s="3" t="s">
        <v>121</v>
      </c>
      <c r="B23" s="133">
        <v>28383.330023999959</v>
      </c>
      <c r="C23" s="133">
        <v>34351.925610000006</v>
      </c>
      <c r="D23" s="170">
        <f t="shared" si="0"/>
        <v>0.21028524774764668</v>
      </c>
      <c r="E23" s="70">
        <v>86982.883590000201</v>
      </c>
      <c r="F23" s="70">
        <v>115038.73349999997</v>
      </c>
      <c r="G23" s="246">
        <f t="shared" si="1"/>
        <v>0.3225444909626467</v>
      </c>
      <c r="H23" s="246">
        <f t="shared" si="2"/>
        <v>9.9435883392195116E-3</v>
      </c>
    </row>
    <row r="24" spans="1:8" ht="12" customHeight="1" x14ac:dyDescent="0.25">
      <c r="A24" s="3" t="s">
        <v>77</v>
      </c>
      <c r="B24" s="133">
        <v>40074.377278000014</v>
      </c>
      <c r="C24" s="133">
        <v>43001.754895999962</v>
      </c>
      <c r="D24" s="170">
        <f t="shared" si="0"/>
        <v>7.3048611527820606E-2</v>
      </c>
      <c r="E24" s="70">
        <v>116762.34895000001</v>
      </c>
      <c r="F24" s="70">
        <v>111696.22293000016</v>
      </c>
      <c r="G24" s="246">
        <f t="shared" si="1"/>
        <v>-4.3388353056936779E-2</v>
      </c>
      <c r="H24" s="246">
        <f t="shared" si="2"/>
        <v>9.6546721792761473E-3</v>
      </c>
    </row>
    <row r="25" spans="1:8" ht="12" customHeight="1" x14ac:dyDescent="0.25">
      <c r="A25" s="3" t="s">
        <v>87</v>
      </c>
      <c r="B25" s="133">
        <v>8476.4364760000062</v>
      </c>
      <c r="C25" s="133">
        <v>14364.349834000017</v>
      </c>
      <c r="D25" s="170">
        <f t="shared" si="0"/>
        <v>0.69462130397259725</v>
      </c>
      <c r="E25" s="70">
        <v>29567.20593</v>
      </c>
      <c r="F25" s="70">
        <v>95396.780469999983</v>
      </c>
      <c r="G25" s="246">
        <f t="shared" si="1"/>
        <v>2.2264388016862569</v>
      </c>
      <c r="H25" s="246">
        <f t="shared" si="2"/>
        <v>8.2457993496649166E-3</v>
      </c>
    </row>
    <row r="26" spans="1:8" ht="12" customHeight="1" x14ac:dyDescent="0.25">
      <c r="A26" s="3" t="s">
        <v>75</v>
      </c>
      <c r="B26" s="133">
        <v>38262.65858000001</v>
      </c>
      <c r="C26" s="133">
        <v>21885.088962999998</v>
      </c>
      <c r="D26" s="170">
        <f t="shared" si="0"/>
        <v>-0.42803010101239047</v>
      </c>
      <c r="E26" s="70">
        <v>196369.78753000006</v>
      </c>
      <c r="F26" s="70">
        <v>82258.336949999997</v>
      </c>
      <c r="G26" s="246">
        <f t="shared" si="1"/>
        <v>-0.58110492461864527</v>
      </c>
      <c r="H26" s="246">
        <f t="shared" si="2"/>
        <v>7.1101533823788978E-3</v>
      </c>
    </row>
    <row r="27" spans="1:8" ht="12" customHeight="1" x14ac:dyDescent="0.25">
      <c r="A27" s="3" t="s">
        <v>183</v>
      </c>
      <c r="B27" s="133">
        <v>55166.702712000013</v>
      </c>
      <c r="C27" s="133">
        <v>52948.076107999979</v>
      </c>
      <c r="D27" s="170">
        <f t="shared" si="0"/>
        <v>-4.0216770169905991E-2</v>
      </c>
      <c r="E27" s="70">
        <v>80644.026210000084</v>
      </c>
      <c r="F27" s="70">
        <v>79261.362449999899</v>
      </c>
      <c r="G27" s="246">
        <f t="shared" si="1"/>
        <v>-1.7145271943636353E-2</v>
      </c>
      <c r="H27" s="246">
        <f t="shared" si="2"/>
        <v>6.8511042796596013E-3</v>
      </c>
    </row>
    <row r="28" spans="1:8" ht="12" customHeight="1" x14ac:dyDescent="0.25">
      <c r="A28" s="3" t="s">
        <v>120</v>
      </c>
      <c r="B28" s="133">
        <v>22478.152350999993</v>
      </c>
      <c r="C28" s="133">
        <v>30360.886799999989</v>
      </c>
      <c r="D28" s="170">
        <f t="shared" si="0"/>
        <v>0.35068427003740421</v>
      </c>
      <c r="E28" s="70">
        <v>51795.653160000038</v>
      </c>
      <c r="F28" s="70">
        <v>76286.171299999827</v>
      </c>
      <c r="G28" s="246">
        <f t="shared" si="1"/>
        <v>0.47282960337129132</v>
      </c>
      <c r="H28" s="246">
        <f t="shared" si="2"/>
        <v>6.5939380615867137E-3</v>
      </c>
    </row>
    <row r="29" spans="1:8" ht="12" customHeight="1" x14ac:dyDescent="0.25">
      <c r="A29" s="3" t="s">
        <v>181</v>
      </c>
      <c r="B29" s="133">
        <v>36931.908473000076</v>
      </c>
      <c r="C29" s="133">
        <v>46991.837492000035</v>
      </c>
      <c r="D29" s="170">
        <f t="shared" si="0"/>
        <v>0.27239125826260779</v>
      </c>
      <c r="E29" s="70">
        <v>53558.975149999904</v>
      </c>
      <c r="F29" s="70">
        <v>62934.312659999952</v>
      </c>
      <c r="G29" s="246">
        <f t="shared" si="1"/>
        <v>0.17504699228734344</v>
      </c>
      <c r="H29" s="246">
        <f t="shared" si="2"/>
        <v>5.4398451587853282E-3</v>
      </c>
    </row>
    <row r="30" spans="1:8" ht="12" customHeight="1" x14ac:dyDescent="0.25">
      <c r="A30" s="3" t="s">
        <v>223</v>
      </c>
      <c r="B30" s="133">
        <v>7342.9725479999988</v>
      </c>
      <c r="C30" s="133">
        <v>11171.062859999996</v>
      </c>
      <c r="D30" s="170">
        <f t="shared" si="0"/>
        <v>0.52132706298114284</v>
      </c>
      <c r="E30" s="70">
        <v>34374.40211000001</v>
      </c>
      <c r="F30" s="70">
        <v>60789.792369999959</v>
      </c>
      <c r="G30" s="246">
        <f t="shared" si="1"/>
        <v>0.768461082623902</v>
      </c>
      <c r="H30" s="246">
        <f t="shared" si="2"/>
        <v>5.2544795319213675E-3</v>
      </c>
    </row>
    <row r="31" spans="1:8" ht="12" customHeight="1" x14ac:dyDescent="0.25">
      <c r="A31" s="3" t="s">
        <v>79</v>
      </c>
      <c r="B31" s="133">
        <v>18218.364630000004</v>
      </c>
      <c r="C31" s="133">
        <v>22518.760400999956</v>
      </c>
      <c r="D31" s="170">
        <f t="shared" si="0"/>
        <v>0.23604729943315172</v>
      </c>
      <c r="E31" s="70">
        <v>40368.731499999987</v>
      </c>
      <c r="F31" s="70">
        <v>48486.016869999963</v>
      </c>
      <c r="G31" s="246">
        <f t="shared" si="1"/>
        <v>0.20107853450881841</v>
      </c>
      <c r="H31" s="246">
        <f t="shared" si="2"/>
        <v>4.19097965785352E-3</v>
      </c>
    </row>
    <row r="32" spans="1:8" ht="12" customHeight="1" x14ac:dyDescent="0.25">
      <c r="A32" s="3" t="s">
        <v>86</v>
      </c>
      <c r="B32" s="133">
        <v>24528.576760999993</v>
      </c>
      <c r="C32" s="133">
        <v>36825.522080000068</v>
      </c>
      <c r="D32" s="170">
        <f t="shared" si="0"/>
        <v>0.50133138334189864</v>
      </c>
      <c r="E32" s="70">
        <v>52936.524470000004</v>
      </c>
      <c r="F32" s="70">
        <v>48033.400760000033</v>
      </c>
      <c r="G32" s="246">
        <f t="shared" si="1"/>
        <v>-9.2622697827067446E-2</v>
      </c>
      <c r="H32" s="246">
        <f t="shared" si="2"/>
        <v>4.1518569368654782E-3</v>
      </c>
    </row>
    <row r="33" spans="1:8" ht="12" customHeight="1" x14ac:dyDescent="0.25">
      <c r="A33" s="3" t="s">
        <v>126</v>
      </c>
      <c r="B33" s="133">
        <v>11000.620966000002</v>
      </c>
      <c r="C33" s="133">
        <v>10802.534169999992</v>
      </c>
      <c r="D33" s="170">
        <f t="shared" si="0"/>
        <v>-1.8006874031224585E-2</v>
      </c>
      <c r="E33" s="70">
        <v>43192.098470000041</v>
      </c>
      <c r="F33" s="70">
        <v>46497.17429000001</v>
      </c>
      <c r="G33" s="246">
        <f t="shared" si="1"/>
        <v>7.6520380742685523E-2</v>
      </c>
      <c r="H33" s="246">
        <f t="shared" si="2"/>
        <v>4.0190703253587317E-3</v>
      </c>
    </row>
    <row r="34" spans="1:8" ht="12" customHeight="1" x14ac:dyDescent="0.25">
      <c r="A34" s="3" t="s">
        <v>182</v>
      </c>
      <c r="B34" s="133">
        <v>29957.210427999999</v>
      </c>
      <c r="C34" s="133">
        <v>32412.742035000003</v>
      </c>
      <c r="D34" s="170">
        <f t="shared" si="0"/>
        <v>8.1967966039484752E-2</v>
      </c>
      <c r="E34" s="70">
        <v>41488.57670000002</v>
      </c>
      <c r="F34" s="70">
        <v>44417.851599999995</v>
      </c>
      <c r="G34" s="246">
        <f t="shared" si="1"/>
        <v>7.0604371925826248E-2</v>
      </c>
      <c r="H34" s="246">
        <f t="shared" si="2"/>
        <v>3.839340175132776E-3</v>
      </c>
    </row>
    <row r="35" spans="1:8" ht="12" customHeight="1" x14ac:dyDescent="0.25">
      <c r="A35" s="3" t="s">
        <v>129</v>
      </c>
      <c r="B35" s="133">
        <v>17142.696963999992</v>
      </c>
      <c r="C35" s="133">
        <v>21951.673729000006</v>
      </c>
      <c r="D35" s="170">
        <f t="shared" si="0"/>
        <v>0.28052626579697248</v>
      </c>
      <c r="E35" s="70">
        <v>35189.622239999968</v>
      </c>
      <c r="F35" s="70">
        <v>44408.339200000024</v>
      </c>
      <c r="G35" s="246">
        <f t="shared" si="1"/>
        <v>0.26197260365930153</v>
      </c>
      <c r="H35" s="246">
        <f t="shared" si="2"/>
        <v>3.8385179530268823E-3</v>
      </c>
    </row>
    <row r="36" spans="1:8" ht="12" customHeight="1" x14ac:dyDescent="0.25">
      <c r="A36" s="3" t="s">
        <v>123</v>
      </c>
      <c r="B36" s="133">
        <v>6806.7456910000028</v>
      </c>
      <c r="C36" s="133">
        <v>7803.0186040000062</v>
      </c>
      <c r="D36" s="170">
        <f t="shared" si="0"/>
        <v>0.14636552593955332</v>
      </c>
      <c r="E36" s="70">
        <v>29877.264150000025</v>
      </c>
      <c r="F36" s="70">
        <v>42464.377550000034</v>
      </c>
      <c r="G36" s="246">
        <f t="shared" si="1"/>
        <v>0.42129404274788662</v>
      </c>
      <c r="H36" s="246">
        <f>(F36/$F$5)</f>
        <v>3.670487987755839E-3</v>
      </c>
    </row>
    <row r="37" spans="1:8" ht="12" customHeight="1" x14ac:dyDescent="0.25">
      <c r="A37" s="3" t="s">
        <v>124</v>
      </c>
      <c r="B37" s="133">
        <v>17656.966560000008</v>
      </c>
      <c r="C37" s="133">
        <v>6044.9527799999987</v>
      </c>
      <c r="D37" s="170">
        <f t="shared" si="0"/>
        <v>-0.65764488710681479</v>
      </c>
      <c r="E37" s="70">
        <v>135376.90133000002</v>
      </c>
      <c r="F37" s="70">
        <v>39747.014829999986</v>
      </c>
      <c r="G37" s="246">
        <f t="shared" si="1"/>
        <v>-0.7063973658762428</v>
      </c>
      <c r="H37" s="246">
        <f t="shared" si="2"/>
        <v>3.4356076528117628E-3</v>
      </c>
    </row>
    <row r="38" spans="1:8" ht="12" customHeight="1" x14ac:dyDescent="0.25">
      <c r="A38" s="3" t="s">
        <v>131</v>
      </c>
      <c r="B38" s="133">
        <v>9753.4498599999988</v>
      </c>
      <c r="C38" s="133">
        <v>26592.238195999998</v>
      </c>
      <c r="D38" s="170">
        <f t="shared" si="0"/>
        <v>1.7264443430480712</v>
      </c>
      <c r="E38" s="70">
        <v>18164.563070000004</v>
      </c>
      <c r="F38" s="70">
        <v>37168.624220000005</v>
      </c>
      <c r="G38" s="246">
        <f t="shared" si="1"/>
        <v>1.0462162550656937</v>
      </c>
      <c r="H38" s="246">
        <f t="shared" si="2"/>
        <v>3.2127396324197538E-3</v>
      </c>
    </row>
    <row r="39" spans="1:8" ht="12" customHeight="1" x14ac:dyDescent="0.25">
      <c r="A39" s="3" t="s">
        <v>127</v>
      </c>
      <c r="B39" s="133">
        <v>8711.9434569999994</v>
      </c>
      <c r="C39" s="133">
        <v>7339.687750000001</v>
      </c>
      <c r="D39" s="170">
        <f t="shared" si="0"/>
        <v>-0.1575143036422485</v>
      </c>
      <c r="E39" s="70">
        <v>17527.479629999994</v>
      </c>
      <c r="F39" s="70">
        <v>21063.079210000011</v>
      </c>
      <c r="G39" s="246">
        <f t="shared" si="1"/>
        <v>0.20171751185198872</v>
      </c>
      <c r="H39" s="246">
        <f t="shared" si="2"/>
        <v>1.8206266919707792E-3</v>
      </c>
    </row>
    <row r="40" spans="1:8" ht="12" customHeight="1" x14ac:dyDescent="0.25">
      <c r="A40" s="3" t="s">
        <v>139</v>
      </c>
      <c r="B40" s="133">
        <v>5364.0070800000021</v>
      </c>
      <c r="C40" s="133">
        <v>5211.2670109999999</v>
      </c>
      <c r="D40" s="170">
        <f t="shared" si="0"/>
        <v>-2.847499392189512E-2</v>
      </c>
      <c r="E40" s="70">
        <v>23701.638769999983</v>
      </c>
      <c r="F40" s="70">
        <v>20812.225090000004</v>
      </c>
      <c r="G40" s="246">
        <f t="shared" si="1"/>
        <v>-0.12190775954518451</v>
      </c>
      <c r="H40" s="246">
        <f t="shared" si="2"/>
        <v>1.7989436463861611E-3</v>
      </c>
    </row>
    <row r="41" spans="1:8" ht="12" customHeight="1" x14ac:dyDescent="0.25">
      <c r="A41" s="3" t="s">
        <v>193</v>
      </c>
      <c r="B41" s="133">
        <v>3997.4598839999999</v>
      </c>
      <c r="C41" s="133">
        <v>4975.9228750000002</v>
      </c>
      <c r="D41" s="170">
        <f t="shared" si="0"/>
        <v>0.24477118455055402</v>
      </c>
      <c r="E41" s="70">
        <v>19960.675190000002</v>
      </c>
      <c r="F41" s="70">
        <v>20181.035229999994</v>
      </c>
      <c r="G41" s="246">
        <f t="shared" si="1"/>
        <v>1.1039708722397901E-2</v>
      </c>
      <c r="H41" s="246">
        <f t="shared" si="2"/>
        <v>1.7443855689388838E-3</v>
      </c>
    </row>
    <row r="42" spans="1:8" ht="12" customHeight="1" x14ac:dyDescent="0.25">
      <c r="A42" s="3" t="s">
        <v>130</v>
      </c>
      <c r="B42" s="133">
        <v>2836.2151929999995</v>
      </c>
      <c r="C42" s="133">
        <v>3234.4679640000008</v>
      </c>
      <c r="D42" s="170">
        <f t="shared" si="0"/>
        <v>0.14041697963642541</v>
      </c>
      <c r="E42" s="70">
        <v>14080.317649999997</v>
      </c>
      <c r="F42" s="70">
        <v>19821.565449999998</v>
      </c>
      <c r="G42" s="246">
        <f t="shared" si="1"/>
        <v>0.40774987771671478</v>
      </c>
      <c r="H42" s="246">
        <f t="shared" si="2"/>
        <v>1.7133141254001756E-3</v>
      </c>
    </row>
    <row r="43" spans="1:8" ht="12" customHeight="1" x14ac:dyDescent="0.25">
      <c r="A43" s="3" t="s">
        <v>294</v>
      </c>
      <c r="B43" s="133">
        <v>5066.2477110000018</v>
      </c>
      <c r="C43" s="133">
        <v>9287.8759310000005</v>
      </c>
      <c r="D43" s="170">
        <f t="shared" si="0"/>
        <v>0.83328499923796895</v>
      </c>
      <c r="E43" s="70">
        <v>16160.694099999992</v>
      </c>
      <c r="F43" s="70">
        <v>19061.934329999993</v>
      </c>
      <c r="G43" s="246">
        <f t="shared" si="1"/>
        <v>0.17952448156295486</v>
      </c>
      <c r="H43" s="246">
        <f t="shared" si="2"/>
        <v>1.6476539871395233E-3</v>
      </c>
    </row>
    <row r="44" spans="1:8" ht="12" customHeight="1" x14ac:dyDescent="0.25">
      <c r="A44" s="3" t="s">
        <v>305</v>
      </c>
      <c r="B44" s="133">
        <v>2832.3361069999987</v>
      </c>
      <c r="C44" s="133">
        <v>4701.5577279999998</v>
      </c>
      <c r="D44" s="170">
        <f t="shared" si="0"/>
        <v>0.65995755813736201</v>
      </c>
      <c r="E44" s="70">
        <v>12504.895360000002</v>
      </c>
      <c r="F44" s="70">
        <v>18733.719149999994</v>
      </c>
      <c r="G44" s="246">
        <f t="shared" si="1"/>
        <v>0.49811082865390643</v>
      </c>
      <c r="H44" s="246">
        <f t="shared" si="2"/>
        <v>1.6192840934758138E-3</v>
      </c>
    </row>
    <row r="45" spans="1:8" ht="12" customHeight="1" x14ac:dyDescent="0.25">
      <c r="A45" s="3" t="s">
        <v>128</v>
      </c>
      <c r="B45" s="133">
        <v>10504.547478999995</v>
      </c>
      <c r="C45" s="133">
        <v>9289.2843309999971</v>
      </c>
      <c r="D45" s="170">
        <f t="shared" si="0"/>
        <v>-0.11568924319962115</v>
      </c>
      <c r="E45" s="70">
        <v>19828.620059999997</v>
      </c>
      <c r="F45" s="70">
        <v>17985.376310000007</v>
      </c>
      <c r="G45" s="246">
        <f t="shared" si="1"/>
        <v>-9.2958750756354513E-2</v>
      </c>
      <c r="H45" s="246">
        <f t="shared" si="2"/>
        <v>1.554599678834181E-3</v>
      </c>
    </row>
    <row r="46" spans="1:8" ht="12" customHeight="1" x14ac:dyDescent="0.25">
      <c r="A46" s="3" t="s">
        <v>219</v>
      </c>
      <c r="B46" s="133">
        <v>19493.224743000002</v>
      </c>
      <c r="C46" s="133">
        <v>16717.695571999993</v>
      </c>
      <c r="D46" s="170">
        <f t="shared" si="0"/>
        <v>-0.14238430057585516</v>
      </c>
      <c r="E46" s="70">
        <v>16679.485359999999</v>
      </c>
      <c r="F46" s="70">
        <v>17692.108150000011</v>
      </c>
      <c r="G46" s="246">
        <f t="shared" si="1"/>
        <v>6.0710673509653867E-2</v>
      </c>
      <c r="H46" s="246">
        <f t="shared" si="2"/>
        <v>1.5292504962821989E-3</v>
      </c>
    </row>
    <row r="47" spans="1:8" ht="12" customHeight="1" x14ac:dyDescent="0.25">
      <c r="A47" s="3" t="s">
        <v>125</v>
      </c>
      <c r="B47" s="133">
        <v>3225.8175910000004</v>
      </c>
      <c r="C47" s="133">
        <v>6544.496390000003</v>
      </c>
      <c r="D47" s="170">
        <f t="shared" si="0"/>
        <v>1.0287868750728757</v>
      </c>
      <c r="E47" s="70">
        <v>9396.0752100000045</v>
      </c>
      <c r="F47" s="70">
        <v>17158.92628</v>
      </c>
      <c r="G47" s="246">
        <f t="shared" si="1"/>
        <v>0.8261801759247509</v>
      </c>
      <c r="H47" s="246">
        <f t="shared" si="2"/>
        <v>1.4831639229697818E-3</v>
      </c>
    </row>
    <row r="48" spans="1:8" ht="12" customHeight="1" x14ac:dyDescent="0.25">
      <c r="A48" s="3" t="s">
        <v>132</v>
      </c>
      <c r="B48" s="133">
        <v>3867.9855399999997</v>
      </c>
      <c r="C48" s="133">
        <v>5678.0430400000005</v>
      </c>
      <c r="D48" s="170">
        <f t="shared" si="0"/>
        <v>0.46795870389939487</v>
      </c>
      <c r="E48" s="70">
        <v>10657.660109999997</v>
      </c>
      <c r="F48" s="70">
        <v>16750.973430000002</v>
      </c>
      <c r="G48" s="246">
        <f t="shared" si="1"/>
        <v>0.57173087311000814</v>
      </c>
      <c r="H48" s="246">
        <f t="shared" si="2"/>
        <v>1.4479017544914462E-3</v>
      </c>
    </row>
    <row r="49" spans="1:8" ht="12" customHeight="1" x14ac:dyDescent="0.25">
      <c r="A49" s="3" t="s">
        <v>141</v>
      </c>
      <c r="B49" s="133">
        <v>943.35339199999964</v>
      </c>
      <c r="C49" s="133">
        <v>2120.3386099999998</v>
      </c>
      <c r="D49" s="170">
        <f t="shared" si="0"/>
        <v>1.2476609804780354</v>
      </c>
      <c r="E49" s="70">
        <v>5668.4148199999972</v>
      </c>
      <c r="F49" s="70">
        <v>16015.161750000003</v>
      </c>
      <c r="G49" s="246">
        <f t="shared" si="1"/>
        <v>1.8253334059979771</v>
      </c>
      <c r="H49" s="246">
        <f t="shared" si="2"/>
        <v>1.3843004941289136E-3</v>
      </c>
    </row>
    <row r="50" spans="1:8" ht="12" customHeight="1" x14ac:dyDescent="0.25">
      <c r="A50" s="3" t="s">
        <v>143</v>
      </c>
      <c r="B50" s="133">
        <v>8601.9838049999998</v>
      </c>
      <c r="C50" s="133">
        <v>2616.8536999999988</v>
      </c>
      <c r="D50" s="170">
        <f t="shared" si="0"/>
        <v>-0.6957848608737297</v>
      </c>
      <c r="E50" s="70">
        <v>12973.207310000007</v>
      </c>
      <c r="F50" s="70">
        <v>14523.037519999998</v>
      </c>
      <c r="G50" s="246">
        <f t="shared" si="1"/>
        <v>0.11946392075345558</v>
      </c>
      <c r="H50" s="246">
        <f t="shared" si="2"/>
        <v>1.2553259423176756E-3</v>
      </c>
    </row>
    <row r="51" spans="1:8" ht="12" customHeight="1" x14ac:dyDescent="0.25">
      <c r="A51" s="3" t="s">
        <v>218</v>
      </c>
      <c r="B51" s="133">
        <v>2964.4315000000006</v>
      </c>
      <c r="C51" s="133">
        <v>3510.3705999999988</v>
      </c>
      <c r="D51" s="170">
        <f t="shared" si="0"/>
        <v>0.18416316922823084</v>
      </c>
      <c r="E51" s="70">
        <v>22158.227560000003</v>
      </c>
      <c r="F51" s="70">
        <v>14452.736260000009</v>
      </c>
      <c r="G51" s="246">
        <f t="shared" si="1"/>
        <v>-0.3477485407682126</v>
      </c>
      <c r="H51" s="246">
        <f t="shared" si="2"/>
        <v>1.2492493212710059E-3</v>
      </c>
    </row>
    <row r="52" spans="1:8" ht="12" customHeight="1" x14ac:dyDescent="0.25">
      <c r="A52" s="3" t="s">
        <v>202</v>
      </c>
      <c r="B52" s="133">
        <v>2838.2985899999971</v>
      </c>
      <c r="C52" s="133">
        <v>4213.2968299999993</v>
      </c>
      <c r="D52" s="170">
        <f t="shared" si="0"/>
        <v>0.48444453478025484</v>
      </c>
      <c r="E52" s="70">
        <v>9667.8576400000056</v>
      </c>
      <c r="F52" s="70">
        <v>14418.779400000001</v>
      </c>
      <c r="G52" s="246">
        <f t="shared" si="1"/>
        <v>0.49141412057449285</v>
      </c>
      <c r="H52" s="246">
        <f t="shared" si="2"/>
        <v>1.2463141964929451E-3</v>
      </c>
    </row>
    <row r="53" spans="1:8" ht="12" customHeight="1" x14ac:dyDescent="0.25">
      <c r="A53" s="3" t="s">
        <v>311</v>
      </c>
      <c r="B53" s="133">
        <v>2103.0021000000002</v>
      </c>
      <c r="C53" s="133">
        <v>1806.2979999999998</v>
      </c>
      <c r="D53" s="170">
        <f t="shared" si="0"/>
        <v>-0.14108597418899405</v>
      </c>
      <c r="E53" s="70">
        <v>15757.168939999998</v>
      </c>
      <c r="F53" s="70">
        <v>13885.9776</v>
      </c>
      <c r="G53" s="246">
        <f t="shared" si="1"/>
        <v>-0.11875174703813252</v>
      </c>
      <c r="H53" s="246">
        <f t="shared" si="2"/>
        <v>1.2002604752426569E-3</v>
      </c>
    </row>
    <row r="54" spans="1:8" ht="12" customHeight="1" x14ac:dyDescent="0.25">
      <c r="A54" s="3" t="s">
        <v>134</v>
      </c>
      <c r="B54" s="133">
        <v>2161.4546259999988</v>
      </c>
      <c r="C54" s="133">
        <v>3361.592689999999</v>
      </c>
      <c r="D54" s="170">
        <f t="shared" si="0"/>
        <v>0.55524555064150616</v>
      </c>
      <c r="E54" s="70">
        <v>8042.3520499999968</v>
      </c>
      <c r="F54" s="70">
        <v>13514.524009999999</v>
      </c>
      <c r="G54" s="246">
        <f t="shared" si="1"/>
        <v>0.68041935070474868</v>
      </c>
      <c r="H54" s="246">
        <f t="shared" si="2"/>
        <v>1.1681531886470059E-3</v>
      </c>
    </row>
    <row r="55" spans="1:8" ht="12" customHeight="1" x14ac:dyDescent="0.25">
      <c r="A55" s="3" t="s">
        <v>80</v>
      </c>
      <c r="B55" s="133">
        <v>2368.8535600000005</v>
      </c>
      <c r="C55" s="133">
        <v>2594.6538860000005</v>
      </c>
      <c r="D55" s="170">
        <f t="shared" si="0"/>
        <v>9.532050854169305E-2</v>
      </c>
      <c r="E55" s="70">
        <v>10092.942860000005</v>
      </c>
      <c r="F55" s="70">
        <v>13174.679930000004</v>
      </c>
      <c r="G55" s="246">
        <f t="shared" si="1"/>
        <v>0.30533582848402241</v>
      </c>
      <c r="H55" s="246">
        <f t="shared" si="2"/>
        <v>1.1387781292367704E-3</v>
      </c>
    </row>
    <row r="56" spans="1:8" ht="12" customHeight="1" x14ac:dyDescent="0.25">
      <c r="A56" s="3" t="s">
        <v>133</v>
      </c>
      <c r="B56" s="133">
        <v>5174.9445250000008</v>
      </c>
      <c r="C56" s="133">
        <v>3909.5308340000001</v>
      </c>
      <c r="D56" s="170">
        <f t="shared" si="0"/>
        <v>-0.24452700601655253</v>
      </c>
      <c r="E56" s="70">
        <v>11670.904719999997</v>
      </c>
      <c r="F56" s="70">
        <v>10127.384910000004</v>
      </c>
      <c r="G56" s="246">
        <f t="shared" si="1"/>
        <v>-0.13225365531045075</v>
      </c>
      <c r="H56" s="246">
        <f t="shared" si="2"/>
        <v>8.7537947814649486E-4</v>
      </c>
    </row>
    <row r="57" spans="1:8" ht="12" customHeight="1" x14ac:dyDescent="0.25">
      <c r="A57" s="117" t="s">
        <v>18</v>
      </c>
      <c r="B57" s="134">
        <v>44400.222303000017</v>
      </c>
      <c r="C57" s="134">
        <v>62937.754389000002</v>
      </c>
      <c r="D57" s="171">
        <f t="shared" si="0"/>
        <v>0.41750989352022794</v>
      </c>
      <c r="E57" s="149">
        <v>101242.64568999995</v>
      </c>
      <c r="F57" s="149">
        <v>137964.98501999996</v>
      </c>
      <c r="G57" s="247">
        <f t="shared" si="1"/>
        <v>0.36271611710387375</v>
      </c>
      <c r="H57" s="247">
        <f t="shared" si="2"/>
        <v>1.1925261818581013E-2</v>
      </c>
    </row>
    <row r="58" spans="1:8" ht="8.1" customHeight="1" x14ac:dyDescent="0.25">
      <c r="A58" s="8" t="s">
        <v>44</v>
      </c>
      <c r="B58" s="32"/>
      <c r="C58" s="9"/>
      <c r="D58" s="35"/>
      <c r="E58" s="9"/>
      <c r="F58" s="9"/>
      <c r="G58" s="35"/>
      <c r="H58" s="10"/>
    </row>
    <row r="59" spans="1:8" ht="8.1" customHeight="1" x14ac:dyDescent="0.25">
      <c r="A59" s="11" t="s">
        <v>20</v>
      </c>
      <c r="B59" s="32"/>
      <c r="C59" s="9"/>
      <c r="D59" s="35"/>
      <c r="E59" s="9"/>
      <c r="F59" s="9"/>
      <c r="G59" s="35"/>
      <c r="H59" s="10"/>
    </row>
    <row r="60" spans="1:8" ht="8.1" customHeight="1" x14ac:dyDescent="0.25">
      <c r="A60" s="214" t="s">
        <v>348</v>
      </c>
      <c r="B60" s="11"/>
      <c r="C60" s="11"/>
      <c r="D60" s="11"/>
      <c r="E60" s="11"/>
      <c r="F60" s="11"/>
      <c r="G60" s="11"/>
      <c r="H60" s="10"/>
    </row>
    <row r="61" spans="1:8" ht="8.1" customHeight="1" x14ac:dyDescent="0.25">
      <c r="A61" s="225" t="s">
        <v>349</v>
      </c>
      <c r="B61" s="28"/>
      <c r="C61" s="28"/>
      <c r="D61" s="36"/>
      <c r="E61" s="28"/>
      <c r="F61" s="28"/>
      <c r="G61" s="36"/>
    </row>
    <row r="62" spans="1:8" x14ac:dyDescent="0.25">
      <c r="B62" s="28"/>
      <c r="C62" s="28"/>
      <c r="D62" s="28"/>
      <c r="E62" s="28"/>
      <c r="F62" s="28"/>
      <c r="G62" s="36"/>
    </row>
    <row r="63" spans="1:8" x14ac:dyDescent="0.25">
      <c r="B63" s="28"/>
      <c r="C63" s="28"/>
      <c r="D63" s="28"/>
      <c r="E63" s="28"/>
      <c r="F63" s="28"/>
      <c r="G63" s="36"/>
    </row>
    <row r="64" spans="1:8" x14ac:dyDescent="0.25">
      <c r="B64" s="28"/>
      <c r="C64" s="28"/>
      <c r="D64" s="36"/>
      <c r="E64" s="28"/>
      <c r="F64" s="28"/>
      <c r="G64" s="36"/>
    </row>
    <row r="65" spans="2:7" x14ac:dyDescent="0.25">
      <c r="B65" s="28"/>
      <c r="C65" s="28"/>
      <c r="D65" s="36"/>
      <c r="E65" s="28"/>
      <c r="F65" s="28"/>
      <c r="G65" s="36"/>
    </row>
    <row r="66" spans="2:7" x14ac:dyDescent="0.25">
      <c r="B66" s="28"/>
      <c r="C66" s="28"/>
      <c r="D66" s="36"/>
      <c r="E66" s="28"/>
      <c r="F66" s="28"/>
      <c r="G66" s="36"/>
    </row>
    <row r="67" spans="2:7" x14ac:dyDescent="0.25">
      <c r="B67" s="28"/>
      <c r="C67" s="28"/>
      <c r="D67" s="36"/>
      <c r="E67" s="28"/>
      <c r="F67" s="28"/>
      <c r="G67" s="36"/>
    </row>
    <row r="68" spans="2:7" x14ac:dyDescent="0.25">
      <c r="B68" s="28"/>
      <c r="C68" s="28"/>
      <c r="D68" s="36"/>
      <c r="E68" s="28"/>
      <c r="F68" s="28"/>
      <c r="G68" s="36"/>
    </row>
    <row r="69" spans="2:7" x14ac:dyDescent="0.25">
      <c r="B69" s="28"/>
      <c r="C69" s="28"/>
      <c r="D69" s="36"/>
      <c r="E69" s="28"/>
      <c r="F69" s="28"/>
      <c r="G69" s="36"/>
    </row>
    <row r="70" spans="2:7" x14ac:dyDescent="0.25">
      <c r="B70" s="28"/>
      <c r="C70" s="28"/>
      <c r="D70" s="36"/>
      <c r="E70" s="28"/>
      <c r="F70" s="28"/>
      <c r="G70" s="36"/>
    </row>
    <row r="71" spans="2:7" x14ac:dyDescent="0.25">
      <c r="B71" s="28"/>
      <c r="C71" s="28"/>
      <c r="D71" s="36"/>
      <c r="E71" s="28"/>
      <c r="F71" s="28"/>
      <c r="G71" s="36"/>
    </row>
    <row r="72" spans="2:7" x14ac:dyDescent="0.25">
      <c r="B72" s="28"/>
      <c r="C72" s="28"/>
      <c r="D72" s="36"/>
      <c r="E72" s="28"/>
      <c r="F72" s="28"/>
      <c r="G72" s="36"/>
    </row>
    <row r="73" spans="2:7" x14ac:dyDescent="0.25">
      <c r="B73" s="28"/>
      <c r="C73" s="28"/>
      <c r="D73" s="36"/>
      <c r="E73" s="28"/>
      <c r="F73" s="28"/>
      <c r="G73" s="36"/>
    </row>
    <row r="74" spans="2:7" x14ac:dyDescent="0.25">
      <c r="B74" s="28"/>
      <c r="C74" s="28"/>
      <c r="D74" s="36"/>
      <c r="E74" s="28"/>
      <c r="F74" s="28"/>
      <c r="G74" s="36"/>
    </row>
    <row r="75" spans="2:7" x14ac:dyDescent="0.25">
      <c r="B75" s="28"/>
      <c r="C75" s="28"/>
      <c r="D75" s="36"/>
      <c r="E75" s="28"/>
      <c r="F75" s="28"/>
      <c r="G75" s="36"/>
    </row>
    <row r="76" spans="2:7" x14ac:dyDescent="0.25">
      <c r="B76" s="28"/>
      <c r="C76" s="28"/>
      <c r="D76" s="36"/>
      <c r="E76" s="28"/>
      <c r="F76" s="28"/>
      <c r="G76" s="36"/>
    </row>
    <row r="77" spans="2:7" x14ac:dyDescent="0.25">
      <c r="B77" s="28"/>
      <c r="C77" s="28"/>
      <c r="D77" s="36"/>
      <c r="E77" s="28"/>
      <c r="F77" s="28"/>
      <c r="G77" s="36"/>
    </row>
    <row r="78" spans="2:7" x14ac:dyDescent="0.25">
      <c r="B78" s="28"/>
      <c r="C78" s="28"/>
      <c r="D78" s="36"/>
      <c r="E78" s="28"/>
      <c r="F78" s="28"/>
      <c r="G78" s="36"/>
    </row>
    <row r="79" spans="2:7" x14ac:dyDescent="0.25">
      <c r="B79" s="28"/>
      <c r="C79" s="28"/>
      <c r="D79" s="36"/>
      <c r="E79" s="28"/>
      <c r="F79" s="28"/>
      <c r="G79" s="36"/>
    </row>
    <row r="80" spans="2:7" x14ac:dyDescent="0.25">
      <c r="B80" s="28"/>
      <c r="C80" s="28"/>
      <c r="D80" s="36"/>
      <c r="E80" s="28"/>
      <c r="F80" s="28"/>
      <c r="G80" s="36"/>
    </row>
    <row r="81" spans="2:7" x14ac:dyDescent="0.25">
      <c r="B81" s="28"/>
      <c r="C81" s="28"/>
      <c r="D81" s="36"/>
      <c r="E81" s="28"/>
      <c r="F81" s="28"/>
      <c r="G81" s="36"/>
    </row>
    <row r="82" spans="2:7" x14ac:dyDescent="0.25">
      <c r="B82" s="28"/>
      <c r="C82" s="28"/>
      <c r="D82" s="36"/>
      <c r="E82" s="28"/>
      <c r="F82" s="28"/>
      <c r="G82" s="36"/>
    </row>
    <row r="83" spans="2:7" x14ac:dyDescent="0.25">
      <c r="B83" s="28"/>
      <c r="C83" s="28"/>
      <c r="D83" s="36"/>
      <c r="E83" s="28"/>
      <c r="F83" s="28"/>
      <c r="G83" s="36"/>
    </row>
    <row r="84" spans="2:7" x14ac:dyDescent="0.25">
      <c r="B84" s="28"/>
      <c r="C84" s="28"/>
      <c r="D84" s="36"/>
      <c r="E84" s="28"/>
      <c r="F84" s="28"/>
      <c r="G84" s="36"/>
    </row>
    <row r="85" spans="2:7" x14ac:dyDescent="0.25">
      <c r="B85" s="28"/>
      <c r="C85" s="28"/>
      <c r="D85" s="36"/>
      <c r="E85" s="28"/>
      <c r="F85" s="28"/>
      <c r="G85" s="36"/>
    </row>
    <row r="86" spans="2:7" x14ac:dyDescent="0.25">
      <c r="B86" s="28"/>
      <c r="C86" s="28"/>
      <c r="D86" s="36"/>
      <c r="E86" s="28"/>
      <c r="F86" s="28"/>
      <c r="G86" s="36"/>
    </row>
    <row r="87" spans="2:7" x14ac:dyDescent="0.25">
      <c r="B87" s="28"/>
      <c r="C87" s="28"/>
      <c r="D87" s="36"/>
      <c r="E87" s="28"/>
      <c r="F87" s="28"/>
      <c r="G87" s="36"/>
    </row>
    <row r="88" spans="2:7" x14ac:dyDescent="0.25">
      <c r="B88" s="28"/>
      <c r="C88" s="28"/>
      <c r="D88" s="36"/>
      <c r="E88" s="28"/>
      <c r="F88" s="28"/>
      <c r="G88" s="36"/>
    </row>
    <row r="89" spans="2:7" x14ac:dyDescent="0.25">
      <c r="B89" s="28"/>
      <c r="C89" s="28"/>
      <c r="D89" s="36"/>
      <c r="E89" s="28"/>
      <c r="F89" s="28"/>
      <c r="G89" s="36"/>
    </row>
    <row r="90" spans="2:7" x14ac:dyDescent="0.25">
      <c r="B90" s="28"/>
      <c r="C90" s="28"/>
      <c r="D90" s="36"/>
      <c r="E90" s="28"/>
      <c r="F90" s="28"/>
      <c r="G90" s="36"/>
    </row>
    <row r="91" spans="2:7" x14ac:dyDescent="0.25">
      <c r="B91" s="28"/>
      <c r="C91" s="28"/>
      <c r="D91" s="36"/>
      <c r="E91" s="28"/>
      <c r="F91" s="28"/>
      <c r="G91" s="36"/>
    </row>
    <row r="92" spans="2:7" x14ac:dyDescent="0.25">
      <c r="B92" s="28"/>
      <c r="C92" s="28"/>
      <c r="D92" s="36"/>
      <c r="E92" s="28"/>
      <c r="F92" s="28"/>
      <c r="G92" s="36"/>
    </row>
    <row r="93" spans="2:7" x14ac:dyDescent="0.25">
      <c r="B93" s="28"/>
      <c r="C93" s="28"/>
      <c r="D93" s="36"/>
      <c r="E93" s="28"/>
      <c r="F93" s="28"/>
      <c r="G93" s="36"/>
    </row>
    <row r="94" spans="2:7" x14ac:dyDescent="0.25">
      <c r="B94" s="28"/>
      <c r="C94" s="28"/>
      <c r="D94" s="36"/>
      <c r="E94" s="28"/>
      <c r="F94" s="28"/>
      <c r="G94" s="36"/>
    </row>
    <row r="95" spans="2:7" x14ac:dyDescent="0.25">
      <c r="B95" s="28"/>
      <c r="C95" s="28"/>
      <c r="D95" s="36"/>
      <c r="E95" s="28"/>
      <c r="F95" s="28"/>
      <c r="G95" s="36"/>
    </row>
    <row r="96" spans="2:7" x14ac:dyDescent="0.25">
      <c r="B96" s="28"/>
      <c r="C96" s="28"/>
      <c r="D96" s="36"/>
      <c r="E96" s="28"/>
      <c r="F96" s="28"/>
      <c r="G96" s="36"/>
    </row>
    <row r="97" spans="2:7" x14ac:dyDescent="0.25">
      <c r="B97" s="28"/>
      <c r="C97" s="28"/>
      <c r="D97" s="36"/>
      <c r="E97" s="28"/>
      <c r="F97" s="28"/>
      <c r="G97" s="36"/>
    </row>
    <row r="98" spans="2:7" x14ac:dyDescent="0.25">
      <c r="B98" s="28"/>
      <c r="C98" s="28"/>
      <c r="D98" s="36"/>
      <c r="E98" s="28"/>
      <c r="F98" s="28"/>
      <c r="G98" s="36"/>
    </row>
    <row r="99" spans="2:7" x14ac:dyDescent="0.25">
      <c r="B99" s="28"/>
      <c r="C99" s="28"/>
      <c r="D99" s="36"/>
      <c r="E99" s="28"/>
      <c r="F99" s="28"/>
      <c r="G99" s="36"/>
    </row>
    <row r="100" spans="2:7" x14ac:dyDescent="0.25">
      <c r="B100" s="28"/>
      <c r="C100" s="28"/>
      <c r="D100" s="36"/>
      <c r="E100" s="28"/>
      <c r="F100" s="28"/>
      <c r="G100" s="36"/>
    </row>
    <row r="101" spans="2:7" x14ac:dyDescent="0.25">
      <c r="B101" s="28"/>
      <c r="C101" s="28"/>
      <c r="D101" s="36"/>
      <c r="E101" s="28"/>
      <c r="F101" s="28"/>
      <c r="G101" s="36"/>
    </row>
    <row r="102" spans="2:7" x14ac:dyDescent="0.25">
      <c r="B102" s="28"/>
      <c r="C102" s="28"/>
      <c r="D102" s="36"/>
      <c r="E102" s="28"/>
      <c r="F102" s="28"/>
      <c r="G102" s="36"/>
    </row>
    <row r="103" spans="2:7" x14ac:dyDescent="0.25">
      <c r="B103" s="28"/>
      <c r="C103" s="28"/>
      <c r="D103" s="36"/>
      <c r="E103" s="28"/>
      <c r="F103" s="28"/>
      <c r="G103" s="36"/>
    </row>
    <row r="104" spans="2:7" x14ac:dyDescent="0.25">
      <c r="B104" s="28"/>
      <c r="C104" s="28"/>
      <c r="D104" s="36"/>
      <c r="E104" s="28"/>
      <c r="F104" s="28"/>
      <c r="G104" s="36"/>
    </row>
    <row r="105" spans="2:7" x14ac:dyDescent="0.25">
      <c r="B105" s="28"/>
      <c r="C105" s="28"/>
      <c r="D105" s="36"/>
      <c r="E105" s="28"/>
      <c r="F105" s="28"/>
      <c r="G105" s="36"/>
    </row>
    <row r="106" spans="2:7" x14ac:dyDescent="0.25">
      <c r="B106" s="28"/>
      <c r="C106" s="28"/>
      <c r="D106" s="36"/>
      <c r="E106" s="28"/>
      <c r="F106" s="28"/>
      <c r="G106" s="36"/>
    </row>
    <row r="107" spans="2:7" x14ac:dyDescent="0.25">
      <c r="B107" s="28"/>
      <c r="C107" s="28"/>
      <c r="D107" s="36"/>
      <c r="E107" s="28"/>
      <c r="F107" s="28"/>
      <c r="G107" s="36"/>
    </row>
    <row r="108" spans="2:7" x14ac:dyDescent="0.25">
      <c r="B108" s="28"/>
      <c r="C108" s="28"/>
      <c r="D108" s="36"/>
      <c r="E108" s="28"/>
      <c r="F108" s="28"/>
      <c r="G108" s="36"/>
    </row>
    <row r="109" spans="2:7" x14ac:dyDescent="0.25">
      <c r="B109" s="28"/>
      <c r="C109" s="28"/>
      <c r="D109" s="36"/>
      <c r="E109" s="28"/>
      <c r="F109" s="28"/>
      <c r="G109" s="36"/>
    </row>
    <row r="110" spans="2:7" x14ac:dyDescent="0.25">
      <c r="B110" s="28"/>
      <c r="C110" s="28"/>
      <c r="D110" s="36"/>
      <c r="E110" s="28"/>
      <c r="F110" s="28"/>
      <c r="G110" s="36"/>
    </row>
    <row r="111" spans="2:7" x14ac:dyDescent="0.25">
      <c r="B111" s="28"/>
      <c r="C111" s="28"/>
      <c r="D111" s="36"/>
      <c r="E111" s="28"/>
      <c r="F111" s="28"/>
      <c r="G111" s="36"/>
    </row>
    <row r="112" spans="2:7" x14ac:dyDescent="0.25">
      <c r="B112" s="28"/>
      <c r="C112" s="28"/>
      <c r="D112" s="36"/>
      <c r="E112" s="28"/>
      <c r="F112" s="28"/>
      <c r="G112" s="36"/>
    </row>
    <row r="113" spans="2:7" x14ac:dyDescent="0.25">
      <c r="B113" s="28"/>
      <c r="C113" s="28"/>
      <c r="D113" s="36"/>
      <c r="E113" s="28"/>
      <c r="F113" s="28"/>
      <c r="G113" s="36"/>
    </row>
    <row r="114" spans="2:7" x14ac:dyDescent="0.25">
      <c r="B114" s="28"/>
      <c r="C114" s="28"/>
      <c r="D114" s="36"/>
      <c r="E114" s="28"/>
      <c r="F114" s="28"/>
      <c r="G114" s="36"/>
    </row>
    <row r="115" spans="2:7" x14ac:dyDescent="0.25">
      <c r="B115" s="28"/>
      <c r="C115" s="28"/>
      <c r="D115" s="36"/>
      <c r="E115" s="28"/>
      <c r="F115" s="28"/>
      <c r="G115" s="36"/>
    </row>
    <row r="116" spans="2:7" x14ac:dyDescent="0.25">
      <c r="B116" s="28"/>
      <c r="C116" s="28"/>
      <c r="D116" s="36"/>
      <c r="E116" s="28"/>
      <c r="F116" s="28"/>
      <c r="G116" s="36"/>
    </row>
    <row r="117" spans="2:7" x14ac:dyDescent="0.25">
      <c r="B117" s="28"/>
      <c r="C117" s="28"/>
      <c r="D117" s="36"/>
      <c r="E117" s="28"/>
      <c r="F117" s="28"/>
      <c r="G117" s="36"/>
    </row>
    <row r="118" spans="2:7" x14ac:dyDescent="0.25">
      <c r="B118" s="28"/>
      <c r="C118" s="28"/>
      <c r="D118" s="36"/>
      <c r="E118" s="28"/>
      <c r="F118" s="28"/>
      <c r="G118" s="36"/>
    </row>
    <row r="119" spans="2:7" x14ac:dyDescent="0.25">
      <c r="B119" s="28"/>
      <c r="C119" s="28"/>
      <c r="D119" s="36"/>
      <c r="E119" s="28"/>
      <c r="F119" s="28"/>
      <c r="G119" s="36"/>
    </row>
    <row r="120" spans="2:7" x14ac:dyDescent="0.25">
      <c r="B120" s="28"/>
      <c r="C120" s="28"/>
      <c r="D120" s="36"/>
      <c r="E120" s="28"/>
      <c r="F120" s="28"/>
      <c r="G120" s="36"/>
    </row>
    <row r="121" spans="2:7" x14ac:dyDescent="0.25">
      <c r="B121" s="28"/>
      <c r="C121" s="28"/>
      <c r="D121" s="36"/>
      <c r="E121" s="28"/>
      <c r="F121" s="28"/>
      <c r="G121" s="36"/>
    </row>
    <row r="122" spans="2:7" x14ac:dyDescent="0.25">
      <c r="B122" s="28"/>
      <c r="C122" s="28"/>
      <c r="D122" s="36"/>
      <c r="E122" s="28"/>
      <c r="F122" s="28"/>
      <c r="G122" s="36"/>
    </row>
    <row r="123" spans="2:7" x14ac:dyDescent="0.25">
      <c r="B123" s="28"/>
      <c r="C123" s="28"/>
      <c r="D123" s="36"/>
      <c r="E123" s="28"/>
      <c r="F123" s="28"/>
      <c r="G123" s="36"/>
    </row>
    <row r="124" spans="2:7" x14ac:dyDescent="0.25">
      <c r="B124" s="28"/>
      <c r="C124" s="28"/>
      <c r="D124" s="36"/>
      <c r="E124" s="28"/>
      <c r="F124" s="28"/>
      <c r="G124" s="36"/>
    </row>
    <row r="125" spans="2:7" x14ac:dyDescent="0.25">
      <c r="B125" s="28"/>
      <c r="C125" s="28"/>
      <c r="D125" s="36"/>
      <c r="E125" s="28"/>
      <c r="F125" s="28"/>
      <c r="G125" s="36"/>
    </row>
    <row r="126" spans="2:7" x14ac:dyDescent="0.25">
      <c r="B126" s="28"/>
      <c r="C126" s="28"/>
      <c r="D126" s="36"/>
      <c r="E126" s="28"/>
      <c r="F126" s="28"/>
      <c r="G126" s="36"/>
    </row>
    <row r="127" spans="2:7" x14ac:dyDescent="0.25">
      <c r="B127" s="28"/>
      <c r="C127" s="28"/>
      <c r="D127" s="36"/>
      <c r="E127" s="28"/>
      <c r="F127" s="28"/>
      <c r="G127" s="36"/>
    </row>
    <row r="128" spans="2:7" x14ac:dyDescent="0.25">
      <c r="B128" s="28"/>
      <c r="C128" s="28"/>
      <c r="D128" s="36"/>
      <c r="E128" s="28"/>
      <c r="F128" s="28"/>
      <c r="G128" s="36"/>
    </row>
    <row r="129" spans="2:7" x14ac:dyDescent="0.25">
      <c r="B129" s="28"/>
      <c r="C129" s="28"/>
      <c r="D129" s="36"/>
      <c r="E129" s="28"/>
      <c r="F129" s="28"/>
      <c r="G129" s="36"/>
    </row>
    <row r="130" spans="2:7" x14ac:dyDescent="0.25">
      <c r="B130" s="28"/>
      <c r="C130" s="28"/>
      <c r="D130" s="36"/>
      <c r="E130" s="28"/>
      <c r="F130" s="28"/>
      <c r="G130" s="36"/>
    </row>
    <row r="131" spans="2:7" x14ac:dyDescent="0.25">
      <c r="B131" s="28"/>
      <c r="C131" s="28"/>
      <c r="D131" s="36"/>
      <c r="E131" s="28"/>
      <c r="F131" s="28"/>
      <c r="G131" s="36"/>
    </row>
    <row r="132" spans="2:7" x14ac:dyDescent="0.25">
      <c r="B132" s="28"/>
      <c r="C132" s="28"/>
      <c r="D132" s="36"/>
      <c r="E132" s="28"/>
      <c r="F132" s="28"/>
      <c r="G132" s="36"/>
    </row>
    <row r="133" spans="2:7" x14ac:dyDescent="0.25">
      <c r="B133" s="28"/>
      <c r="C133" s="28"/>
      <c r="D133" s="36"/>
      <c r="E133" s="28"/>
      <c r="F133" s="28"/>
      <c r="G133" s="36"/>
    </row>
    <row r="134" spans="2:7" x14ac:dyDescent="0.25">
      <c r="B134" s="28"/>
      <c r="C134" s="28"/>
      <c r="D134" s="36"/>
      <c r="E134" s="28"/>
      <c r="F134" s="28"/>
      <c r="G134" s="36"/>
    </row>
    <row r="135" spans="2:7" x14ac:dyDescent="0.25">
      <c r="B135" s="28"/>
      <c r="C135" s="28"/>
      <c r="D135" s="36"/>
      <c r="E135" s="28"/>
      <c r="F135" s="28"/>
      <c r="G135" s="36"/>
    </row>
    <row r="136" spans="2:7" x14ac:dyDescent="0.25">
      <c r="B136" s="28"/>
      <c r="C136" s="28"/>
      <c r="D136" s="36"/>
      <c r="E136" s="28"/>
      <c r="F136" s="28"/>
      <c r="G136" s="36"/>
    </row>
    <row r="137" spans="2:7" x14ac:dyDescent="0.25">
      <c r="B137" s="28"/>
      <c r="C137" s="28"/>
      <c r="D137" s="36"/>
      <c r="E137" s="28"/>
      <c r="F137" s="28"/>
      <c r="G137" s="36"/>
    </row>
    <row r="138" spans="2:7" x14ac:dyDescent="0.25">
      <c r="B138" s="28"/>
      <c r="C138" s="28"/>
      <c r="D138" s="36"/>
      <c r="E138" s="28"/>
      <c r="F138" s="28"/>
      <c r="G138" s="36"/>
    </row>
    <row r="139" spans="2:7" x14ac:dyDescent="0.25">
      <c r="B139" s="28"/>
      <c r="C139" s="28"/>
      <c r="D139" s="36"/>
      <c r="E139" s="28"/>
      <c r="F139" s="28"/>
      <c r="G139" s="36"/>
    </row>
    <row r="140" spans="2:7" x14ac:dyDescent="0.25">
      <c r="B140" s="28"/>
      <c r="C140" s="28"/>
      <c r="D140" s="36"/>
      <c r="E140" s="28"/>
      <c r="F140" s="28"/>
      <c r="G140" s="36"/>
    </row>
    <row r="141" spans="2:7" x14ac:dyDescent="0.25">
      <c r="B141" s="28"/>
      <c r="C141" s="28"/>
      <c r="D141" s="36"/>
      <c r="E141" s="28"/>
      <c r="F141" s="28"/>
      <c r="G141" s="36"/>
    </row>
    <row r="142" spans="2:7" x14ac:dyDescent="0.25">
      <c r="B142" s="28"/>
      <c r="C142" s="28"/>
      <c r="D142" s="36"/>
      <c r="E142" s="28"/>
      <c r="F142" s="28"/>
      <c r="G142" s="36"/>
    </row>
    <row r="143" spans="2:7" x14ac:dyDescent="0.25">
      <c r="B143" s="28"/>
      <c r="C143" s="28"/>
      <c r="D143" s="36"/>
      <c r="E143" s="28"/>
      <c r="F143" s="28"/>
      <c r="G143" s="36"/>
    </row>
    <row r="144" spans="2:7" x14ac:dyDescent="0.25">
      <c r="B144" s="28"/>
      <c r="C144" s="28"/>
      <c r="D144" s="36"/>
      <c r="E144" s="28"/>
      <c r="F144" s="28"/>
      <c r="G144" s="36"/>
    </row>
    <row r="145" spans="2:7" x14ac:dyDescent="0.25">
      <c r="B145" s="28"/>
      <c r="C145" s="28"/>
      <c r="D145" s="36"/>
      <c r="E145" s="28"/>
      <c r="F145" s="28"/>
      <c r="G145" s="36"/>
    </row>
    <row r="146" spans="2:7" x14ac:dyDescent="0.25">
      <c r="B146" s="28"/>
      <c r="C146" s="28"/>
      <c r="D146" s="36"/>
      <c r="E146" s="28"/>
      <c r="F146" s="28"/>
      <c r="G146" s="36"/>
    </row>
    <row r="147" spans="2:7" x14ac:dyDescent="0.25">
      <c r="B147" s="28"/>
      <c r="C147" s="28"/>
      <c r="D147" s="36"/>
      <c r="E147" s="28"/>
      <c r="F147" s="28"/>
      <c r="G147" s="36"/>
    </row>
    <row r="148" spans="2:7" x14ac:dyDescent="0.25">
      <c r="B148" s="28"/>
      <c r="C148" s="28"/>
      <c r="D148" s="36"/>
      <c r="E148" s="28"/>
      <c r="F148" s="28"/>
      <c r="G148" s="36"/>
    </row>
    <row r="149" spans="2:7" x14ac:dyDescent="0.25">
      <c r="B149" s="28"/>
      <c r="C149" s="28"/>
      <c r="D149" s="36"/>
      <c r="E149" s="28"/>
      <c r="F149" s="28"/>
      <c r="G149" s="36"/>
    </row>
    <row r="150" spans="2:7" x14ac:dyDescent="0.25">
      <c r="B150" s="28"/>
      <c r="C150" s="28"/>
      <c r="D150" s="36"/>
      <c r="E150" s="28"/>
      <c r="F150" s="28"/>
      <c r="G150" s="36"/>
    </row>
    <row r="151" spans="2:7" x14ac:dyDescent="0.25">
      <c r="B151" s="28"/>
      <c r="C151" s="28"/>
      <c r="D151" s="36"/>
      <c r="E151" s="28"/>
      <c r="F151" s="28"/>
      <c r="G151" s="36"/>
    </row>
    <row r="152" spans="2:7" x14ac:dyDescent="0.25">
      <c r="B152" s="28"/>
      <c r="C152" s="28"/>
      <c r="D152" s="36"/>
      <c r="E152" s="28"/>
      <c r="F152" s="28"/>
      <c r="G152" s="36"/>
    </row>
    <row r="153" spans="2:7" x14ac:dyDescent="0.25">
      <c r="B153" s="28"/>
      <c r="C153" s="28"/>
      <c r="D153" s="36"/>
      <c r="E153" s="28"/>
      <c r="F153" s="28"/>
      <c r="G153" s="36"/>
    </row>
    <row r="154" spans="2:7" x14ac:dyDescent="0.25">
      <c r="B154" s="28"/>
      <c r="C154" s="28"/>
      <c r="D154" s="36"/>
      <c r="E154" s="28"/>
      <c r="F154" s="28"/>
      <c r="G154" s="36"/>
    </row>
    <row r="155" spans="2:7" x14ac:dyDescent="0.25">
      <c r="B155" s="28"/>
      <c r="C155" s="28"/>
      <c r="D155" s="36"/>
      <c r="E155" s="28"/>
      <c r="F155" s="28"/>
      <c r="G155" s="36"/>
    </row>
    <row r="156" spans="2:7" x14ac:dyDescent="0.25">
      <c r="B156" s="28"/>
      <c r="C156" s="28"/>
      <c r="D156" s="36"/>
      <c r="E156" s="28"/>
      <c r="F156" s="28"/>
      <c r="G156" s="36"/>
    </row>
    <row r="157" spans="2:7" x14ac:dyDescent="0.25">
      <c r="B157" s="28"/>
      <c r="C157" s="28"/>
      <c r="D157" s="36"/>
      <c r="E157" s="28"/>
      <c r="F157" s="28"/>
      <c r="G157" s="36"/>
    </row>
    <row r="158" spans="2:7" x14ac:dyDescent="0.25">
      <c r="B158" s="28"/>
      <c r="C158" s="28"/>
      <c r="D158" s="36"/>
      <c r="E158" s="28"/>
      <c r="F158" s="28"/>
      <c r="G158" s="36"/>
    </row>
    <row r="159" spans="2:7" x14ac:dyDescent="0.25">
      <c r="B159" s="28"/>
      <c r="C159" s="28"/>
      <c r="D159" s="36"/>
      <c r="E159" s="28"/>
      <c r="F159" s="28"/>
      <c r="G159" s="36"/>
    </row>
    <row r="160" spans="2:7" x14ac:dyDescent="0.25">
      <c r="B160" s="28"/>
      <c r="C160" s="28"/>
      <c r="D160" s="36"/>
      <c r="E160" s="28"/>
      <c r="F160" s="28"/>
      <c r="G160" s="36"/>
    </row>
    <row r="161" spans="2:7" x14ac:dyDescent="0.25">
      <c r="B161" s="28"/>
      <c r="C161" s="28"/>
      <c r="D161" s="36"/>
      <c r="E161" s="28"/>
      <c r="F161" s="28"/>
      <c r="G161" s="36"/>
    </row>
    <row r="162" spans="2:7" x14ac:dyDescent="0.25">
      <c r="B162" s="28"/>
      <c r="C162" s="28"/>
      <c r="D162" s="36"/>
      <c r="E162" s="28"/>
      <c r="F162" s="28"/>
      <c r="G162" s="36"/>
    </row>
    <row r="163" spans="2:7" x14ac:dyDescent="0.25">
      <c r="B163" s="28"/>
      <c r="C163" s="28"/>
      <c r="D163" s="36"/>
      <c r="E163" s="28"/>
      <c r="F163" s="28"/>
      <c r="G163" s="36"/>
    </row>
    <row r="164" spans="2:7" x14ac:dyDescent="0.25">
      <c r="B164" s="28"/>
      <c r="C164" s="28"/>
      <c r="D164" s="36"/>
      <c r="E164" s="28"/>
      <c r="F164" s="28"/>
      <c r="G164" s="36"/>
    </row>
    <row r="165" spans="2:7" x14ac:dyDescent="0.25">
      <c r="B165" s="28"/>
      <c r="C165" s="28"/>
      <c r="D165" s="36"/>
      <c r="E165" s="28"/>
      <c r="F165" s="28"/>
      <c r="G165" s="36"/>
    </row>
    <row r="166" spans="2:7" x14ac:dyDescent="0.25">
      <c r="B166" s="28"/>
      <c r="C166" s="28"/>
      <c r="D166" s="36"/>
      <c r="E166" s="28"/>
      <c r="F166" s="28"/>
      <c r="G166" s="36"/>
    </row>
    <row r="167" spans="2:7" x14ac:dyDescent="0.25">
      <c r="B167" s="28"/>
      <c r="C167" s="28"/>
      <c r="D167" s="36"/>
      <c r="E167" s="28"/>
      <c r="F167" s="28"/>
      <c r="G167" s="36"/>
    </row>
    <row r="168" spans="2:7" x14ac:dyDescent="0.25">
      <c r="B168" s="28"/>
      <c r="C168" s="28"/>
      <c r="D168" s="36"/>
      <c r="E168" s="28"/>
      <c r="F168" s="28"/>
      <c r="G168" s="36"/>
    </row>
    <row r="169" spans="2:7" x14ac:dyDescent="0.25">
      <c r="B169" s="28"/>
      <c r="C169" s="28"/>
      <c r="D169" s="36"/>
      <c r="E169" s="28"/>
      <c r="F169" s="28"/>
      <c r="G169" s="36"/>
    </row>
    <row r="170" spans="2:7" x14ac:dyDescent="0.25">
      <c r="B170" s="28"/>
      <c r="C170" s="28"/>
      <c r="D170" s="36"/>
      <c r="E170" s="28"/>
      <c r="F170" s="28"/>
      <c r="G170" s="36"/>
    </row>
    <row r="171" spans="2:7" x14ac:dyDescent="0.25">
      <c r="B171" s="28"/>
      <c r="C171" s="28"/>
      <c r="D171" s="36"/>
      <c r="E171" s="28"/>
      <c r="F171" s="28"/>
      <c r="G171" s="36"/>
    </row>
    <row r="172" spans="2:7" x14ac:dyDescent="0.25">
      <c r="B172" s="28"/>
      <c r="C172" s="28"/>
      <c r="D172" s="36"/>
      <c r="E172" s="28"/>
      <c r="F172" s="28"/>
      <c r="G172" s="36"/>
    </row>
    <row r="173" spans="2:7" x14ac:dyDescent="0.25">
      <c r="B173" s="28"/>
      <c r="C173" s="28"/>
      <c r="D173" s="36"/>
      <c r="E173" s="28"/>
      <c r="F173" s="28"/>
      <c r="G173" s="36"/>
    </row>
    <row r="174" spans="2:7" x14ac:dyDescent="0.25">
      <c r="B174" s="28"/>
      <c r="C174" s="28"/>
      <c r="D174" s="36"/>
      <c r="E174" s="28"/>
      <c r="F174" s="28"/>
      <c r="G174" s="36"/>
    </row>
    <row r="175" spans="2:7" x14ac:dyDescent="0.25">
      <c r="B175" s="28"/>
      <c r="C175" s="28"/>
      <c r="D175" s="36"/>
      <c r="E175" s="28"/>
      <c r="F175" s="28"/>
      <c r="G175" s="36"/>
    </row>
    <row r="176" spans="2:7" x14ac:dyDescent="0.25">
      <c r="B176" s="28"/>
      <c r="C176" s="28"/>
      <c r="D176" s="36"/>
      <c r="E176" s="28"/>
      <c r="F176" s="28"/>
      <c r="G176" s="36"/>
    </row>
    <row r="177" spans="2:7" x14ac:dyDescent="0.25">
      <c r="B177" s="28"/>
      <c r="C177" s="28"/>
      <c r="D177" s="36"/>
      <c r="E177" s="28"/>
      <c r="F177" s="28"/>
      <c r="G177" s="36"/>
    </row>
    <row r="178" spans="2:7" x14ac:dyDescent="0.25">
      <c r="B178" s="28"/>
      <c r="C178" s="28"/>
      <c r="D178" s="36"/>
      <c r="E178" s="28"/>
      <c r="F178" s="28"/>
      <c r="G178" s="36"/>
    </row>
    <row r="179" spans="2:7" x14ac:dyDescent="0.25">
      <c r="B179" s="28"/>
      <c r="C179" s="28"/>
      <c r="D179" s="36"/>
      <c r="E179" s="28"/>
      <c r="F179" s="28"/>
      <c r="G179" s="36"/>
    </row>
    <row r="180" spans="2:7" x14ac:dyDescent="0.25">
      <c r="B180" s="28"/>
      <c r="C180" s="28"/>
      <c r="D180" s="36"/>
      <c r="E180" s="28"/>
      <c r="F180" s="28"/>
      <c r="G180" s="36"/>
    </row>
    <row r="181" spans="2:7" x14ac:dyDescent="0.25">
      <c r="B181" s="28"/>
      <c r="C181" s="28"/>
      <c r="D181" s="36"/>
      <c r="E181" s="28"/>
      <c r="F181" s="28"/>
      <c r="G181" s="36"/>
    </row>
    <row r="182" spans="2:7" x14ac:dyDescent="0.25">
      <c r="B182" s="28"/>
      <c r="C182" s="28"/>
      <c r="D182" s="36"/>
      <c r="E182" s="28"/>
      <c r="F182" s="28"/>
      <c r="G182" s="36"/>
    </row>
    <row r="183" spans="2:7" x14ac:dyDescent="0.25">
      <c r="B183" s="28"/>
      <c r="C183" s="28"/>
      <c r="D183" s="36"/>
      <c r="E183" s="28"/>
      <c r="F183" s="28"/>
      <c r="G183" s="36"/>
    </row>
    <row r="184" spans="2:7" x14ac:dyDescent="0.25">
      <c r="B184" s="28"/>
      <c r="C184" s="28"/>
      <c r="D184" s="36"/>
      <c r="E184" s="28"/>
      <c r="F184" s="28"/>
      <c r="G184" s="36"/>
    </row>
    <row r="185" spans="2:7" x14ac:dyDescent="0.25">
      <c r="B185" s="28"/>
      <c r="C185" s="28"/>
      <c r="D185" s="36"/>
      <c r="E185" s="28"/>
      <c r="F185" s="28"/>
      <c r="G185" s="36"/>
    </row>
    <row r="186" spans="2:7" x14ac:dyDescent="0.25">
      <c r="B186" s="28"/>
      <c r="C186" s="28"/>
      <c r="D186" s="36"/>
      <c r="E186" s="28"/>
      <c r="F186" s="28"/>
      <c r="G186" s="36"/>
    </row>
    <row r="187" spans="2:7" x14ac:dyDescent="0.25">
      <c r="B187" s="28"/>
      <c r="C187" s="28"/>
      <c r="D187" s="36"/>
      <c r="E187" s="28"/>
      <c r="F187" s="28"/>
      <c r="G187" s="36"/>
    </row>
    <row r="188" spans="2:7" x14ac:dyDescent="0.25">
      <c r="B188" s="28"/>
      <c r="C188" s="28"/>
      <c r="D188" s="36"/>
      <c r="E188" s="28"/>
      <c r="F188" s="28"/>
      <c r="G188" s="36"/>
    </row>
    <row r="189" spans="2:7" x14ac:dyDescent="0.25">
      <c r="B189" s="28"/>
      <c r="C189" s="28"/>
      <c r="D189" s="36"/>
      <c r="E189" s="28"/>
      <c r="F189" s="28"/>
      <c r="G189" s="36"/>
    </row>
    <row r="190" spans="2:7" x14ac:dyDescent="0.25">
      <c r="B190" s="28"/>
      <c r="C190" s="28"/>
      <c r="D190" s="36"/>
      <c r="E190" s="28"/>
      <c r="F190" s="28"/>
      <c r="G190" s="36"/>
    </row>
    <row r="191" spans="2:7" x14ac:dyDescent="0.25">
      <c r="B191" s="28"/>
      <c r="C191" s="28"/>
      <c r="D191" s="36"/>
      <c r="E191" s="28"/>
      <c r="F191" s="28"/>
      <c r="G191" s="36"/>
    </row>
    <row r="192" spans="2:7" x14ac:dyDescent="0.25">
      <c r="B192" s="28"/>
      <c r="C192" s="28"/>
      <c r="D192" s="36"/>
      <c r="E192" s="28"/>
      <c r="F192" s="28"/>
      <c r="G192" s="36"/>
    </row>
    <row r="193" spans="2:7" x14ac:dyDescent="0.25">
      <c r="B193" s="28"/>
      <c r="C193" s="28"/>
      <c r="D193" s="36"/>
      <c r="E193" s="28"/>
      <c r="F193" s="28"/>
      <c r="G193" s="36"/>
    </row>
    <row r="194" spans="2:7" x14ac:dyDescent="0.25">
      <c r="B194" s="28"/>
      <c r="C194" s="28"/>
      <c r="D194" s="36"/>
      <c r="E194" s="28"/>
      <c r="F194" s="28"/>
      <c r="G194" s="36"/>
    </row>
    <row r="195" spans="2:7" x14ac:dyDescent="0.25">
      <c r="B195" s="28"/>
      <c r="C195" s="28"/>
      <c r="D195" s="36"/>
      <c r="E195" s="28"/>
      <c r="F195" s="28"/>
      <c r="G195" s="36"/>
    </row>
    <row r="196" spans="2:7" x14ac:dyDescent="0.25">
      <c r="B196" s="28"/>
      <c r="C196" s="28"/>
      <c r="D196" s="36"/>
      <c r="E196" s="28"/>
      <c r="F196" s="28"/>
      <c r="G196" s="36"/>
    </row>
    <row r="197" spans="2:7" x14ac:dyDescent="0.25">
      <c r="B197" s="28"/>
      <c r="C197" s="28"/>
      <c r="D197" s="36"/>
      <c r="E197" s="28"/>
      <c r="F197" s="28"/>
      <c r="G197" s="36"/>
    </row>
    <row r="198" spans="2:7" x14ac:dyDescent="0.25">
      <c r="B198" s="28"/>
      <c r="C198" s="28"/>
      <c r="D198" s="36"/>
      <c r="E198" s="28"/>
      <c r="F198" s="28"/>
      <c r="G198" s="36"/>
    </row>
    <row r="199" spans="2:7" x14ac:dyDescent="0.25">
      <c r="B199" s="28"/>
      <c r="C199" s="28"/>
      <c r="D199" s="36"/>
      <c r="E199" s="28"/>
      <c r="F199" s="28"/>
      <c r="G199" s="36"/>
    </row>
    <row r="200" spans="2:7" x14ac:dyDescent="0.25">
      <c r="B200" s="28"/>
      <c r="C200" s="28"/>
      <c r="D200" s="36"/>
      <c r="E200" s="28"/>
      <c r="F200" s="28"/>
      <c r="G200" s="36"/>
    </row>
    <row r="201" spans="2:7" x14ac:dyDescent="0.25">
      <c r="B201" s="28"/>
      <c r="C201" s="28"/>
      <c r="D201" s="36"/>
      <c r="E201" s="28"/>
      <c r="F201" s="28"/>
      <c r="G201" s="36"/>
    </row>
    <row r="202" spans="2:7" x14ac:dyDescent="0.25">
      <c r="B202" s="28"/>
      <c r="C202" s="28"/>
      <c r="D202" s="36"/>
      <c r="E202" s="28"/>
      <c r="F202" s="28"/>
      <c r="G202" s="36"/>
    </row>
    <row r="203" spans="2:7" x14ac:dyDescent="0.25">
      <c r="B203" s="28"/>
      <c r="C203" s="28"/>
      <c r="D203" s="36"/>
      <c r="E203" s="28"/>
      <c r="F203" s="28"/>
      <c r="G203" s="36"/>
    </row>
    <row r="204" spans="2:7" x14ac:dyDescent="0.25">
      <c r="B204" s="28"/>
      <c r="C204" s="28"/>
      <c r="D204" s="36"/>
      <c r="E204" s="28"/>
      <c r="F204" s="28"/>
      <c r="G204" s="36"/>
    </row>
    <row r="205" spans="2:7" x14ac:dyDescent="0.25">
      <c r="B205" s="28"/>
      <c r="C205" s="28"/>
      <c r="D205" s="36"/>
      <c r="E205" s="28"/>
      <c r="F205" s="28"/>
      <c r="G205" s="36"/>
    </row>
    <row r="206" spans="2:7" x14ac:dyDescent="0.25">
      <c r="B206" s="28"/>
      <c r="C206" s="28"/>
      <c r="D206" s="36"/>
      <c r="E206" s="28"/>
      <c r="F206" s="28"/>
      <c r="G206" s="36"/>
    </row>
    <row r="207" spans="2:7" x14ac:dyDescent="0.25">
      <c r="B207" s="28"/>
      <c r="C207" s="28"/>
      <c r="D207" s="36"/>
      <c r="E207" s="28"/>
      <c r="F207" s="28"/>
      <c r="G207" s="36"/>
    </row>
    <row r="208" spans="2:7" x14ac:dyDescent="0.25">
      <c r="B208" s="28"/>
      <c r="C208" s="28"/>
      <c r="D208" s="36"/>
      <c r="E208" s="28"/>
      <c r="F208" s="28"/>
      <c r="G208" s="36"/>
    </row>
    <row r="209" spans="2:7" x14ac:dyDescent="0.25">
      <c r="B209" s="28"/>
      <c r="C209" s="28"/>
      <c r="D209" s="36"/>
      <c r="E209" s="28"/>
      <c r="F209" s="28"/>
      <c r="G209" s="36"/>
    </row>
    <row r="210" spans="2:7" x14ac:dyDescent="0.25">
      <c r="B210" s="28"/>
      <c r="C210" s="28"/>
      <c r="D210" s="36"/>
      <c r="E210" s="28"/>
      <c r="F210" s="28"/>
      <c r="G210" s="36"/>
    </row>
    <row r="211" spans="2:7" x14ac:dyDescent="0.25">
      <c r="B211" s="28"/>
      <c r="C211" s="28"/>
      <c r="D211" s="36"/>
      <c r="E211" s="28"/>
      <c r="F211" s="28"/>
      <c r="G211" s="36"/>
    </row>
    <row r="212" spans="2:7" x14ac:dyDescent="0.25">
      <c r="B212" s="28"/>
      <c r="C212" s="28"/>
      <c r="D212" s="36"/>
      <c r="E212" s="28"/>
      <c r="F212" s="28"/>
      <c r="G212" s="36"/>
    </row>
    <row r="213" spans="2:7" x14ac:dyDescent="0.25">
      <c r="B213" s="28"/>
      <c r="C213" s="28"/>
      <c r="D213" s="36"/>
      <c r="E213" s="28"/>
      <c r="F213" s="28"/>
      <c r="G213" s="36"/>
    </row>
    <row r="214" spans="2:7" x14ac:dyDescent="0.25">
      <c r="B214" s="28"/>
      <c r="C214" s="28"/>
      <c r="D214" s="36"/>
      <c r="E214" s="28"/>
      <c r="F214" s="28"/>
      <c r="G214" s="36"/>
    </row>
    <row r="215" spans="2:7" x14ac:dyDescent="0.25">
      <c r="B215" s="28"/>
      <c r="C215" s="28"/>
      <c r="D215" s="36"/>
      <c r="E215" s="28"/>
      <c r="F215" s="28"/>
      <c r="G215" s="36"/>
    </row>
    <row r="216" spans="2:7" x14ac:dyDescent="0.25">
      <c r="B216" s="28"/>
      <c r="C216" s="28"/>
      <c r="D216" s="36"/>
      <c r="E216" s="28"/>
      <c r="F216" s="28"/>
      <c r="G216" s="36"/>
    </row>
    <row r="217" spans="2:7" x14ac:dyDescent="0.25">
      <c r="B217" s="28"/>
      <c r="C217" s="28"/>
      <c r="D217" s="36"/>
      <c r="E217" s="28"/>
      <c r="F217" s="28"/>
      <c r="G217" s="36"/>
    </row>
    <row r="218" spans="2:7" x14ac:dyDescent="0.25">
      <c r="B218" s="28"/>
      <c r="C218" s="28"/>
      <c r="D218" s="36"/>
      <c r="E218" s="28"/>
      <c r="F218" s="28"/>
      <c r="G218" s="36"/>
    </row>
    <row r="219" spans="2:7" x14ac:dyDescent="0.25">
      <c r="B219" s="28"/>
      <c r="C219" s="28"/>
      <c r="D219" s="36"/>
      <c r="E219" s="28"/>
      <c r="F219" s="28"/>
      <c r="G219" s="36"/>
    </row>
    <row r="220" spans="2:7" x14ac:dyDescent="0.25">
      <c r="B220" s="28"/>
      <c r="C220" s="28"/>
      <c r="D220" s="36"/>
      <c r="E220" s="28"/>
      <c r="F220" s="28"/>
      <c r="G220" s="36"/>
    </row>
    <row r="221" spans="2:7" x14ac:dyDescent="0.25">
      <c r="B221" s="28"/>
      <c r="C221" s="28"/>
      <c r="D221" s="36"/>
      <c r="E221" s="28"/>
      <c r="F221" s="28"/>
      <c r="G221" s="36"/>
    </row>
    <row r="222" spans="2:7" x14ac:dyDescent="0.25">
      <c r="B222" s="28"/>
      <c r="C222" s="28"/>
      <c r="D222" s="36"/>
      <c r="E222" s="28"/>
      <c r="F222" s="28"/>
      <c r="G222" s="36"/>
    </row>
    <row r="223" spans="2:7" x14ac:dyDescent="0.25">
      <c r="B223" s="28"/>
      <c r="C223" s="28"/>
      <c r="D223" s="36"/>
      <c r="E223" s="28"/>
      <c r="F223" s="28"/>
      <c r="G223" s="36"/>
    </row>
    <row r="224" spans="2:7" x14ac:dyDescent="0.25">
      <c r="B224" s="28"/>
      <c r="C224" s="28"/>
      <c r="D224" s="36"/>
      <c r="E224" s="28"/>
      <c r="F224" s="28"/>
      <c r="G224" s="36"/>
    </row>
    <row r="225" spans="2:7" x14ac:dyDescent="0.25">
      <c r="B225" s="28"/>
      <c r="C225" s="28"/>
      <c r="D225" s="36"/>
      <c r="E225" s="28"/>
      <c r="F225" s="28"/>
      <c r="G225" s="36"/>
    </row>
    <row r="226" spans="2:7" x14ac:dyDescent="0.25">
      <c r="B226" s="28"/>
      <c r="C226" s="28"/>
      <c r="D226" s="36"/>
      <c r="E226" s="28"/>
      <c r="F226" s="28"/>
      <c r="G226" s="36"/>
    </row>
    <row r="227" spans="2:7" x14ac:dyDescent="0.25">
      <c r="B227" s="28"/>
      <c r="C227" s="28"/>
      <c r="D227" s="36"/>
      <c r="E227" s="28"/>
      <c r="F227" s="28"/>
      <c r="G227" s="36"/>
    </row>
    <row r="228" spans="2:7" x14ac:dyDescent="0.25">
      <c r="B228" s="28"/>
      <c r="C228" s="28"/>
      <c r="D228" s="36"/>
      <c r="E228" s="28"/>
      <c r="F228" s="28"/>
      <c r="G228" s="36"/>
    </row>
    <row r="229" spans="2:7" x14ac:dyDescent="0.25">
      <c r="B229" s="28"/>
      <c r="C229" s="28"/>
      <c r="D229" s="36"/>
      <c r="E229" s="28"/>
      <c r="F229" s="28"/>
      <c r="G229" s="36"/>
    </row>
    <row r="230" spans="2:7" x14ac:dyDescent="0.25">
      <c r="B230" s="28"/>
      <c r="C230" s="28"/>
      <c r="D230" s="36"/>
      <c r="E230" s="28"/>
      <c r="F230" s="28"/>
      <c r="G230" s="36"/>
    </row>
    <row r="231" spans="2:7" x14ac:dyDescent="0.25">
      <c r="B231" s="28"/>
      <c r="C231" s="28"/>
      <c r="D231" s="36"/>
      <c r="E231" s="28"/>
      <c r="F231" s="28"/>
      <c r="G231" s="36"/>
    </row>
    <row r="232" spans="2:7" x14ac:dyDescent="0.25">
      <c r="B232" s="28"/>
      <c r="C232" s="28"/>
      <c r="D232" s="36"/>
      <c r="E232" s="28"/>
      <c r="F232" s="28"/>
      <c r="G232" s="36"/>
    </row>
    <row r="233" spans="2:7" x14ac:dyDescent="0.25">
      <c r="B233" s="28"/>
      <c r="C233" s="28"/>
      <c r="D233" s="36"/>
      <c r="E233" s="28"/>
      <c r="F233" s="28"/>
      <c r="G233" s="36"/>
    </row>
    <row r="234" spans="2:7" x14ac:dyDescent="0.25">
      <c r="B234" s="28"/>
      <c r="C234" s="28"/>
      <c r="D234" s="36"/>
      <c r="E234" s="28"/>
      <c r="F234" s="28"/>
      <c r="G234" s="36"/>
    </row>
    <row r="235" spans="2:7" x14ac:dyDescent="0.25">
      <c r="B235" s="28"/>
      <c r="C235" s="28"/>
      <c r="D235" s="36"/>
      <c r="E235" s="28"/>
      <c r="F235" s="28"/>
      <c r="G235" s="36"/>
    </row>
    <row r="236" spans="2:7" x14ac:dyDescent="0.25">
      <c r="B236" s="28"/>
      <c r="C236" s="28"/>
      <c r="D236" s="36"/>
      <c r="E236" s="28"/>
      <c r="F236" s="28"/>
      <c r="G236" s="36"/>
    </row>
    <row r="237" spans="2:7" x14ac:dyDescent="0.25">
      <c r="B237" s="28"/>
      <c r="C237" s="28"/>
      <c r="D237" s="36"/>
      <c r="E237" s="28"/>
      <c r="F237" s="28"/>
      <c r="G237" s="36"/>
    </row>
    <row r="238" spans="2:7" x14ac:dyDescent="0.25">
      <c r="B238" s="28"/>
      <c r="C238" s="28"/>
      <c r="D238" s="36"/>
      <c r="E238" s="28"/>
      <c r="F238" s="28"/>
      <c r="G238" s="36"/>
    </row>
    <row r="239" spans="2:7" x14ac:dyDescent="0.25">
      <c r="B239" s="28"/>
      <c r="C239" s="28"/>
      <c r="D239" s="36"/>
      <c r="E239" s="28"/>
      <c r="F239" s="28"/>
      <c r="G239" s="36"/>
    </row>
    <row r="240" spans="2:7" x14ac:dyDescent="0.25">
      <c r="B240" s="28"/>
      <c r="C240" s="28"/>
      <c r="D240" s="36"/>
      <c r="E240" s="28"/>
      <c r="F240" s="28"/>
      <c r="G240" s="36"/>
    </row>
    <row r="241" spans="2:7" x14ac:dyDescent="0.25">
      <c r="B241" s="28"/>
      <c r="C241" s="28"/>
      <c r="D241" s="36"/>
      <c r="E241" s="28"/>
      <c r="F241" s="28"/>
      <c r="G241" s="36"/>
    </row>
    <row r="242" spans="2:7" x14ac:dyDescent="0.25">
      <c r="B242" s="28"/>
      <c r="C242" s="28"/>
      <c r="D242" s="36"/>
      <c r="E242" s="28"/>
      <c r="F242" s="28"/>
      <c r="G242" s="36"/>
    </row>
    <row r="243" spans="2:7" x14ac:dyDescent="0.25">
      <c r="B243" s="28"/>
      <c r="C243" s="28"/>
      <c r="D243" s="36"/>
      <c r="E243" s="28"/>
      <c r="F243" s="28"/>
      <c r="G243" s="36"/>
    </row>
    <row r="244" spans="2:7" x14ac:dyDescent="0.25">
      <c r="B244" s="28"/>
      <c r="C244" s="28"/>
      <c r="D244" s="36"/>
      <c r="E244" s="28"/>
      <c r="F244" s="28"/>
      <c r="G244" s="36"/>
    </row>
    <row r="245" spans="2:7" x14ac:dyDescent="0.25">
      <c r="B245" s="28"/>
      <c r="C245" s="28"/>
      <c r="D245" s="36"/>
      <c r="E245" s="28"/>
      <c r="F245" s="28"/>
      <c r="G245" s="36"/>
    </row>
    <row r="246" spans="2:7" x14ac:dyDescent="0.25">
      <c r="B246" s="28"/>
      <c r="C246" s="28"/>
      <c r="D246" s="36"/>
      <c r="E246" s="28"/>
      <c r="F246" s="28"/>
      <c r="G246" s="36"/>
    </row>
    <row r="247" spans="2:7" x14ac:dyDescent="0.25">
      <c r="B247" s="28"/>
      <c r="C247" s="28"/>
      <c r="D247" s="36"/>
      <c r="E247" s="28"/>
      <c r="F247" s="28"/>
      <c r="G247" s="36"/>
    </row>
    <row r="248" spans="2:7" x14ac:dyDescent="0.25">
      <c r="B248" s="28"/>
      <c r="C248" s="28"/>
      <c r="D248" s="36"/>
      <c r="E248" s="28"/>
      <c r="F248" s="28"/>
      <c r="G248" s="36"/>
    </row>
    <row r="249" spans="2:7" x14ac:dyDescent="0.25">
      <c r="B249" s="28"/>
      <c r="C249" s="28"/>
      <c r="D249" s="36"/>
      <c r="E249" s="28"/>
      <c r="F249" s="28"/>
      <c r="G249" s="36"/>
    </row>
    <row r="250" spans="2:7" x14ac:dyDescent="0.25">
      <c r="B250" s="28"/>
      <c r="C250" s="28"/>
      <c r="D250" s="36"/>
      <c r="E250" s="28"/>
      <c r="F250" s="28"/>
      <c r="G250" s="36"/>
    </row>
    <row r="251" spans="2:7" x14ac:dyDescent="0.25">
      <c r="B251" s="28"/>
      <c r="C251" s="28"/>
      <c r="D251" s="36"/>
      <c r="E251" s="28"/>
      <c r="F251" s="28"/>
      <c r="G251" s="36"/>
    </row>
    <row r="252" spans="2:7" x14ac:dyDescent="0.25">
      <c r="B252" s="28"/>
      <c r="C252" s="28"/>
      <c r="D252" s="36"/>
      <c r="E252" s="28"/>
      <c r="F252" s="28"/>
      <c r="G252" s="36"/>
    </row>
    <row r="253" spans="2:7" x14ac:dyDescent="0.25">
      <c r="B253" s="28"/>
      <c r="C253" s="28"/>
      <c r="D253" s="36"/>
      <c r="E253" s="28"/>
      <c r="F253" s="28"/>
      <c r="G253" s="36"/>
    </row>
    <row r="254" spans="2:7" x14ac:dyDescent="0.25">
      <c r="B254" s="28"/>
      <c r="C254" s="28"/>
      <c r="D254" s="36"/>
      <c r="E254" s="28"/>
      <c r="F254" s="28"/>
      <c r="G254" s="36"/>
    </row>
    <row r="255" spans="2:7" x14ac:dyDescent="0.25">
      <c r="B255" s="28"/>
      <c r="C255" s="28"/>
      <c r="D255" s="36"/>
      <c r="E255" s="28"/>
      <c r="F255" s="28"/>
      <c r="G255" s="36"/>
    </row>
    <row r="256" spans="2:7" x14ac:dyDescent="0.25">
      <c r="B256" s="28"/>
      <c r="C256" s="28"/>
      <c r="D256" s="36"/>
      <c r="E256" s="28"/>
      <c r="F256" s="28"/>
      <c r="G256" s="36"/>
    </row>
    <row r="257" spans="2:7" x14ac:dyDescent="0.25">
      <c r="B257" s="28"/>
      <c r="C257" s="28"/>
      <c r="D257" s="36"/>
      <c r="E257" s="28"/>
      <c r="F257" s="28"/>
      <c r="G257" s="36"/>
    </row>
    <row r="258" spans="2:7" x14ac:dyDescent="0.25">
      <c r="B258" s="28"/>
      <c r="C258" s="28"/>
      <c r="D258" s="36"/>
      <c r="E258" s="28"/>
      <c r="F258" s="28"/>
      <c r="G258" s="36"/>
    </row>
    <row r="259" spans="2:7" x14ac:dyDescent="0.25">
      <c r="B259" s="28"/>
      <c r="C259" s="28"/>
      <c r="D259" s="36"/>
      <c r="E259" s="28"/>
      <c r="F259" s="28"/>
      <c r="G259" s="36"/>
    </row>
    <row r="260" spans="2:7" x14ac:dyDescent="0.25">
      <c r="B260" s="28"/>
      <c r="C260" s="28"/>
      <c r="D260" s="36"/>
      <c r="E260" s="28"/>
      <c r="F260" s="28"/>
      <c r="G260" s="36"/>
    </row>
    <row r="261" spans="2:7" x14ac:dyDescent="0.25">
      <c r="B261" s="28"/>
      <c r="C261" s="28"/>
      <c r="D261" s="36"/>
      <c r="E261" s="28"/>
      <c r="F261" s="28"/>
      <c r="G261" s="36"/>
    </row>
    <row r="262" spans="2:7" x14ac:dyDescent="0.25">
      <c r="B262" s="28"/>
      <c r="C262" s="28"/>
      <c r="D262" s="36"/>
      <c r="E262" s="28"/>
      <c r="F262" s="28"/>
      <c r="G262" s="36"/>
    </row>
    <row r="263" spans="2:7" x14ac:dyDescent="0.25">
      <c r="B263" s="28"/>
      <c r="C263" s="28"/>
      <c r="D263" s="36"/>
      <c r="E263" s="28"/>
      <c r="F263" s="28"/>
      <c r="G263" s="36"/>
    </row>
    <row r="264" spans="2:7" x14ac:dyDescent="0.25">
      <c r="B264" s="28"/>
      <c r="C264" s="28"/>
      <c r="D264" s="36"/>
      <c r="E264" s="28"/>
      <c r="F264" s="28"/>
      <c r="G264" s="36"/>
    </row>
    <row r="265" spans="2:7" x14ac:dyDescent="0.25">
      <c r="B265" s="28"/>
      <c r="C265" s="28"/>
      <c r="D265" s="36"/>
      <c r="E265" s="28"/>
      <c r="F265" s="28"/>
      <c r="G265" s="36"/>
    </row>
    <row r="266" spans="2:7" x14ac:dyDescent="0.25">
      <c r="B266" s="28"/>
      <c r="C266" s="28"/>
      <c r="D266" s="36"/>
      <c r="E266" s="28"/>
      <c r="F266" s="28"/>
      <c r="G266" s="36"/>
    </row>
    <row r="267" spans="2:7" x14ac:dyDescent="0.25">
      <c r="B267" s="28"/>
      <c r="C267" s="28"/>
      <c r="D267" s="36"/>
      <c r="E267" s="28"/>
      <c r="F267" s="28"/>
      <c r="G267" s="36"/>
    </row>
    <row r="268" spans="2:7" x14ac:dyDescent="0.25">
      <c r="B268" s="28"/>
      <c r="C268" s="28"/>
      <c r="D268" s="36"/>
      <c r="E268" s="28"/>
      <c r="F268" s="28"/>
      <c r="G268" s="36"/>
    </row>
    <row r="269" spans="2:7" x14ac:dyDescent="0.25">
      <c r="B269" s="28"/>
      <c r="C269" s="28"/>
      <c r="D269" s="36"/>
      <c r="E269" s="28"/>
      <c r="F269" s="28"/>
      <c r="G269" s="36"/>
    </row>
    <row r="270" spans="2:7" x14ac:dyDescent="0.25">
      <c r="B270" s="28"/>
      <c r="C270" s="28"/>
      <c r="D270" s="36"/>
      <c r="E270" s="28"/>
      <c r="F270" s="28"/>
      <c r="G270" s="36"/>
    </row>
    <row r="271" spans="2:7" x14ac:dyDescent="0.25">
      <c r="B271" s="28"/>
      <c r="C271" s="28"/>
      <c r="D271" s="36"/>
      <c r="E271" s="28"/>
      <c r="F271" s="28"/>
      <c r="G271" s="36"/>
    </row>
    <row r="272" spans="2:7" x14ac:dyDescent="0.25">
      <c r="B272" s="28"/>
      <c r="C272" s="28"/>
      <c r="D272" s="36"/>
      <c r="E272" s="28"/>
      <c r="F272" s="28"/>
      <c r="G272" s="36"/>
    </row>
    <row r="273" spans="2:7" x14ac:dyDescent="0.25">
      <c r="B273" s="28"/>
      <c r="C273" s="28"/>
      <c r="D273" s="36"/>
      <c r="E273" s="28"/>
      <c r="F273" s="28"/>
      <c r="G273" s="36"/>
    </row>
    <row r="274" spans="2:7" x14ac:dyDescent="0.25">
      <c r="B274" s="28"/>
      <c r="C274" s="28"/>
      <c r="D274" s="36"/>
      <c r="E274" s="28"/>
      <c r="F274" s="28"/>
      <c r="G274" s="36"/>
    </row>
    <row r="275" spans="2:7" x14ac:dyDescent="0.25">
      <c r="B275" s="28"/>
      <c r="C275" s="28"/>
      <c r="D275" s="36"/>
      <c r="E275" s="28"/>
      <c r="F275" s="28"/>
      <c r="G275" s="36"/>
    </row>
    <row r="276" spans="2:7" x14ac:dyDescent="0.25">
      <c r="B276" s="28"/>
      <c r="C276" s="28"/>
      <c r="D276" s="36"/>
      <c r="E276" s="28"/>
      <c r="F276" s="28"/>
      <c r="G276" s="36"/>
    </row>
    <row r="277" spans="2:7" x14ac:dyDescent="0.25">
      <c r="B277" s="28"/>
      <c r="C277" s="28"/>
      <c r="D277" s="36"/>
      <c r="E277" s="28"/>
      <c r="F277" s="28"/>
      <c r="G277" s="36"/>
    </row>
    <row r="278" spans="2:7" x14ac:dyDescent="0.25">
      <c r="B278" s="28"/>
      <c r="C278" s="28"/>
      <c r="D278" s="36"/>
      <c r="E278" s="28"/>
      <c r="F278" s="28"/>
      <c r="G278" s="36"/>
    </row>
    <row r="279" spans="2:7" x14ac:dyDescent="0.25">
      <c r="B279" s="28"/>
      <c r="C279" s="28"/>
      <c r="D279" s="36"/>
      <c r="E279" s="28"/>
      <c r="F279" s="28"/>
      <c r="G279" s="36"/>
    </row>
    <row r="280" spans="2:7" x14ac:dyDescent="0.25">
      <c r="B280" s="28"/>
      <c r="C280" s="28"/>
      <c r="D280" s="36"/>
      <c r="E280" s="28"/>
      <c r="F280" s="28"/>
      <c r="G280" s="36"/>
    </row>
    <row r="281" spans="2:7" x14ac:dyDescent="0.25">
      <c r="B281" s="28"/>
      <c r="C281" s="28"/>
      <c r="D281" s="36"/>
      <c r="E281" s="28"/>
      <c r="F281" s="28"/>
      <c r="G281" s="36"/>
    </row>
    <row r="282" spans="2:7" x14ac:dyDescent="0.25">
      <c r="B282" s="28"/>
      <c r="C282" s="28"/>
      <c r="D282" s="36"/>
      <c r="E282" s="28"/>
      <c r="F282" s="28"/>
      <c r="G282" s="36"/>
    </row>
    <row r="283" spans="2:7" x14ac:dyDescent="0.25">
      <c r="B283" s="28"/>
      <c r="C283" s="28"/>
      <c r="D283" s="36"/>
      <c r="E283" s="28"/>
      <c r="F283" s="28"/>
      <c r="G283" s="36"/>
    </row>
    <row r="284" spans="2:7" x14ac:dyDescent="0.25">
      <c r="B284" s="28"/>
      <c r="C284" s="28"/>
      <c r="D284" s="36"/>
      <c r="E284" s="28"/>
      <c r="F284" s="28"/>
      <c r="G284" s="36"/>
    </row>
    <row r="285" spans="2:7" x14ac:dyDescent="0.25">
      <c r="B285" s="28"/>
      <c r="C285" s="28"/>
      <c r="D285" s="36"/>
      <c r="E285" s="28"/>
      <c r="F285" s="28"/>
      <c r="G285" s="36"/>
    </row>
    <row r="286" spans="2:7" x14ac:dyDescent="0.25">
      <c r="B286" s="28"/>
      <c r="C286" s="28"/>
      <c r="D286" s="36"/>
      <c r="E286" s="28"/>
      <c r="F286" s="28"/>
      <c r="G286" s="36"/>
    </row>
    <row r="287" spans="2:7" x14ac:dyDescent="0.25">
      <c r="B287" s="28"/>
      <c r="C287" s="28"/>
      <c r="D287" s="36"/>
      <c r="E287" s="28"/>
      <c r="F287" s="28"/>
      <c r="G287" s="36"/>
    </row>
    <row r="288" spans="2:7" x14ac:dyDescent="0.25">
      <c r="B288" s="28"/>
      <c r="C288" s="28"/>
      <c r="D288" s="36"/>
      <c r="E288" s="28"/>
      <c r="F288" s="28"/>
      <c r="G288" s="36"/>
    </row>
    <row r="289" spans="2:7" x14ac:dyDescent="0.25">
      <c r="B289" s="28"/>
      <c r="C289" s="28"/>
      <c r="D289" s="36"/>
      <c r="E289" s="28"/>
      <c r="F289" s="28"/>
      <c r="G289" s="36"/>
    </row>
    <row r="290" spans="2:7" x14ac:dyDescent="0.25">
      <c r="B290" s="28"/>
      <c r="C290" s="28"/>
      <c r="D290" s="36"/>
      <c r="E290" s="28"/>
      <c r="F290" s="28"/>
      <c r="G290" s="36"/>
    </row>
    <row r="291" spans="2:7" x14ac:dyDescent="0.25">
      <c r="B291" s="28"/>
      <c r="C291" s="28"/>
      <c r="D291" s="36"/>
      <c r="E291" s="28"/>
      <c r="F291" s="28"/>
      <c r="G291" s="36"/>
    </row>
    <row r="292" spans="2:7" x14ac:dyDescent="0.25">
      <c r="B292" s="28"/>
      <c r="C292" s="28"/>
      <c r="D292" s="36"/>
      <c r="E292" s="28"/>
      <c r="F292" s="28"/>
      <c r="G292" s="36"/>
    </row>
    <row r="293" spans="2:7" x14ac:dyDescent="0.25">
      <c r="B293" s="28"/>
      <c r="C293" s="28"/>
      <c r="D293" s="36"/>
      <c r="E293" s="28"/>
      <c r="F293" s="28"/>
      <c r="G293" s="36"/>
    </row>
    <row r="294" spans="2:7" x14ac:dyDescent="0.25">
      <c r="B294" s="28"/>
      <c r="C294" s="28"/>
      <c r="D294" s="36"/>
      <c r="E294" s="28"/>
      <c r="F294" s="28"/>
      <c r="G294" s="36"/>
    </row>
    <row r="295" spans="2:7" x14ac:dyDescent="0.25">
      <c r="B295" s="28"/>
      <c r="C295" s="28"/>
      <c r="D295" s="36"/>
      <c r="E295" s="28"/>
      <c r="F295" s="28"/>
      <c r="G295" s="36"/>
    </row>
    <row r="296" spans="2:7" x14ac:dyDescent="0.25">
      <c r="B296" s="28"/>
      <c r="C296" s="28"/>
      <c r="D296" s="36"/>
      <c r="E296" s="28"/>
      <c r="F296" s="28"/>
      <c r="G296" s="36"/>
    </row>
    <row r="297" spans="2:7" x14ac:dyDescent="0.25">
      <c r="B297" s="28"/>
      <c r="C297" s="28"/>
      <c r="D297" s="36"/>
      <c r="E297" s="28"/>
      <c r="F297" s="28"/>
      <c r="G297" s="36"/>
    </row>
    <row r="298" spans="2:7" x14ac:dyDescent="0.25">
      <c r="B298" s="28"/>
      <c r="C298" s="28"/>
      <c r="D298" s="36"/>
      <c r="E298" s="28"/>
      <c r="F298" s="28"/>
      <c r="G298" s="36"/>
    </row>
    <row r="299" spans="2:7" x14ac:dyDescent="0.25">
      <c r="B299" s="28"/>
      <c r="C299" s="28"/>
      <c r="D299" s="36"/>
      <c r="E299" s="28"/>
      <c r="F299" s="28"/>
      <c r="G299" s="36"/>
    </row>
    <row r="300" spans="2:7" x14ac:dyDescent="0.25">
      <c r="B300" s="28"/>
      <c r="C300" s="28"/>
      <c r="D300" s="36"/>
      <c r="E300" s="28"/>
      <c r="F300" s="28"/>
      <c r="G300" s="36"/>
    </row>
    <row r="301" spans="2:7" x14ac:dyDescent="0.25">
      <c r="B301" s="28"/>
      <c r="C301" s="28"/>
      <c r="D301" s="36"/>
      <c r="E301" s="28"/>
      <c r="F301" s="28"/>
      <c r="G301" s="36"/>
    </row>
    <row r="302" spans="2:7" x14ac:dyDescent="0.25">
      <c r="B302" s="28"/>
      <c r="C302" s="28"/>
      <c r="D302" s="36"/>
      <c r="E302" s="28"/>
      <c r="F302" s="28"/>
      <c r="G302" s="36"/>
    </row>
    <row r="303" spans="2:7" x14ac:dyDescent="0.25">
      <c r="B303" s="28"/>
      <c r="C303" s="28"/>
      <c r="D303" s="36"/>
      <c r="E303" s="28"/>
      <c r="F303" s="28"/>
      <c r="G303" s="36"/>
    </row>
    <row r="304" spans="2:7" x14ac:dyDescent="0.25">
      <c r="B304" s="28"/>
      <c r="C304" s="28"/>
      <c r="D304" s="36"/>
      <c r="E304" s="28"/>
      <c r="F304" s="28"/>
      <c r="G304" s="36"/>
    </row>
    <row r="305" spans="2:7" x14ac:dyDescent="0.25">
      <c r="B305" s="28"/>
      <c r="C305" s="28"/>
      <c r="D305" s="36"/>
      <c r="E305" s="28"/>
      <c r="F305" s="28"/>
      <c r="G305" s="36"/>
    </row>
    <row r="306" spans="2:7" x14ac:dyDescent="0.25">
      <c r="B306" s="28"/>
      <c r="C306" s="28"/>
      <c r="D306" s="36"/>
      <c r="E306" s="28"/>
      <c r="F306" s="28"/>
      <c r="G306" s="36"/>
    </row>
    <row r="307" spans="2:7" x14ac:dyDescent="0.25">
      <c r="B307" s="28"/>
      <c r="C307" s="28"/>
      <c r="D307" s="36"/>
      <c r="E307" s="28"/>
      <c r="F307" s="28"/>
      <c r="G307" s="36"/>
    </row>
    <row r="308" spans="2:7" x14ac:dyDescent="0.25">
      <c r="B308" s="28"/>
      <c r="C308" s="28"/>
      <c r="D308" s="36"/>
      <c r="E308" s="28"/>
      <c r="F308" s="28"/>
      <c r="G308" s="36"/>
    </row>
    <row r="309" spans="2:7" x14ac:dyDescent="0.25">
      <c r="B309" s="28"/>
      <c r="C309" s="28"/>
      <c r="D309" s="36"/>
      <c r="E309" s="28"/>
      <c r="F309" s="28"/>
      <c r="G309" s="36"/>
    </row>
    <row r="310" spans="2:7" x14ac:dyDescent="0.25">
      <c r="B310" s="28"/>
      <c r="C310" s="28"/>
      <c r="D310" s="36"/>
      <c r="E310" s="28"/>
      <c r="F310" s="28"/>
      <c r="G310" s="36"/>
    </row>
    <row r="311" spans="2:7" x14ac:dyDescent="0.25">
      <c r="B311" s="28"/>
      <c r="C311" s="28"/>
      <c r="D311" s="36"/>
      <c r="E311" s="28"/>
      <c r="F311" s="28"/>
      <c r="G311" s="36"/>
    </row>
    <row r="312" spans="2:7" x14ac:dyDescent="0.25">
      <c r="B312" s="28"/>
      <c r="C312" s="28"/>
      <c r="D312" s="36"/>
      <c r="E312" s="28"/>
      <c r="F312" s="28"/>
      <c r="G312" s="36"/>
    </row>
    <row r="313" spans="2:7" x14ac:dyDescent="0.25">
      <c r="B313" s="28"/>
      <c r="C313" s="28"/>
      <c r="D313" s="36"/>
      <c r="E313" s="28"/>
      <c r="F313" s="28"/>
      <c r="G313" s="36"/>
    </row>
    <row r="314" spans="2:7" x14ac:dyDescent="0.25">
      <c r="B314" s="28"/>
      <c r="C314" s="28"/>
      <c r="D314" s="36"/>
      <c r="E314" s="28"/>
      <c r="F314" s="28"/>
      <c r="G314" s="36"/>
    </row>
    <row r="315" spans="2:7" x14ac:dyDescent="0.25">
      <c r="B315" s="28"/>
      <c r="C315" s="28"/>
      <c r="D315" s="36"/>
      <c r="E315" s="28"/>
      <c r="F315" s="28"/>
      <c r="G315" s="36"/>
    </row>
    <row r="316" spans="2:7" x14ac:dyDescent="0.25">
      <c r="B316" s="28"/>
      <c r="C316" s="28"/>
      <c r="D316" s="36"/>
      <c r="E316" s="28"/>
      <c r="F316" s="28"/>
      <c r="G316" s="36"/>
    </row>
    <row r="317" spans="2:7" x14ac:dyDescent="0.25">
      <c r="B317" s="28"/>
      <c r="C317" s="28"/>
      <c r="D317" s="36"/>
      <c r="E317" s="28"/>
      <c r="F317" s="28"/>
      <c r="G317" s="36"/>
    </row>
    <row r="318" spans="2:7" x14ac:dyDescent="0.25">
      <c r="B318" s="28"/>
      <c r="C318" s="28"/>
      <c r="D318" s="36"/>
      <c r="E318" s="28"/>
      <c r="F318" s="28"/>
      <c r="G318" s="36"/>
    </row>
    <row r="319" spans="2:7" x14ac:dyDescent="0.25">
      <c r="B319" s="28"/>
      <c r="C319" s="28"/>
      <c r="D319" s="36"/>
      <c r="E319" s="28"/>
      <c r="F319" s="28"/>
      <c r="G319" s="36"/>
    </row>
    <row r="320" spans="2:7" x14ac:dyDescent="0.25">
      <c r="B320" s="28"/>
      <c r="C320" s="28"/>
      <c r="D320" s="36"/>
      <c r="E320" s="28"/>
      <c r="F320" s="28"/>
      <c r="G320" s="36"/>
    </row>
    <row r="321" spans="2:7" x14ac:dyDescent="0.25">
      <c r="B321" s="28"/>
      <c r="C321" s="28"/>
      <c r="D321" s="36"/>
      <c r="E321" s="28"/>
      <c r="F321" s="28"/>
      <c r="G321" s="36"/>
    </row>
    <row r="322" spans="2:7" x14ac:dyDescent="0.25">
      <c r="B322" s="28"/>
      <c r="C322" s="28"/>
      <c r="D322" s="36"/>
      <c r="E322" s="28"/>
      <c r="F322" s="28"/>
      <c r="G322" s="36"/>
    </row>
    <row r="323" spans="2:7" x14ac:dyDescent="0.25">
      <c r="B323" s="28"/>
      <c r="C323" s="28"/>
      <c r="D323" s="36"/>
      <c r="E323" s="28"/>
      <c r="F323" s="28"/>
      <c r="G323" s="36"/>
    </row>
    <row r="324" spans="2:7" x14ac:dyDescent="0.25">
      <c r="B324" s="28"/>
      <c r="C324" s="28"/>
      <c r="D324" s="36"/>
      <c r="E324" s="28"/>
      <c r="F324" s="28"/>
      <c r="G324" s="36"/>
    </row>
    <row r="325" spans="2:7" x14ac:dyDescent="0.25">
      <c r="B325" s="28"/>
      <c r="C325" s="28"/>
      <c r="D325" s="36"/>
      <c r="E325" s="28"/>
      <c r="F325" s="28"/>
      <c r="G325" s="36"/>
    </row>
    <row r="326" spans="2:7" x14ac:dyDescent="0.25">
      <c r="B326" s="28"/>
      <c r="C326" s="28"/>
      <c r="D326" s="36"/>
      <c r="E326" s="28"/>
      <c r="F326" s="28"/>
      <c r="G326" s="36"/>
    </row>
    <row r="327" spans="2:7" x14ac:dyDescent="0.25">
      <c r="B327" s="28"/>
      <c r="C327" s="28"/>
      <c r="D327" s="36"/>
      <c r="E327" s="28"/>
      <c r="F327" s="28"/>
      <c r="G327" s="36"/>
    </row>
    <row r="328" spans="2:7" x14ac:dyDescent="0.25">
      <c r="B328" s="28"/>
      <c r="C328" s="28"/>
      <c r="D328" s="36"/>
      <c r="E328" s="28"/>
      <c r="F328" s="28"/>
      <c r="G328" s="36"/>
    </row>
    <row r="329" spans="2:7" x14ac:dyDescent="0.25">
      <c r="B329" s="28"/>
      <c r="C329" s="28"/>
      <c r="D329" s="36"/>
      <c r="E329" s="28"/>
      <c r="F329" s="28"/>
      <c r="G329" s="36"/>
    </row>
    <row r="330" spans="2:7" x14ac:dyDescent="0.25">
      <c r="B330" s="28"/>
      <c r="C330" s="28"/>
      <c r="D330" s="36"/>
      <c r="E330" s="28"/>
      <c r="F330" s="28"/>
      <c r="G330" s="36"/>
    </row>
    <row r="331" spans="2:7" x14ac:dyDescent="0.25">
      <c r="B331" s="28"/>
      <c r="C331" s="28"/>
      <c r="D331" s="36"/>
      <c r="E331" s="28"/>
      <c r="F331" s="28"/>
      <c r="G331" s="36"/>
    </row>
    <row r="332" spans="2:7" x14ac:dyDescent="0.25">
      <c r="B332" s="28"/>
      <c r="C332" s="28"/>
      <c r="D332" s="36"/>
      <c r="E332" s="28"/>
      <c r="F332" s="28"/>
      <c r="G332" s="36"/>
    </row>
    <row r="333" spans="2:7" x14ac:dyDescent="0.25">
      <c r="B333" s="28"/>
      <c r="C333" s="28"/>
      <c r="D333" s="36"/>
      <c r="E333" s="28"/>
      <c r="F333" s="28"/>
      <c r="G333" s="36"/>
    </row>
    <row r="334" spans="2:7" x14ac:dyDescent="0.25">
      <c r="B334" s="28"/>
      <c r="C334" s="28"/>
      <c r="D334" s="36"/>
      <c r="E334" s="28"/>
      <c r="F334" s="28"/>
      <c r="G334" s="36"/>
    </row>
    <row r="335" spans="2:7" x14ac:dyDescent="0.25">
      <c r="B335" s="28"/>
      <c r="C335" s="28"/>
      <c r="D335" s="36"/>
      <c r="E335" s="28"/>
      <c r="F335" s="28"/>
      <c r="G335" s="36"/>
    </row>
    <row r="336" spans="2:7" x14ac:dyDescent="0.25">
      <c r="B336" s="28"/>
      <c r="C336" s="28"/>
      <c r="D336" s="36"/>
      <c r="E336" s="28"/>
      <c r="F336" s="28"/>
      <c r="G336" s="36"/>
    </row>
    <row r="337" spans="2:7" x14ac:dyDescent="0.25">
      <c r="B337" s="28"/>
      <c r="C337" s="28"/>
      <c r="D337" s="36"/>
      <c r="E337" s="28"/>
      <c r="F337" s="28"/>
      <c r="G337" s="36"/>
    </row>
    <row r="338" spans="2:7" x14ac:dyDescent="0.25">
      <c r="B338" s="28"/>
      <c r="C338" s="28"/>
      <c r="D338" s="36"/>
      <c r="E338" s="28"/>
      <c r="F338" s="28"/>
      <c r="G338" s="36"/>
    </row>
    <row r="339" spans="2:7" x14ac:dyDescent="0.25">
      <c r="B339" s="28"/>
      <c r="C339" s="28"/>
      <c r="D339" s="36"/>
      <c r="E339" s="28"/>
      <c r="F339" s="28"/>
      <c r="G339" s="36"/>
    </row>
    <row r="340" spans="2:7" x14ac:dyDescent="0.25">
      <c r="B340" s="28"/>
      <c r="C340" s="28"/>
      <c r="D340" s="36"/>
      <c r="E340" s="28"/>
      <c r="F340" s="28"/>
      <c r="G340" s="36"/>
    </row>
    <row r="341" spans="2:7" x14ac:dyDescent="0.25">
      <c r="B341" s="28"/>
      <c r="C341" s="28"/>
      <c r="D341" s="36"/>
      <c r="E341" s="28"/>
      <c r="F341" s="28"/>
      <c r="G341" s="36"/>
    </row>
    <row r="342" spans="2:7" x14ac:dyDescent="0.25">
      <c r="B342" s="28"/>
      <c r="C342" s="28"/>
      <c r="D342" s="36"/>
      <c r="E342" s="28"/>
      <c r="F342" s="28"/>
      <c r="G342" s="36"/>
    </row>
    <row r="343" spans="2:7" x14ac:dyDescent="0.25">
      <c r="B343" s="28"/>
      <c r="C343" s="28"/>
      <c r="D343" s="36"/>
      <c r="E343" s="28"/>
      <c r="F343" s="28"/>
      <c r="G343" s="36"/>
    </row>
    <row r="344" spans="2:7" x14ac:dyDescent="0.25">
      <c r="B344" s="28"/>
      <c r="C344" s="28"/>
      <c r="D344" s="36"/>
      <c r="E344" s="28"/>
      <c r="F344" s="28"/>
      <c r="G344" s="36"/>
    </row>
    <row r="345" spans="2:7" x14ac:dyDescent="0.25">
      <c r="B345" s="28"/>
      <c r="C345" s="28"/>
      <c r="D345" s="36"/>
      <c r="E345" s="28"/>
      <c r="F345" s="28"/>
      <c r="G345" s="36"/>
    </row>
    <row r="346" spans="2:7" x14ac:dyDescent="0.25">
      <c r="B346" s="28"/>
      <c r="C346" s="28"/>
      <c r="D346" s="36"/>
      <c r="E346" s="28"/>
      <c r="F346" s="28"/>
      <c r="G346" s="36"/>
    </row>
    <row r="347" spans="2:7" x14ac:dyDescent="0.25">
      <c r="B347" s="28"/>
      <c r="C347" s="28"/>
      <c r="D347" s="36"/>
      <c r="E347" s="28"/>
      <c r="F347" s="28"/>
      <c r="G347" s="36"/>
    </row>
    <row r="348" spans="2:7" x14ac:dyDescent="0.25">
      <c r="B348" s="28"/>
      <c r="C348" s="28"/>
      <c r="D348" s="36"/>
      <c r="E348" s="28"/>
      <c r="F348" s="28"/>
      <c r="G348" s="36"/>
    </row>
    <row r="349" spans="2:7" x14ac:dyDescent="0.25">
      <c r="B349" s="28"/>
      <c r="C349" s="28"/>
      <c r="D349" s="36"/>
      <c r="E349" s="28"/>
      <c r="F349" s="28"/>
      <c r="G349" s="36"/>
    </row>
    <row r="350" spans="2:7" x14ac:dyDescent="0.25">
      <c r="B350" s="28"/>
      <c r="C350" s="28"/>
      <c r="D350" s="36"/>
      <c r="E350" s="28"/>
      <c r="F350" s="28"/>
      <c r="G350" s="36"/>
    </row>
    <row r="351" spans="2:7" x14ac:dyDescent="0.25">
      <c r="B351" s="28"/>
      <c r="C351" s="28"/>
      <c r="D351" s="36"/>
      <c r="E351" s="28"/>
      <c r="F351" s="28"/>
      <c r="G351" s="36"/>
    </row>
    <row r="352" spans="2:7" x14ac:dyDescent="0.25">
      <c r="B352" s="28"/>
      <c r="C352" s="28"/>
      <c r="D352" s="36"/>
      <c r="E352" s="28"/>
      <c r="F352" s="28"/>
      <c r="G352" s="36"/>
    </row>
    <row r="353" spans="2:7" x14ac:dyDescent="0.25">
      <c r="B353" s="28"/>
      <c r="C353" s="28"/>
      <c r="D353" s="36"/>
      <c r="E353" s="28"/>
      <c r="F353" s="28"/>
      <c r="G353" s="36"/>
    </row>
    <row r="354" spans="2:7" x14ac:dyDescent="0.25">
      <c r="B354" s="28"/>
      <c r="C354" s="28"/>
      <c r="D354" s="36"/>
      <c r="E354" s="28"/>
      <c r="F354" s="28"/>
      <c r="G354" s="36"/>
    </row>
    <row r="355" spans="2:7" x14ac:dyDescent="0.25">
      <c r="B355" s="28"/>
      <c r="C355" s="28"/>
      <c r="D355" s="36"/>
      <c r="E355" s="28"/>
      <c r="F355" s="28"/>
      <c r="G355" s="36"/>
    </row>
    <row r="356" spans="2:7" x14ac:dyDescent="0.25">
      <c r="B356" s="28"/>
      <c r="C356" s="28"/>
      <c r="D356" s="36"/>
      <c r="E356" s="28"/>
      <c r="F356" s="28"/>
      <c r="G356" s="36"/>
    </row>
    <row r="357" spans="2:7" x14ac:dyDescent="0.25">
      <c r="B357" s="28"/>
      <c r="C357" s="28"/>
      <c r="D357" s="36"/>
      <c r="E357" s="28"/>
      <c r="F357" s="28"/>
      <c r="G357" s="36"/>
    </row>
    <row r="358" spans="2:7" x14ac:dyDescent="0.25">
      <c r="B358" s="28"/>
      <c r="C358" s="28"/>
      <c r="D358" s="36"/>
      <c r="E358" s="28"/>
      <c r="F358" s="28"/>
      <c r="G358" s="36"/>
    </row>
    <row r="359" spans="2:7" x14ac:dyDescent="0.25">
      <c r="B359" s="28"/>
      <c r="C359" s="28"/>
      <c r="D359" s="36"/>
      <c r="E359" s="28"/>
      <c r="F359" s="28"/>
      <c r="G359" s="36"/>
    </row>
    <row r="360" spans="2:7" x14ac:dyDescent="0.25">
      <c r="B360" s="28"/>
      <c r="C360" s="28"/>
      <c r="D360" s="36"/>
      <c r="E360" s="28"/>
      <c r="F360" s="28"/>
      <c r="G360" s="36"/>
    </row>
    <row r="361" spans="2:7" x14ac:dyDescent="0.25">
      <c r="B361" s="28"/>
      <c r="C361" s="28"/>
      <c r="D361" s="36"/>
      <c r="E361" s="28"/>
      <c r="F361" s="28"/>
      <c r="G361" s="36"/>
    </row>
    <row r="362" spans="2:7" x14ac:dyDescent="0.25">
      <c r="B362" s="28"/>
      <c r="C362" s="28"/>
      <c r="D362" s="36"/>
      <c r="E362" s="28"/>
      <c r="F362" s="28"/>
      <c r="G362" s="36"/>
    </row>
    <row r="363" spans="2:7" x14ac:dyDescent="0.25">
      <c r="B363" s="28"/>
      <c r="C363" s="28"/>
      <c r="D363" s="36"/>
      <c r="E363" s="28"/>
      <c r="F363" s="28"/>
      <c r="G363" s="36"/>
    </row>
    <row r="364" spans="2:7" x14ac:dyDescent="0.25">
      <c r="B364" s="28"/>
      <c r="C364" s="28"/>
      <c r="D364" s="36"/>
      <c r="E364" s="28"/>
      <c r="F364" s="28"/>
      <c r="G364" s="36"/>
    </row>
    <row r="365" spans="2:7" x14ac:dyDescent="0.25">
      <c r="B365" s="28"/>
      <c r="C365" s="28"/>
      <c r="D365" s="36"/>
      <c r="E365" s="28"/>
      <c r="F365" s="28"/>
      <c r="G365" s="36"/>
    </row>
    <row r="366" spans="2:7" x14ac:dyDescent="0.25">
      <c r="B366" s="28"/>
      <c r="C366" s="28"/>
      <c r="D366" s="36"/>
      <c r="E366" s="28"/>
      <c r="F366" s="28"/>
      <c r="G366" s="36"/>
    </row>
    <row r="367" spans="2:7" x14ac:dyDescent="0.25">
      <c r="B367" s="28"/>
      <c r="C367" s="28"/>
      <c r="D367" s="36"/>
      <c r="E367" s="28"/>
      <c r="F367" s="28"/>
      <c r="G367" s="36"/>
    </row>
    <row r="368" spans="2:7" x14ac:dyDescent="0.25">
      <c r="B368" s="28"/>
      <c r="C368" s="28"/>
      <c r="D368" s="36"/>
      <c r="E368" s="28"/>
      <c r="F368" s="28"/>
      <c r="G368" s="36"/>
    </row>
    <row r="369" spans="2:7" x14ac:dyDescent="0.25">
      <c r="B369" s="28"/>
      <c r="C369" s="28"/>
      <c r="D369" s="36"/>
      <c r="E369" s="28"/>
      <c r="F369" s="28"/>
      <c r="G369" s="36"/>
    </row>
    <row r="370" spans="2:7" x14ac:dyDescent="0.25">
      <c r="B370" s="28"/>
      <c r="C370" s="28"/>
      <c r="D370" s="36"/>
      <c r="E370" s="28"/>
      <c r="F370" s="28"/>
      <c r="G370" s="36"/>
    </row>
    <row r="371" spans="2:7" x14ac:dyDescent="0.25">
      <c r="B371" s="28"/>
      <c r="C371" s="28"/>
      <c r="D371" s="36"/>
      <c r="E371" s="28"/>
      <c r="F371" s="28"/>
      <c r="G371" s="36"/>
    </row>
    <row r="372" spans="2:7" x14ac:dyDescent="0.25">
      <c r="B372" s="28"/>
      <c r="C372" s="28"/>
      <c r="D372" s="36"/>
      <c r="E372" s="28"/>
      <c r="F372" s="28"/>
      <c r="G372" s="36"/>
    </row>
    <row r="373" spans="2:7" x14ac:dyDescent="0.25">
      <c r="B373" s="28"/>
      <c r="C373" s="28"/>
      <c r="D373" s="36"/>
      <c r="E373" s="28"/>
      <c r="F373" s="28"/>
      <c r="G373" s="36"/>
    </row>
    <row r="374" spans="2:7" x14ac:dyDescent="0.25">
      <c r="B374" s="28"/>
      <c r="C374" s="28"/>
      <c r="D374" s="36"/>
      <c r="E374" s="28"/>
      <c r="F374" s="28"/>
      <c r="G374" s="36"/>
    </row>
    <row r="375" spans="2:7" x14ac:dyDescent="0.25">
      <c r="B375" s="28"/>
      <c r="C375" s="28"/>
      <c r="D375" s="36"/>
      <c r="E375" s="28"/>
      <c r="F375" s="28"/>
      <c r="G375" s="36"/>
    </row>
    <row r="376" spans="2:7" x14ac:dyDescent="0.25">
      <c r="B376" s="28"/>
      <c r="C376" s="28"/>
      <c r="D376" s="36"/>
      <c r="E376" s="28"/>
      <c r="F376" s="28"/>
      <c r="G376" s="36"/>
    </row>
    <row r="377" spans="2:7" x14ac:dyDescent="0.25">
      <c r="B377" s="28"/>
      <c r="C377" s="28"/>
      <c r="D377" s="36"/>
      <c r="E377" s="28"/>
      <c r="F377" s="28"/>
      <c r="G377" s="36"/>
    </row>
    <row r="378" spans="2:7" x14ac:dyDescent="0.25">
      <c r="B378" s="28"/>
      <c r="C378" s="28"/>
      <c r="D378" s="36"/>
      <c r="E378" s="28"/>
      <c r="F378" s="28"/>
      <c r="G378" s="36"/>
    </row>
    <row r="379" spans="2:7" x14ac:dyDescent="0.25">
      <c r="B379" s="28"/>
      <c r="C379" s="28"/>
      <c r="D379" s="36"/>
      <c r="E379" s="28"/>
      <c r="F379" s="28"/>
      <c r="G379" s="36"/>
    </row>
    <row r="380" spans="2:7" x14ac:dyDescent="0.25">
      <c r="B380" s="28"/>
      <c r="C380" s="28"/>
      <c r="D380" s="36"/>
      <c r="E380" s="28"/>
      <c r="F380" s="28"/>
      <c r="G380" s="36"/>
    </row>
    <row r="381" spans="2:7" x14ac:dyDescent="0.25">
      <c r="B381" s="28"/>
      <c r="C381" s="28"/>
      <c r="D381" s="36"/>
      <c r="E381" s="28"/>
      <c r="F381" s="28"/>
      <c r="G381" s="36"/>
    </row>
    <row r="382" spans="2:7" x14ac:dyDescent="0.25">
      <c r="B382" s="28"/>
      <c r="C382" s="28"/>
      <c r="D382" s="36"/>
      <c r="E382" s="28"/>
      <c r="F382" s="28"/>
      <c r="G382" s="36"/>
    </row>
    <row r="383" spans="2:7" x14ac:dyDescent="0.25">
      <c r="B383" s="28"/>
      <c r="C383" s="28"/>
      <c r="D383" s="36"/>
      <c r="E383" s="28"/>
      <c r="F383" s="28"/>
      <c r="G383" s="36"/>
    </row>
    <row r="384" spans="2:7" x14ac:dyDescent="0.25">
      <c r="B384" s="28"/>
      <c r="C384" s="28"/>
      <c r="D384" s="36"/>
      <c r="E384" s="28"/>
      <c r="F384" s="28"/>
      <c r="G384" s="36"/>
    </row>
    <row r="385" spans="2:7" x14ac:dyDescent="0.25">
      <c r="B385" s="28"/>
      <c r="C385" s="28"/>
      <c r="D385" s="36"/>
      <c r="E385" s="28"/>
      <c r="F385" s="28"/>
      <c r="G385" s="36"/>
    </row>
    <row r="386" spans="2:7" x14ac:dyDescent="0.25">
      <c r="B386" s="28"/>
      <c r="C386" s="28"/>
      <c r="D386" s="36"/>
      <c r="E386" s="28"/>
      <c r="F386" s="28"/>
      <c r="G386" s="36"/>
    </row>
    <row r="387" spans="2:7" x14ac:dyDescent="0.25">
      <c r="B387" s="28"/>
      <c r="C387" s="28"/>
      <c r="D387" s="36"/>
      <c r="E387" s="28"/>
      <c r="F387" s="28"/>
      <c r="G387" s="36"/>
    </row>
    <row r="388" spans="2:7" x14ac:dyDescent="0.25">
      <c r="B388" s="28"/>
      <c r="C388" s="28"/>
      <c r="D388" s="36"/>
      <c r="E388" s="28"/>
      <c r="F388" s="28"/>
      <c r="G388" s="36"/>
    </row>
    <row r="389" spans="2:7" x14ac:dyDescent="0.25">
      <c r="B389" s="28"/>
      <c r="C389" s="28"/>
      <c r="D389" s="36"/>
      <c r="E389" s="28"/>
      <c r="F389" s="28"/>
      <c r="G389" s="36"/>
    </row>
    <row r="390" spans="2:7" x14ac:dyDescent="0.25">
      <c r="B390" s="28"/>
      <c r="C390" s="28"/>
      <c r="D390" s="36"/>
      <c r="E390" s="28"/>
      <c r="F390" s="28"/>
      <c r="G390" s="36"/>
    </row>
    <row r="391" spans="2:7" x14ac:dyDescent="0.25">
      <c r="B391" s="28"/>
      <c r="C391" s="28"/>
      <c r="D391" s="36"/>
      <c r="E391" s="28"/>
      <c r="F391" s="28"/>
      <c r="G391" s="36"/>
    </row>
    <row r="392" spans="2:7" x14ac:dyDescent="0.25">
      <c r="B392" s="28"/>
      <c r="C392" s="28"/>
      <c r="D392" s="36"/>
      <c r="E392" s="28"/>
      <c r="F392" s="28"/>
      <c r="G392" s="36"/>
    </row>
    <row r="393" spans="2:7" x14ac:dyDescent="0.25">
      <c r="B393" s="28"/>
      <c r="C393" s="28"/>
      <c r="D393" s="36"/>
      <c r="E393" s="28"/>
      <c r="F393" s="28"/>
      <c r="G393" s="36"/>
    </row>
    <row r="394" spans="2:7" x14ac:dyDescent="0.25">
      <c r="B394" s="28"/>
      <c r="C394" s="28"/>
      <c r="D394" s="36"/>
      <c r="E394" s="28"/>
      <c r="F394" s="28"/>
      <c r="G394" s="36"/>
    </row>
    <row r="395" spans="2:7" x14ac:dyDescent="0.25">
      <c r="B395" s="28"/>
      <c r="C395" s="28"/>
      <c r="D395" s="36"/>
      <c r="E395" s="28"/>
      <c r="F395" s="28"/>
      <c r="G395" s="36"/>
    </row>
    <row r="396" spans="2:7" x14ac:dyDescent="0.25">
      <c r="B396" s="28"/>
      <c r="C396" s="28"/>
      <c r="D396" s="36"/>
      <c r="E396" s="28"/>
      <c r="F396" s="28"/>
      <c r="G396" s="36"/>
    </row>
    <row r="397" spans="2:7" x14ac:dyDescent="0.25">
      <c r="B397" s="28"/>
      <c r="C397" s="28"/>
      <c r="D397" s="36"/>
      <c r="E397" s="28"/>
      <c r="F397" s="28"/>
      <c r="G397" s="36"/>
    </row>
    <row r="398" spans="2:7" x14ac:dyDescent="0.25">
      <c r="B398" s="28"/>
      <c r="C398" s="28"/>
      <c r="D398" s="36"/>
      <c r="E398" s="28"/>
      <c r="F398" s="28"/>
      <c r="G398" s="36"/>
    </row>
    <row r="399" spans="2:7" x14ac:dyDescent="0.25">
      <c r="B399" s="28"/>
      <c r="C399" s="28"/>
      <c r="D399" s="36"/>
      <c r="E399" s="28"/>
      <c r="F399" s="28"/>
      <c r="G399" s="36"/>
    </row>
    <row r="400" spans="2:7" x14ac:dyDescent="0.25">
      <c r="B400" s="28"/>
      <c r="C400" s="28"/>
      <c r="D400" s="36"/>
      <c r="E400" s="28"/>
      <c r="F400" s="28"/>
      <c r="G400" s="36"/>
    </row>
    <row r="401" spans="2:7" x14ac:dyDescent="0.25">
      <c r="B401" s="28"/>
      <c r="C401" s="28"/>
      <c r="D401" s="36"/>
      <c r="E401" s="28"/>
      <c r="F401" s="28"/>
      <c r="G401" s="36"/>
    </row>
    <row r="402" spans="2:7" x14ac:dyDescent="0.25">
      <c r="B402" s="28"/>
      <c r="C402" s="28"/>
      <c r="D402" s="36"/>
      <c r="E402" s="28"/>
      <c r="F402" s="28"/>
      <c r="G402" s="36"/>
    </row>
    <row r="403" spans="2:7" x14ac:dyDescent="0.25">
      <c r="B403" s="28"/>
      <c r="C403" s="28"/>
      <c r="D403" s="36"/>
      <c r="E403" s="28"/>
      <c r="F403" s="28"/>
      <c r="G403" s="36"/>
    </row>
    <row r="404" spans="2:7" x14ac:dyDescent="0.25">
      <c r="B404" s="28"/>
      <c r="C404" s="28"/>
      <c r="D404" s="36"/>
      <c r="E404" s="28"/>
      <c r="F404" s="28"/>
      <c r="G404" s="36"/>
    </row>
    <row r="405" spans="2:7" x14ac:dyDescent="0.25">
      <c r="B405" s="28"/>
      <c r="C405" s="28"/>
      <c r="D405" s="36"/>
      <c r="E405" s="28"/>
      <c r="F405" s="28"/>
      <c r="G405" s="36"/>
    </row>
    <row r="406" spans="2:7" x14ac:dyDescent="0.25">
      <c r="B406" s="28"/>
      <c r="C406" s="28"/>
      <c r="D406" s="36"/>
      <c r="E406" s="28"/>
      <c r="F406" s="28"/>
      <c r="G406" s="36"/>
    </row>
    <row r="407" spans="2:7" x14ac:dyDescent="0.25">
      <c r="B407" s="28"/>
      <c r="C407" s="28"/>
      <c r="D407" s="36"/>
      <c r="E407" s="28"/>
      <c r="F407" s="28"/>
      <c r="G407" s="36"/>
    </row>
    <row r="408" spans="2:7" x14ac:dyDescent="0.25">
      <c r="B408" s="28"/>
      <c r="C408" s="28"/>
      <c r="D408" s="36"/>
      <c r="E408" s="28"/>
      <c r="F408" s="28"/>
      <c r="G408" s="36"/>
    </row>
    <row r="409" spans="2:7" x14ac:dyDescent="0.25">
      <c r="B409" s="28"/>
      <c r="C409" s="28"/>
      <c r="D409" s="36"/>
      <c r="E409" s="28"/>
      <c r="F409" s="28"/>
      <c r="G409" s="36"/>
    </row>
    <row r="410" spans="2:7" x14ac:dyDescent="0.25">
      <c r="B410" s="28"/>
      <c r="C410" s="28"/>
      <c r="D410" s="36"/>
      <c r="E410" s="28"/>
      <c r="F410" s="28"/>
      <c r="G410" s="36"/>
    </row>
    <row r="411" spans="2:7" x14ac:dyDescent="0.25">
      <c r="B411" s="28"/>
      <c r="C411" s="28"/>
      <c r="D411" s="36"/>
      <c r="E411" s="28"/>
      <c r="F411" s="28"/>
      <c r="G411" s="36"/>
    </row>
    <row r="412" spans="2:7" x14ac:dyDescent="0.25">
      <c r="B412" s="28"/>
      <c r="C412" s="28"/>
      <c r="D412" s="36"/>
      <c r="E412" s="28"/>
      <c r="F412" s="28"/>
      <c r="G412" s="36"/>
    </row>
    <row r="413" spans="2:7" x14ac:dyDescent="0.25">
      <c r="B413" s="28"/>
      <c r="C413" s="28"/>
      <c r="D413" s="36"/>
      <c r="E413" s="28"/>
      <c r="F413" s="28"/>
      <c r="G413" s="36"/>
    </row>
    <row r="414" spans="2:7" x14ac:dyDescent="0.25">
      <c r="B414" s="28"/>
      <c r="C414" s="28"/>
      <c r="D414" s="36"/>
      <c r="E414" s="28"/>
      <c r="F414" s="28"/>
      <c r="G414" s="36"/>
    </row>
    <row r="415" spans="2:7" x14ac:dyDescent="0.25">
      <c r="B415" s="28"/>
      <c r="C415" s="28"/>
      <c r="D415" s="36"/>
      <c r="E415" s="28"/>
      <c r="F415" s="28"/>
      <c r="G415" s="36"/>
    </row>
    <row r="416" spans="2:7" x14ac:dyDescent="0.25">
      <c r="B416" s="28"/>
      <c r="C416" s="28"/>
      <c r="D416" s="36"/>
      <c r="E416" s="28"/>
      <c r="F416" s="28"/>
      <c r="G416" s="36"/>
    </row>
    <row r="417" spans="2:7" x14ac:dyDescent="0.25">
      <c r="B417" s="28"/>
      <c r="C417" s="28"/>
      <c r="D417" s="36"/>
      <c r="E417" s="28"/>
      <c r="F417" s="28"/>
      <c r="G417" s="36"/>
    </row>
    <row r="418" spans="2:7" x14ac:dyDescent="0.25">
      <c r="B418" s="28"/>
      <c r="C418" s="28"/>
      <c r="D418" s="36"/>
      <c r="E418" s="28"/>
      <c r="F418" s="28"/>
      <c r="G418" s="36"/>
    </row>
    <row r="419" spans="2:7" x14ac:dyDescent="0.25">
      <c r="B419" s="28"/>
      <c r="C419" s="28"/>
      <c r="D419" s="36"/>
      <c r="E419" s="28"/>
      <c r="F419" s="28"/>
      <c r="G419" s="36"/>
    </row>
    <row r="420" spans="2:7" x14ac:dyDescent="0.25">
      <c r="B420" s="28"/>
      <c r="C420" s="28"/>
      <c r="D420" s="36"/>
      <c r="E420" s="28"/>
      <c r="F420" s="28"/>
      <c r="G420" s="36"/>
    </row>
    <row r="421" spans="2:7" x14ac:dyDescent="0.25">
      <c r="B421" s="28"/>
      <c r="C421" s="28"/>
      <c r="D421" s="36"/>
      <c r="E421" s="28"/>
      <c r="F421" s="28"/>
      <c r="G421" s="36"/>
    </row>
    <row r="422" spans="2:7" x14ac:dyDescent="0.25">
      <c r="B422" s="28"/>
      <c r="C422" s="28"/>
      <c r="D422" s="36"/>
      <c r="E422" s="28"/>
      <c r="F422" s="28"/>
      <c r="G422" s="36"/>
    </row>
    <row r="423" spans="2:7" x14ac:dyDescent="0.25">
      <c r="B423" s="28"/>
      <c r="C423" s="28"/>
      <c r="D423" s="36"/>
      <c r="E423" s="28"/>
      <c r="F423" s="28"/>
      <c r="G423" s="36"/>
    </row>
    <row r="424" spans="2:7" x14ac:dyDescent="0.25">
      <c r="B424" s="28"/>
      <c r="C424" s="28"/>
      <c r="D424" s="36"/>
      <c r="E424" s="28"/>
      <c r="F424" s="28"/>
      <c r="G424" s="36"/>
    </row>
    <row r="425" spans="2:7" x14ac:dyDescent="0.25">
      <c r="B425" s="28"/>
      <c r="C425" s="28"/>
      <c r="D425" s="36"/>
      <c r="E425" s="28"/>
      <c r="F425" s="28"/>
      <c r="G425" s="36"/>
    </row>
    <row r="426" spans="2:7" x14ac:dyDescent="0.25">
      <c r="B426" s="28"/>
      <c r="C426" s="28"/>
      <c r="D426" s="36"/>
      <c r="E426" s="28"/>
      <c r="F426" s="28"/>
      <c r="G426" s="36"/>
    </row>
    <row r="427" spans="2:7" x14ac:dyDescent="0.25">
      <c r="B427" s="28"/>
      <c r="C427" s="28"/>
      <c r="D427" s="36"/>
      <c r="E427" s="28"/>
      <c r="F427" s="28"/>
      <c r="G427" s="36"/>
    </row>
    <row r="428" spans="2:7" x14ac:dyDescent="0.25">
      <c r="B428" s="28"/>
      <c r="C428" s="28"/>
      <c r="D428" s="36"/>
      <c r="E428" s="28"/>
      <c r="F428" s="28"/>
      <c r="G428" s="36"/>
    </row>
    <row r="429" spans="2:7" x14ac:dyDescent="0.25">
      <c r="B429" s="28"/>
      <c r="C429" s="28"/>
      <c r="D429" s="36"/>
      <c r="E429" s="28"/>
      <c r="F429" s="28"/>
      <c r="G429" s="36"/>
    </row>
    <row r="430" spans="2:7" x14ac:dyDescent="0.25">
      <c r="B430" s="28"/>
      <c r="C430" s="28"/>
      <c r="D430" s="36"/>
      <c r="E430" s="28"/>
      <c r="F430" s="28"/>
      <c r="G430" s="36"/>
    </row>
    <row r="431" spans="2:7" x14ac:dyDescent="0.25">
      <c r="B431" s="28"/>
      <c r="C431" s="28"/>
      <c r="D431" s="36"/>
      <c r="E431" s="28"/>
      <c r="F431" s="28"/>
      <c r="G431" s="36"/>
    </row>
    <row r="432" spans="2:7" x14ac:dyDescent="0.25">
      <c r="B432" s="28"/>
      <c r="C432" s="28"/>
      <c r="D432" s="36"/>
      <c r="E432" s="28"/>
      <c r="F432" s="28"/>
      <c r="G432" s="36"/>
    </row>
    <row r="433" spans="2:7" x14ac:dyDescent="0.25">
      <c r="B433" s="28"/>
      <c r="C433" s="28"/>
      <c r="D433" s="36"/>
      <c r="E433" s="28"/>
      <c r="F433" s="28"/>
      <c r="G433" s="36"/>
    </row>
    <row r="434" spans="2:7" x14ac:dyDescent="0.25">
      <c r="B434" s="28"/>
      <c r="C434" s="28"/>
      <c r="D434" s="36"/>
      <c r="E434" s="28"/>
      <c r="F434" s="28"/>
      <c r="G434" s="36"/>
    </row>
    <row r="435" spans="2:7" x14ac:dyDescent="0.25">
      <c r="B435" s="28"/>
      <c r="C435" s="28"/>
      <c r="D435" s="36"/>
      <c r="E435" s="28"/>
      <c r="F435" s="28"/>
      <c r="G435" s="36"/>
    </row>
    <row r="436" spans="2:7" x14ac:dyDescent="0.25">
      <c r="B436" s="28"/>
      <c r="C436" s="28"/>
      <c r="D436" s="36"/>
      <c r="E436" s="28"/>
      <c r="F436" s="28"/>
      <c r="G436" s="36"/>
    </row>
    <row r="437" spans="2:7" x14ac:dyDescent="0.25">
      <c r="B437" s="28"/>
      <c r="C437" s="28"/>
      <c r="D437" s="36"/>
      <c r="E437" s="28"/>
      <c r="F437" s="28"/>
      <c r="G437" s="36"/>
    </row>
    <row r="438" spans="2:7" x14ac:dyDescent="0.25">
      <c r="B438" s="28"/>
      <c r="C438" s="28"/>
      <c r="D438" s="36"/>
      <c r="E438" s="28"/>
      <c r="F438" s="28"/>
      <c r="G438" s="36"/>
    </row>
    <row r="439" spans="2:7" x14ac:dyDescent="0.25">
      <c r="B439" s="28"/>
      <c r="C439" s="28"/>
      <c r="D439" s="36"/>
      <c r="E439" s="28"/>
      <c r="F439" s="28"/>
      <c r="G439" s="36"/>
    </row>
    <row r="440" spans="2:7" x14ac:dyDescent="0.25">
      <c r="B440" s="28"/>
      <c r="C440" s="28"/>
      <c r="D440" s="36"/>
      <c r="E440" s="28"/>
      <c r="F440" s="28"/>
      <c r="G440" s="36"/>
    </row>
    <row r="441" spans="2:7" x14ac:dyDescent="0.25">
      <c r="B441" s="28"/>
      <c r="C441" s="28"/>
      <c r="D441" s="36"/>
      <c r="E441" s="28"/>
      <c r="F441" s="28"/>
      <c r="G441" s="36"/>
    </row>
    <row r="442" spans="2:7" x14ac:dyDescent="0.25">
      <c r="B442" s="28"/>
      <c r="C442" s="28"/>
      <c r="D442" s="36"/>
      <c r="E442" s="28"/>
      <c r="F442" s="28"/>
      <c r="G442" s="36"/>
    </row>
    <row r="443" spans="2:7" x14ac:dyDescent="0.25">
      <c r="B443" s="28"/>
      <c r="C443" s="28"/>
      <c r="D443" s="36"/>
      <c r="E443" s="28"/>
      <c r="F443" s="28"/>
      <c r="G443" s="36"/>
    </row>
    <row r="444" spans="2:7" x14ac:dyDescent="0.25">
      <c r="B444" s="28"/>
      <c r="C444" s="28"/>
      <c r="D444" s="36"/>
      <c r="E444" s="28"/>
      <c r="F444" s="28"/>
      <c r="G444" s="36"/>
    </row>
    <row r="445" spans="2:7" x14ac:dyDescent="0.25">
      <c r="B445" s="28"/>
      <c r="C445" s="28"/>
      <c r="D445" s="36"/>
      <c r="E445" s="28"/>
      <c r="F445" s="28"/>
      <c r="G445" s="36"/>
    </row>
    <row r="446" spans="2:7" x14ac:dyDescent="0.25">
      <c r="B446" s="28"/>
      <c r="C446" s="28"/>
      <c r="D446" s="36"/>
      <c r="E446" s="28"/>
      <c r="F446" s="28"/>
      <c r="G446" s="36"/>
    </row>
    <row r="447" spans="2:7" x14ac:dyDescent="0.25">
      <c r="B447" s="28"/>
      <c r="C447" s="28"/>
      <c r="D447" s="36"/>
      <c r="E447" s="28"/>
      <c r="F447" s="28"/>
      <c r="G447" s="36"/>
    </row>
    <row r="448" spans="2:7" x14ac:dyDescent="0.25">
      <c r="B448" s="28"/>
      <c r="C448" s="28"/>
      <c r="D448" s="36"/>
      <c r="E448" s="28"/>
      <c r="F448" s="28"/>
      <c r="G448" s="36"/>
    </row>
    <row r="449" spans="2:7" x14ac:dyDescent="0.25">
      <c r="B449" s="28"/>
      <c r="C449" s="28"/>
      <c r="D449" s="36"/>
      <c r="E449" s="28"/>
      <c r="F449" s="28"/>
      <c r="G449" s="36"/>
    </row>
    <row r="450" spans="2:7" x14ac:dyDescent="0.25">
      <c r="B450" s="28"/>
      <c r="C450" s="28"/>
      <c r="D450" s="36"/>
      <c r="E450" s="28"/>
      <c r="F450" s="28"/>
      <c r="G450" s="36"/>
    </row>
    <row r="451" spans="2:7" x14ac:dyDescent="0.25">
      <c r="B451" s="28"/>
      <c r="C451" s="28"/>
      <c r="D451" s="36"/>
      <c r="E451" s="28"/>
      <c r="F451" s="28"/>
      <c r="G451" s="36"/>
    </row>
    <row r="452" spans="2:7" x14ac:dyDescent="0.25">
      <c r="B452" s="28"/>
      <c r="C452" s="28"/>
      <c r="D452" s="36"/>
      <c r="E452" s="28"/>
      <c r="F452" s="28"/>
      <c r="G452" s="36"/>
    </row>
    <row r="453" spans="2:7" x14ac:dyDescent="0.25">
      <c r="B453" s="28"/>
      <c r="C453" s="28"/>
      <c r="D453" s="36"/>
      <c r="E453" s="28"/>
      <c r="F453" s="28"/>
      <c r="G453" s="36"/>
    </row>
    <row r="454" spans="2:7" x14ac:dyDescent="0.25">
      <c r="B454" s="28"/>
      <c r="C454" s="28"/>
      <c r="D454" s="36"/>
      <c r="E454" s="28"/>
      <c r="F454" s="28"/>
      <c r="G454" s="36"/>
    </row>
    <row r="455" spans="2:7" x14ac:dyDescent="0.25">
      <c r="B455" s="28"/>
      <c r="C455" s="28"/>
      <c r="D455" s="36"/>
      <c r="E455" s="28"/>
      <c r="F455" s="28"/>
      <c r="G455" s="36"/>
    </row>
    <row r="456" spans="2:7" x14ac:dyDescent="0.25">
      <c r="B456" s="28"/>
      <c r="C456" s="28"/>
      <c r="D456" s="36"/>
      <c r="E456" s="28"/>
      <c r="F456" s="28"/>
      <c r="G456" s="36"/>
    </row>
    <row r="457" spans="2:7" x14ac:dyDescent="0.25">
      <c r="B457" s="28"/>
      <c r="C457" s="28"/>
      <c r="D457" s="36"/>
      <c r="E457" s="28"/>
      <c r="F457" s="28"/>
      <c r="G457" s="36"/>
    </row>
    <row r="458" spans="2:7" x14ac:dyDescent="0.25">
      <c r="B458" s="28"/>
      <c r="C458" s="28"/>
      <c r="D458" s="36"/>
      <c r="E458" s="28"/>
      <c r="F458" s="28"/>
      <c r="G458" s="36"/>
    </row>
    <row r="459" spans="2:7" x14ac:dyDescent="0.25">
      <c r="B459" s="28"/>
      <c r="C459" s="28"/>
      <c r="D459" s="36"/>
      <c r="E459" s="28"/>
      <c r="F459" s="28"/>
      <c r="G459" s="36"/>
    </row>
    <row r="460" spans="2:7" x14ac:dyDescent="0.25">
      <c r="B460" s="28"/>
      <c r="C460" s="28"/>
      <c r="D460" s="36"/>
      <c r="E460" s="28"/>
      <c r="F460" s="28"/>
      <c r="G460" s="36"/>
    </row>
    <row r="461" spans="2:7" x14ac:dyDescent="0.25">
      <c r="B461" s="28"/>
      <c r="C461" s="28"/>
      <c r="D461" s="36"/>
      <c r="E461" s="28"/>
      <c r="F461" s="28"/>
      <c r="G461" s="36"/>
    </row>
    <row r="462" spans="2:7" x14ac:dyDescent="0.25">
      <c r="B462" s="28"/>
      <c r="C462" s="28"/>
      <c r="D462" s="36"/>
      <c r="E462" s="28"/>
      <c r="F462" s="28"/>
      <c r="G462" s="36"/>
    </row>
    <row r="463" spans="2:7" x14ac:dyDescent="0.25">
      <c r="B463" s="28"/>
      <c r="C463" s="28"/>
      <c r="D463" s="36"/>
      <c r="E463" s="28"/>
      <c r="F463" s="28"/>
      <c r="G463" s="36"/>
    </row>
    <row r="464" spans="2:7" x14ac:dyDescent="0.25">
      <c r="B464" s="28"/>
      <c r="C464" s="28"/>
      <c r="D464" s="36"/>
      <c r="E464" s="28"/>
      <c r="F464" s="28"/>
      <c r="G464" s="36"/>
    </row>
    <row r="465" spans="2:7" x14ac:dyDescent="0.25">
      <c r="B465" s="28"/>
      <c r="C465" s="28"/>
      <c r="D465" s="36"/>
      <c r="E465" s="28"/>
      <c r="F465" s="28"/>
      <c r="G465" s="36"/>
    </row>
    <row r="466" spans="2:7" x14ac:dyDescent="0.25">
      <c r="B466" s="28"/>
      <c r="C466" s="28"/>
      <c r="D466" s="36"/>
      <c r="E466" s="28"/>
      <c r="F466" s="28"/>
      <c r="G466" s="36"/>
    </row>
    <row r="467" spans="2:7" x14ac:dyDescent="0.25">
      <c r="B467" s="28"/>
      <c r="C467" s="28"/>
      <c r="D467" s="36"/>
      <c r="E467" s="28"/>
      <c r="F467" s="28"/>
      <c r="G467" s="36"/>
    </row>
    <row r="468" spans="2:7" x14ac:dyDescent="0.25">
      <c r="B468" s="28"/>
      <c r="C468" s="28"/>
      <c r="D468" s="36"/>
      <c r="E468" s="28"/>
      <c r="F468" s="28"/>
      <c r="G468" s="36"/>
    </row>
    <row r="469" spans="2:7" x14ac:dyDescent="0.25">
      <c r="B469" s="28"/>
      <c r="C469" s="28"/>
      <c r="D469" s="36"/>
      <c r="E469" s="28"/>
      <c r="F469" s="28"/>
      <c r="G469" s="36"/>
    </row>
    <row r="470" spans="2:7" x14ac:dyDescent="0.25">
      <c r="B470" s="28"/>
      <c r="C470" s="28"/>
      <c r="D470" s="36"/>
      <c r="E470" s="28"/>
      <c r="F470" s="28"/>
      <c r="G470" s="36"/>
    </row>
    <row r="471" spans="2:7" x14ac:dyDescent="0.25">
      <c r="B471" s="28"/>
      <c r="C471" s="28"/>
      <c r="D471" s="36"/>
      <c r="E471" s="28"/>
      <c r="F471" s="28"/>
      <c r="G471" s="36"/>
    </row>
    <row r="472" spans="2:7" x14ac:dyDescent="0.25">
      <c r="B472" s="28"/>
      <c r="C472" s="28"/>
      <c r="D472" s="36"/>
      <c r="E472" s="28"/>
      <c r="F472" s="28"/>
      <c r="G472" s="36"/>
    </row>
    <row r="473" spans="2:7" x14ac:dyDescent="0.25">
      <c r="B473" s="28"/>
      <c r="C473" s="28"/>
      <c r="D473" s="36"/>
      <c r="E473" s="28"/>
      <c r="F473" s="28"/>
      <c r="G473" s="36"/>
    </row>
    <row r="474" spans="2:7" x14ac:dyDescent="0.25">
      <c r="B474" s="28"/>
      <c r="C474" s="28"/>
      <c r="D474" s="36"/>
      <c r="E474" s="28"/>
      <c r="F474" s="28"/>
      <c r="G474" s="36"/>
    </row>
    <row r="475" spans="2:7" x14ac:dyDescent="0.25">
      <c r="B475" s="28"/>
      <c r="C475" s="28"/>
      <c r="D475" s="36"/>
      <c r="E475" s="28"/>
      <c r="F475" s="28"/>
      <c r="G475" s="36"/>
    </row>
    <row r="476" spans="2:7" x14ac:dyDescent="0.25">
      <c r="B476" s="28"/>
      <c r="C476" s="28"/>
      <c r="D476" s="36"/>
      <c r="E476" s="28"/>
      <c r="F476" s="28"/>
      <c r="G476" s="36"/>
    </row>
    <row r="477" spans="2:7" x14ac:dyDescent="0.25">
      <c r="B477" s="28"/>
      <c r="C477" s="28"/>
      <c r="D477" s="36"/>
      <c r="E477" s="28"/>
      <c r="F477" s="28"/>
      <c r="G477" s="36"/>
    </row>
    <row r="478" spans="2:7" x14ac:dyDescent="0.25">
      <c r="B478" s="28"/>
      <c r="C478" s="28"/>
      <c r="D478" s="36"/>
      <c r="E478" s="28"/>
      <c r="F478" s="28"/>
      <c r="G478" s="36"/>
    </row>
    <row r="479" spans="2:7" x14ac:dyDescent="0.25">
      <c r="B479" s="28"/>
      <c r="C479" s="28"/>
      <c r="D479" s="36"/>
      <c r="E479" s="28"/>
      <c r="F479" s="28"/>
      <c r="G479" s="36"/>
    </row>
    <row r="480" spans="2:7" x14ac:dyDescent="0.25">
      <c r="B480" s="28"/>
      <c r="C480" s="28"/>
      <c r="D480" s="36"/>
      <c r="E480" s="28"/>
      <c r="F480" s="28"/>
      <c r="G480" s="36"/>
    </row>
    <row r="481" spans="2:7" x14ac:dyDescent="0.25">
      <c r="B481" s="28"/>
      <c r="C481" s="28"/>
      <c r="D481" s="36"/>
      <c r="E481" s="28"/>
      <c r="F481" s="28"/>
      <c r="G481" s="36"/>
    </row>
    <row r="482" spans="2:7" x14ac:dyDescent="0.25">
      <c r="B482" s="28"/>
      <c r="C482" s="28"/>
      <c r="D482" s="36"/>
      <c r="E482" s="28"/>
      <c r="F482" s="28"/>
      <c r="G482" s="36"/>
    </row>
    <row r="483" spans="2:7" x14ac:dyDescent="0.25">
      <c r="B483" s="28"/>
      <c r="C483" s="28"/>
      <c r="D483" s="36"/>
      <c r="E483" s="28"/>
      <c r="F483" s="28"/>
      <c r="G483" s="36"/>
    </row>
    <row r="484" spans="2:7" x14ac:dyDescent="0.25">
      <c r="B484" s="28"/>
      <c r="C484" s="28"/>
      <c r="D484" s="36"/>
      <c r="E484" s="28"/>
      <c r="F484" s="28"/>
      <c r="G484" s="36"/>
    </row>
    <row r="485" spans="2:7" x14ac:dyDescent="0.25">
      <c r="B485" s="28"/>
      <c r="C485" s="28"/>
      <c r="D485" s="36"/>
      <c r="E485" s="28"/>
      <c r="F485" s="28"/>
      <c r="G485" s="36"/>
    </row>
    <row r="486" spans="2:7" x14ac:dyDescent="0.25">
      <c r="B486" s="28"/>
      <c r="C486" s="28"/>
      <c r="D486" s="36"/>
      <c r="E486" s="28"/>
      <c r="F486" s="28"/>
      <c r="G486" s="36"/>
    </row>
    <row r="487" spans="2:7" x14ac:dyDescent="0.25">
      <c r="B487" s="28"/>
      <c r="C487" s="28"/>
      <c r="D487" s="36"/>
      <c r="E487" s="28"/>
      <c r="F487" s="28"/>
      <c r="G487" s="36"/>
    </row>
    <row r="488" spans="2:7" x14ac:dyDescent="0.25">
      <c r="B488" s="28"/>
      <c r="C488" s="28"/>
      <c r="D488" s="36"/>
      <c r="E488" s="28"/>
      <c r="F488" s="28"/>
      <c r="G488" s="36"/>
    </row>
    <row r="489" spans="2:7" x14ac:dyDescent="0.25">
      <c r="B489" s="28"/>
      <c r="C489" s="28"/>
      <c r="D489" s="36"/>
      <c r="E489" s="28"/>
      <c r="F489" s="28"/>
      <c r="G489" s="36"/>
    </row>
    <row r="490" spans="2:7" x14ac:dyDescent="0.25">
      <c r="B490" s="28"/>
      <c r="C490" s="28"/>
      <c r="D490" s="36"/>
      <c r="E490" s="28"/>
      <c r="F490" s="28"/>
      <c r="G490" s="36"/>
    </row>
    <row r="491" spans="2:7" x14ac:dyDescent="0.25">
      <c r="B491" s="28"/>
      <c r="C491" s="28"/>
      <c r="D491" s="36"/>
      <c r="E491" s="28"/>
      <c r="F491" s="28"/>
      <c r="G491" s="36"/>
    </row>
    <row r="492" spans="2:7" x14ac:dyDescent="0.25">
      <c r="B492" s="28"/>
      <c r="C492" s="28"/>
      <c r="D492" s="36"/>
      <c r="E492" s="28"/>
      <c r="F492" s="28"/>
      <c r="G492" s="36"/>
    </row>
    <row r="493" spans="2:7" x14ac:dyDescent="0.25">
      <c r="B493" s="28"/>
      <c r="C493" s="28"/>
      <c r="D493" s="36"/>
      <c r="E493" s="28"/>
      <c r="F493" s="28"/>
      <c r="G493" s="36"/>
    </row>
    <row r="494" spans="2:7" x14ac:dyDescent="0.25">
      <c r="B494" s="28"/>
      <c r="C494" s="28"/>
      <c r="D494" s="36"/>
      <c r="E494" s="28"/>
      <c r="F494" s="28"/>
      <c r="G494" s="36"/>
    </row>
    <row r="495" spans="2:7" x14ac:dyDescent="0.25">
      <c r="B495" s="28"/>
      <c r="C495" s="28"/>
      <c r="D495" s="36"/>
      <c r="E495" s="28"/>
      <c r="F495" s="28"/>
      <c r="G495" s="36"/>
    </row>
    <row r="496" spans="2:7" x14ac:dyDescent="0.25">
      <c r="B496" s="28"/>
      <c r="C496" s="28"/>
      <c r="D496" s="36"/>
      <c r="E496" s="28"/>
      <c r="F496" s="28"/>
      <c r="G496" s="36"/>
    </row>
    <row r="497" spans="2:7" x14ac:dyDescent="0.25">
      <c r="B497" s="28"/>
      <c r="C497" s="28"/>
      <c r="D497" s="36"/>
      <c r="E497" s="28"/>
      <c r="F497" s="28"/>
      <c r="G497" s="36"/>
    </row>
    <row r="498" spans="2:7" x14ac:dyDescent="0.25">
      <c r="B498" s="28"/>
      <c r="C498" s="28"/>
      <c r="D498" s="36"/>
      <c r="E498" s="28"/>
      <c r="F498" s="28"/>
      <c r="G498" s="36"/>
    </row>
    <row r="499" spans="2:7" x14ac:dyDescent="0.25">
      <c r="B499" s="28"/>
      <c r="C499" s="28"/>
      <c r="D499" s="36"/>
      <c r="E499" s="28"/>
      <c r="F499" s="28"/>
      <c r="G499" s="36"/>
    </row>
    <row r="500" spans="2:7" x14ac:dyDescent="0.25">
      <c r="B500" s="28"/>
      <c r="C500" s="28"/>
      <c r="D500" s="36"/>
      <c r="E500" s="28"/>
      <c r="F500" s="28"/>
      <c r="G500" s="36"/>
    </row>
    <row r="501" spans="2:7" x14ac:dyDescent="0.25">
      <c r="B501" s="28"/>
      <c r="C501" s="28"/>
      <c r="D501" s="36"/>
      <c r="E501" s="28"/>
      <c r="F501" s="28"/>
      <c r="G501" s="36"/>
    </row>
    <row r="502" spans="2:7" x14ac:dyDescent="0.25">
      <c r="B502" s="28"/>
      <c r="C502" s="28"/>
      <c r="D502" s="36"/>
      <c r="E502" s="28"/>
      <c r="F502" s="28"/>
      <c r="G502" s="36"/>
    </row>
    <row r="503" spans="2:7" x14ac:dyDescent="0.25">
      <c r="B503" s="28"/>
      <c r="C503" s="28"/>
      <c r="D503" s="36"/>
      <c r="E503" s="28"/>
      <c r="F503" s="28"/>
      <c r="G503" s="36"/>
    </row>
    <row r="504" spans="2:7" x14ac:dyDescent="0.25">
      <c r="B504" s="28"/>
      <c r="C504" s="28"/>
      <c r="D504" s="36"/>
      <c r="E504" s="28"/>
      <c r="F504" s="28"/>
      <c r="G504" s="36"/>
    </row>
    <row r="505" spans="2:7" x14ac:dyDescent="0.25">
      <c r="B505" s="28"/>
      <c r="C505" s="28"/>
      <c r="D505" s="36"/>
      <c r="E505" s="28"/>
      <c r="F505" s="28"/>
      <c r="G505" s="36"/>
    </row>
    <row r="506" spans="2:7" x14ac:dyDescent="0.25">
      <c r="B506" s="28"/>
      <c r="C506" s="28"/>
      <c r="D506" s="36"/>
      <c r="E506" s="28"/>
      <c r="F506" s="28"/>
      <c r="G506" s="36"/>
    </row>
    <row r="507" spans="2:7" x14ac:dyDescent="0.25">
      <c r="B507" s="28"/>
      <c r="C507" s="28"/>
      <c r="D507" s="36"/>
      <c r="E507" s="28"/>
      <c r="F507" s="28"/>
      <c r="G507" s="36"/>
    </row>
    <row r="508" spans="2:7" x14ac:dyDescent="0.25">
      <c r="B508" s="28"/>
      <c r="C508" s="28"/>
      <c r="D508" s="36"/>
      <c r="E508" s="28"/>
      <c r="F508" s="28"/>
      <c r="G508" s="36"/>
    </row>
    <row r="509" spans="2:7" x14ac:dyDescent="0.25">
      <c r="B509" s="28"/>
      <c r="C509" s="28"/>
      <c r="D509" s="36"/>
      <c r="E509" s="28"/>
      <c r="F509" s="28"/>
      <c r="G509" s="36"/>
    </row>
    <row r="510" spans="2:7" x14ac:dyDescent="0.25">
      <c r="B510" s="28"/>
      <c r="C510" s="28"/>
      <c r="D510" s="36"/>
      <c r="E510" s="28"/>
      <c r="F510" s="28"/>
      <c r="G510" s="36"/>
    </row>
    <row r="511" spans="2:7" x14ac:dyDescent="0.25">
      <c r="B511" s="28"/>
      <c r="C511" s="28"/>
      <c r="D511" s="36"/>
      <c r="E511" s="28"/>
      <c r="F511" s="28"/>
      <c r="G511" s="36"/>
    </row>
    <row r="512" spans="2:7" x14ac:dyDescent="0.25">
      <c r="B512" s="28"/>
      <c r="C512" s="28"/>
      <c r="D512" s="36"/>
      <c r="E512" s="28"/>
      <c r="F512" s="28"/>
      <c r="G512" s="36"/>
    </row>
  </sheetData>
  <mergeCells count="4">
    <mergeCell ref="B3:D3"/>
    <mergeCell ref="A3:A4"/>
    <mergeCell ref="E3:H3"/>
    <mergeCell ref="A5:D5"/>
  </mergeCells>
  <phoneticPr fontId="8" type="noConversion"/>
  <conditionalFormatting sqref="B7:H57">
    <cfRule type="containsBlanks" dxfId="68" priority="2">
      <formula>LEN(TRIM(B7))=0</formula>
    </cfRule>
  </conditionalFormatting>
  <pageMargins left="0.75" right="0.75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AB61-A8C6-4719-BBB3-EE140E396701}">
  <sheetPr published="0">
    <tabColor rgb="FFD9EFFF"/>
  </sheetPr>
  <dimension ref="A1:J133"/>
  <sheetViews>
    <sheetView showGridLines="0" topLeftCell="A33" zoomScaleNormal="100" workbookViewId="0">
      <selection activeCell="A68" sqref="A68:J133"/>
    </sheetView>
  </sheetViews>
  <sheetFormatPr baseColWidth="10" defaultColWidth="30.28515625" defaultRowHeight="13.5" x14ac:dyDescent="0.25"/>
  <cols>
    <col min="1" max="1" width="8" style="23" customWidth="1"/>
    <col min="2" max="2" width="2.140625" style="23" customWidth="1"/>
    <col min="3" max="3" width="30" style="23" customWidth="1"/>
    <col min="4" max="10" width="7.140625" style="23" customWidth="1"/>
    <col min="11" max="16384" width="30.28515625" style="23"/>
  </cols>
  <sheetData>
    <row r="1" spans="1:10" ht="15" customHeight="1" x14ac:dyDescent="0.25">
      <c r="A1" s="82" t="s">
        <v>306</v>
      </c>
    </row>
    <row r="2" spans="1:10" x14ac:dyDescent="0.25">
      <c r="A2" s="62" t="s">
        <v>353</v>
      </c>
      <c r="B2" s="46"/>
      <c r="C2" s="46"/>
      <c r="D2" s="46"/>
      <c r="E2" s="46"/>
      <c r="F2" s="46"/>
      <c r="G2" s="46"/>
      <c r="H2" s="46"/>
      <c r="I2" s="45"/>
    </row>
    <row r="3" spans="1:10" ht="4.3499999999999996" customHeight="1" x14ac:dyDescent="0.25">
      <c r="A3" s="46"/>
      <c r="B3" s="24"/>
      <c r="C3" s="25"/>
      <c r="D3" s="25"/>
      <c r="E3" s="25"/>
      <c r="F3" s="25"/>
      <c r="G3" s="25"/>
      <c r="H3" s="25"/>
      <c r="I3" s="25"/>
    </row>
    <row r="4" spans="1:10" s="3" customFormat="1" ht="13.35" customHeight="1" x14ac:dyDescent="0.25">
      <c r="A4" s="286" t="s">
        <v>57</v>
      </c>
      <c r="B4" s="293" t="s">
        <v>60</v>
      </c>
      <c r="C4" s="294"/>
      <c r="D4" s="289" t="s">
        <v>14</v>
      </c>
      <c r="E4" s="289"/>
      <c r="F4" s="289"/>
      <c r="G4" s="289" t="s">
        <v>56</v>
      </c>
      <c r="H4" s="289"/>
      <c r="I4" s="289"/>
      <c r="J4" s="289"/>
    </row>
    <row r="5" spans="1:10" s="27" customFormat="1" ht="22.35" customHeight="1" x14ac:dyDescent="0.2">
      <c r="A5" s="287"/>
      <c r="B5" s="295"/>
      <c r="C5" s="296"/>
      <c r="D5" s="176">
        <v>2024</v>
      </c>
      <c r="E5" s="177" t="s">
        <v>315</v>
      </c>
      <c r="F5" s="202" t="s">
        <v>327</v>
      </c>
      <c r="G5" s="176">
        <v>2024</v>
      </c>
      <c r="H5" s="177" t="s">
        <v>315</v>
      </c>
      <c r="I5" s="202" t="s">
        <v>327</v>
      </c>
      <c r="J5" s="202" t="s">
        <v>332</v>
      </c>
    </row>
    <row r="6" spans="1:10" s="27" customFormat="1" ht="6" customHeight="1" x14ac:dyDescent="0.2">
      <c r="A6" s="65" t="s">
        <v>0</v>
      </c>
      <c r="B6" s="65"/>
      <c r="C6" s="65"/>
      <c r="D6" s="66"/>
      <c r="E6" s="66"/>
      <c r="F6" s="67"/>
      <c r="G6" s="66"/>
      <c r="H6" s="66"/>
      <c r="I6" s="67"/>
      <c r="J6" s="67"/>
    </row>
    <row r="7" spans="1:10" s="3" customFormat="1" ht="23.1" customHeight="1" x14ac:dyDescent="0.25">
      <c r="A7" s="206" t="s">
        <v>68</v>
      </c>
      <c r="B7" s="291" t="s">
        <v>229</v>
      </c>
      <c r="C7" s="292"/>
      <c r="D7" s="209">
        <v>205917.95461100002</v>
      </c>
      <c r="E7" s="209">
        <v>259984.91834699997</v>
      </c>
      <c r="F7" s="185">
        <v>0.2625655632513344</v>
      </c>
      <c r="G7" s="209">
        <v>1615379.5938400009</v>
      </c>
      <c r="H7" s="209">
        <v>1805585.4759099991</v>
      </c>
      <c r="I7" s="185">
        <v>0.11774686444927163</v>
      </c>
      <c r="J7" s="185">
        <v>0.99999999999999989</v>
      </c>
    </row>
    <row r="8" spans="1:10" ht="11.1" customHeight="1" x14ac:dyDescent="0.25">
      <c r="A8" s="148"/>
      <c r="B8" s="61"/>
      <c r="C8" s="16" t="s">
        <v>70</v>
      </c>
      <c r="D8" s="72">
        <v>115625.90778699999</v>
      </c>
      <c r="E8" s="72">
        <v>123135.85182499999</v>
      </c>
      <c r="F8" s="166">
        <v>6.4950357421923455E-2</v>
      </c>
      <c r="G8" s="72">
        <v>906653.16502000112</v>
      </c>
      <c r="H8" s="72">
        <v>834170.10393999924</v>
      </c>
      <c r="I8" s="166">
        <v>-7.9945743175564687E-2</v>
      </c>
      <c r="J8" s="166">
        <v>0.46199424788770238</v>
      </c>
    </row>
    <row r="9" spans="1:10" ht="11.1" customHeight="1" x14ac:dyDescent="0.25">
      <c r="A9" s="148"/>
      <c r="B9" s="61"/>
      <c r="C9" s="16" t="s">
        <v>221</v>
      </c>
      <c r="D9" s="72">
        <v>44104.273069000003</v>
      </c>
      <c r="E9" s="72">
        <v>63932.124860000004</v>
      </c>
      <c r="F9" s="166">
        <v>0.44956759087673515</v>
      </c>
      <c r="G9" s="72">
        <v>332647.75252999982</v>
      </c>
      <c r="H9" s="72">
        <v>449606.65307999955</v>
      </c>
      <c r="I9" s="166">
        <v>0.35159985197690991</v>
      </c>
      <c r="J9" s="166">
        <v>0.24900878915931784</v>
      </c>
    </row>
    <row r="10" spans="1:10" ht="11.1" customHeight="1" x14ac:dyDescent="0.25">
      <c r="A10" s="148"/>
      <c r="B10" s="61"/>
      <c r="C10" s="16" t="s">
        <v>78</v>
      </c>
      <c r="D10" s="72">
        <v>8318.4076599999989</v>
      </c>
      <c r="E10" s="72">
        <v>28748.080080000011</v>
      </c>
      <c r="F10" s="166">
        <v>2.4559595123281102</v>
      </c>
      <c r="G10" s="72">
        <v>69672.663620000021</v>
      </c>
      <c r="H10" s="72">
        <v>213059.81327000001</v>
      </c>
      <c r="I10" s="166">
        <v>2.0580115959401861</v>
      </c>
      <c r="J10" s="166">
        <v>0.11800040270185479</v>
      </c>
    </row>
    <row r="11" spans="1:10" ht="11.1" customHeight="1" x14ac:dyDescent="0.25">
      <c r="A11" s="148"/>
      <c r="B11" s="61"/>
      <c r="C11" s="16" t="s">
        <v>72</v>
      </c>
      <c r="D11" s="72">
        <v>11238.092079999999</v>
      </c>
      <c r="E11" s="72">
        <v>14573.217849999992</v>
      </c>
      <c r="F11" s="166">
        <v>0.29676974937190526</v>
      </c>
      <c r="G11" s="72">
        <v>80955.071630000006</v>
      </c>
      <c r="H11" s="72">
        <v>101703.85460999997</v>
      </c>
      <c r="I11" s="166">
        <v>0.25629997679244787</v>
      </c>
      <c r="J11" s="166">
        <v>5.6327355291082036E-2</v>
      </c>
    </row>
    <row r="12" spans="1:10" ht="11.1" customHeight="1" x14ac:dyDescent="0.25">
      <c r="A12" s="148"/>
      <c r="B12" s="61"/>
      <c r="C12" s="16" t="s">
        <v>75</v>
      </c>
      <c r="D12" s="72">
        <v>15761.616740000012</v>
      </c>
      <c r="E12" s="72">
        <v>5606.8065499999939</v>
      </c>
      <c r="F12" s="166">
        <v>-0.64427465516459514</v>
      </c>
      <c r="G12" s="72">
        <v>138653.92525</v>
      </c>
      <c r="H12" s="72">
        <v>37310.750160000011</v>
      </c>
      <c r="I12" s="166">
        <v>-0.73090736455728278</v>
      </c>
      <c r="J12" s="166">
        <v>2.0664073043230324E-2</v>
      </c>
    </row>
    <row r="13" spans="1:10" ht="11.1" customHeight="1" x14ac:dyDescent="0.25">
      <c r="A13" s="148"/>
      <c r="B13" s="61"/>
      <c r="C13" s="16" t="s">
        <v>71</v>
      </c>
      <c r="D13" s="72">
        <v>1897.9220899999993</v>
      </c>
      <c r="E13" s="72">
        <v>4296.8265199999996</v>
      </c>
      <c r="F13" s="166">
        <v>1.2639635961031472</v>
      </c>
      <c r="G13" s="72">
        <v>14656.491580000004</v>
      </c>
      <c r="H13" s="72">
        <v>30170.487389999995</v>
      </c>
      <c r="I13" s="166">
        <v>1.0585067869291533</v>
      </c>
      <c r="J13" s="166">
        <v>1.6709531502403306E-2</v>
      </c>
    </row>
    <row r="14" spans="1:10" ht="11.1" customHeight="1" x14ac:dyDescent="0.25">
      <c r="A14" s="148"/>
      <c r="B14" s="61"/>
      <c r="C14" s="16" t="s">
        <v>223</v>
      </c>
      <c r="D14" s="72">
        <v>1445.7502000000002</v>
      </c>
      <c r="E14" s="72">
        <v>4273.5915119999981</v>
      </c>
      <c r="F14" s="166">
        <v>1.9559681278273366</v>
      </c>
      <c r="G14" s="72">
        <v>11462.385789999997</v>
      </c>
      <c r="H14" s="72">
        <v>30114.917260000006</v>
      </c>
      <c r="I14" s="166">
        <v>1.6272817728986957</v>
      </c>
      <c r="J14" s="166">
        <v>1.6678754709644722E-2</v>
      </c>
    </row>
    <row r="15" spans="1:10" ht="11.1" customHeight="1" x14ac:dyDescent="0.25">
      <c r="A15" s="148"/>
      <c r="B15" s="61"/>
      <c r="C15" s="16" t="s">
        <v>85</v>
      </c>
      <c r="D15" s="72">
        <v>1314.8446739999997</v>
      </c>
      <c r="E15" s="72">
        <v>2766.2475760000016</v>
      </c>
      <c r="F15" s="166">
        <v>1.1038588288794347</v>
      </c>
      <c r="G15" s="72">
        <v>11604.328820000001</v>
      </c>
      <c r="H15" s="72">
        <v>20003.660619999999</v>
      </c>
      <c r="I15" s="166">
        <v>0.7238102203312089</v>
      </c>
      <c r="J15" s="166">
        <v>1.1078766907957283E-2</v>
      </c>
    </row>
    <row r="16" spans="1:10" ht="11.1" customHeight="1" x14ac:dyDescent="0.25">
      <c r="A16" s="148"/>
      <c r="B16" s="61"/>
      <c r="C16" s="16" t="s">
        <v>130</v>
      </c>
      <c r="D16" s="72">
        <v>764.48525000000041</v>
      </c>
      <c r="E16" s="72">
        <v>1251.1624000000006</v>
      </c>
      <c r="F16" s="166">
        <v>0.63660763893090144</v>
      </c>
      <c r="G16" s="72">
        <v>6545.8331299999973</v>
      </c>
      <c r="H16" s="72">
        <v>10525.680400000001</v>
      </c>
      <c r="I16" s="166">
        <v>0.60799705567807605</v>
      </c>
      <c r="J16" s="166">
        <v>5.8295110037342047E-3</v>
      </c>
    </row>
    <row r="17" spans="1:10" ht="11.1" customHeight="1" x14ac:dyDescent="0.25">
      <c r="A17" s="148"/>
      <c r="B17" s="61"/>
      <c r="C17" s="16" t="s">
        <v>119</v>
      </c>
      <c r="D17" s="72">
        <v>775.3893599999999</v>
      </c>
      <c r="E17" s="72">
        <v>1693.0943180000006</v>
      </c>
      <c r="F17" s="166">
        <v>1.1835408187700702</v>
      </c>
      <c r="G17" s="72">
        <v>4661.1661600000025</v>
      </c>
      <c r="H17" s="72">
        <v>9721.1426699999993</v>
      </c>
      <c r="I17" s="166">
        <v>1.0855602088212177</v>
      </c>
      <c r="J17" s="166">
        <v>5.3839282602229782E-3</v>
      </c>
    </row>
    <row r="18" spans="1:10" ht="11.1" customHeight="1" x14ac:dyDescent="0.25">
      <c r="A18" s="29"/>
      <c r="B18" s="61"/>
      <c r="C18" s="16" t="s">
        <v>18</v>
      </c>
      <c r="D18" s="72">
        <v>4671.2657009999966</v>
      </c>
      <c r="E18" s="72">
        <v>9707.9148560000176</v>
      </c>
      <c r="F18" s="166">
        <v>1.0782193686652861</v>
      </c>
      <c r="G18" s="72">
        <v>37866.810310000321</v>
      </c>
      <c r="H18" s="72">
        <v>69198.412510000402</v>
      </c>
      <c r="I18" s="166">
        <v>0.82741593346523978</v>
      </c>
      <c r="J18" s="166">
        <v>3.8324639532850147E-2</v>
      </c>
    </row>
    <row r="19" spans="1:10" s="3" customFormat="1" ht="17.100000000000001" customHeight="1" x14ac:dyDescent="0.25">
      <c r="A19" s="206" t="s">
        <v>63</v>
      </c>
      <c r="B19" s="207" t="s">
        <v>228</v>
      </c>
      <c r="C19" s="208"/>
      <c r="D19" s="209">
        <v>565814.14705899917</v>
      </c>
      <c r="E19" s="209">
        <v>764216.31969199877</v>
      </c>
      <c r="F19" s="185">
        <v>0.35064901375170399</v>
      </c>
      <c r="G19" s="209">
        <v>1237699.14695</v>
      </c>
      <c r="H19" s="209">
        <v>1352760.3161599995</v>
      </c>
      <c r="I19" s="185">
        <v>9.2963762230537927E-2</v>
      </c>
      <c r="J19" s="185">
        <v>1</v>
      </c>
    </row>
    <row r="20" spans="1:10" ht="11.1" customHeight="1" x14ac:dyDescent="0.25">
      <c r="A20" s="148"/>
      <c r="B20" s="61"/>
      <c r="C20" s="16" t="s">
        <v>221</v>
      </c>
      <c r="D20" s="72">
        <v>183596.62457899947</v>
      </c>
      <c r="E20" s="72">
        <v>254831.13322999884</v>
      </c>
      <c r="F20" s="166">
        <v>0.38799465302995251</v>
      </c>
      <c r="G20" s="72">
        <v>406742.59785999998</v>
      </c>
      <c r="H20" s="72">
        <v>445621.34118000022</v>
      </c>
      <c r="I20" s="166">
        <v>9.5585619811038969E-2</v>
      </c>
      <c r="J20" s="166">
        <v>0.32941633181919405</v>
      </c>
    </row>
    <row r="21" spans="1:10" ht="11.1" customHeight="1" x14ac:dyDescent="0.25">
      <c r="A21" s="148"/>
      <c r="B21" s="61"/>
      <c r="C21" s="16" t="s">
        <v>71</v>
      </c>
      <c r="D21" s="72">
        <v>123568.34279999974</v>
      </c>
      <c r="E21" s="72">
        <v>151419.66990999953</v>
      </c>
      <c r="F21" s="166">
        <v>0.22539209055411757</v>
      </c>
      <c r="G21" s="72">
        <v>281818.05274000025</v>
      </c>
      <c r="H21" s="72">
        <v>267797.20455999981</v>
      </c>
      <c r="I21" s="166">
        <v>-4.9751419554856513E-2</v>
      </c>
      <c r="J21" s="166">
        <v>0.19796352787770996</v>
      </c>
    </row>
    <row r="22" spans="1:10" ht="11.1" customHeight="1" x14ac:dyDescent="0.25">
      <c r="A22" s="148"/>
      <c r="B22" s="61"/>
      <c r="C22" s="16" t="s">
        <v>70</v>
      </c>
      <c r="D22" s="72">
        <v>67082.144040000014</v>
      </c>
      <c r="E22" s="72">
        <v>101946.14162000017</v>
      </c>
      <c r="F22" s="166">
        <v>0.51972097909111725</v>
      </c>
      <c r="G22" s="72">
        <v>163501.04346000004</v>
      </c>
      <c r="H22" s="72">
        <v>204018.46856000007</v>
      </c>
      <c r="I22" s="166">
        <v>0.2478114160165128</v>
      </c>
      <c r="J22" s="166">
        <v>0.1508164204129932</v>
      </c>
    </row>
    <row r="23" spans="1:10" ht="11.1" customHeight="1" x14ac:dyDescent="0.25">
      <c r="A23" s="148"/>
      <c r="B23" s="61"/>
      <c r="C23" s="16" t="s">
        <v>72</v>
      </c>
      <c r="D23" s="72">
        <v>41609.154000000017</v>
      </c>
      <c r="E23" s="72">
        <v>52724.813999999955</v>
      </c>
      <c r="F23" s="166">
        <v>0.267144580733363</v>
      </c>
      <c r="G23" s="72">
        <v>93998.25374999996</v>
      </c>
      <c r="H23" s="72">
        <v>99380.36722</v>
      </c>
      <c r="I23" s="166">
        <v>5.725758995815422E-2</v>
      </c>
      <c r="J23" s="166">
        <v>7.3464874769615621E-2</v>
      </c>
    </row>
    <row r="24" spans="1:10" ht="11.1" customHeight="1" x14ac:dyDescent="0.25">
      <c r="A24" s="148"/>
      <c r="B24" s="61"/>
      <c r="C24" s="16" t="s">
        <v>81</v>
      </c>
      <c r="D24" s="72">
        <v>67036.818019999861</v>
      </c>
      <c r="E24" s="72">
        <v>74581.633300000147</v>
      </c>
      <c r="F24" s="166">
        <v>0.11254733596915889</v>
      </c>
      <c r="G24" s="72">
        <v>117089.46339000006</v>
      </c>
      <c r="H24" s="72">
        <v>95662.166209999938</v>
      </c>
      <c r="I24" s="166">
        <v>-0.18299936270636374</v>
      </c>
      <c r="J24" s="166">
        <v>7.0716271809000475E-2</v>
      </c>
    </row>
    <row r="25" spans="1:10" ht="11.1" customHeight="1" x14ac:dyDescent="0.25">
      <c r="A25" s="148"/>
      <c r="B25" s="61"/>
      <c r="C25" s="16" t="s">
        <v>78</v>
      </c>
      <c r="D25" s="72">
        <v>25585.639010000006</v>
      </c>
      <c r="E25" s="72">
        <v>40301.744979999996</v>
      </c>
      <c r="F25" s="166">
        <v>0.57517054642443299</v>
      </c>
      <c r="G25" s="72">
        <v>51324.821309999978</v>
      </c>
      <c r="H25" s="72">
        <v>70281.937270000009</v>
      </c>
      <c r="I25" s="166">
        <v>0.36935571281387936</v>
      </c>
      <c r="J25" s="166">
        <v>5.1954464091248022E-2</v>
      </c>
    </row>
    <row r="26" spans="1:10" ht="11.1" customHeight="1" x14ac:dyDescent="0.25">
      <c r="A26" s="148"/>
      <c r="B26" s="61"/>
      <c r="C26" s="16" t="s">
        <v>180</v>
      </c>
      <c r="D26" s="72">
        <v>10838.534390000004</v>
      </c>
      <c r="E26" s="72">
        <v>19196.25153999999</v>
      </c>
      <c r="F26" s="166">
        <v>0.77111137440419042</v>
      </c>
      <c r="G26" s="72">
        <v>26612.165790000006</v>
      </c>
      <c r="H26" s="72">
        <v>40166.35076999999</v>
      </c>
      <c r="I26" s="166">
        <v>0.50932288213435117</v>
      </c>
      <c r="J26" s="166">
        <v>2.9692141534738266E-2</v>
      </c>
    </row>
    <row r="27" spans="1:10" ht="11.1" customHeight="1" x14ac:dyDescent="0.25">
      <c r="A27" s="148"/>
      <c r="B27" s="61"/>
      <c r="C27" s="16" t="s">
        <v>120</v>
      </c>
      <c r="D27" s="72">
        <v>11945.410800000003</v>
      </c>
      <c r="E27" s="72">
        <v>16737.776000000013</v>
      </c>
      <c r="F27" s="166">
        <v>0.40118881470363554</v>
      </c>
      <c r="G27" s="72">
        <v>21706.441989999996</v>
      </c>
      <c r="H27" s="72">
        <v>34596.694560000004</v>
      </c>
      <c r="I27" s="166">
        <v>0.59384456356036863</v>
      </c>
      <c r="J27" s="166">
        <v>2.5574888726931012E-2</v>
      </c>
    </row>
    <row r="28" spans="1:10" ht="11.1" customHeight="1" x14ac:dyDescent="0.25">
      <c r="A28" s="148"/>
      <c r="B28" s="61"/>
      <c r="C28" s="16" t="s">
        <v>122</v>
      </c>
      <c r="D28" s="72">
        <v>7424.5319999999965</v>
      </c>
      <c r="E28" s="72">
        <v>13648.473</v>
      </c>
      <c r="F28" s="166">
        <v>0.83829405004921598</v>
      </c>
      <c r="G28" s="72">
        <v>18817.653620000005</v>
      </c>
      <c r="H28" s="72">
        <v>22751.859070000006</v>
      </c>
      <c r="I28" s="166">
        <v>0.20906992600919172</v>
      </c>
      <c r="J28" s="166">
        <v>1.6818839818264597E-2</v>
      </c>
    </row>
    <row r="29" spans="1:10" ht="11.1" customHeight="1" x14ac:dyDescent="0.25">
      <c r="A29" s="148"/>
      <c r="B29" s="61"/>
      <c r="C29" s="16" t="s">
        <v>77</v>
      </c>
      <c r="D29" s="72">
        <v>4767.7799999999988</v>
      </c>
      <c r="E29" s="72">
        <v>8380.7545000000027</v>
      </c>
      <c r="F29" s="166">
        <v>0.75778968408777359</v>
      </c>
      <c r="G29" s="72">
        <v>12901.984820000001</v>
      </c>
      <c r="H29" s="72">
        <v>18781.397640000003</v>
      </c>
      <c r="I29" s="166">
        <v>0.45569832099678442</v>
      </c>
      <c r="J29" s="166">
        <v>1.3883758575439028E-2</v>
      </c>
    </row>
    <row r="30" spans="1:10" ht="11.1" customHeight="1" x14ac:dyDescent="0.25">
      <c r="A30" s="29"/>
      <c r="B30" s="61"/>
      <c r="C30" s="16" t="s">
        <v>18</v>
      </c>
      <c r="D30" s="72">
        <v>22359.167420000071</v>
      </c>
      <c r="E30" s="72">
        <v>30447.927612000261</v>
      </c>
      <c r="F30" s="166">
        <v>0.36176482066880844</v>
      </c>
      <c r="G30" s="72">
        <v>43186.668219999643</v>
      </c>
      <c r="H30" s="72">
        <v>53702.529119999381</v>
      </c>
      <c r="I30" s="166">
        <v>0.243497850920805</v>
      </c>
      <c r="J30" s="166">
        <v>3.9698480564865746E-2</v>
      </c>
    </row>
    <row r="31" spans="1:10" s="3" customFormat="1" ht="17.100000000000001" customHeight="1" x14ac:dyDescent="0.25">
      <c r="A31" s="206" t="s">
        <v>9</v>
      </c>
      <c r="B31" s="207" t="s">
        <v>291</v>
      </c>
      <c r="C31" s="208"/>
      <c r="D31" s="209">
        <v>209697.99047299987</v>
      </c>
      <c r="E31" s="209">
        <v>182027.87614099981</v>
      </c>
      <c r="F31" s="185">
        <v>-0.13195221503833521</v>
      </c>
      <c r="G31" s="209">
        <v>917574.71141999983</v>
      </c>
      <c r="H31" s="209">
        <v>1317946.3859800003</v>
      </c>
      <c r="I31" s="185">
        <v>0.43633686671726402</v>
      </c>
      <c r="J31" s="185">
        <v>0.99999999999999978</v>
      </c>
    </row>
    <row r="32" spans="1:10" ht="11.1" customHeight="1" x14ac:dyDescent="0.25">
      <c r="A32" s="148"/>
      <c r="B32" s="61"/>
      <c r="C32" s="16" t="s">
        <v>70</v>
      </c>
      <c r="D32" s="72">
        <v>54904.219475999795</v>
      </c>
      <c r="E32" s="72">
        <v>57106.77039999979</v>
      </c>
      <c r="F32" s="166">
        <v>4.0116241429546173E-2</v>
      </c>
      <c r="G32" s="72">
        <v>255904.08817999988</v>
      </c>
      <c r="H32" s="72">
        <v>429439.96872000018</v>
      </c>
      <c r="I32" s="166">
        <v>0.67812859800011194</v>
      </c>
      <c r="J32" s="166">
        <v>0.32584024152141566</v>
      </c>
    </row>
    <row r="33" spans="1:10" ht="11.1" customHeight="1" x14ac:dyDescent="0.25">
      <c r="A33" s="148"/>
      <c r="B33" s="61"/>
      <c r="C33" s="16" t="s">
        <v>74</v>
      </c>
      <c r="D33" s="72">
        <v>39073.060512000025</v>
      </c>
      <c r="E33" s="72">
        <v>34762.374922000017</v>
      </c>
      <c r="F33" s="166">
        <v>-0.11032372518339384</v>
      </c>
      <c r="G33" s="72">
        <v>187824.92592999991</v>
      </c>
      <c r="H33" s="72">
        <v>255215.72959000006</v>
      </c>
      <c r="I33" s="166">
        <v>0.35879584845472468</v>
      </c>
      <c r="J33" s="166">
        <v>0.19364651878477318</v>
      </c>
    </row>
    <row r="34" spans="1:10" ht="11.1" customHeight="1" x14ac:dyDescent="0.25">
      <c r="A34" s="148"/>
      <c r="B34" s="61"/>
      <c r="C34" s="16" t="s">
        <v>76</v>
      </c>
      <c r="D34" s="72">
        <v>23996.721460000033</v>
      </c>
      <c r="E34" s="72">
        <v>18025.817611000028</v>
      </c>
      <c r="F34" s="166">
        <v>-0.24882165086396757</v>
      </c>
      <c r="G34" s="72">
        <v>108215.07587999997</v>
      </c>
      <c r="H34" s="72">
        <v>134291.28596000007</v>
      </c>
      <c r="I34" s="166">
        <v>0.24096651846288109</v>
      </c>
      <c r="J34" s="166">
        <v>0.10189434668098701</v>
      </c>
    </row>
    <row r="35" spans="1:10" ht="11.1" customHeight="1" x14ac:dyDescent="0.25">
      <c r="A35" s="148"/>
      <c r="B35" s="61"/>
      <c r="C35" s="16" t="s">
        <v>85</v>
      </c>
      <c r="D35" s="72">
        <v>14841.44551100002</v>
      </c>
      <c r="E35" s="72">
        <v>17564.191015000022</v>
      </c>
      <c r="F35" s="166">
        <v>0.18345554696690347</v>
      </c>
      <c r="G35" s="72">
        <v>73116.875470000028</v>
      </c>
      <c r="H35" s="72">
        <v>129691.95902999998</v>
      </c>
      <c r="I35" s="166">
        <v>0.77376232499449182</v>
      </c>
      <c r="J35" s="166">
        <v>9.8404578827812839E-2</v>
      </c>
    </row>
    <row r="36" spans="1:10" ht="11.1" customHeight="1" x14ac:dyDescent="0.25">
      <c r="A36" s="148"/>
      <c r="B36" s="61"/>
      <c r="C36" s="16" t="s">
        <v>119</v>
      </c>
      <c r="D36" s="72">
        <v>11125.91</v>
      </c>
      <c r="E36" s="72">
        <v>11690.769377000002</v>
      </c>
      <c r="F36" s="166">
        <v>5.0769723734957584E-2</v>
      </c>
      <c r="G36" s="72">
        <v>22243.897340000007</v>
      </c>
      <c r="H36" s="72">
        <v>57890.406570000006</v>
      </c>
      <c r="I36" s="166">
        <v>1.6025298393145699</v>
      </c>
      <c r="J36" s="166">
        <v>4.3924705273161613E-2</v>
      </c>
    </row>
    <row r="37" spans="1:10" ht="11.1" customHeight="1" x14ac:dyDescent="0.25">
      <c r="A37" s="148"/>
      <c r="B37" s="61"/>
      <c r="C37" s="16" t="s">
        <v>72</v>
      </c>
      <c r="D37" s="72">
        <v>5219.2857069999973</v>
      </c>
      <c r="E37" s="72">
        <v>5117.6909400000013</v>
      </c>
      <c r="F37" s="166">
        <v>-1.9465262624680402E-2</v>
      </c>
      <c r="G37" s="72">
        <v>26094.863689999987</v>
      </c>
      <c r="H37" s="72">
        <v>38792.345279999994</v>
      </c>
      <c r="I37" s="166">
        <v>0.48658930511547016</v>
      </c>
      <c r="J37" s="166">
        <v>2.9433932740105154E-2</v>
      </c>
    </row>
    <row r="38" spans="1:10" ht="11.1" customHeight="1" x14ac:dyDescent="0.25">
      <c r="A38" s="148"/>
      <c r="B38" s="61"/>
      <c r="C38" s="16" t="s">
        <v>126</v>
      </c>
      <c r="D38" s="72">
        <v>6771.1168249999964</v>
      </c>
      <c r="E38" s="72">
        <v>4812.8569999999963</v>
      </c>
      <c r="F38" s="166">
        <v>-0.28920780361812781</v>
      </c>
      <c r="G38" s="72">
        <v>34498.629760000011</v>
      </c>
      <c r="H38" s="72">
        <v>36141.195480000002</v>
      </c>
      <c r="I38" s="166">
        <v>4.7612491609869467E-2</v>
      </c>
      <c r="J38" s="166">
        <v>2.7422356375389343E-2</v>
      </c>
    </row>
    <row r="39" spans="1:10" ht="11.1" customHeight="1" x14ac:dyDescent="0.25">
      <c r="A39" s="148"/>
      <c r="B39" s="61"/>
      <c r="C39" s="16" t="s">
        <v>221</v>
      </c>
      <c r="D39" s="72">
        <v>5672.8752259999992</v>
      </c>
      <c r="E39" s="72">
        <v>3908.6314529999986</v>
      </c>
      <c r="F39" s="166">
        <v>-0.31099640001142537</v>
      </c>
      <c r="G39" s="72">
        <v>27899.717209999995</v>
      </c>
      <c r="H39" s="72">
        <v>29692.279549999996</v>
      </c>
      <c r="I39" s="166">
        <v>6.4250197466428016E-2</v>
      </c>
      <c r="J39" s="166">
        <v>2.2529201389266965E-2</v>
      </c>
    </row>
    <row r="40" spans="1:10" ht="11.1" customHeight="1" x14ac:dyDescent="0.25">
      <c r="A40" s="148"/>
      <c r="B40" s="61"/>
      <c r="C40" s="16" t="s">
        <v>121</v>
      </c>
      <c r="D40" s="72">
        <v>3000.3485599999976</v>
      </c>
      <c r="E40" s="72">
        <v>3667.4943609999978</v>
      </c>
      <c r="F40" s="166">
        <v>0.22235609885272822</v>
      </c>
      <c r="G40" s="72">
        <v>13360.635820000003</v>
      </c>
      <c r="H40" s="72">
        <v>27507.122439999999</v>
      </c>
      <c r="I40" s="166">
        <v>1.0588183684210315</v>
      </c>
      <c r="J40" s="166">
        <v>2.0871199870202774E-2</v>
      </c>
    </row>
    <row r="41" spans="1:10" ht="11.1" customHeight="1" x14ac:dyDescent="0.25">
      <c r="A41" s="148"/>
      <c r="B41" s="61"/>
      <c r="C41" s="16" t="s">
        <v>180</v>
      </c>
      <c r="D41" s="72">
        <v>3414.8810599999993</v>
      </c>
      <c r="E41" s="72">
        <v>2601.6042689999995</v>
      </c>
      <c r="F41" s="166">
        <v>-0.2381566961515198</v>
      </c>
      <c r="G41" s="72">
        <v>17603.85123</v>
      </c>
      <c r="H41" s="72">
        <v>20003.448659999998</v>
      </c>
      <c r="I41" s="166">
        <v>0.13631093552476004</v>
      </c>
      <c r="J41" s="166">
        <v>1.5177740819195621E-2</v>
      </c>
    </row>
    <row r="42" spans="1:10" ht="11.1" customHeight="1" x14ac:dyDescent="0.25">
      <c r="A42" s="27"/>
      <c r="B42" s="61"/>
      <c r="C42" s="16" t="s">
        <v>18</v>
      </c>
      <c r="D42" s="72">
        <v>41678.126136000006</v>
      </c>
      <c r="E42" s="72">
        <v>22769.674792999984</v>
      </c>
      <c r="F42" s="166">
        <v>-0.4536780583968627</v>
      </c>
      <c r="G42" s="72">
        <v>150812.15090999985</v>
      </c>
      <c r="H42" s="72">
        <v>159280.6446999996</v>
      </c>
      <c r="I42" s="166">
        <v>5.6152596053440584E-2</v>
      </c>
      <c r="J42" s="166">
        <v>0.12085517771768955</v>
      </c>
    </row>
    <row r="43" spans="1:10" s="3" customFormat="1" ht="17.100000000000001" customHeight="1" x14ac:dyDescent="0.25">
      <c r="A43" s="206" t="s">
        <v>10</v>
      </c>
      <c r="B43" s="207" t="s">
        <v>203</v>
      </c>
      <c r="C43" s="208"/>
      <c r="D43" s="209">
        <v>219196.80735800005</v>
      </c>
      <c r="E43" s="209">
        <v>339831.61071700009</v>
      </c>
      <c r="F43" s="185">
        <v>0.55034927202190032</v>
      </c>
      <c r="G43" s="209">
        <v>689656.49501999991</v>
      </c>
      <c r="H43" s="209">
        <v>863999.18909000035</v>
      </c>
      <c r="I43" s="185">
        <v>0.25279642159383209</v>
      </c>
      <c r="J43" s="185">
        <v>1</v>
      </c>
    </row>
    <row r="44" spans="1:10" ht="11.1" customHeight="1" x14ac:dyDescent="0.25">
      <c r="A44" s="148"/>
      <c r="B44" s="61"/>
      <c r="C44" s="16" t="s">
        <v>70</v>
      </c>
      <c r="D44" s="72">
        <v>82960.919660000014</v>
      </c>
      <c r="E44" s="72">
        <v>171962.024427</v>
      </c>
      <c r="F44" s="166">
        <v>1.0728075958144454</v>
      </c>
      <c r="G44" s="72">
        <v>280915.14821999992</v>
      </c>
      <c r="H44" s="72">
        <v>426325.32079000026</v>
      </c>
      <c r="I44" s="166">
        <v>0.51763022923961977</v>
      </c>
      <c r="J44" s="166">
        <v>0.49343254736040171</v>
      </c>
    </row>
    <row r="45" spans="1:10" ht="11.1" customHeight="1" x14ac:dyDescent="0.25">
      <c r="A45" s="148"/>
      <c r="B45" s="61"/>
      <c r="C45" s="16" t="s">
        <v>221</v>
      </c>
      <c r="D45" s="72">
        <v>36490.71780000002</v>
      </c>
      <c r="E45" s="72">
        <v>47797.586220000012</v>
      </c>
      <c r="F45" s="166">
        <v>0.3098560154933423</v>
      </c>
      <c r="G45" s="72">
        <v>105876.74509000003</v>
      </c>
      <c r="H45" s="72">
        <v>112638.54467000003</v>
      </c>
      <c r="I45" s="166">
        <v>6.3864822952879541E-2</v>
      </c>
      <c r="J45" s="166">
        <v>0.13036880831871567</v>
      </c>
    </row>
    <row r="46" spans="1:10" ht="11.1" customHeight="1" x14ac:dyDescent="0.25">
      <c r="A46" s="148"/>
      <c r="B46" s="61"/>
      <c r="C46" s="16" t="s">
        <v>179</v>
      </c>
      <c r="D46" s="72">
        <v>20493.920697999991</v>
      </c>
      <c r="E46" s="72">
        <v>30514.57302</v>
      </c>
      <c r="F46" s="166">
        <v>0.48895730932431714</v>
      </c>
      <c r="G46" s="72">
        <v>69630.613090000013</v>
      </c>
      <c r="H46" s="72">
        <v>72106.474249999999</v>
      </c>
      <c r="I46" s="166">
        <v>3.5557078275324727E-2</v>
      </c>
      <c r="J46" s="166">
        <v>8.3456645747486777E-2</v>
      </c>
    </row>
    <row r="47" spans="1:10" ht="11.1" customHeight="1" x14ac:dyDescent="0.25">
      <c r="A47" s="148"/>
      <c r="B47" s="61"/>
      <c r="C47" s="16" t="s">
        <v>72</v>
      </c>
      <c r="D47" s="72">
        <v>8393.0103999999992</v>
      </c>
      <c r="E47" s="72">
        <v>11146.597599999994</v>
      </c>
      <c r="F47" s="166">
        <v>0.32808099463334339</v>
      </c>
      <c r="G47" s="72">
        <v>25227.915299999986</v>
      </c>
      <c r="H47" s="72">
        <v>32950.845590000012</v>
      </c>
      <c r="I47" s="166">
        <v>0.30612637620517269</v>
      </c>
      <c r="J47" s="166">
        <v>3.8137588560361042E-2</v>
      </c>
    </row>
    <row r="48" spans="1:10" ht="11.1" customHeight="1" x14ac:dyDescent="0.25">
      <c r="A48" s="148"/>
      <c r="B48" s="61"/>
      <c r="C48" s="16" t="s">
        <v>75</v>
      </c>
      <c r="D48" s="72">
        <v>10590.2492</v>
      </c>
      <c r="E48" s="72">
        <v>10384.9157</v>
      </c>
      <c r="F48" s="166">
        <v>-1.9388920517564467E-2</v>
      </c>
      <c r="G48" s="72">
        <v>29952.341400000005</v>
      </c>
      <c r="H48" s="72">
        <v>29454.751840000001</v>
      </c>
      <c r="I48" s="166">
        <v>-1.6612709949947457E-2</v>
      </c>
      <c r="J48" s="166">
        <v>3.4091179959350383E-2</v>
      </c>
    </row>
    <row r="49" spans="1:10" ht="11.1" customHeight="1" x14ac:dyDescent="0.25">
      <c r="A49" s="148"/>
      <c r="B49" s="61"/>
      <c r="C49" s="16" t="s">
        <v>119</v>
      </c>
      <c r="D49" s="72">
        <v>6365.757399999995</v>
      </c>
      <c r="E49" s="72">
        <v>9084.3623999999891</v>
      </c>
      <c r="F49" s="166">
        <v>0.42706701326695184</v>
      </c>
      <c r="G49" s="72">
        <v>17021.79581</v>
      </c>
      <c r="H49" s="72">
        <v>25067.239520000006</v>
      </c>
      <c r="I49" s="166">
        <v>0.47265540015898044</v>
      </c>
      <c r="J49" s="166">
        <v>2.9013035933982599E-2</v>
      </c>
    </row>
    <row r="50" spans="1:10" ht="11.1" customHeight="1" x14ac:dyDescent="0.25">
      <c r="A50" s="148"/>
      <c r="B50" s="61"/>
      <c r="C50" s="16" t="s">
        <v>85</v>
      </c>
      <c r="D50" s="72">
        <v>6493.0990000000029</v>
      </c>
      <c r="E50" s="72">
        <v>8918.6624000000029</v>
      </c>
      <c r="F50" s="166">
        <v>0.37356020599716699</v>
      </c>
      <c r="G50" s="72">
        <v>21875.62213</v>
      </c>
      <c r="H50" s="72">
        <v>24326.234899999999</v>
      </c>
      <c r="I50" s="166">
        <v>0.11202482633119071</v>
      </c>
      <c r="J50" s="166">
        <v>2.8155390892925947E-2</v>
      </c>
    </row>
    <row r="51" spans="1:10" ht="11.1" customHeight="1" x14ac:dyDescent="0.25">
      <c r="A51" s="148"/>
      <c r="B51" s="61"/>
      <c r="C51" s="16" t="s">
        <v>71</v>
      </c>
      <c r="D51" s="72">
        <v>6834.3885999999984</v>
      </c>
      <c r="E51" s="72">
        <v>10915.652399999994</v>
      </c>
      <c r="F51" s="166">
        <v>0.5971658971806193</v>
      </c>
      <c r="G51" s="72">
        <v>19284.547919999997</v>
      </c>
      <c r="H51" s="72">
        <v>23471.110690000001</v>
      </c>
      <c r="I51" s="166">
        <v>0.21709416198749065</v>
      </c>
      <c r="J51" s="166">
        <v>2.71656628691061E-2</v>
      </c>
    </row>
    <row r="52" spans="1:10" ht="11.1" customHeight="1" x14ac:dyDescent="0.25">
      <c r="A52" s="148"/>
      <c r="B52" s="61"/>
      <c r="C52" s="16" t="s">
        <v>223</v>
      </c>
      <c r="D52" s="72">
        <v>4982.3120999999983</v>
      </c>
      <c r="E52" s="72">
        <v>4860.3513999999986</v>
      </c>
      <c r="F52" s="166">
        <v>-2.4478735485077285E-2</v>
      </c>
      <c r="G52" s="72">
        <v>17697.388790000001</v>
      </c>
      <c r="H52" s="72">
        <v>20197.037060000002</v>
      </c>
      <c r="I52" s="166">
        <v>0.1412439032481696</v>
      </c>
      <c r="J52" s="166">
        <v>2.337622224075506E-2</v>
      </c>
    </row>
    <row r="53" spans="1:10" ht="11.1" customHeight="1" x14ac:dyDescent="0.25">
      <c r="A53" s="148"/>
      <c r="B53" s="61"/>
      <c r="C53" s="16" t="s">
        <v>77</v>
      </c>
      <c r="D53" s="72">
        <v>4180.9042999999992</v>
      </c>
      <c r="E53" s="72">
        <v>3687.9611999999988</v>
      </c>
      <c r="F53" s="166">
        <v>-0.11790346409029273</v>
      </c>
      <c r="G53" s="72">
        <v>16633.863670000002</v>
      </c>
      <c r="H53" s="72">
        <v>11898.499709999998</v>
      </c>
      <c r="I53" s="166">
        <v>-0.28468214324375329</v>
      </c>
      <c r="J53" s="166">
        <v>1.3771424626604094E-2</v>
      </c>
    </row>
    <row r="54" spans="1:10" ht="11.1" customHeight="1" x14ac:dyDescent="0.25">
      <c r="A54" s="29"/>
      <c r="B54" s="61"/>
      <c r="C54" s="16" t="s">
        <v>18</v>
      </c>
      <c r="D54" s="72">
        <v>31411.528200000001</v>
      </c>
      <c r="E54" s="72">
        <v>30558.923950000026</v>
      </c>
      <c r="F54" s="166">
        <v>-2.7143036294552947E-2</v>
      </c>
      <c r="G54" s="72">
        <v>85540.513599999831</v>
      </c>
      <c r="H54" s="72">
        <v>85563.130069999956</v>
      </c>
      <c r="I54" s="166">
        <v>2.6439483524587359E-4</v>
      </c>
      <c r="J54" s="166">
        <v>9.903149349031054E-2</v>
      </c>
    </row>
    <row r="55" spans="1:10" s="3" customFormat="1" ht="17.100000000000001" customHeight="1" x14ac:dyDescent="0.25">
      <c r="A55" s="206" t="s">
        <v>69</v>
      </c>
      <c r="B55" s="207" t="s">
        <v>317</v>
      </c>
      <c r="C55" s="208"/>
      <c r="D55" s="209">
        <v>85544.830610999983</v>
      </c>
      <c r="E55" s="209">
        <v>100693.50793600002</v>
      </c>
      <c r="F55" s="185">
        <v>0.17708466095264108</v>
      </c>
      <c r="G55" s="209">
        <v>652663.10816999979</v>
      </c>
      <c r="H55" s="209">
        <v>844489.91816000012</v>
      </c>
      <c r="I55" s="185">
        <v>0.29391397734715374</v>
      </c>
      <c r="J55" s="185">
        <v>0.99999999999999978</v>
      </c>
    </row>
    <row r="56" spans="1:10" ht="11.1" customHeight="1" x14ac:dyDescent="0.25">
      <c r="A56" s="148"/>
      <c r="C56" s="16" t="s">
        <v>221</v>
      </c>
      <c r="D56" s="72">
        <v>10713.395089999996</v>
      </c>
      <c r="E56" s="68">
        <v>22583.475330000008</v>
      </c>
      <c r="F56" s="166">
        <v>1.1079662553544467</v>
      </c>
      <c r="G56" s="72">
        <v>82600.538959999933</v>
      </c>
      <c r="H56" s="72">
        <v>184556.79925000001</v>
      </c>
      <c r="I56" s="166">
        <v>1.2343292377229322</v>
      </c>
      <c r="J56" s="166">
        <v>0.21854233577129953</v>
      </c>
    </row>
    <row r="57" spans="1:10" ht="11.1" customHeight="1" x14ac:dyDescent="0.25">
      <c r="A57" s="148"/>
      <c r="C57" s="16" t="s">
        <v>70</v>
      </c>
      <c r="D57" s="72">
        <v>4716.6007590000017</v>
      </c>
      <c r="E57" s="68">
        <v>14221.393596999998</v>
      </c>
      <c r="F57" s="166">
        <v>2.015178583827216</v>
      </c>
      <c r="G57" s="72">
        <v>38560.478600000002</v>
      </c>
      <c r="H57" s="72">
        <v>122097.87972</v>
      </c>
      <c r="I57" s="166">
        <v>2.1663994886204549</v>
      </c>
      <c r="J57" s="166">
        <v>0.14458180860942724</v>
      </c>
    </row>
    <row r="58" spans="1:10" ht="11.1" customHeight="1" x14ac:dyDescent="0.25">
      <c r="A58" s="148"/>
      <c r="C58" s="16" t="s">
        <v>217</v>
      </c>
      <c r="D58" s="72">
        <v>20660.241959999996</v>
      </c>
      <c r="E58" s="68">
        <v>15767.268880000003</v>
      </c>
      <c r="F58" s="166">
        <v>-0.23683038608517792</v>
      </c>
      <c r="G58" s="72">
        <v>143977.84459999998</v>
      </c>
      <c r="H58" s="72">
        <v>116568.01519999998</v>
      </c>
      <c r="I58" s="166">
        <v>-0.19037532806627389</v>
      </c>
      <c r="J58" s="166">
        <v>0.13803363745772343</v>
      </c>
    </row>
    <row r="59" spans="1:10" ht="11.1" customHeight="1" x14ac:dyDescent="0.25">
      <c r="A59" s="148"/>
      <c r="C59" s="16" t="s">
        <v>76</v>
      </c>
      <c r="D59" s="72">
        <v>10693.739220000001</v>
      </c>
      <c r="E59" s="68">
        <v>11289.814299999998</v>
      </c>
      <c r="F59" s="166">
        <v>5.5740566301185401E-2</v>
      </c>
      <c r="G59" s="72">
        <v>82522.024229999995</v>
      </c>
      <c r="H59" s="72">
        <v>99043.868270000021</v>
      </c>
      <c r="I59" s="166">
        <v>0.20021132775356332</v>
      </c>
      <c r="J59" s="166">
        <v>0.1172824756579685</v>
      </c>
    </row>
    <row r="60" spans="1:10" ht="11.1" customHeight="1" x14ac:dyDescent="0.25">
      <c r="A60" s="148"/>
      <c r="C60" s="16" t="s">
        <v>122</v>
      </c>
      <c r="D60" s="72">
        <v>6231.5398790000027</v>
      </c>
      <c r="E60" s="68">
        <v>10782.389949999997</v>
      </c>
      <c r="F60" s="166">
        <v>0.73029301895926979</v>
      </c>
      <c r="G60" s="72">
        <v>52064.978569999992</v>
      </c>
      <c r="H60" s="72">
        <v>95329.333249999996</v>
      </c>
      <c r="I60" s="166">
        <v>0.83096845265829167</v>
      </c>
      <c r="J60" s="166">
        <v>0.11288392105107234</v>
      </c>
    </row>
    <row r="61" spans="1:10" ht="11.1" customHeight="1" x14ac:dyDescent="0.25">
      <c r="A61" s="148"/>
      <c r="C61" s="16" t="s">
        <v>179</v>
      </c>
      <c r="D61" s="72">
        <v>4603.1233000000002</v>
      </c>
      <c r="E61" s="68">
        <v>7113.736359999999</v>
      </c>
      <c r="F61" s="166">
        <v>0.54541512281454607</v>
      </c>
      <c r="G61" s="72">
        <v>38715.691899999998</v>
      </c>
      <c r="H61" s="72">
        <v>63261.135309999998</v>
      </c>
      <c r="I61" s="166">
        <v>0.63399211548121648</v>
      </c>
      <c r="J61" s="166">
        <v>7.4910468378160455E-2</v>
      </c>
    </row>
    <row r="62" spans="1:10" ht="11.1" customHeight="1" x14ac:dyDescent="0.25">
      <c r="A62" s="148"/>
      <c r="C62" s="16" t="s">
        <v>71</v>
      </c>
      <c r="D62" s="72">
        <v>7238.747949999999</v>
      </c>
      <c r="E62" s="68">
        <v>6698.9386699999995</v>
      </c>
      <c r="F62" s="166">
        <v>-7.4572188965358222E-2</v>
      </c>
      <c r="G62" s="72">
        <v>56287.653439999995</v>
      </c>
      <c r="H62" s="72">
        <v>59862.800689999996</v>
      </c>
      <c r="I62" s="166">
        <v>6.3515656303045898E-2</v>
      </c>
      <c r="J62" s="166">
        <v>7.0886341450269591E-2</v>
      </c>
    </row>
    <row r="63" spans="1:10" ht="11.1" customHeight="1" x14ac:dyDescent="0.25">
      <c r="A63" s="148"/>
      <c r="C63" s="16" t="s">
        <v>124</v>
      </c>
      <c r="D63" s="72">
        <v>13000.996379999997</v>
      </c>
      <c r="E63" s="68">
        <v>4677.5675999999994</v>
      </c>
      <c r="F63" s="166">
        <v>-0.64021468329952724</v>
      </c>
      <c r="G63" s="72">
        <v>98742.68799000002</v>
      </c>
      <c r="H63" s="72">
        <v>31353.866519999996</v>
      </c>
      <c r="I63" s="166">
        <v>-0.6824689791392422</v>
      </c>
      <c r="J63" s="166">
        <v>3.712757943672642E-2</v>
      </c>
    </row>
    <row r="64" spans="1:10" ht="11.1" customHeight="1" x14ac:dyDescent="0.25">
      <c r="A64" s="148"/>
      <c r="C64" s="16" t="s">
        <v>180</v>
      </c>
      <c r="D64" s="72">
        <v>2.3050000000000002</v>
      </c>
      <c r="E64" s="68">
        <v>2308.3609999999999</v>
      </c>
      <c r="F64" s="166">
        <v>1000.4581344902385</v>
      </c>
      <c r="G64" s="72">
        <v>26.942</v>
      </c>
      <c r="H64" s="72">
        <v>25299.226980000003</v>
      </c>
      <c r="I64" s="166">
        <v>938.02557271175124</v>
      </c>
      <c r="J64" s="166">
        <v>2.9957997645635268E-2</v>
      </c>
    </row>
    <row r="65" spans="1:10" ht="11.1" customHeight="1" x14ac:dyDescent="0.25">
      <c r="A65" s="148"/>
      <c r="C65" s="16" t="s">
        <v>311</v>
      </c>
      <c r="D65" s="72">
        <v>1627.6492000000001</v>
      </c>
      <c r="E65" s="68">
        <v>1555.2479999999998</v>
      </c>
      <c r="F65" s="166">
        <v>-4.4482066528832021E-2</v>
      </c>
      <c r="G65" s="72">
        <v>13598.290910000002</v>
      </c>
      <c r="H65" s="72">
        <v>12408.888349999999</v>
      </c>
      <c r="I65" s="166">
        <v>-8.746706243248048E-2</v>
      </c>
      <c r="J65" s="166">
        <v>1.469394492836203E-2</v>
      </c>
    </row>
    <row r="66" spans="1:10" ht="11.1" customHeight="1" x14ac:dyDescent="0.25">
      <c r="A66" s="29"/>
      <c r="B66" s="61"/>
      <c r="C66" s="16" t="s">
        <v>18</v>
      </c>
      <c r="D66" s="72">
        <v>6056.4918729999918</v>
      </c>
      <c r="E66" s="68">
        <v>3695.3142490000173</v>
      </c>
      <c r="F66" s="166">
        <v>-0.38985896018884625</v>
      </c>
      <c r="G66" s="72">
        <v>45565.97696999996</v>
      </c>
      <c r="H66" s="72">
        <v>34708.104619999998</v>
      </c>
      <c r="I66" s="166">
        <v>-0.23828902773551064</v>
      </c>
      <c r="J66" s="166">
        <v>4.1099489613355071E-2</v>
      </c>
    </row>
    <row r="67" spans="1:10" ht="12" customHeight="1" x14ac:dyDescent="0.25">
      <c r="A67" s="58"/>
      <c r="B67" s="59"/>
      <c r="C67" s="60"/>
      <c r="D67" s="60"/>
      <c r="E67" s="60"/>
      <c r="F67" s="60"/>
      <c r="G67" s="60"/>
      <c r="H67" s="60"/>
      <c r="I67" s="60"/>
      <c r="J67" s="57" t="s">
        <v>22</v>
      </c>
    </row>
    <row r="68" spans="1:10" ht="12" customHeight="1" x14ac:dyDescent="0.25">
      <c r="A68" s="297" t="s">
        <v>307</v>
      </c>
      <c r="B68" s="297"/>
      <c r="C68" s="297"/>
      <c r="D68" s="297"/>
      <c r="E68" s="297"/>
      <c r="F68" s="297"/>
      <c r="G68" s="56"/>
      <c r="H68" s="56"/>
      <c r="I68" s="63"/>
      <c r="J68" s="63"/>
    </row>
    <row r="69" spans="1:10" ht="12" customHeight="1" x14ac:dyDescent="0.25">
      <c r="A69" s="286" t="s">
        <v>57</v>
      </c>
      <c r="B69" s="293" t="s">
        <v>60</v>
      </c>
      <c r="C69" s="294"/>
      <c r="D69" s="289" t="s">
        <v>14</v>
      </c>
      <c r="E69" s="289"/>
      <c r="F69" s="289"/>
      <c r="G69" s="289" t="s">
        <v>56</v>
      </c>
      <c r="H69" s="289"/>
      <c r="I69" s="289"/>
      <c r="J69" s="289"/>
    </row>
    <row r="70" spans="1:10" ht="23.1" customHeight="1" x14ac:dyDescent="0.25">
      <c r="A70" s="287"/>
      <c r="B70" s="295"/>
      <c r="C70" s="296"/>
      <c r="D70" s="176">
        <v>2024</v>
      </c>
      <c r="E70" s="177" t="s">
        <v>315</v>
      </c>
      <c r="F70" s="202" t="s">
        <v>327</v>
      </c>
      <c r="G70" s="176">
        <v>2024</v>
      </c>
      <c r="H70" s="177" t="s">
        <v>315</v>
      </c>
      <c r="I70" s="202" t="s">
        <v>327</v>
      </c>
      <c r="J70" s="202" t="s">
        <v>332</v>
      </c>
    </row>
    <row r="71" spans="1:10" ht="5.0999999999999996" customHeight="1" x14ac:dyDescent="0.25">
      <c r="A71" s="27"/>
      <c r="B71" s="61"/>
      <c r="C71" s="39"/>
      <c r="D71" s="72"/>
      <c r="E71" s="72"/>
      <c r="F71" s="53"/>
      <c r="G71" s="72"/>
      <c r="H71" s="72"/>
      <c r="I71" s="53"/>
      <c r="J71" s="53"/>
    </row>
    <row r="72" spans="1:10" s="3" customFormat="1" ht="17.100000000000001" customHeight="1" x14ac:dyDescent="0.25">
      <c r="A72" s="206" t="s">
        <v>12</v>
      </c>
      <c r="B72" s="207" t="s">
        <v>292</v>
      </c>
      <c r="C72" s="208"/>
      <c r="D72" s="209">
        <v>72412.72806899999</v>
      </c>
      <c r="E72" s="209">
        <v>79664.361080999995</v>
      </c>
      <c r="F72" s="185">
        <v>0.10014307160324276</v>
      </c>
      <c r="G72" s="209">
        <v>304479.45983999997</v>
      </c>
      <c r="H72" s="209">
        <v>304954.1021299999</v>
      </c>
      <c r="I72" s="185">
        <v>1.5588647268665046E-3</v>
      </c>
      <c r="J72" s="185">
        <v>0.99999999999999978</v>
      </c>
    </row>
    <row r="73" spans="1:10" ht="11.1" customHeight="1" x14ac:dyDescent="0.25">
      <c r="A73" s="148"/>
      <c r="B73" s="61"/>
      <c r="C73" s="16" t="s">
        <v>70</v>
      </c>
      <c r="D73" s="72">
        <v>53006.732413999998</v>
      </c>
      <c r="E73" s="72">
        <v>57883.028325999985</v>
      </c>
      <c r="F73" s="166">
        <v>9.1993897565964211E-2</v>
      </c>
      <c r="G73" s="72">
        <v>202086.32869000002</v>
      </c>
      <c r="H73" s="72">
        <v>196263.14838999993</v>
      </c>
      <c r="I73" s="166">
        <v>-2.88153104554284E-2</v>
      </c>
      <c r="J73" s="166">
        <v>0.64358258183500106</v>
      </c>
    </row>
    <row r="74" spans="1:10" ht="11.1" customHeight="1" x14ac:dyDescent="0.25">
      <c r="A74" s="148"/>
      <c r="B74" s="61"/>
      <c r="C74" s="16" t="s">
        <v>71</v>
      </c>
      <c r="D74" s="72">
        <v>7779.5900399999982</v>
      </c>
      <c r="E74" s="72">
        <v>8138.5770830000047</v>
      </c>
      <c r="F74" s="166">
        <v>4.6144724998903319E-2</v>
      </c>
      <c r="G74" s="72">
        <v>36029.112290000019</v>
      </c>
      <c r="H74" s="72">
        <v>35479.017189999999</v>
      </c>
      <c r="I74" s="166">
        <v>-1.5268072540124744E-2</v>
      </c>
      <c r="J74" s="166">
        <v>0.11634215425269319</v>
      </c>
    </row>
    <row r="75" spans="1:10" ht="11.1" customHeight="1" x14ac:dyDescent="0.25">
      <c r="A75" s="148"/>
      <c r="B75" s="61"/>
      <c r="C75" s="16" t="s">
        <v>72</v>
      </c>
      <c r="D75" s="72">
        <v>4280.8900650000014</v>
      </c>
      <c r="E75" s="72">
        <v>5903.4083299999993</v>
      </c>
      <c r="F75" s="166">
        <v>0.37901423310668392</v>
      </c>
      <c r="G75" s="72">
        <v>25358.524160000015</v>
      </c>
      <c r="H75" s="72">
        <v>33548.445500000009</v>
      </c>
      <c r="I75" s="166">
        <v>0.3229652202283364</v>
      </c>
      <c r="J75" s="166">
        <v>0.11001145833315773</v>
      </c>
    </row>
    <row r="76" spans="1:10" ht="11.1" customHeight="1" x14ac:dyDescent="0.25">
      <c r="A76" s="148"/>
      <c r="B76" s="61"/>
      <c r="C76" s="16" t="s">
        <v>221</v>
      </c>
      <c r="D76" s="72">
        <v>2964.492569999999</v>
      </c>
      <c r="E76" s="72">
        <v>2997.9889219999991</v>
      </c>
      <c r="F76" s="166">
        <v>1.1299185681548307E-2</v>
      </c>
      <c r="G76" s="72">
        <v>17293.466219999995</v>
      </c>
      <c r="H76" s="72">
        <v>16655.002390000001</v>
      </c>
      <c r="I76" s="166">
        <v>-3.6919367226774136E-2</v>
      </c>
      <c r="J76" s="166">
        <v>5.461478390902276E-2</v>
      </c>
    </row>
    <row r="77" spans="1:10" ht="11.1" customHeight="1" x14ac:dyDescent="0.25">
      <c r="A77" s="148"/>
      <c r="B77" s="61"/>
      <c r="C77" s="16" t="s">
        <v>74</v>
      </c>
      <c r="D77" s="72">
        <v>621.55758000000003</v>
      </c>
      <c r="E77" s="72">
        <v>1298.93533</v>
      </c>
      <c r="F77" s="166">
        <v>1.0898069170035702</v>
      </c>
      <c r="G77" s="72">
        <v>3788.9851600000006</v>
      </c>
      <c r="H77" s="72">
        <v>6726.8508999999985</v>
      </c>
      <c r="I77" s="166">
        <v>0.77537008352917303</v>
      </c>
      <c r="J77" s="166">
        <v>2.2058568332136708E-2</v>
      </c>
    </row>
    <row r="78" spans="1:10" ht="11.1" customHeight="1" x14ac:dyDescent="0.25">
      <c r="A78" s="148"/>
      <c r="B78" s="61"/>
      <c r="C78" s="16" t="s">
        <v>76</v>
      </c>
      <c r="D78" s="72">
        <v>653.28936999999996</v>
      </c>
      <c r="E78" s="72">
        <v>476.73530000000005</v>
      </c>
      <c r="F78" s="166">
        <v>-0.27025400704132063</v>
      </c>
      <c r="G78" s="72">
        <v>4364.6104199999991</v>
      </c>
      <c r="H78" s="72">
        <v>2756.7292399999997</v>
      </c>
      <c r="I78" s="166">
        <v>-0.36839053782032616</v>
      </c>
      <c r="J78" s="166">
        <v>9.039816879803193E-3</v>
      </c>
    </row>
    <row r="79" spans="1:10" ht="11.1" customHeight="1" x14ac:dyDescent="0.25">
      <c r="A79" s="148"/>
      <c r="B79" s="61"/>
      <c r="C79" s="16" t="s">
        <v>84</v>
      </c>
      <c r="D79" s="72">
        <v>710.54139999999995</v>
      </c>
      <c r="E79" s="72">
        <v>671.07109999999989</v>
      </c>
      <c r="F79" s="166">
        <v>-5.5549613294876399E-2</v>
      </c>
      <c r="G79" s="72">
        <v>3391.8273400000003</v>
      </c>
      <c r="H79" s="72">
        <v>2733.6852599999984</v>
      </c>
      <c r="I79" s="166">
        <v>-0.19403761277541975</v>
      </c>
      <c r="J79" s="166">
        <v>8.9642514755700724E-3</v>
      </c>
    </row>
    <row r="80" spans="1:10" ht="11.1" customHeight="1" x14ac:dyDescent="0.25">
      <c r="A80" s="148"/>
      <c r="B80" s="61"/>
      <c r="C80" s="16" t="s">
        <v>218</v>
      </c>
      <c r="D80" s="72">
        <v>324.95000000000005</v>
      </c>
      <c r="E80" s="72">
        <v>360.00000000000006</v>
      </c>
      <c r="F80" s="166">
        <v>0.10786274811509466</v>
      </c>
      <c r="G80" s="72">
        <v>1748.2561700000001</v>
      </c>
      <c r="H80" s="72">
        <v>1690.22165</v>
      </c>
      <c r="I80" s="166">
        <v>-3.3195661480205252E-2</v>
      </c>
      <c r="J80" s="166">
        <v>5.5425443966629108E-3</v>
      </c>
    </row>
    <row r="81" spans="1:10" ht="11.1" customHeight="1" x14ac:dyDescent="0.25">
      <c r="A81" s="148"/>
      <c r="B81" s="61"/>
      <c r="C81" s="16" t="s">
        <v>119</v>
      </c>
      <c r="D81" s="72">
        <v>325.83810000000005</v>
      </c>
      <c r="E81" s="72">
        <v>388.05160000000001</v>
      </c>
      <c r="F81" s="166">
        <v>0.1909337796899746</v>
      </c>
      <c r="G81" s="72">
        <v>1457.12977</v>
      </c>
      <c r="H81" s="72">
        <v>1632.3157799999999</v>
      </c>
      <c r="I81" s="166">
        <v>0.12022677293869299</v>
      </c>
      <c r="J81" s="166">
        <v>5.3526605105451396E-3</v>
      </c>
    </row>
    <row r="82" spans="1:10" ht="11.1" customHeight="1" x14ac:dyDescent="0.25">
      <c r="A82" s="148"/>
      <c r="B82" s="61"/>
      <c r="C82" s="16" t="s">
        <v>179</v>
      </c>
      <c r="D82" s="72">
        <v>502.46999999999997</v>
      </c>
      <c r="E82" s="72">
        <v>207.48265000000001</v>
      </c>
      <c r="F82" s="166">
        <v>-0.58707455171453016</v>
      </c>
      <c r="G82" s="72">
        <v>2284.123</v>
      </c>
      <c r="H82" s="72">
        <v>871.29099999999994</v>
      </c>
      <c r="I82" s="166">
        <v>-0.61854462303474911</v>
      </c>
      <c r="J82" s="166">
        <v>2.8571217567310322E-3</v>
      </c>
    </row>
    <row r="83" spans="1:10" ht="11.1" customHeight="1" x14ac:dyDescent="0.25">
      <c r="A83" s="148"/>
      <c r="B83" s="61"/>
      <c r="C83" s="16" t="s">
        <v>18</v>
      </c>
      <c r="D83" s="72">
        <v>1242.3765300000086</v>
      </c>
      <c r="E83" s="72">
        <v>1339.0824399999838</v>
      </c>
      <c r="F83" s="166">
        <v>7.7839453390168734E-2</v>
      </c>
      <c r="G83" s="72">
        <v>6677.0966199999093</v>
      </c>
      <c r="H83" s="72">
        <v>6597.3948299998883</v>
      </c>
      <c r="I83" s="166">
        <v>-1.1936593782586602E-2</v>
      </c>
      <c r="J83" s="166">
        <v>2.1634058318675979E-2</v>
      </c>
    </row>
    <row r="84" spans="1:10" ht="17.100000000000001" customHeight="1" x14ac:dyDescent="0.25">
      <c r="A84" s="206" t="s">
        <v>67</v>
      </c>
      <c r="B84" s="207" t="s">
        <v>340</v>
      </c>
      <c r="C84" s="208"/>
      <c r="D84" s="209">
        <v>192585.23668999987</v>
      </c>
      <c r="E84" s="209">
        <v>204484.95627700002</v>
      </c>
      <c r="F84" s="185">
        <v>6.178936553768577E-2</v>
      </c>
      <c r="G84" s="209">
        <v>251270.4254500001</v>
      </c>
      <c r="H84" s="209">
        <v>244469.9166100001</v>
      </c>
      <c r="I84" s="185">
        <v>-2.7064501633333737E-2</v>
      </c>
      <c r="J84" s="185">
        <v>0.99999999999999989</v>
      </c>
    </row>
    <row r="85" spans="1:10" ht="11.1" customHeight="1" x14ac:dyDescent="0.25">
      <c r="A85" s="148"/>
      <c r="B85" s="61"/>
      <c r="C85" s="16" t="s">
        <v>70</v>
      </c>
      <c r="D85" s="72">
        <v>108988.45595999993</v>
      </c>
      <c r="E85" s="72">
        <v>94921.728711000062</v>
      </c>
      <c r="F85" s="166">
        <v>-0.12906621279378916</v>
      </c>
      <c r="G85" s="72">
        <v>143922.79440000013</v>
      </c>
      <c r="H85" s="72">
        <v>110041.14350000009</v>
      </c>
      <c r="I85" s="166">
        <v>-0.23541546036018324</v>
      </c>
      <c r="J85" s="166">
        <v>0.45012140972562853</v>
      </c>
    </row>
    <row r="86" spans="1:10" ht="11.1" customHeight="1" x14ac:dyDescent="0.25">
      <c r="A86" s="148"/>
      <c r="B86" s="61"/>
      <c r="C86" s="16" t="s">
        <v>179</v>
      </c>
      <c r="D86" s="72">
        <v>19546.061600000001</v>
      </c>
      <c r="E86" s="72">
        <v>32507.175099999968</v>
      </c>
      <c r="F86" s="166">
        <v>0.66310614205779261</v>
      </c>
      <c r="G86" s="72">
        <v>28598.142179999999</v>
      </c>
      <c r="H86" s="72">
        <v>47240.978189999987</v>
      </c>
      <c r="I86" s="166">
        <v>0.65188975887523859</v>
      </c>
      <c r="J86" s="166">
        <v>0.19323841086493659</v>
      </c>
    </row>
    <row r="87" spans="1:10" ht="11.1" customHeight="1" x14ac:dyDescent="0.25">
      <c r="A87" s="148"/>
      <c r="B87" s="61"/>
      <c r="C87" s="16" t="s">
        <v>221</v>
      </c>
      <c r="D87" s="72">
        <v>17096.376899999985</v>
      </c>
      <c r="E87" s="72">
        <v>21988.816899999987</v>
      </c>
      <c r="F87" s="166">
        <v>0.28616823486150489</v>
      </c>
      <c r="G87" s="72">
        <v>21145.984679999994</v>
      </c>
      <c r="H87" s="72">
        <v>23267.547960000004</v>
      </c>
      <c r="I87" s="166">
        <v>0.10032936806232517</v>
      </c>
      <c r="J87" s="166">
        <v>9.5175505774473021E-2</v>
      </c>
    </row>
    <row r="88" spans="1:10" ht="11.1" customHeight="1" x14ac:dyDescent="0.25">
      <c r="A88" s="148"/>
      <c r="B88" s="61"/>
      <c r="C88" s="16" t="s">
        <v>72</v>
      </c>
      <c r="D88" s="72">
        <v>12845.722099999997</v>
      </c>
      <c r="E88" s="72">
        <v>10552.303899999994</v>
      </c>
      <c r="F88" s="166">
        <v>-0.17853556087750055</v>
      </c>
      <c r="G88" s="72">
        <v>15021.293720000001</v>
      </c>
      <c r="H88" s="72">
        <v>11757.548909999998</v>
      </c>
      <c r="I88" s="166">
        <v>-0.21727454844015948</v>
      </c>
      <c r="J88" s="166">
        <v>4.8094052115036603E-2</v>
      </c>
    </row>
    <row r="89" spans="1:10" ht="11.1" customHeight="1" x14ac:dyDescent="0.25">
      <c r="A89" s="148"/>
      <c r="B89" s="61"/>
      <c r="C89" s="16" t="s">
        <v>85</v>
      </c>
      <c r="D89" s="72">
        <v>5358.5795490000019</v>
      </c>
      <c r="E89" s="72">
        <v>8393.3010000000013</v>
      </c>
      <c r="F89" s="166">
        <v>0.56632945788148792</v>
      </c>
      <c r="G89" s="72">
        <v>6704.3984499999997</v>
      </c>
      <c r="H89" s="72">
        <v>10091.138670000006</v>
      </c>
      <c r="I89" s="166">
        <v>0.50515199018340051</v>
      </c>
      <c r="J89" s="166">
        <v>4.1277629615664641E-2</v>
      </c>
    </row>
    <row r="90" spans="1:10" ht="11.1" customHeight="1" x14ac:dyDescent="0.25">
      <c r="A90" s="148"/>
      <c r="B90" s="61"/>
      <c r="C90" s="16" t="s">
        <v>71</v>
      </c>
      <c r="D90" s="72">
        <v>4747.6060500000003</v>
      </c>
      <c r="E90" s="72">
        <v>7297.5911000000015</v>
      </c>
      <c r="F90" s="166">
        <v>0.53710965550732692</v>
      </c>
      <c r="G90" s="72">
        <v>5831.7049399999996</v>
      </c>
      <c r="H90" s="72">
        <v>7632.8683900000005</v>
      </c>
      <c r="I90" s="166">
        <v>0.30885709557177998</v>
      </c>
      <c r="J90" s="166">
        <v>3.1222117207069789E-2</v>
      </c>
    </row>
    <row r="91" spans="1:10" ht="11.1" customHeight="1" x14ac:dyDescent="0.25">
      <c r="A91" s="148"/>
      <c r="B91" s="61"/>
      <c r="C91" s="16" t="s">
        <v>79</v>
      </c>
      <c r="D91" s="72">
        <v>1979.8004000000008</v>
      </c>
      <c r="E91" s="72">
        <v>4071.5122000000024</v>
      </c>
      <c r="F91" s="166">
        <v>1.0565266074297193</v>
      </c>
      <c r="G91" s="72">
        <v>2772.2142200000012</v>
      </c>
      <c r="H91" s="72">
        <v>5612.0185699999984</v>
      </c>
      <c r="I91" s="166">
        <v>1.0243812795967822</v>
      </c>
      <c r="J91" s="166">
        <v>2.2955865686135869E-2</v>
      </c>
    </row>
    <row r="92" spans="1:10" ht="11.1" customHeight="1" x14ac:dyDescent="0.25">
      <c r="A92" s="148"/>
      <c r="B92" s="61"/>
      <c r="C92" s="16" t="s">
        <v>78</v>
      </c>
      <c r="D92" s="72">
        <v>2441.7655</v>
      </c>
      <c r="E92" s="72">
        <v>4032.73</v>
      </c>
      <c r="F92" s="166">
        <v>0.6515631824595769</v>
      </c>
      <c r="G92" s="72">
        <v>2736.94931</v>
      </c>
      <c r="H92" s="72">
        <v>3587.3697699999998</v>
      </c>
      <c r="I92" s="166">
        <v>0.31071838155453446</v>
      </c>
      <c r="J92" s="166">
        <v>1.4674074502683647E-2</v>
      </c>
    </row>
    <row r="93" spans="1:10" ht="11.1" customHeight="1" x14ac:dyDescent="0.25">
      <c r="A93" s="148"/>
      <c r="B93" s="61"/>
      <c r="C93" s="16" t="s">
        <v>129</v>
      </c>
      <c r="D93" s="72">
        <v>1552.8595000000007</v>
      </c>
      <c r="E93" s="72">
        <v>2214.0801000000015</v>
      </c>
      <c r="F93" s="166">
        <v>0.4258083876873604</v>
      </c>
      <c r="G93" s="72">
        <v>2229.9347299999999</v>
      </c>
      <c r="H93" s="72">
        <v>3023.03784</v>
      </c>
      <c r="I93" s="166">
        <v>0.35566202872673314</v>
      </c>
      <c r="J93" s="166">
        <v>1.2365684424160113E-2</v>
      </c>
    </row>
    <row r="94" spans="1:10" ht="11.1" customHeight="1" x14ac:dyDescent="0.25">
      <c r="A94" s="148"/>
      <c r="B94" s="61"/>
      <c r="C94" s="16" t="s">
        <v>120</v>
      </c>
      <c r="D94" s="72">
        <v>3868.2300000000014</v>
      </c>
      <c r="E94" s="72">
        <v>2886.0600000000004</v>
      </c>
      <c r="F94" s="166">
        <v>-0.25390682560240752</v>
      </c>
      <c r="G94" s="72">
        <v>4113.5334299999995</v>
      </c>
      <c r="H94" s="72">
        <v>2842.1770700000002</v>
      </c>
      <c r="I94" s="166">
        <v>-0.30906673827614894</v>
      </c>
      <c r="J94" s="166">
        <v>1.1625876547150343E-2</v>
      </c>
    </row>
    <row r="95" spans="1:10" ht="11.1" customHeight="1" x14ac:dyDescent="0.25">
      <c r="A95" s="29"/>
      <c r="B95" s="61"/>
      <c r="C95" s="16" t="s">
        <v>18</v>
      </c>
      <c r="D95" s="72">
        <v>14159.779130999959</v>
      </c>
      <c r="E95" s="72">
        <v>15619.657266000024</v>
      </c>
      <c r="F95" s="166">
        <v>0.10310034651627853</v>
      </c>
      <c r="G95" s="72">
        <v>18193.475389999978</v>
      </c>
      <c r="H95" s="72">
        <v>19374.087740000046</v>
      </c>
      <c r="I95" s="166">
        <v>6.4892073927172333E-2</v>
      </c>
      <c r="J95" s="166">
        <v>7.9249373537060977E-2</v>
      </c>
    </row>
    <row r="96" spans="1:10" s="3" customFormat="1" ht="17.100000000000001" customHeight="1" x14ac:dyDescent="0.25">
      <c r="A96" s="206" t="s">
        <v>11</v>
      </c>
      <c r="B96" s="207" t="s">
        <v>204</v>
      </c>
      <c r="C96" s="208"/>
      <c r="D96" s="209">
        <v>73359.787315000009</v>
      </c>
      <c r="E96" s="209">
        <v>192089.43324599994</v>
      </c>
      <c r="F96" s="185">
        <v>1.618456790519117</v>
      </c>
      <c r="G96" s="209">
        <v>198195.85168999995</v>
      </c>
      <c r="H96" s="209">
        <v>239677.28383999999</v>
      </c>
      <c r="I96" s="185">
        <v>0.20929515828051515</v>
      </c>
      <c r="J96" s="185">
        <v>1</v>
      </c>
    </row>
    <row r="97" spans="1:10" ht="11.1" customHeight="1" x14ac:dyDescent="0.25">
      <c r="A97" s="148"/>
      <c r="B97" s="61"/>
      <c r="C97" s="16" t="s">
        <v>70</v>
      </c>
      <c r="D97" s="72">
        <v>20193.845155999999</v>
      </c>
      <c r="E97" s="72">
        <v>72007.29629199997</v>
      </c>
      <c r="F97" s="166">
        <v>2.5658041217873331</v>
      </c>
      <c r="G97" s="72">
        <v>54134.39834</v>
      </c>
      <c r="H97" s="72">
        <v>82187.45166999998</v>
      </c>
      <c r="I97" s="166">
        <v>0.51821123334202701</v>
      </c>
      <c r="J97" s="166">
        <v>0.34290880784874628</v>
      </c>
    </row>
    <row r="98" spans="1:10" ht="11.1" customHeight="1" x14ac:dyDescent="0.25">
      <c r="A98" s="148"/>
      <c r="B98" s="61"/>
      <c r="C98" s="16" t="s">
        <v>221</v>
      </c>
      <c r="D98" s="72">
        <v>29500.549300000002</v>
      </c>
      <c r="E98" s="72">
        <v>61808.189610000001</v>
      </c>
      <c r="F98" s="166">
        <v>1.0951538556605791</v>
      </c>
      <c r="G98" s="72">
        <v>68753.617539999963</v>
      </c>
      <c r="H98" s="72">
        <v>64386.116309999998</v>
      </c>
      <c r="I98" s="166">
        <v>-6.35239480665728E-2</v>
      </c>
      <c r="J98" s="166">
        <v>0.26863670715236354</v>
      </c>
    </row>
    <row r="99" spans="1:10" ht="11.1" customHeight="1" x14ac:dyDescent="0.25">
      <c r="A99" s="148"/>
      <c r="B99" s="61"/>
      <c r="C99" s="16" t="s">
        <v>71</v>
      </c>
      <c r="D99" s="72">
        <v>5186.7229189999998</v>
      </c>
      <c r="E99" s="72">
        <v>13714.443344000005</v>
      </c>
      <c r="F99" s="166">
        <v>1.6441442039946388</v>
      </c>
      <c r="G99" s="72">
        <v>21399.038099999998</v>
      </c>
      <c r="H99" s="72">
        <v>22775.44111</v>
      </c>
      <c r="I99" s="166">
        <v>6.4320788792838313E-2</v>
      </c>
      <c r="J99" s="166">
        <v>9.5025447322759513E-2</v>
      </c>
    </row>
    <row r="100" spans="1:10" ht="11.1" customHeight="1" x14ac:dyDescent="0.25">
      <c r="A100" s="148"/>
      <c r="B100" s="61"/>
      <c r="C100" s="16" t="s">
        <v>85</v>
      </c>
      <c r="D100" s="72">
        <v>3508.4359599999998</v>
      </c>
      <c r="E100" s="72">
        <v>8254.7804760000017</v>
      </c>
      <c r="F100" s="166">
        <v>1.3528377231659667</v>
      </c>
      <c r="G100" s="72">
        <v>8355.4019000000008</v>
      </c>
      <c r="H100" s="72">
        <v>12104.851839999998</v>
      </c>
      <c r="I100" s="166">
        <v>0.44874561210514563</v>
      </c>
      <c r="J100" s="166">
        <v>5.0504793971550367E-2</v>
      </c>
    </row>
    <row r="101" spans="1:10" ht="11.1" customHeight="1" x14ac:dyDescent="0.25">
      <c r="A101" s="148"/>
      <c r="B101" s="61"/>
      <c r="C101" s="16" t="s">
        <v>72</v>
      </c>
      <c r="D101" s="72">
        <v>4904.2411000000002</v>
      </c>
      <c r="E101" s="72">
        <v>10414.845649999996</v>
      </c>
      <c r="F101" s="166">
        <v>1.1236406281085967</v>
      </c>
      <c r="G101" s="72">
        <v>12786.12442</v>
      </c>
      <c r="H101" s="72">
        <v>11787.516379999999</v>
      </c>
      <c r="I101" s="166">
        <v>-7.8100916837472889E-2</v>
      </c>
      <c r="J101" s="166">
        <v>4.9180782555383613E-2</v>
      </c>
    </row>
    <row r="102" spans="1:10" ht="11.1" customHeight="1" x14ac:dyDescent="0.25">
      <c r="A102" s="148"/>
      <c r="B102" s="61"/>
      <c r="C102" s="16" t="s">
        <v>179</v>
      </c>
      <c r="D102" s="72">
        <v>46.467129999999997</v>
      </c>
      <c r="E102" s="72">
        <v>1260.4456800000003</v>
      </c>
      <c r="F102" s="166">
        <v>26.125533253291096</v>
      </c>
      <c r="G102" s="72">
        <v>504.56503999999995</v>
      </c>
      <c r="H102" s="72">
        <v>8182.1981099999994</v>
      </c>
      <c r="I102" s="166">
        <v>15.216339740858782</v>
      </c>
      <c r="J102" s="166">
        <v>3.4138396342400741E-2</v>
      </c>
    </row>
    <row r="103" spans="1:10" ht="11.1" customHeight="1" x14ac:dyDescent="0.25">
      <c r="A103" s="148"/>
      <c r="B103" s="61"/>
      <c r="C103" s="16" t="s">
        <v>121</v>
      </c>
      <c r="D103" s="72">
        <v>1743.0085199999996</v>
      </c>
      <c r="E103" s="72">
        <v>2921.4905899999994</v>
      </c>
      <c r="F103" s="166">
        <v>0.6761195120262522</v>
      </c>
      <c r="G103" s="72">
        <v>7753.7796799999969</v>
      </c>
      <c r="H103" s="72">
        <v>6981.9160000000029</v>
      </c>
      <c r="I103" s="166">
        <v>-9.954676452710276E-2</v>
      </c>
      <c r="J103" s="166">
        <v>2.9130486995425402E-2</v>
      </c>
    </row>
    <row r="104" spans="1:10" ht="11.1" customHeight="1" x14ac:dyDescent="0.25">
      <c r="A104" s="148"/>
      <c r="B104" s="61"/>
      <c r="C104" s="16" t="s">
        <v>77</v>
      </c>
      <c r="D104" s="72">
        <v>1757.0800000000004</v>
      </c>
      <c r="E104" s="72">
        <v>2584.5240000000003</v>
      </c>
      <c r="F104" s="166">
        <v>0.4709199353472806</v>
      </c>
      <c r="G104" s="72">
        <v>8178.4662299999991</v>
      </c>
      <c r="H104" s="72">
        <v>6890.4603300000017</v>
      </c>
      <c r="I104" s="166">
        <v>-0.15748746326974772</v>
      </c>
      <c r="J104" s="166">
        <v>2.8748908614133942E-2</v>
      </c>
    </row>
    <row r="105" spans="1:10" ht="11.1" customHeight="1" x14ac:dyDescent="0.25">
      <c r="A105" s="148"/>
      <c r="B105" s="61"/>
      <c r="C105" s="16" t="s">
        <v>81</v>
      </c>
      <c r="D105" s="72">
        <v>2505.3560000000002</v>
      </c>
      <c r="E105" s="72">
        <v>5816.6252540000005</v>
      </c>
      <c r="F105" s="166">
        <v>1.3216761426320249</v>
      </c>
      <c r="G105" s="72">
        <v>3874.9347400000001</v>
      </c>
      <c r="H105" s="72">
        <v>5922.4934100000009</v>
      </c>
      <c r="I105" s="166">
        <v>0.52841113654471528</v>
      </c>
      <c r="J105" s="166">
        <v>2.4710282572935224E-2</v>
      </c>
    </row>
    <row r="106" spans="1:10" ht="11.1" customHeight="1" x14ac:dyDescent="0.25">
      <c r="A106" s="148"/>
      <c r="B106" s="61"/>
      <c r="C106" s="16" t="s">
        <v>120</v>
      </c>
      <c r="D106" s="72">
        <v>590.75199999999995</v>
      </c>
      <c r="E106" s="72">
        <v>3753.7059999999992</v>
      </c>
      <c r="F106" s="166">
        <v>5.3541147554303663</v>
      </c>
      <c r="G106" s="72">
        <v>1276.5991099999999</v>
      </c>
      <c r="H106" s="72">
        <v>3440.9678899999999</v>
      </c>
      <c r="I106" s="166">
        <v>1.6954177415962639</v>
      </c>
      <c r="J106" s="166">
        <v>1.4356670915450908E-2</v>
      </c>
    </row>
    <row r="107" spans="1:10" ht="11.1" customHeight="1" x14ac:dyDescent="0.25">
      <c r="A107" s="148"/>
      <c r="B107" s="61"/>
      <c r="C107" s="16" t="s">
        <v>18</v>
      </c>
      <c r="D107" s="72">
        <v>3423.3292300000176</v>
      </c>
      <c r="E107" s="72">
        <v>9553.0863499999105</v>
      </c>
      <c r="F107" s="166">
        <v>1.7905835834550632</v>
      </c>
      <c r="G107" s="72">
        <v>11178.926589999988</v>
      </c>
      <c r="H107" s="72">
        <v>15017.870790000015</v>
      </c>
      <c r="I107" s="166">
        <v>0.34340901777046473</v>
      </c>
      <c r="J107" s="166">
        <v>6.2658715708850454E-2</v>
      </c>
    </row>
    <row r="108" spans="1:10" s="3" customFormat="1" ht="23.1" customHeight="1" x14ac:dyDescent="0.25">
      <c r="A108" s="206" t="s">
        <v>35</v>
      </c>
      <c r="B108" s="291" t="s">
        <v>278</v>
      </c>
      <c r="C108" s="292"/>
      <c r="D108" s="209">
        <v>170174.105389</v>
      </c>
      <c r="E108" s="209">
        <v>178533.04444399997</v>
      </c>
      <c r="F108" s="185">
        <v>4.9119923597613857E-2</v>
      </c>
      <c r="G108" s="209">
        <v>186585.59068999992</v>
      </c>
      <c r="H108" s="209">
        <v>176909.05710000009</v>
      </c>
      <c r="I108" s="185">
        <v>-5.1861097924098432E-2</v>
      </c>
      <c r="J108" s="185">
        <v>0.99999999999999978</v>
      </c>
    </row>
    <row r="109" spans="1:10" ht="11.1" customHeight="1" x14ac:dyDescent="0.25">
      <c r="A109" s="148"/>
      <c r="B109" s="61"/>
      <c r="C109" s="16" t="s">
        <v>73</v>
      </c>
      <c r="D109" s="72">
        <v>165953.268396</v>
      </c>
      <c r="E109" s="72">
        <v>170371.246228</v>
      </c>
      <c r="F109" s="166">
        <v>2.6621818748744142E-2</v>
      </c>
      <c r="G109" s="72">
        <v>178849.26828999995</v>
      </c>
      <c r="H109" s="72">
        <v>165603.13208000001</v>
      </c>
      <c r="I109" s="166">
        <v>-7.4063127775964022E-2</v>
      </c>
      <c r="J109" s="166">
        <v>0.93609188130142329</v>
      </c>
    </row>
    <row r="110" spans="1:10" ht="11.1" customHeight="1" x14ac:dyDescent="0.25">
      <c r="A110" s="148"/>
      <c r="B110" s="61"/>
      <c r="C110" s="16" t="s">
        <v>181</v>
      </c>
      <c r="D110" s="72">
        <v>2134.8157059999999</v>
      </c>
      <c r="E110" s="72">
        <v>4683.0841879999989</v>
      </c>
      <c r="F110" s="166">
        <v>1.1936714138077451</v>
      </c>
      <c r="G110" s="72">
        <v>3517.0609400000003</v>
      </c>
      <c r="H110" s="72">
        <v>6115.4140699999998</v>
      </c>
      <c r="I110" s="166">
        <v>0.73878535923235922</v>
      </c>
      <c r="J110" s="166">
        <v>3.4568123137659279E-2</v>
      </c>
    </row>
    <row r="111" spans="1:10" ht="11.1" customHeight="1" x14ac:dyDescent="0.25">
      <c r="A111" s="148"/>
      <c r="B111" s="61"/>
      <c r="C111" s="16" t="s">
        <v>131</v>
      </c>
      <c r="D111" s="72">
        <v>927.89366100000007</v>
      </c>
      <c r="E111" s="72">
        <v>2372.0173759999998</v>
      </c>
      <c r="F111" s="166">
        <v>1.5563461371679739</v>
      </c>
      <c r="G111" s="72">
        <v>1262.3404399999999</v>
      </c>
      <c r="H111" s="72">
        <v>2713.1160599999998</v>
      </c>
      <c r="I111" s="166">
        <v>1.1492744540450595</v>
      </c>
      <c r="J111" s="166">
        <v>1.5336219097399725E-2</v>
      </c>
    </row>
    <row r="112" spans="1:10" ht="11.1" customHeight="1" x14ac:dyDescent="0.25">
      <c r="A112" s="148"/>
      <c r="B112" s="61"/>
      <c r="C112" s="16" t="s">
        <v>119</v>
      </c>
      <c r="D112" s="72">
        <v>660.70400800000004</v>
      </c>
      <c r="E112" s="72">
        <v>552.44975099999999</v>
      </c>
      <c r="F112" s="166">
        <v>-0.16384682957758001</v>
      </c>
      <c r="G112" s="72">
        <v>1701.3144299999997</v>
      </c>
      <c r="H112" s="72">
        <v>825.36806000000001</v>
      </c>
      <c r="I112" s="166">
        <v>-0.51486448040060406</v>
      </c>
      <c r="J112" s="166">
        <v>4.6654935226603479E-3</v>
      </c>
    </row>
    <row r="113" spans="1:10" ht="11.1" customHeight="1" x14ac:dyDescent="0.25">
      <c r="A113" s="148"/>
      <c r="B113" s="61"/>
      <c r="C113" s="16" t="s">
        <v>86</v>
      </c>
      <c r="D113" s="72">
        <v>223.49146400000001</v>
      </c>
      <c r="E113" s="72">
        <v>225.16852499999996</v>
      </c>
      <c r="F113" s="166">
        <v>7.5039152278315591E-3</v>
      </c>
      <c r="G113" s="72">
        <v>542.29531000000009</v>
      </c>
      <c r="H113" s="72">
        <v>640.27456000000006</v>
      </c>
      <c r="I113" s="166">
        <v>0.18067508273305921</v>
      </c>
      <c r="J113" s="166">
        <v>3.6192299619689722E-3</v>
      </c>
    </row>
    <row r="114" spans="1:10" ht="11.1" customHeight="1" x14ac:dyDescent="0.25">
      <c r="A114" s="148"/>
      <c r="B114" s="61"/>
      <c r="C114" s="16" t="s">
        <v>81</v>
      </c>
      <c r="D114" s="72">
        <v>29.207000000000001</v>
      </c>
      <c r="E114" s="72">
        <v>61.553999999999995</v>
      </c>
      <c r="F114" s="166">
        <v>1.1075084739959595</v>
      </c>
      <c r="G114" s="72">
        <v>93.396979999999999</v>
      </c>
      <c r="H114" s="72">
        <v>209.36134999999999</v>
      </c>
      <c r="I114" s="166">
        <v>1.2416286907777958</v>
      </c>
      <c r="J114" s="166">
        <v>1.1834405396307993E-3</v>
      </c>
    </row>
    <row r="115" spans="1:10" ht="11.1" customHeight="1" x14ac:dyDescent="0.25">
      <c r="A115" s="148"/>
      <c r="B115" s="61"/>
      <c r="C115" s="16" t="s">
        <v>135</v>
      </c>
      <c r="D115" s="72">
        <v>36.014689999999995</v>
      </c>
      <c r="E115" s="72">
        <v>85.480379999999997</v>
      </c>
      <c r="F115" s="166">
        <v>1.3734864856534932</v>
      </c>
      <c r="G115" s="72">
        <v>73.641189999999995</v>
      </c>
      <c r="H115" s="72">
        <v>170.53784000000002</v>
      </c>
      <c r="I115" s="166">
        <v>1.315794190723969</v>
      </c>
      <c r="J115" s="166">
        <v>9.6398591906801776E-4</v>
      </c>
    </row>
    <row r="116" spans="1:10" ht="11.1" customHeight="1" x14ac:dyDescent="0.25">
      <c r="A116" s="148"/>
      <c r="B116" s="61"/>
      <c r="C116" s="16" t="s">
        <v>183</v>
      </c>
      <c r="D116" s="72">
        <v>6</v>
      </c>
      <c r="E116" s="72">
        <v>34.959533999999998</v>
      </c>
      <c r="F116" s="166">
        <v>4.8265889999999994</v>
      </c>
      <c r="G116" s="72">
        <v>49.195080000000004</v>
      </c>
      <c r="H116" s="72">
        <v>143.76566</v>
      </c>
      <c r="I116" s="166">
        <v>1.9223584960122024</v>
      </c>
      <c r="J116" s="166">
        <v>8.1265290967400634E-4</v>
      </c>
    </row>
    <row r="117" spans="1:10" ht="11.1" customHeight="1" x14ac:dyDescent="0.25">
      <c r="A117" s="148"/>
      <c r="B117" s="61"/>
      <c r="C117" s="16" t="s">
        <v>18</v>
      </c>
      <c r="D117" s="72">
        <v>202.71046400000341</v>
      </c>
      <c r="E117" s="72">
        <v>147.08446199996979</v>
      </c>
      <c r="F117" s="166">
        <v>-0.27441110292181403</v>
      </c>
      <c r="G117" s="72">
        <v>497.07803000000422</v>
      </c>
      <c r="H117" s="72">
        <v>488.08742000008351</v>
      </c>
      <c r="I117" s="166">
        <v>-1.8086918868493562E-2</v>
      </c>
      <c r="J117" s="166">
        <v>2.7589736105155197E-3</v>
      </c>
    </row>
    <row r="118" spans="1:10" s="3" customFormat="1" ht="23.1" customHeight="1" x14ac:dyDescent="0.25">
      <c r="A118" s="206" t="s">
        <v>91</v>
      </c>
      <c r="B118" s="291" t="s">
        <v>238</v>
      </c>
      <c r="C118" s="292"/>
      <c r="D118" s="209">
        <v>33398.995794999995</v>
      </c>
      <c r="E118" s="209">
        <v>57093.463592000007</v>
      </c>
      <c r="F118" s="185">
        <v>0.70943653343455315</v>
      </c>
      <c r="G118" s="209">
        <v>92841.661550000004</v>
      </c>
      <c r="H118" s="209">
        <v>157843.75433999998</v>
      </c>
      <c r="I118" s="185">
        <v>0.70013926619562938</v>
      </c>
      <c r="J118" s="185">
        <v>0.99999999999999989</v>
      </c>
    </row>
    <row r="119" spans="1:10" ht="11.1" customHeight="1" x14ac:dyDescent="0.25">
      <c r="A119" s="148"/>
      <c r="B119" s="29"/>
      <c r="C119" s="16" t="s">
        <v>76</v>
      </c>
      <c r="D119" s="72">
        <v>4230.4580000000005</v>
      </c>
      <c r="E119" s="72">
        <v>8367.3774039999971</v>
      </c>
      <c r="F119" s="166">
        <v>0.97788925076197319</v>
      </c>
      <c r="G119" s="72">
        <v>11429.772569999999</v>
      </c>
      <c r="H119" s="72">
        <v>22586.013019999999</v>
      </c>
      <c r="I119" s="166">
        <v>0.97606845470241943</v>
      </c>
      <c r="J119" s="166">
        <v>0.14309095164670929</v>
      </c>
    </row>
    <row r="120" spans="1:10" ht="11.1" customHeight="1" x14ac:dyDescent="0.25">
      <c r="A120" s="148"/>
      <c r="B120" s="29"/>
      <c r="C120" s="16" t="s">
        <v>221</v>
      </c>
      <c r="D120" s="72">
        <v>4210.2534099999984</v>
      </c>
      <c r="E120" s="72">
        <v>7500.2296450000031</v>
      </c>
      <c r="F120" s="166">
        <v>0.78142000364771524</v>
      </c>
      <c r="G120" s="72">
        <v>12131.190560000001</v>
      </c>
      <c r="H120" s="72">
        <v>20941.064029999998</v>
      </c>
      <c r="I120" s="166">
        <v>0.72621672427178452</v>
      </c>
      <c r="J120" s="166">
        <v>0.13266957642741026</v>
      </c>
    </row>
    <row r="121" spans="1:10" ht="11.1" customHeight="1" x14ac:dyDescent="0.25">
      <c r="A121" s="148"/>
      <c r="B121" s="29"/>
      <c r="C121" s="16" t="s">
        <v>72</v>
      </c>
      <c r="D121" s="72">
        <v>3473.8208579999991</v>
      </c>
      <c r="E121" s="72">
        <v>7249.6444320000001</v>
      </c>
      <c r="F121" s="166">
        <v>1.0869367559079817</v>
      </c>
      <c r="G121" s="72">
        <v>9431.2356200000013</v>
      </c>
      <c r="H121" s="72">
        <v>18988.62486</v>
      </c>
      <c r="I121" s="166">
        <v>1.0133761497520508</v>
      </c>
      <c r="J121" s="166">
        <v>0.12030013439174765</v>
      </c>
    </row>
    <row r="122" spans="1:10" ht="11.1" customHeight="1" x14ac:dyDescent="0.25">
      <c r="A122" s="148"/>
      <c r="B122" s="29"/>
      <c r="C122" s="16" t="s">
        <v>70</v>
      </c>
      <c r="D122" s="72">
        <v>4928.5043189999997</v>
      </c>
      <c r="E122" s="72">
        <v>6284.2889880000039</v>
      </c>
      <c r="F122" s="166">
        <v>0.27509049018650233</v>
      </c>
      <c r="G122" s="72">
        <v>13508.280290000001</v>
      </c>
      <c r="H122" s="72">
        <v>18415.318990000011</v>
      </c>
      <c r="I122" s="166">
        <v>0.36326153993359367</v>
      </c>
      <c r="J122" s="166">
        <v>0.11666802444607903</v>
      </c>
    </row>
    <row r="123" spans="1:10" ht="11.1" customHeight="1" x14ac:dyDescent="0.25">
      <c r="A123" s="148"/>
      <c r="B123" s="29"/>
      <c r="C123" s="16" t="s">
        <v>180</v>
      </c>
      <c r="D123" s="72">
        <v>2032.8704639999996</v>
      </c>
      <c r="E123" s="72">
        <v>3380.4435020000001</v>
      </c>
      <c r="F123" s="166">
        <v>0.6628917394709124</v>
      </c>
      <c r="G123" s="72">
        <v>7104.4890599999999</v>
      </c>
      <c r="H123" s="72">
        <v>11335.381120000004</v>
      </c>
      <c r="I123" s="166">
        <v>0.5955237631121082</v>
      </c>
      <c r="J123" s="166">
        <v>7.1813935035929685E-2</v>
      </c>
    </row>
    <row r="124" spans="1:10" ht="11.1" customHeight="1" x14ac:dyDescent="0.25">
      <c r="A124" s="148"/>
      <c r="B124" s="29"/>
      <c r="C124" s="16" t="s">
        <v>71</v>
      </c>
      <c r="D124" s="72">
        <v>1691.8013949999995</v>
      </c>
      <c r="E124" s="72">
        <v>3416.7663099999995</v>
      </c>
      <c r="F124" s="166">
        <v>1.0196024900428697</v>
      </c>
      <c r="G124" s="72">
        <v>4759.6350299999986</v>
      </c>
      <c r="H124" s="72">
        <v>10267.124249999993</v>
      </c>
      <c r="I124" s="166">
        <v>1.1571242721944577</v>
      </c>
      <c r="J124" s="166">
        <v>6.5046122939298012E-2</v>
      </c>
    </row>
    <row r="125" spans="1:10" ht="11.1" customHeight="1" x14ac:dyDescent="0.25">
      <c r="A125" s="148"/>
      <c r="B125" s="29"/>
      <c r="C125" s="16" t="s">
        <v>74</v>
      </c>
      <c r="D125" s="72">
        <v>553.87423799999999</v>
      </c>
      <c r="E125" s="72">
        <v>3690.3373419999994</v>
      </c>
      <c r="F125" s="166">
        <v>5.6627712372497081</v>
      </c>
      <c r="G125" s="72">
        <v>1176.6119099999999</v>
      </c>
      <c r="H125" s="72">
        <v>8688.2461500000009</v>
      </c>
      <c r="I125" s="166">
        <v>6.3841222208944002</v>
      </c>
      <c r="J125" s="166">
        <v>5.5043331846284328E-2</v>
      </c>
    </row>
    <row r="126" spans="1:10" ht="11.1" customHeight="1" x14ac:dyDescent="0.25">
      <c r="A126" s="148"/>
      <c r="B126" s="29"/>
      <c r="C126" s="16" t="s">
        <v>81</v>
      </c>
      <c r="D126" s="72">
        <v>2835.3842279999999</v>
      </c>
      <c r="E126" s="72">
        <v>3137.3023250000006</v>
      </c>
      <c r="F126" s="166">
        <v>0.10648225168867675</v>
      </c>
      <c r="G126" s="72">
        <v>7132.1949800000002</v>
      </c>
      <c r="H126" s="72">
        <v>7603.0368699999999</v>
      </c>
      <c r="I126" s="166">
        <v>6.6016407476285677E-2</v>
      </c>
      <c r="J126" s="166">
        <v>4.8168119808040297E-2</v>
      </c>
    </row>
    <row r="127" spans="1:10" ht="11.1" customHeight="1" x14ac:dyDescent="0.25">
      <c r="A127" s="148"/>
      <c r="B127" s="29"/>
      <c r="C127" s="16" t="s">
        <v>77</v>
      </c>
      <c r="D127" s="72">
        <v>1739.5315070000004</v>
      </c>
      <c r="E127" s="72">
        <v>2500.1554910000004</v>
      </c>
      <c r="F127" s="166">
        <v>0.43725795189060634</v>
      </c>
      <c r="G127" s="72">
        <v>5582.5345600000019</v>
      </c>
      <c r="H127" s="72">
        <v>7400.310739999999</v>
      </c>
      <c r="I127" s="166">
        <v>0.32561843737157203</v>
      </c>
      <c r="J127" s="166">
        <v>4.6883772949669687E-2</v>
      </c>
    </row>
    <row r="128" spans="1:10" ht="11.1" customHeight="1" x14ac:dyDescent="0.25">
      <c r="A128" s="148"/>
      <c r="B128" s="29"/>
      <c r="C128" s="16" t="s">
        <v>125</v>
      </c>
      <c r="D128" s="72">
        <v>1111.22452</v>
      </c>
      <c r="E128" s="72">
        <v>2721.7527100000007</v>
      </c>
      <c r="F128" s="166">
        <v>1.4493274410467478</v>
      </c>
      <c r="G128" s="72">
        <v>2165.7258499999998</v>
      </c>
      <c r="H128" s="72">
        <v>6273.5153100000016</v>
      </c>
      <c r="I128" s="166">
        <v>1.8967264300788589</v>
      </c>
      <c r="J128" s="166">
        <v>3.9745096891744408E-2</v>
      </c>
    </row>
    <row r="129" spans="1:10" ht="11.1" customHeight="1" x14ac:dyDescent="0.25">
      <c r="A129" s="150"/>
      <c r="B129" s="151"/>
      <c r="C129" s="119" t="s">
        <v>18</v>
      </c>
      <c r="D129" s="118">
        <v>6591.2728559999996</v>
      </c>
      <c r="E129" s="118">
        <v>8845.1654430000126</v>
      </c>
      <c r="F129" s="167">
        <v>0.34195103680896888</v>
      </c>
      <c r="G129" s="118">
        <v>18419.991119999991</v>
      </c>
      <c r="H129" s="118">
        <v>25345.118999999977</v>
      </c>
      <c r="I129" s="167">
        <v>0.37595717798587014</v>
      </c>
      <c r="J129" s="167">
        <v>0.16057093361708732</v>
      </c>
    </row>
    <row r="130" spans="1:10" ht="9" customHeight="1" x14ac:dyDescent="0.25">
      <c r="A130" s="8" t="s">
        <v>44</v>
      </c>
      <c r="B130" s="31"/>
      <c r="C130" s="32"/>
      <c r="D130" s="9"/>
      <c r="E130" s="9"/>
      <c r="F130" s="9"/>
      <c r="G130" s="9"/>
      <c r="H130" s="9"/>
      <c r="I130" s="64"/>
      <c r="J130" s="64" t="s">
        <v>226</v>
      </c>
    </row>
    <row r="131" spans="1:10" ht="8.1" customHeight="1" x14ac:dyDescent="0.25">
      <c r="A131" s="11" t="s">
        <v>20</v>
      </c>
      <c r="B131" s="11"/>
      <c r="C131" s="11"/>
      <c r="D131" s="11"/>
      <c r="E131" s="9"/>
      <c r="F131" s="9"/>
      <c r="G131" s="9"/>
      <c r="H131" s="9"/>
      <c r="I131" s="64"/>
      <c r="J131" s="64"/>
    </row>
    <row r="132" spans="1:10" ht="8.1" customHeight="1" x14ac:dyDescent="0.25">
      <c r="A132" s="214" t="s">
        <v>348</v>
      </c>
      <c r="B132" s="11"/>
      <c r="C132" s="11"/>
      <c r="D132" s="11"/>
      <c r="E132" s="11"/>
      <c r="F132" s="11"/>
      <c r="G132" s="11"/>
      <c r="H132" s="9"/>
      <c r="I132" s="64"/>
      <c r="J132" s="64"/>
    </row>
    <row r="133" spans="1:10" ht="8.1" customHeight="1" x14ac:dyDescent="0.25">
      <c r="A133" s="225" t="s">
        <v>349</v>
      </c>
    </row>
  </sheetData>
  <mergeCells count="12">
    <mergeCell ref="G69:J69"/>
    <mergeCell ref="A4:A5"/>
    <mergeCell ref="B4:C5"/>
    <mergeCell ref="D4:F4"/>
    <mergeCell ref="G4:J4"/>
    <mergeCell ref="A68:F68"/>
    <mergeCell ref="B7:C7"/>
    <mergeCell ref="B108:C108"/>
    <mergeCell ref="B118:C118"/>
    <mergeCell ref="A69:A70"/>
    <mergeCell ref="B69:C70"/>
    <mergeCell ref="D69:F69"/>
  </mergeCells>
  <conditionalFormatting sqref="D109:F116">
    <cfRule type="containsBlanks" dxfId="67" priority="1">
      <formula>LEN(TRIM(D109))=0</formula>
    </cfRule>
  </conditionalFormatting>
  <conditionalFormatting sqref="D8:J18">
    <cfRule type="containsBlanks" dxfId="66" priority="10">
      <formula>LEN(TRIM(D8))=0</formula>
    </cfRule>
  </conditionalFormatting>
  <conditionalFormatting sqref="D20:J30">
    <cfRule type="containsBlanks" dxfId="65" priority="9">
      <formula>LEN(TRIM(D20))=0</formula>
    </cfRule>
  </conditionalFormatting>
  <conditionalFormatting sqref="D32:J42">
    <cfRule type="containsBlanks" dxfId="64" priority="8">
      <formula>LEN(TRIM(D32))=0</formula>
    </cfRule>
  </conditionalFormatting>
  <conditionalFormatting sqref="D44:J54">
    <cfRule type="containsBlanks" dxfId="63" priority="7">
      <formula>LEN(TRIM(D44))=0</formula>
    </cfRule>
  </conditionalFormatting>
  <conditionalFormatting sqref="D56:J66">
    <cfRule type="containsBlanks" dxfId="62" priority="6">
      <formula>LEN(TRIM(D56))=0</formula>
    </cfRule>
  </conditionalFormatting>
  <conditionalFormatting sqref="D73:J83">
    <cfRule type="containsBlanks" dxfId="61" priority="5">
      <formula>LEN(TRIM(D73))=0</formula>
    </cfRule>
  </conditionalFormatting>
  <conditionalFormatting sqref="D97:J107">
    <cfRule type="containsBlanks" dxfId="60" priority="3">
      <formula>LEN(TRIM(D97))=0</formula>
    </cfRule>
  </conditionalFormatting>
  <conditionalFormatting sqref="D119:J129">
    <cfRule type="containsBlanks" dxfId="59" priority="2">
      <formula>LEN(TRIM(D119))=0</formula>
    </cfRule>
  </conditionalFormatting>
  <conditionalFormatting sqref="F85:F95">
    <cfRule type="containsBlanks" dxfId="58" priority="4">
      <formula>LEN(TRIM(F85))=0</formula>
    </cfRule>
  </conditionalFormatting>
  <conditionalFormatting sqref="G109:J109 G110:H116 I110:J117 D117:H117">
    <cfRule type="containsBlanks" dxfId="57" priority="20">
      <formula>LEN(TRIM(D109))=0</formula>
    </cfRule>
  </conditionalFormatting>
  <conditionalFormatting sqref="I85:I95">
    <cfRule type="containsBlanks" dxfId="56" priority="73">
      <formula>LEN(TRIM(I85))=0</formula>
    </cfRule>
  </conditionalFormatting>
  <pageMargins left="0.35433070866141736" right="0.15748031496062992" top="0.39370078740157483" bottom="0.35433070866141736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2">
    <tabColor rgb="FFFFDDDD"/>
  </sheetPr>
  <dimension ref="A1:J123"/>
  <sheetViews>
    <sheetView showGridLines="0" topLeftCell="A63" zoomScaleNormal="100" zoomScalePageLayoutView="150" workbookViewId="0">
      <selection activeCell="A63" sqref="A63:H124"/>
    </sheetView>
  </sheetViews>
  <sheetFormatPr baseColWidth="10" defaultColWidth="11.42578125" defaultRowHeight="12.75" x14ac:dyDescent="0.25"/>
  <cols>
    <col min="1" max="1" width="7.7109375" style="38" customWidth="1"/>
    <col min="2" max="2" width="51.28515625" style="38" customWidth="1"/>
    <col min="3" max="4" width="6.85546875" style="38" customWidth="1"/>
    <col min="5" max="5" width="4.85546875" style="38" customWidth="1"/>
    <col min="6" max="7" width="6.85546875" style="38" customWidth="1"/>
    <col min="8" max="8" width="4.85546875" style="38" customWidth="1"/>
    <col min="9" max="9" width="11.42578125" style="38"/>
    <col min="10" max="10" width="11.42578125" style="128"/>
    <col min="11" max="16384" width="11.42578125" style="38"/>
  </cols>
  <sheetData>
    <row r="1" spans="1:8" ht="15" customHeight="1" x14ac:dyDescent="0.25">
      <c r="A1" s="82" t="s">
        <v>334</v>
      </c>
      <c r="B1" s="82"/>
      <c r="C1" s="82"/>
      <c r="D1" s="82"/>
      <c r="E1" s="82"/>
    </row>
    <row r="2" spans="1:8" ht="13.5" x14ac:dyDescent="0.25">
      <c r="A2" s="282" t="s">
        <v>58</v>
      </c>
      <c r="B2" s="282"/>
      <c r="C2" s="82"/>
      <c r="D2" s="82"/>
      <c r="E2" s="82"/>
    </row>
    <row r="3" spans="1:8" ht="5.0999999999999996" customHeight="1" x14ac:dyDescent="0.25">
      <c r="A3" s="48"/>
      <c r="B3" s="48"/>
      <c r="C3" s="48"/>
      <c r="D3" s="48"/>
      <c r="E3" s="48"/>
    </row>
    <row r="4" spans="1:8" ht="12" customHeight="1" x14ac:dyDescent="0.25">
      <c r="A4" s="280" t="s">
        <v>31</v>
      </c>
      <c r="B4" s="280" t="s">
        <v>4</v>
      </c>
      <c r="C4" s="278" t="s">
        <v>355</v>
      </c>
      <c r="D4" s="279"/>
      <c r="E4" s="174" t="s">
        <v>32</v>
      </c>
      <c r="F4" s="278" t="s">
        <v>220</v>
      </c>
      <c r="G4" s="279"/>
      <c r="H4" s="174" t="s">
        <v>32</v>
      </c>
    </row>
    <row r="5" spans="1:8" ht="12" customHeight="1" x14ac:dyDescent="0.25">
      <c r="A5" s="281"/>
      <c r="B5" s="281"/>
      <c r="C5" s="176">
        <v>2024</v>
      </c>
      <c r="D5" s="177" t="s">
        <v>315</v>
      </c>
      <c r="E5" s="175" t="s">
        <v>33</v>
      </c>
      <c r="F5" s="176">
        <v>2024</v>
      </c>
      <c r="G5" s="177" t="s">
        <v>315</v>
      </c>
      <c r="H5" s="178" t="s">
        <v>33</v>
      </c>
    </row>
    <row r="6" spans="1:8" ht="5.0999999999999996" customHeight="1" x14ac:dyDescent="0.25">
      <c r="A6" s="99"/>
      <c r="B6" s="99"/>
      <c r="C6" s="99"/>
      <c r="D6" s="99"/>
      <c r="E6" s="99"/>
      <c r="F6" s="66"/>
      <c r="G6" s="66"/>
      <c r="H6" s="99"/>
    </row>
    <row r="7" spans="1:8" ht="11.1" customHeight="1" x14ac:dyDescent="0.25">
      <c r="A7" s="95" t="s">
        <v>146</v>
      </c>
      <c r="B7" s="39" t="s">
        <v>266</v>
      </c>
      <c r="C7" s="133">
        <v>3368060.8859999999</v>
      </c>
      <c r="D7" s="133">
        <v>3854559.9950000001</v>
      </c>
      <c r="E7" s="157">
        <f>IFERROR(((D7/C7-1)),"")</f>
        <v>0.14444486767511489</v>
      </c>
      <c r="F7" s="133">
        <v>172895.54999999996</v>
      </c>
      <c r="G7" s="133">
        <v>386170.29</v>
      </c>
      <c r="H7" s="168">
        <f>IFERROR(((G7/F7-1)),"")</f>
        <v>1.2335467280679002</v>
      </c>
    </row>
    <row r="8" spans="1:8" ht="11.1" customHeight="1" x14ac:dyDescent="0.25">
      <c r="A8" s="95" t="s">
        <v>148</v>
      </c>
      <c r="B8" s="39" t="s">
        <v>277</v>
      </c>
      <c r="C8" s="133">
        <v>1313551.652</v>
      </c>
      <c r="D8" s="133">
        <v>1553371.3633889998</v>
      </c>
      <c r="E8" s="157">
        <f t="shared" ref="E8:E56" si="0">IFERROR(((D8/C8-1)),"")</f>
        <v>0.18257349151352575</v>
      </c>
      <c r="F8" s="133">
        <v>115273.69300000001</v>
      </c>
      <c r="G8" s="133">
        <v>170997.17378700001</v>
      </c>
      <c r="H8" s="168">
        <f t="shared" ref="H8:H57" si="1">IFERROR(((G8/F8-1)),"")</f>
        <v>0.48340154060128859</v>
      </c>
    </row>
    <row r="9" spans="1:8" ht="11.1" customHeight="1" x14ac:dyDescent="0.25">
      <c r="A9" s="95" t="s">
        <v>147</v>
      </c>
      <c r="B9" s="39" t="s">
        <v>197</v>
      </c>
      <c r="C9" s="133">
        <v>1659332.8699999996</v>
      </c>
      <c r="D9" s="133">
        <v>1685440.0060000001</v>
      </c>
      <c r="E9" s="157">
        <f t="shared" si="0"/>
        <v>1.5733513433022317E-2</v>
      </c>
      <c r="F9" s="133">
        <v>122330.36199999999</v>
      </c>
      <c r="G9" s="133">
        <v>73997.219864999992</v>
      </c>
      <c r="H9" s="168">
        <f t="shared" si="1"/>
        <v>-0.39510340151695134</v>
      </c>
    </row>
    <row r="10" spans="1:8" ht="11.1" customHeight="1" x14ac:dyDescent="0.25">
      <c r="A10" s="95" t="s">
        <v>149</v>
      </c>
      <c r="B10" s="39" t="s">
        <v>273</v>
      </c>
      <c r="C10" s="133">
        <v>399360.96100000001</v>
      </c>
      <c r="D10" s="133">
        <v>408996.50761299999</v>
      </c>
      <c r="E10" s="157">
        <f t="shared" si="0"/>
        <v>2.4127412426273587E-2</v>
      </c>
      <c r="F10" s="133">
        <v>41198.948000000004</v>
      </c>
      <c r="G10" s="133">
        <v>64318.899000000005</v>
      </c>
      <c r="H10" s="168">
        <f t="shared" si="1"/>
        <v>0.5611781883362652</v>
      </c>
    </row>
    <row r="11" spans="1:8" ht="11.1" customHeight="1" x14ac:dyDescent="0.25">
      <c r="A11" s="95" t="s">
        <v>153</v>
      </c>
      <c r="B11" s="39" t="s">
        <v>268</v>
      </c>
      <c r="C11" s="133">
        <v>96081.07482400001</v>
      </c>
      <c r="D11" s="133">
        <v>121993.73717699999</v>
      </c>
      <c r="E11" s="157">
        <f t="shared" si="0"/>
        <v>0.26969580014031314</v>
      </c>
      <c r="F11" s="133">
        <v>9584.9039499999999</v>
      </c>
      <c r="G11" s="133">
        <v>13513.598048</v>
      </c>
      <c r="H11" s="168">
        <f t="shared" si="1"/>
        <v>0.40988351249988275</v>
      </c>
    </row>
    <row r="12" spans="1:8" ht="11.1" customHeight="1" x14ac:dyDescent="0.25">
      <c r="A12" s="95" t="s">
        <v>155</v>
      </c>
      <c r="B12" s="39" t="s">
        <v>274</v>
      </c>
      <c r="C12" s="133">
        <v>126456.18384100001</v>
      </c>
      <c r="D12" s="133">
        <v>155982.579773</v>
      </c>
      <c r="E12" s="157">
        <f t="shared" si="0"/>
        <v>0.2334911194942042</v>
      </c>
      <c r="F12" s="133">
        <v>11413.606</v>
      </c>
      <c r="G12" s="133">
        <v>20061.684000000001</v>
      </c>
      <c r="H12" s="168">
        <f t="shared" si="1"/>
        <v>0.75769901291493702</v>
      </c>
    </row>
    <row r="13" spans="1:8" ht="11.1" customHeight="1" x14ac:dyDescent="0.25">
      <c r="A13" s="95" t="s">
        <v>151</v>
      </c>
      <c r="B13" s="39" t="s">
        <v>259</v>
      </c>
      <c r="C13" s="133">
        <v>16598.296299000001</v>
      </c>
      <c r="D13" s="133">
        <v>18119.090465000001</v>
      </c>
      <c r="E13" s="157">
        <f t="shared" si="0"/>
        <v>9.1623509943705717E-2</v>
      </c>
      <c r="F13" s="133">
        <v>1548.4756149999998</v>
      </c>
      <c r="G13" s="133">
        <v>1662.2878320000002</v>
      </c>
      <c r="H13" s="168">
        <f t="shared" si="1"/>
        <v>7.3499521656981592E-2</v>
      </c>
    </row>
    <row r="14" spans="1:8" ht="11.1" customHeight="1" x14ac:dyDescent="0.25">
      <c r="A14" s="95" t="s">
        <v>35</v>
      </c>
      <c r="B14" s="39" t="s">
        <v>278</v>
      </c>
      <c r="C14" s="133">
        <v>52712.239779000003</v>
      </c>
      <c r="D14" s="133">
        <v>62722.143871999993</v>
      </c>
      <c r="E14" s="157">
        <f t="shared" si="0"/>
        <v>0.18989714978849803</v>
      </c>
      <c r="F14" s="133">
        <v>4683.3686820000003</v>
      </c>
      <c r="G14" s="133">
        <v>7298.4305049999994</v>
      </c>
      <c r="H14" s="168">
        <f t="shared" si="1"/>
        <v>0.55837197550786355</v>
      </c>
    </row>
    <row r="15" spans="1:8" ht="33" customHeight="1" x14ac:dyDescent="0.25">
      <c r="A15" s="95" t="s">
        <v>152</v>
      </c>
      <c r="B15" s="39" t="s">
        <v>275</v>
      </c>
      <c r="C15" s="133">
        <v>23021.469000000001</v>
      </c>
      <c r="D15" s="133">
        <v>23390.008000000002</v>
      </c>
      <c r="E15" s="157">
        <f t="shared" si="0"/>
        <v>1.6008491899452748E-2</v>
      </c>
      <c r="F15" s="133">
        <v>2397.16</v>
      </c>
      <c r="G15" s="133">
        <v>999.35</v>
      </c>
      <c r="H15" s="168">
        <f t="shared" si="1"/>
        <v>-0.58311084783660661</v>
      </c>
    </row>
    <row r="16" spans="1:8" ht="11.1" customHeight="1" x14ac:dyDescent="0.25">
      <c r="A16" s="95" t="s">
        <v>34</v>
      </c>
      <c r="B16" s="39" t="s">
        <v>283</v>
      </c>
      <c r="C16" s="133">
        <v>110026.784614</v>
      </c>
      <c r="D16" s="133">
        <v>134864.77356199999</v>
      </c>
      <c r="E16" s="157">
        <f t="shared" si="0"/>
        <v>0.22574493142862928</v>
      </c>
      <c r="F16" s="133">
        <v>16662.356</v>
      </c>
      <c r="G16" s="133">
        <v>12692.329100000001</v>
      </c>
      <c r="H16" s="168">
        <f t="shared" si="1"/>
        <v>-0.23826323840398078</v>
      </c>
    </row>
    <row r="17" spans="1:8" ht="11.1" customHeight="1" x14ac:dyDescent="0.25">
      <c r="A17" s="95" t="s">
        <v>150</v>
      </c>
      <c r="B17" s="39" t="s">
        <v>224</v>
      </c>
      <c r="C17" s="133">
        <v>195384.55000000005</v>
      </c>
      <c r="D17" s="133">
        <v>195242.04800000001</v>
      </c>
      <c r="E17" s="157">
        <f t="shared" si="0"/>
        <v>-7.2934118895295885E-4</v>
      </c>
      <c r="F17" s="133">
        <v>38628.259999999995</v>
      </c>
      <c r="G17" s="133">
        <v>36587.58</v>
      </c>
      <c r="H17" s="168">
        <f t="shared" si="1"/>
        <v>-5.282868034956778E-2</v>
      </c>
    </row>
    <row r="18" spans="1:8" ht="11.1" customHeight="1" x14ac:dyDescent="0.25">
      <c r="A18" s="95" t="s">
        <v>189</v>
      </c>
      <c r="B18" s="39" t="s">
        <v>286</v>
      </c>
      <c r="C18" s="133">
        <v>53803.664172999997</v>
      </c>
      <c r="D18" s="133">
        <v>106407.68611000001</v>
      </c>
      <c r="E18" s="157">
        <f t="shared" si="0"/>
        <v>0.977703335740431</v>
      </c>
      <c r="F18" s="133">
        <v>11528.782877</v>
      </c>
      <c r="G18" s="133">
        <v>18850.428953999999</v>
      </c>
      <c r="H18" s="168">
        <f t="shared" si="1"/>
        <v>0.63507537223263455</v>
      </c>
    </row>
    <row r="19" spans="1:8" ht="11.1" customHeight="1" x14ac:dyDescent="0.25">
      <c r="A19" s="95" t="s">
        <v>66</v>
      </c>
      <c r="B19" s="39" t="s">
        <v>240</v>
      </c>
      <c r="C19" s="133">
        <v>179744.90280000001</v>
      </c>
      <c r="D19" s="133">
        <v>129335.333807</v>
      </c>
      <c r="E19" s="157">
        <f t="shared" si="0"/>
        <v>-0.28045061755709499</v>
      </c>
      <c r="F19" s="133">
        <v>19500.712000000003</v>
      </c>
      <c r="G19" s="133">
        <v>17650.102999999999</v>
      </c>
      <c r="H19" s="168">
        <f t="shared" si="1"/>
        <v>-9.4899560590403276E-2</v>
      </c>
    </row>
    <row r="20" spans="1:8" ht="21.95" customHeight="1" x14ac:dyDescent="0.25">
      <c r="A20" s="95" t="s">
        <v>154</v>
      </c>
      <c r="B20" s="39" t="s">
        <v>270</v>
      </c>
      <c r="C20" s="133">
        <v>19765.411800000002</v>
      </c>
      <c r="D20" s="133">
        <v>23213.571764</v>
      </c>
      <c r="E20" s="157">
        <f t="shared" si="0"/>
        <v>0.17445424354882388</v>
      </c>
      <c r="F20" s="133">
        <v>2074.2000000000003</v>
      </c>
      <c r="G20" s="133">
        <v>1455.42</v>
      </c>
      <c r="H20" s="168">
        <f t="shared" si="1"/>
        <v>-0.29832224472085633</v>
      </c>
    </row>
    <row r="21" spans="1:8" ht="11.1" customHeight="1" x14ac:dyDescent="0.25">
      <c r="A21" s="95" t="s">
        <v>160</v>
      </c>
      <c r="B21" s="39" t="s">
        <v>272</v>
      </c>
      <c r="C21" s="133">
        <v>3410.7436939999998</v>
      </c>
      <c r="D21" s="133">
        <v>3666.096614</v>
      </c>
      <c r="E21" s="157">
        <f t="shared" si="0"/>
        <v>7.4867226302933076E-2</v>
      </c>
      <c r="F21" s="133">
        <v>379.33460399999996</v>
      </c>
      <c r="G21" s="133">
        <v>409.38863500000002</v>
      </c>
      <c r="H21" s="168">
        <f t="shared" si="1"/>
        <v>7.9228287330201042E-2</v>
      </c>
    </row>
    <row r="22" spans="1:8" ht="11.1" customHeight="1" x14ac:dyDescent="0.25">
      <c r="A22" s="95" t="s">
        <v>117</v>
      </c>
      <c r="B22" s="39" t="s">
        <v>281</v>
      </c>
      <c r="C22" s="133">
        <v>20350.517994000002</v>
      </c>
      <c r="D22" s="133">
        <v>22771.172816000002</v>
      </c>
      <c r="E22" s="157">
        <f t="shared" si="0"/>
        <v>0.11894806917021428</v>
      </c>
      <c r="F22" s="133">
        <v>2644.7590240000004</v>
      </c>
      <c r="G22" s="133">
        <v>2116.4482909999997</v>
      </c>
      <c r="H22" s="168">
        <f t="shared" si="1"/>
        <v>-0.19975760672553455</v>
      </c>
    </row>
    <row r="23" spans="1:8" ht="11.1" customHeight="1" x14ac:dyDescent="0.25">
      <c r="A23" s="95" t="s">
        <v>157</v>
      </c>
      <c r="B23" s="39" t="s">
        <v>215</v>
      </c>
      <c r="C23" s="133">
        <v>45397.825999999994</v>
      </c>
      <c r="D23" s="133">
        <v>58097.062470000004</v>
      </c>
      <c r="E23" s="157">
        <f t="shared" si="0"/>
        <v>0.27973226008663965</v>
      </c>
      <c r="F23" s="133">
        <v>4005.9519999999998</v>
      </c>
      <c r="G23" s="133">
        <v>3290.9515000000001</v>
      </c>
      <c r="H23" s="168">
        <f t="shared" si="1"/>
        <v>-0.17848454000447322</v>
      </c>
    </row>
    <row r="24" spans="1:8" ht="11.1" customHeight="1" x14ac:dyDescent="0.25">
      <c r="A24" s="95" t="s">
        <v>166</v>
      </c>
      <c r="B24" s="39" t="s">
        <v>328</v>
      </c>
      <c r="C24" s="133">
        <v>36874.798315</v>
      </c>
      <c r="D24" s="133">
        <v>29925.268796000004</v>
      </c>
      <c r="E24" s="157">
        <f t="shared" si="0"/>
        <v>-0.18846284824758086</v>
      </c>
      <c r="F24" s="133">
        <v>4022.2349320000008</v>
      </c>
      <c r="G24" s="133">
        <v>5339.8401600000007</v>
      </c>
      <c r="H24" s="168">
        <f t="shared" si="1"/>
        <v>0.32758037515845428</v>
      </c>
    </row>
    <row r="25" spans="1:8" ht="11.1" customHeight="1" x14ac:dyDescent="0.25">
      <c r="A25" s="95" t="s">
        <v>198</v>
      </c>
      <c r="B25" s="39" t="s">
        <v>312</v>
      </c>
      <c r="C25" s="133" t="s">
        <v>351</v>
      </c>
      <c r="D25" s="133">
        <v>51934.047999999995</v>
      </c>
      <c r="E25" s="133" t="s">
        <v>351</v>
      </c>
      <c r="F25" s="133" t="s">
        <v>351</v>
      </c>
      <c r="G25" s="133" t="s">
        <v>351</v>
      </c>
      <c r="H25" s="133" t="s">
        <v>351</v>
      </c>
    </row>
    <row r="26" spans="1:8" ht="11.1" customHeight="1" x14ac:dyDescent="0.25">
      <c r="A26" s="95" t="s">
        <v>159</v>
      </c>
      <c r="B26" s="39" t="s">
        <v>214</v>
      </c>
      <c r="C26" s="133">
        <v>33918.478389999997</v>
      </c>
      <c r="D26" s="133">
        <v>34924.167699999998</v>
      </c>
      <c r="E26" s="157">
        <f t="shared" si="0"/>
        <v>2.9650189446484898E-2</v>
      </c>
      <c r="F26" s="133">
        <v>4203.5937000000004</v>
      </c>
      <c r="G26" s="133">
        <v>4409.9528999999993</v>
      </c>
      <c r="H26" s="168">
        <f t="shared" si="1"/>
        <v>4.9091138375242815E-2</v>
      </c>
    </row>
    <row r="27" spans="1:8" ht="11.1" customHeight="1" x14ac:dyDescent="0.25">
      <c r="A27" s="95" t="s">
        <v>116</v>
      </c>
      <c r="B27" s="39" t="s">
        <v>250</v>
      </c>
      <c r="C27" s="133">
        <v>2111.5652640000003</v>
      </c>
      <c r="D27" s="133">
        <v>2119.2811579999998</v>
      </c>
      <c r="E27" s="157">
        <f t="shared" si="0"/>
        <v>3.6541110670589294E-3</v>
      </c>
      <c r="F27" s="133">
        <v>144.69486899999995</v>
      </c>
      <c r="G27" s="133">
        <v>305.99359500000003</v>
      </c>
      <c r="H27" s="168">
        <f t="shared" si="1"/>
        <v>1.1147508347376167</v>
      </c>
    </row>
    <row r="28" spans="1:8" ht="21.95" customHeight="1" x14ac:dyDescent="0.25">
      <c r="A28" s="95" t="s">
        <v>161</v>
      </c>
      <c r="B28" s="39" t="s">
        <v>287</v>
      </c>
      <c r="C28" s="133">
        <v>19145.795700000002</v>
      </c>
      <c r="D28" s="133">
        <v>23079.000302999997</v>
      </c>
      <c r="E28" s="157">
        <f t="shared" si="0"/>
        <v>0.20543437654043251</v>
      </c>
      <c r="F28" s="133">
        <v>2126.4070000000002</v>
      </c>
      <c r="G28" s="133">
        <v>468.82838800000002</v>
      </c>
      <c r="H28" s="168">
        <f t="shared" si="1"/>
        <v>-0.77952085936511684</v>
      </c>
    </row>
    <row r="29" spans="1:8" ht="11.1" customHeight="1" x14ac:dyDescent="0.25">
      <c r="A29" s="95" t="s">
        <v>171</v>
      </c>
      <c r="B29" s="39" t="s">
        <v>269</v>
      </c>
      <c r="C29" s="133">
        <v>89048.432283999995</v>
      </c>
      <c r="D29" s="133">
        <v>99720.329310999994</v>
      </c>
      <c r="E29" s="157">
        <f t="shared" si="0"/>
        <v>0.11984373843847562</v>
      </c>
      <c r="F29" s="133">
        <v>5779.792684</v>
      </c>
      <c r="G29" s="133">
        <v>11441.625</v>
      </c>
      <c r="H29" s="168">
        <f t="shared" si="1"/>
        <v>0.9795908998039764</v>
      </c>
    </row>
    <row r="30" spans="1:8" ht="11.1" customHeight="1" x14ac:dyDescent="0.25">
      <c r="A30" s="95" t="s">
        <v>173</v>
      </c>
      <c r="B30" s="39" t="s">
        <v>256</v>
      </c>
      <c r="C30" s="133">
        <v>13911.479727999998</v>
      </c>
      <c r="D30" s="133">
        <v>15079.352563999999</v>
      </c>
      <c r="E30" s="157">
        <f t="shared" si="0"/>
        <v>8.3950295643201223E-2</v>
      </c>
      <c r="F30" s="133">
        <v>1630.8223269999999</v>
      </c>
      <c r="G30" s="133">
        <v>1987.340731</v>
      </c>
      <c r="H30" s="168">
        <f t="shared" si="1"/>
        <v>0.21861265822613429</v>
      </c>
    </row>
    <row r="31" spans="1:8" ht="11.1" customHeight="1" x14ac:dyDescent="0.25">
      <c r="A31" s="95" t="s">
        <v>113</v>
      </c>
      <c r="B31" s="39" t="s">
        <v>252</v>
      </c>
      <c r="C31" s="133">
        <v>8501.7373149999985</v>
      </c>
      <c r="D31" s="133">
        <v>5343.6677530000006</v>
      </c>
      <c r="E31" s="157">
        <f t="shared" si="0"/>
        <v>-0.37146167247817374</v>
      </c>
      <c r="F31" s="133">
        <v>939.40318800000011</v>
      </c>
      <c r="G31" s="133">
        <v>538.99046299999998</v>
      </c>
      <c r="H31" s="168">
        <f t="shared" si="1"/>
        <v>-0.42624160755988416</v>
      </c>
    </row>
    <row r="32" spans="1:8" ht="11.1" customHeight="1" x14ac:dyDescent="0.25">
      <c r="A32" s="95" t="s">
        <v>164</v>
      </c>
      <c r="B32" s="39" t="s">
        <v>290</v>
      </c>
      <c r="C32" s="133">
        <v>44112.583257999999</v>
      </c>
      <c r="D32" s="133">
        <v>62982.558349999999</v>
      </c>
      <c r="E32" s="157">
        <f t="shared" si="0"/>
        <v>0.42776853447089502</v>
      </c>
      <c r="F32" s="133">
        <v>7608.2360200000003</v>
      </c>
      <c r="G32" s="133">
        <v>10178.916169999999</v>
      </c>
      <c r="H32" s="168">
        <f t="shared" si="1"/>
        <v>0.33788123071397536</v>
      </c>
    </row>
    <row r="33" spans="1:8" ht="11.1" customHeight="1" x14ac:dyDescent="0.25">
      <c r="A33" s="95" t="s">
        <v>191</v>
      </c>
      <c r="B33" s="39" t="s">
        <v>288</v>
      </c>
      <c r="C33" s="133">
        <v>3512.8626359999998</v>
      </c>
      <c r="D33" s="133">
        <v>10477.598236999998</v>
      </c>
      <c r="E33" s="157">
        <f t="shared" si="0"/>
        <v>1.9826381850588248</v>
      </c>
      <c r="F33" s="133">
        <v>523.18000000000006</v>
      </c>
      <c r="G33" s="133">
        <v>537.52800000000002</v>
      </c>
      <c r="H33" s="168">
        <f t="shared" si="1"/>
        <v>2.7424595741427416E-2</v>
      </c>
    </row>
    <row r="34" spans="1:8" ht="11.1" customHeight="1" x14ac:dyDescent="0.25">
      <c r="A34" s="95" t="s">
        <v>163</v>
      </c>
      <c r="B34" s="39" t="s">
        <v>285</v>
      </c>
      <c r="C34" s="133">
        <v>17884.955531999996</v>
      </c>
      <c r="D34" s="133">
        <v>17583.397702000002</v>
      </c>
      <c r="E34" s="157">
        <f t="shared" si="0"/>
        <v>-1.6860977342685768E-2</v>
      </c>
      <c r="F34" s="133">
        <v>2478.9607310000001</v>
      </c>
      <c r="G34" s="133">
        <v>1374.4455209999999</v>
      </c>
      <c r="H34" s="168">
        <f t="shared" si="1"/>
        <v>-0.44555575091923483</v>
      </c>
    </row>
    <row r="35" spans="1:8" ht="11.1" customHeight="1" x14ac:dyDescent="0.25">
      <c r="A35" s="95" t="s">
        <v>187</v>
      </c>
      <c r="B35" s="39" t="s">
        <v>271</v>
      </c>
      <c r="C35" s="133">
        <v>22136.260406999998</v>
      </c>
      <c r="D35" s="133">
        <v>24217.543796000002</v>
      </c>
      <c r="E35" s="157">
        <f t="shared" si="0"/>
        <v>9.4021453973402558E-2</v>
      </c>
      <c r="F35" s="133">
        <v>2838.6640609999999</v>
      </c>
      <c r="G35" s="133">
        <v>2800.2855729999997</v>
      </c>
      <c r="H35" s="168">
        <f t="shared" si="1"/>
        <v>-1.3519911893512426E-2</v>
      </c>
    </row>
    <row r="36" spans="1:8" ht="11.1" customHeight="1" x14ac:dyDescent="0.25">
      <c r="A36" s="95" t="s">
        <v>192</v>
      </c>
      <c r="B36" s="39" t="s">
        <v>265</v>
      </c>
      <c r="C36" s="133">
        <v>2261.8771409999999</v>
      </c>
      <c r="D36" s="133">
        <v>2496.265926</v>
      </c>
      <c r="E36" s="157">
        <f>IFERROR(((D36/C36-1)),"")</f>
        <v>0.10362578088409102</v>
      </c>
      <c r="F36" s="133">
        <v>251.23279999999997</v>
      </c>
      <c r="G36" s="133">
        <v>402.29877899999997</v>
      </c>
      <c r="H36" s="168">
        <f t="shared" si="1"/>
        <v>0.6012987913998491</v>
      </c>
    </row>
    <row r="37" spans="1:8" ht="11.1" customHeight="1" x14ac:dyDescent="0.25">
      <c r="A37" s="95" t="s">
        <v>158</v>
      </c>
      <c r="B37" s="39" t="s">
        <v>325</v>
      </c>
      <c r="C37" s="133">
        <v>78680.376999999993</v>
      </c>
      <c r="D37" s="133">
        <v>100332.49600000001</v>
      </c>
      <c r="E37" s="157">
        <f t="shared" si="0"/>
        <v>0.27519083951516943</v>
      </c>
      <c r="F37" s="133">
        <v>300</v>
      </c>
      <c r="G37" s="133">
        <v>2309.85</v>
      </c>
      <c r="H37" s="168">
        <f t="shared" si="1"/>
        <v>6.6994999999999996</v>
      </c>
    </row>
    <row r="38" spans="1:8" ht="11.1" customHeight="1" x14ac:dyDescent="0.25">
      <c r="A38" s="95" t="s">
        <v>136</v>
      </c>
      <c r="B38" s="39" t="s">
        <v>257</v>
      </c>
      <c r="C38" s="133">
        <v>18777.556808999998</v>
      </c>
      <c r="D38" s="133">
        <v>23743.059192000001</v>
      </c>
      <c r="E38" s="157">
        <f t="shared" si="0"/>
        <v>0.26443814994185288</v>
      </c>
      <c r="F38" s="133">
        <v>966.95406199999991</v>
      </c>
      <c r="G38" s="133">
        <v>2595.5141209999997</v>
      </c>
      <c r="H38" s="168">
        <f t="shared" si="1"/>
        <v>1.6842165755336573</v>
      </c>
    </row>
    <row r="39" spans="1:8" ht="11.1" customHeight="1" x14ac:dyDescent="0.25">
      <c r="A39" s="95" t="s">
        <v>156</v>
      </c>
      <c r="B39" s="39" t="s">
        <v>329</v>
      </c>
      <c r="C39" s="133">
        <v>4262.6400000000003</v>
      </c>
      <c r="D39" s="133">
        <v>4592.54</v>
      </c>
      <c r="E39" s="157">
        <f t="shared" si="0"/>
        <v>7.7393352476399446E-2</v>
      </c>
      <c r="F39" s="133">
        <v>613.20000000000005</v>
      </c>
      <c r="G39" s="133">
        <v>17.48</v>
      </c>
      <c r="H39" s="168">
        <f t="shared" si="1"/>
        <v>-0.97149380300065236</v>
      </c>
    </row>
    <row r="40" spans="1:8" ht="11.1" customHeight="1" x14ac:dyDescent="0.25">
      <c r="A40" s="95" t="s">
        <v>165</v>
      </c>
      <c r="B40" s="39" t="s">
        <v>264</v>
      </c>
      <c r="C40" s="133">
        <v>95926.209999999992</v>
      </c>
      <c r="D40" s="133">
        <v>101400.78839999999</v>
      </c>
      <c r="E40" s="157">
        <f t="shared" si="0"/>
        <v>5.7070725508700848E-2</v>
      </c>
      <c r="F40" s="133" t="s">
        <v>351</v>
      </c>
      <c r="G40" s="133" t="s">
        <v>351</v>
      </c>
      <c r="H40" s="133" t="s">
        <v>351</v>
      </c>
    </row>
    <row r="41" spans="1:8" ht="21.95" customHeight="1" x14ac:dyDescent="0.25">
      <c r="A41" s="95" t="s">
        <v>109</v>
      </c>
      <c r="B41" s="39" t="s">
        <v>248</v>
      </c>
      <c r="C41" s="133">
        <v>1762.1382440000002</v>
      </c>
      <c r="D41" s="133">
        <v>1839.7310189999998</v>
      </c>
      <c r="E41" s="157">
        <f t="shared" si="0"/>
        <v>4.4033307411719624E-2</v>
      </c>
      <c r="F41" s="133">
        <v>199.37670599999996</v>
      </c>
      <c r="G41" s="133">
        <v>218.903009</v>
      </c>
      <c r="H41" s="168">
        <f t="shared" si="1"/>
        <v>9.7936731886823614E-2</v>
      </c>
    </row>
    <row r="42" spans="1:8" ht="21.95" customHeight="1" x14ac:dyDescent="0.25">
      <c r="A42" s="95" t="s">
        <v>167</v>
      </c>
      <c r="B42" s="39" t="s">
        <v>261</v>
      </c>
      <c r="C42" s="133">
        <v>7617.2318319999995</v>
      </c>
      <c r="D42" s="133">
        <v>7392.9725900000012</v>
      </c>
      <c r="E42" s="157">
        <f t="shared" si="0"/>
        <v>-2.9441041961974279E-2</v>
      </c>
      <c r="F42" s="133">
        <v>1045.3708179999999</v>
      </c>
      <c r="G42" s="133">
        <v>772.53246899999999</v>
      </c>
      <c r="H42" s="168">
        <f t="shared" si="1"/>
        <v>-0.26099671456487883</v>
      </c>
    </row>
    <row r="43" spans="1:8" ht="21.95" customHeight="1" x14ac:dyDescent="0.25">
      <c r="A43" s="95" t="s">
        <v>172</v>
      </c>
      <c r="B43" s="39" t="s">
        <v>293</v>
      </c>
      <c r="C43" s="133">
        <v>11311.336806000001</v>
      </c>
      <c r="D43" s="133">
        <v>16968.522074</v>
      </c>
      <c r="E43" s="157">
        <f t="shared" si="0"/>
        <v>0.50013410130261482</v>
      </c>
      <c r="F43" s="133">
        <v>1746.914906</v>
      </c>
      <c r="G43" s="133">
        <v>939.73649999999998</v>
      </c>
      <c r="H43" s="168">
        <f t="shared" si="1"/>
        <v>-0.46205937291372567</v>
      </c>
    </row>
    <row r="44" spans="1:8" ht="11.1" customHeight="1" x14ac:dyDescent="0.25">
      <c r="A44" s="95" t="s">
        <v>186</v>
      </c>
      <c r="B44" s="39" t="s">
        <v>267</v>
      </c>
      <c r="C44" s="133">
        <v>23137.703477999996</v>
      </c>
      <c r="D44" s="133">
        <v>22256.027127999998</v>
      </c>
      <c r="E44" s="157">
        <f t="shared" si="0"/>
        <v>-3.8105611943653805E-2</v>
      </c>
      <c r="F44" s="133">
        <v>1877.0723599999999</v>
      </c>
      <c r="G44" s="133">
        <v>1363.1722300000001</v>
      </c>
      <c r="H44" s="168">
        <f t="shared" si="1"/>
        <v>-0.27377747440700673</v>
      </c>
    </row>
    <row r="45" spans="1:8" ht="21.95" customHeight="1" x14ac:dyDescent="0.25">
      <c r="A45" s="95" t="s">
        <v>137</v>
      </c>
      <c r="B45" s="39" t="s">
        <v>258</v>
      </c>
      <c r="C45" s="133">
        <v>9095.7959100000007</v>
      </c>
      <c r="D45" s="133">
        <v>11729.545152999999</v>
      </c>
      <c r="E45" s="157">
        <f t="shared" si="0"/>
        <v>0.28955676546177012</v>
      </c>
      <c r="F45" s="133">
        <v>1194.2040939999997</v>
      </c>
      <c r="G45" s="133">
        <v>1453.3358299999998</v>
      </c>
      <c r="H45" s="168">
        <f t="shared" si="1"/>
        <v>0.21699116365615145</v>
      </c>
    </row>
    <row r="46" spans="1:8" ht="11.1" customHeight="1" x14ac:dyDescent="0.25">
      <c r="A46" s="95" t="s">
        <v>162</v>
      </c>
      <c r="B46" s="39" t="s">
        <v>324</v>
      </c>
      <c r="C46" s="133">
        <v>417.25514000000004</v>
      </c>
      <c r="D46" s="133">
        <v>647.31125999999995</v>
      </c>
      <c r="E46" s="157">
        <f t="shared" si="0"/>
        <v>0.55135598808920583</v>
      </c>
      <c r="F46" s="133">
        <v>92.19932</v>
      </c>
      <c r="G46" s="133">
        <v>25.508400000000002</v>
      </c>
      <c r="H46" s="168">
        <f t="shared" si="1"/>
        <v>-0.72333418511112657</v>
      </c>
    </row>
    <row r="47" spans="1:8" ht="11.1" customHeight="1" x14ac:dyDescent="0.25">
      <c r="A47" s="95" t="s">
        <v>170</v>
      </c>
      <c r="B47" s="39" t="s">
        <v>284</v>
      </c>
      <c r="C47" s="133">
        <v>2880.3575619999997</v>
      </c>
      <c r="D47" s="133">
        <v>3963.2380869999997</v>
      </c>
      <c r="E47" s="157">
        <f t="shared" si="0"/>
        <v>0.37595350635845826</v>
      </c>
      <c r="F47" s="133">
        <v>301.43615</v>
      </c>
      <c r="G47" s="133">
        <v>355.59724599999998</v>
      </c>
      <c r="H47" s="168">
        <f t="shared" si="1"/>
        <v>0.17967684366987835</v>
      </c>
    </row>
    <row r="48" spans="1:8" ht="11.1" customHeight="1" x14ac:dyDescent="0.25">
      <c r="A48" s="95" t="s">
        <v>196</v>
      </c>
      <c r="B48" s="39" t="s">
        <v>276</v>
      </c>
      <c r="C48" s="133">
        <v>28094.089999999997</v>
      </c>
      <c r="D48" s="133">
        <v>20535.929</v>
      </c>
      <c r="E48" s="157">
        <f t="shared" si="0"/>
        <v>-0.26903028359345316</v>
      </c>
      <c r="F48" s="133">
        <v>4599.67</v>
      </c>
      <c r="G48" s="133">
        <v>3489.68</v>
      </c>
      <c r="H48" s="168">
        <f t="shared" si="1"/>
        <v>-0.24131948596312347</v>
      </c>
    </row>
    <row r="49" spans="1:8" ht="11.1" customHeight="1" x14ac:dyDescent="0.25">
      <c r="A49" s="95" t="s">
        <v>65</v>
      </c>
      <c r="B49" s="248" t="s">
        <v>263</v>
      </c>
      <c r="C49" s="133">
        <v>71492.058810000002</v>
      </c>
      <c r="D49" s="133">
        <v>48129.501879000003</v>
      </c>
      <c r="E49" s="157">
        <f t="shared" si="0"/>
        <v>-0.32678534259433223</v>
      </c>
      <c r="F49" s="133">
        <v>4695.6100339999994</v>
      </c>
      <c r="G49" s="133">
        <v>4325</v>
      </c>
      <c r="H49" s="168">
        <f t="shared" si="1"/>
        <v>-7.892691925361861E-2</v>
      </c>
    </row>
    <row r="50" spans="1:8" ht="11.1" customHeight="1" x14ac:dyDescent="0.25">
      <c r="A50" s="95" t="s">
        <v>185</v>
      </c>
      <c r="B50" s="39" t="s">
        <v>262</v>
      </c>
      <c r="C50" s="133">
        <v>23800.222780000004</v>
      </c>
      <c r="D50" s="133">
        <v>29580.159200000002</v>
      </c>
      <c r="E50" s="157">
        <f t="shared" si="0"/>
        <v>0.24285219820954951</v>
      </c>
      <c r="F50" s="133">
        <v>3149.8620000000001</v>
      </c>
      <c r="G50" s="133">
        <v>2845.3980000000001</v>
      </c>
      <c r="H50" s="168">
        <f t="shared" si="1"/>
        <v>-9.6659472700708737E-2</v>
      </c>
    </row>
    <row r="51" spans="1:8" ht="11.1" customHeight="1" x14ac:dyDescent="0.25">
      <c r="A51" s="95" t="s">
        <v>190</v>
      </c>
      <c r="B51" s="39" t="s">
        <v>330</v>
      </c>
      <c r="C51" s="133">
        <v>11121.857977000001</v>
      </c>
      <c r="D51" s="133">
        <v>11055.995787000002</v>
      </c>
      <c r="E51" s="157">
        <f t="shared" si="0"/>
        <v>-5.9218693617741902E-3</v>
      </c>
      <c r="F51" s="133">
        <v>1441.3580919999999</v>
      </c>
      <c r="G51" s="133">
        <v>910.23631400000011</v>
      </c>
      <c r="H51" s="168">
        <f t="shared" si="1"/>
        <v>-0.3684870407623867</v>
      </c>
    </row>
    <row r="52" spans="1:8" ht="11.1" customHeight="1" x14ac:dyDescent="0.25">
      <c r="A52" s="95" t="s">
        <v>174</v>
      </c>
      <c r="B52" s="39" t="s">
        <v>323</v>
      </c>
      <c r="C52" s="133">
        <v>23462.847879000001</v>
      </c>
      <c r="D52" s="133">
        <v>20946.382191000001</v>
      </c>
      <c r="E52" s="157">
        <f t="shared" si="0"/>
        <v>-0.10725320732494359</v>
      </c>
      <c r="F52" s="133">
        <v>2785.4085000000005</v>
      </c>
      <c r="G52" s="133">
        <v>2906.8049999999998</v>
      </c>
      <c r="H52" s="168">
        <f t="shared" si="1"/>
        <v>4.3583014843244561E-2</v>
      </c>
    </row>
    <row r="53" spans="1:8" ht="11.1" customHeight="1" x14ac:dyDescent="0.25">
      <c r="A53" s="95" t="s">
        <v>168</v>
      </c>
      <c r="B53" s="39" t="s">
        <v>216</v>
      </c>
      <c r="C53" s="133">
        <v>20498.154620000005</v>
      </c>
      <c r="D53" s="133">
        <v>26192.294999999998</v>
      </c>
      <c r="E53" s="157">
        <f t="shared" si="0"/>
        <v>0.27778795143072221</v>
      </c>
      <c r="F53" s="133">
        <v>2191.2740000000003</v>
      </c>
      <c r="G53" s="133">
        <v>2733.6509999999998</v>
      </c>
      <c r="H53" s="168">
        <f t="shared" si="1"/>
        <v>0.24751674140248969</v>
      </c>
    </row>
    <row r="54" spans="1:8" ht="11.1" customHeight="1" x14ac:dyDescent="0.25">
      <c r="A54" s="95" t="s">
        <v>111</v>
      </c>
      <c r="B54" s="39" t="s">
        <v>247</v>
      </c>
      <c r="C54" s="133">
        <v>2622.47451</v>
      </c>
      <c r="D54" s="133">
        <v>2821.0447869999994</v>
      </c>
      <c r="E54" s="157">
        <f t="shared" si="0"/>
        <v>7.5718668091076857E-2</v>
      </c>
      <c r="F54" s="133">
        <v>195.99499999999998</v>
      </c>
      <c r="G54" s="133">
        <v>76.268000000000001</v>
      </c>
      <c r="H54" s="168">
        <f t="shared" si="1"/>
        <v>-0.61086762417408602</v>
      </c>
    </row>
    <row r="55" spans="1:8" ht="11.1" customHeight="1" x14ac:dyDescent="0.25">
      <c r="A55" s="95" t="s">
        <v>138</v>
      </c>
      <c r="B55" s="39" t="s">
        <v>260</v>
      </c>
      <c r="C55" s="133">
        <v>7541.6171029999987</v>
      </c>
      <c r="D55" s="133">
        <v>4919.2039330000007</v>
      </c>
      <c r="E55" s="157">
        <f t="shared" si="0"/>
        <v>-0.34772557850448571</v>
      </c>
      <c r="F55" s="133">
        <v>702.80399299999999</v>
      </c>
      <c r="G55" s="133">
        <v>624.15886499999988</v>
      </c>
      <c r="H55" s="168">
        <f t="shared" si="1"/>
        <v>-0.11190193678936611</v>
      </c>
    </row>
    <row r="56" spans="1:8" ht="11.1" customHeight="1" x14ac:dyDescent="0.25">
      <c r="A56" s="95" t="s">
        <v>188</v>
      </c>
      <c r="B56" s="39" t="s">
        <v>212</v>
      </c>
      <c r="C56" s="133">
        <v>5980.7242000000006</v>
      </c>
      <c r="D56" s="133">
        <v>7567.9180199999992</v>
      </c>
      <c r="E56" s="157">
        <f t="shared" si="0"/>
        <v>0.26538488766962343</v>
      </c>
      <c r="F56" s="133">
        <v>1014.19</v>
      </c>
      <c r="G56" s="133">
        <v>883.03989999999999</v>
      </c>
      <c r="H56" s="168">
        <f t="shared" si="1"/>
        <v>-0.12931511846892596</v>
      </c>
    </row>
    <row r="57" spans="1:8" ht="11.1" customHeight="1" x14ac:dyDescent="0.25">
      <c r="A57" s="154"/>
      <c r="B57" s="154" t="s">
        <v>18</v>
      </c>
      <c r="C57" s="134">
        <v>703107.96936000045</v>
      </c>
      <c r="D57" s="134">
        <v>699629.09953500004</v>
      </c>
      <c r="E57" s="161">
        <f>IFERROR(((D57/C57-1)),"")</f>
        <v>-4.9478458168622508E-3</v>
      </c>
      <c r="F57" s="134">
        <v>69768.640330000009</v>
      </c>
      <c r="G57" s="134">
        <v>83002.004780999865</v>
      </c>
      <c r="H57" s="169">
        <f t="shared" si="1"/>
        <v>0.18967496554909369</v>
      </c>
    </row>
    <row r="58" spans="1:8" ht="9" customHeight="1" x14ac:dyDescent="0.25">
      <c r="A58" s="8" t="s">
        <v>44</v>
      </c>
      <c r="B58" s="37"/>
      <c r="C58" s="37"/>
      <c r="D58" s="37"/>
      <c r="E58" s="37"/>
    </row>
    <row r="59" spans="1:8" ht="9" customHeight="1" x14ac:dyDescent="0.25">
      <c r="A59" s="11" t="s">
        <v>20</v>
      </c>
      <c r="B59" s="37"/>
      <c r="C59" s="37"/>
      <c r="D59" s="37"/>
      <c r="E59" s="37"/>
    </row>
    <row r="60" spans="1:8" ht="9" customHeight="1" x14ac:dyDescent="0.25">
      <c r="A60" s="214" t="s">
        <v>348</v>
      </c>
      <c r="B60" s="40"/>
      <c r="C60" s="40"/>
      <c r="D60" s="40"/>
      <c r="E60" s="40"/>
      <c r="F60" s="40"/>
      <c r="G60" s="40"/>
    </row>
    <row r="61" spans="1:8" ht="9" customHeight="1" x14ac:dyDescent="0.25">
      <c r="A61" s="215" t="s">
        <v>349</v>
      </c>
      <c r="B61" s="81"/>
      <c r="C61" s="81"/>
      <c r="D61" s="81"/>
      <c r="E61" s="81"/>
      <c r="F61" s="21"/>
      <c r="G61" s="21"/>
    </row>
    <row r="62" spans="1:8" ht="9" customHeight="1" x14ac:dyDescent="0.25">
      <c r="A62" s="81"/>
      <c r="B62" s="81"/>
      <c r="C62" s="81"/>
      <c r="D62" s="81"/>
      <c r="E62" s="81"/>
    </row>
    <row r="63" spans="1:8" ht="13.5" x14ac:dyDescent="0.25">
      <c r="A63" s="62" t="s">
        <v>335</v>
      </c>
      <c r="B63" s="62"/>
      <c r="C63" s="62"/>
      <c r="D63" s="62"/>
      <c r="E63" s="62"/>
    </row>
    <row r="64" spans="1:8" ht="5.0999999999999996" customHeight="1" x14ac:dyDescent="0.25">
      <c r="A64" s="48"/>
      <c r="B64" s="48"/>
      <c r="C64" s="48"/>
      <c r="D64" s="48"/>
      <c r="E64" s="48"/>
    </row>
    <row r="65" spans="1:8" ht="12" customHeight="1" x14ac:dyDescent="0.25">
      <c r="A65" s="280" t="s">
        <v>31</v>
      </c>
      <c r="B65" s="280" t="s">
        <v>4</v>
      </c>
      <c r="C65" s="278" t="s">
        <v>355</v>
      </c>
      <c r="D65" s="279"/>
      <c r="E65" s="174" t="s">
        <v>32</v>
      </c>
      <c r="F65" s="278" t="s">
        <v>220</v>
      </c>
      <c r="G65" s="279"/>
      <c r="H65" s="174" t="s">
        <v>32</v>
      </c>
    </row>
    <row r="66" spans="1:8" ht="12" customHeight="1" x14ac:dyDescent="0.25">
      <c r="A66" s="281"/>
      <c r="B66" s="281"/>
      <c r="C66" s="176">
        <v>2024</v>
      </c>
      <c r="D66" s="177" t="s">
        <v>315</v>
      </c>
      <c r="E66" s="175" t="s">
        <v>33</v>
      </c>
      <c r="F66" s="176">
        <v>2024</v>
      </c>
      <c r="G66" s="177" t="s">
        <v>315</v>
      </c>
      <c r="H66" s="178" t="s">
        <v>33</v>
      </c>
    </row>
    <row r="67" spans="1:8" ht="12" customHeight="1" x14ac:dyDescent="0.25">
      <c r="A67" s="283" t="s">
        <v>45</v>
      </c>
      <c r="B67" s="283"/>
      <c r="C67" s="180">
        <f>SUM(C69:C119)</f>
        <v>5667779.1553169964</v>
      </c>
      <c r="D67" s="180">
        <f>SUM(D69:D119)</f>
        <v>6169914.4130760022</v>
      </c>
      <c r="E67" s="181">
        <f>(D67/C67-1)</f>
        <v>8.8594711261455572E-2</v>
      </c>
      <c r="F67" s="180">
        <f>SUM(F69:F119)</f>
        <v>551608.00021300034</v>
      </c>
      <c r="G67" s="180">
        <f>SUM(G69:G119)</f>
        <v>641038.31288600015</v>
      </c>
      <c r="H67" s="210">
        <f>(G67/F67-1)*100</f>
        <v>16.212656930005863</v>
      </c>
    </row>
    <row r="68" spans="1:8" ht="2.1" customHeight="1" x14ac:dyDescent="0.25">
      <c r="A68" s="100"/>
      <c r="B68" s="100"/>
      <c r="C68" s="100"/>
      <c r="D68" s="100"/>
      <c r="E68" s="100"/>
      <c r="F68" s="107"/>
      <c r="G68" s="107"/>
      <c r="H68" s="106"/>
    </row>
    <row r="69" spans="1:8" ht="11.1" customHeight="1" x14ac:dyDescent="0.25">
      <c r="A69" s="95" t="str">
        <f>A7</f>
        <v>1005901100</v>
      </c>
      <c r="B69" s="39" t="str">
        <f>B7</f>
        <v>Maíz duro amarillo</v>
      </c>
      <c r="C69" s="133">
        <v>764269.09981099993</v>
      </c>
      <c r="D69" s="133">
        <v>933151.74951000023</v>
      </c>
      <c r="E69" s="157">
        <f>IFERROR(((D69/C69-1)),"")</f>
        <v>0.22097275650783765</v>
      </c>
      <c r="F69" s="133">
        <v>38991.327759</v>
      </c>
      <c r="G69" s="133">
        <v>91539.303211999999</v>
      </c>
      <c r="H69" s="168">
        <f>IFERROR(((G69/F69-1)),"")</f>
        <v>1.347683663859609</v>
      </c>
    </row>
    <row r="70" spans="1:8" ht="11.1" customHeight="1" x14ac:dyDescent="0.25">
      <c r="A70" s="95" t="str">
        <f t="shared" ref="A70:B118" si="2">A8</f>
        <v>2304000000</v>
      </c>
      <c r="B70" s="39" t="str">
        <f t="shared" si="2"/>
        <v>Tortas y demás residuos sólidos de la extracción del aceite de soya, incluso molidos o en «pellets»</v>
      </c>
      <c r="C70" s="133">
        <v>584735.83327599999</v>
      </c>
      <c r="D70" s="133">
        <v>532978.22151900001</v>
      </c>
      <c r="E70" s="157">
        <f t="shared" ref="E70:E118" si="3">IFERROR(((D70/C70-1)),"")</f>
        <v>-8.8514520252720663E-2</v>
      </c>
      <c r="F70" s="133">
        <v>47241.962776000008</v>
      </c>
      <c r="G70" s="133">
        <v>55749.358707000007</v>
      </c>
      <c r="H70" s="168">
        <f t="shared" ref="H70:H119" si="4">IFERROR(((G70/F70-1)),"")</f>
        <v>0.18008133936640647</v>
      </c>
    </row>
    <row r="71" spans="1:8" ht="11.1" customHeight="1" x14ac:dyDescent="0.25">
      <c r="A71" s="95" t="str">
        <f t="shared" si="2"/>
        <v>1001991000</v>
      </c>
      <c r="B71" s="39" t="str">
        <f t="shared" si="2"/>
        <v>Trigo s/m</v>
      </c>
      <c r="C71" s="133">
        <v>517087.54563300003</v>
      </c>
      <c r="D71" s="133">
        <v>481600.04423699999</v>
      </c>
      <c r="E71" s="157">
        <f t="shared" si="3"/>
        <v>-6.8629580611069496E-2</v>
      </c>
      <c r="F71" s="133">
        <v>36569.997080000001</v>
      </c>
      <c r="G71" s="133">
        <v>20455.142909999999</v>
      </c>
      <c r="H71" s="168">
        <f t="shared" si="4"/>
        <v>-0.44065779208971168</v>
      </c>
    </row>
    <row r="72" spans="1:8" ht="11.1" customHeight="1" x14ac:dyDescent="0.25">
      <c r="A72" s="95" t="str">
        <f t="shared" si="2"/>
        <v>1507100000</v>
      </c>
      <c r="B72" s="39" t="str">
        <f t="shared" si="2"/>
        <v>Aceite de soya en bruto, incluso desgomado</v>
      </c>
      <c r="C72" s="133">
        <v>392179.44733200001</v>
      </c>
      <c r="D72" s="133">
        <v>470203.33222000004</v>
      </c>
      <c r="E72" s="157">
        <f t="shared" si="3"/>
        <v>0.19894944882705401</v>
      </c>
      <c r="F72" s="133">
        <v>40992.306536000004</v>
      </c>
      <c r="G72" s="133">
        <v>74364.447397999989</v>
      </c>
      <c r="H72" s="168">
        <f t="shared" si="4"/>
        <v>0.81410741873458892</v>
      </c>
    </row>
    <row r="73" spans="1:8" ht="11.1" customHeight="1" x14ac:dyDescent="0.25">
      <c r="A73" s="95" t="str">
        <f t="shared" si="2"/>
        <v>1507909000</v>
      </c>
      <c r="B73" s="39" t="str">
        <f t="shared" si="2"/>
        <v>Los demás aceite de soya y sus fracciones, incluso refinado, pero sin modificar químicamente</v>
      </c>
      <c r="C73" s="133">
        <v>114498.80266500002</v>
      </c>
      <c r="D73" s="133">
        <v>157385.936567</v>
      </c>
      <c r="E73" s="157">
        <f t="shared" si="3"/>
        <v>0.37456403825880091</v>
      </c>
      <c r="F73" s="133">
        <v>12109.600841000001</v>
      </c>
      <c r="G73" s="133">
        <v>18672.496635000003</v>
      </c>
      <c r="H73" s="168">
        <f t="shared" si="4"/>
        <v>0.54195806122524859</v>
      </c>
    </row>
    <row r="74" spans="1:8" ht="11.1" customHeight="1" x14ac:dyDescent="0.25">
      <c r="A74" s="95" t="str">
        <f t="shared" si="2"/>
        <v>2207200010</v>
      </c>
      <c r="B74" s="39" t="str">
        <f t="shared" si="2"/>
        <v>Alcohol etílico y aguardiente desnaturalizados, de cualquier graduación, alcohol carburante</v>
      </c>
      <c r="C74" s="133">
        <v>94332.563309000005</v>
      </c>
      <c r="D74" s="133">
        <v>119875.87125499999</v>
      </c>
      <c r="E74" s="157">
        <f t="shared" si="3"/>
        <v>0.27077932635339486</v>
      </c>
      <c r="F74" s="133">
        <v>8227.1532970000007</v>
      </c>
      <c r="G74" s="133">
        <v>16077.339892</v>
      </c>
      <c r="H74" s="168">
        <f t="shared" si="4"/>
        <v>0.9541801777125678</v>
      </c>
    </row>
    <row r="75" spans="1:8" ht="11.1" customHeight="1" x14ac:dyDescent="0.25">
      <c r="A75" s="95" t="str">
        <f t="shared" si="2"/>
        <v>2106909000</v>
      </c>
      <c r="B75" s="39" t="str">
        <f t="shared" si="2"/>
        <v>Las demás preparaciones alimenticias no expresadas ni comprendidas en otra parte</v>
      </c>
      <c r="C75" s="133">
        <v>103415.43967700003</v>
      </c>
      <c r="D75" s="133">
        <v>110841.224696</v>
      </c>
      <c r="E75" s="157">
        <f t="shared" si="3"/>
        <v>7.1805380726447599E-2</v>
      </c>
      <c r="F75" s="133">
        <v>10058.711913000003</v>
      </c>
      <c r="G75" s="133">
        <v>11269.171151</v>
      </c>
      <c r="H75" s="168">
        <f t="shared" si="4"/>
        <v>0.12033938823077195</v>
      </c>
    </row>
    <row r="76" spans="1:8" ht="11.1" customHeight="1" x14ac:dyDescent="0.25">
      <c r="A76" s="95" t="str">
        <f t="shared" si="2"/>
        <v>2309909000</v>
      </c>
      <c r="B76" s="39" t="str">
        <f t="shared" ref="B76" si="5">B14</f>
        <v>Las demás preparaciones de los tipos utilizados para la alimentación de los animales</v>
      </c>
      <c r="C76" s="133">
        <v>90461.129111999981</v>
      </c>
      <c r="D76" s="133">
        <v>104095.63810800001</v>
      </c>
      <c r="E76" s="157">
        <f t="shared" si="3"/>
        <v>0.15072229508786195</v>
      </c>
      <c r="F76" s="133">
        <v>7876.1838320000006</v>
      </c>
      <c r="G76" s="133">
        <v>11544.774634000001</v>
      </c>
      <c r="H76" s="168">
        <f t="shared" si="4"/>
        <v>0.46578278011934549</v>
      </c>
    </row>
    <row r="77" spans="1:8" ht="33" customHeight="1" x14ac:dyDescent="0.25">
      <c r="A77" s="95" t="str">
        <f t="shared" si="2"/>
        <v>0402211900</v>
      </c>
      <c r="B77" s="39" t="str">
        <f t="shared" ref="B77" si="6">B15</f>
        <v>Leche y nata (crema), en polvo, gránulos o demás formas sólidas, las demás con un contenido de materias grasas superior o igual al 26 % en peso, sobre producto seco, sin adición de azúcar ni otro edulcorante.</v>
      </c>
      <c r="C77" s="133">
        <v>85189.60186499999</v>
      </c>
      <c r="D77" s="133">
        <v>97273.777506000013</v>
      </c>
      <c r="E77" s="157">
        <f t="shared" si="3"/>
        <v>0.14185035939186363</v>
      </c>
      <c r="F77" s="133">
        <v>9410.2389000000003</v>
      </c>
      <c r="G77" s="133">
        <v>4284.4733699999997</v>
      </c>
      <c r="H77" s="168">
        <f t="shared" si="4"/>
        <v>-0.54470089276904554</v>
      </c>
    </row>
    <row r="78" spans="1:8" ht="11.1" customHeight="1" x14ac:dyDescent="0.25">
      <c r="A78" s="95" t="str">
        <f t="shared" si="2"/>
        <v>1006300000</v>
      </c>
      <c r="B78" s="39" t="str">
        <f t="shared" ref="B78" si="7">B16</f>
        <v>Arroz semiblanqueado o blanqueado, incluso pulido o glaseado</v>
      </c>
      <c r="C78" s="133">
        <v>93243.37684099999</v>
      </c>
      <c r="D78" s="133">
        <v>97023.502348999988</v>
      </c>
      <c r="E78" s="157">
        <f t="shared" si="3"/>
        <v>4.0540418376802556E-2</v>
      </c>
      <c r="F78" s="133">
        <v>14971.309717</v>
      </c>
      <c r="G78" s="133">
        <v>8040.4610759999996</v>
      </c>
      <c r="H78" s="168">
        <f t="shared" si="4"/>
        <v>-0.46294203860668148</v>
      </c>
    </row>
    <row r="79" spans="1:8" ht="11.1" customHeight="1" x14ac:dyDescent="0.25">
      <c r="A79" s="95" t="str">
        <f t="shared" si="2"/>
        <v>1201900000</v>
      </c>
      <c r="B79" s="39" t="str">
        <f t="shared" ref="B79" si="8">B17</f>
        <v>Grano de soya</v>
      </c>
      <c r="C79" s="133">
        <v>91178.506842000003</v>
      </c>
      <c r="D79" s="133">
        <v>86115.750184000004</v>
      </c>
      <c r="E79" s="157">
        <f t="shared" si="3"/>
        <v>-5.5525768444235069E-2</v>
      </c>
      <c r="F79" s="133">
        <v>17446.496342999999</v>
      </c>
      <c r="G79" s="133">
        <v>16006.823586999999</v>
      </c>
      <c r="H79" s="168">
        <f t="shared" si="4"/>
        <v>-8.2519305177147229E-2</v>
      </c>
    </row>
    <row r="80" spans="1:8" ht="11.1" customHeight="1" x14ac:dyDescent="0.25">
      <c r="A80" s="95" t="str">
        <f t="shared" si="2"/>
        <v>1404909090</v>
      </c>
      <c r="B80" s="39" t="str">
        <f t="shared" ref="B80:B81" si="9">B18</f>
        <v>Los demás productos vegetales no expresados ni comprendidos en otra parte</v>
      </c>
      <c r="C80" s="133">
        <v>35208.059152000002</v>
      </c>
      <c r="D80" s="133">
        <v>80561.670903000006</v>
      </c>
      <c r="E80" s="157">
        <f t="shared" si="3"/>
        <v>1.2881599509703072</v>
      </c>
      <c r="F80" s="133">
        <v>8259.6973950000011</v>
      </c>
      <c r="G80" s="133">
        <v>14672.711835999999</v>
      </c>
      <c r="H80" s="168">
        <f t="shared" si="4"/>
        <v>0.77642244434791396</v>
      </c>
    </row>
    <row r="81" spans="1:8" ht="11.1" customHeight="1" x14ac:dyDescent="0.25">
      <c r="A81" s="95" t="str">
        <f t="shared" si="2"/>
        <v>1701999000</v>
      </c>
      <c r="B81" s="39" t="str">
        <f t="shared" si="9"/>
        <v>Las demás azúcares de caña o remolacha refinados en estado sólido</v>
      </c>
      <c r="C81" s="133">
        <v>123181.77476199997</v>
      </c>
      <c r="D81" s="133">
        <v>74515.650818000009</v>
      </c>
      <c r="E81" s="157">
        <f t="shared" si="3"/>
        <v>-0.39507568419133421</v>
      </c>
      <c r="F81" s="133">
        <v>12350.594673000001</v>
      </c>
      <c r="G81" s="133">
        <v>9448.2693990000007</v>
      </c>
      <c r="H81" s="168">
        <f t="shared" si="4"/>
        <v>-0.23499477967201521</v>
      </c>
    </row>
    <row r="82" spans="1:8" ht="24" customHeight="1" x14ac:dyDescent="0.25">
      <c r="A82" s="95" t="str">
        <f t="shared" si="2"/>
        <v>0402109000</v>
      </c>
      <c r="B82" s="39" t="str">
        <f t="shared" ref="B82" si="10">B20</f>
        <v>Leche y nata (crema), en polvo, gránulos o demás formas sólidas, los demás con un contenido de materias grasas inferior o igual al 1,5 % en peso</v>
      </c>
      <c r="C82" s="133">
        <v>57143.307494000008</v>
      </c>
      <c r="D82" s="133">
        <v>72286.689492000005</v>
      </c>
      <c r="E82" s="157">
        <f t="shared" si="3"/>
        <v>0.26500709640564701</v>
      </c>
      <c r="F82" s="133">
        <v>5883.7045770000004</v>
      </c>
      <c r="G82" s="133">
        <v>4379.9527800000005</v>
      </c>
      <c r="H82" s="168">
        <f t="shared" si="4"/>
        <v>-0.25557907901737942</v>
      </c>
    </row>
    <row r="83" spans="1:8" ht="11.1" customHeight="1" x14ac:dyDescent="0.25">
      <c r="A83" s="95" t="str">
        <f t="shared" si="2"/>
        <v>2101110000</v>
      </c>
      <c r="B83" s="39" t="str">
        <f t="shared" ref="B83" si="11">B21</f>
        <v>Extractos, esencias y concentrados de café</v>
      </c>
      <c r="C83" s="133">
        <v>46474.514835000002</v>
      </c>
      <c r="D83" s="133">
        <v>66375.219807999994</v>
      </c>
      <c r="E83" s="157">
        <f t="shared" si="3"/>
        <v>0.42820683644905433</v>
      </c>
      <c r="F83" s="133">
        <v>5756.8993879999989</v>
      </c>
      <c r="G83" s="133">
        <v>7364.6909460000006</v>
      </c>
      <c r="H83" s="168">
        <f t="shared" si="4"/>
        <v>0.27928081587657627</v>
      </c>
    </row>
    <row r="84" spans="1:8" ht="11.1" customHeight="1" x14ac:dyDescent="0.25">
      <c r="A84" s="95" t="str">
        <f t="shared" si="2"/>
        <v>2309902000</v>
      </c>
      <c r="B84" s="39" t="str">
        <f t="shared" ref="B84" si="12">B22</f>
        <v>Premezclas para la alimentación de los animales</v>
      </c>
      <c r="C84" s="133">
        <v>58517.031998999999</v>
      </c>
      <c r="D84" s="133">
        <v>66375.083255999998</v>
      </c>
      <c r="E84" s="157">
        <f t="shared" si="3"/>
        <v>0.13428656561279939</v>
      </c>
      <c r="F84" s="133">
        <v>8497.384614999999</v>
      </c>
      <c r="G84" s="133">
        <v>7295.0795070000004</v>
      </c>
      <c r="H84" s="168">
        <f t="shared" si="4"/>
        <v>-0.14149119552357681</v>
      </c>
    </row>
    <row r="85" spans="1:8" ht="11.1" customHeight="1" x14ac:dyDescent="0.25">
      <c r="A85" s="95" t="str">
        <f t="shared" si="2"/>
        <v>0713409000</v>
      </c>
      <c r="B85" s="39" t="str">
        <f t="shared" ref="B85" si="13">B23</f>
        <v>Lentejas excepto para la siembra</v>
      </c>
      <c r="C85" s="133">
        <v>55943.003825999993</v>
      </c>
      <c r="D85" s="133">
        <v>62571.243697000005</v>
      </c>
      <c r="E85" s="157">
        <f t="shared" si="3"/>
        <v>0.11848201593922059</v>
      </c>
      <c r="F85" s="133">
        <v>4790.3058289999999</v>
      </c>
      <c r="G85" s="133">
        <v>2931.7892490000004</v>
      </c>
      <c r="H85" s="168">
        <f t="shared" si="4"/>
        <v>-0.38797451485221224</v>
      </c>
    </row>
    <row r="86" spans="1:8" ht="11.1" customHeight="1" x14ac:dyDescent="0.25">
      <c r="A86" s="95" t="str">
        <f t="shared" si="2"/>
        <v>0207140090</v>
      </c>
      <c r="B86" s="39" t="str">
        <f t="shared" ref="B86:B87" si="14">B24</f>
        <v>Demás trozos y despojos, de gallo o gallina, congelados</v>
      </c>
      <c r="C86" s="133">
        <v>77729.053346999994</v>
      </c>
      <c r="D86" s="133">
        <v>61484.016135999998</v>
      </c>
      <c r="E86" s="157">
        <f t="shared" si="3"/>
        <v>-0.20899569094812587</v>
      </c>
      <c r="F86" s="133">
        <v>10104.330045000001</v>
      </c>
      <c r="G86" s="133">
        <v>10399.560253000001</v>
      </c>
      <c r="H86" s="168">
        <f t="shared" si="4"/>
        <v>2.9218187320206424E-2</v>
      </c>
    </row>
    <row r="87" spans="1:8" ht="11.1" customHeight="1" x14ac:dyDescent="0.25">
      <c r="A87" s="95" t="str">
        <f t="shared" si="2"/>
        <v>1514110000</v>
      </c>
      <c r="B87" s="39" t="str">
        <f t="shared" si="14"/>
        <v>Aceites de nabo o de colza con bajo contenido de ácido erúcico, en bruto</v>
      </c>
      <c r="C87" s="133" t="s">
        <v>351</v>
      </c>
      <c r="D87" s="133">
        <v>54641.335355000003</v>
      </c>
      <c r="E87" s="133" t="s">
        <v>351</v>
      </c>
      <c r="F87" s="133" t="s">
        <v>351</v>
      </c>
      <c r="G87" s="133" t="s">
        <v>351</v>
      </c>
      <c r="H87" s="133" t="s">
        <v>351</v>
      </c>
    </row>
    <row r="88" spans="1:8" ht="11.1" customHeight="1" x14ac:dyDescent="0.25">
      <c r="A88" s="95" t="str">
        <f t="shared" si="2"/>
        <v>0808100000</v>
      </c>
      <c r="B88" s="39" t="str">
        <f t="shared" ref="B88" si="15">B26</f>
        <v>Manzanas frescas</v>
      </c>
      <c r="C88" s="133">
        <v>40453.546428000001</v>
      </c>
      <c r="D88" s="133">
        <v>44673.580980999999</v>
      </c>
      <c r="E88" s="157">
        <f t="shared" si="3"/>
        <v>0.104318036998583</v>
      </c>
      <c r="F88" s="133">
        <v>4849.3589749999992</v>
      </c>
      <c r="G88" s="133">
        <v>6003.9357950000003</v>
      </c>
      <c r="H88" s="168">
        <f t="shared" si="4"/>
        <v>0.23808854447612871</v>
      </c>
    </row>
    <row r="89" spans="1:8" ht="11.1" customHeight="1" x14ac:dyDescent="0.25">
      <c r="A89" s="95" t="str">
        <f t="shared" si="2"/>
        <v>2106907900</v>
      </c>
      <c r="B89" s="39" t="str">
        <f t="shared" ref="B89" si="16">B27</f>
        <v>Los demás complementos y suplementos alimenticios</v>
      </c>
      <c r="C89" s="133">
        <v>39221.733962000006</v>
      </c>
      <c r="D89" s="133">
        <v>43807.302895000001</v>
      </c>
      <c r="E89" s="157">
        <f t="shared" si="3"/>
        <v>0.11691397778187795</v>
      </c>
      <c r="F89" s="133">
        <v>3233.4576629999997</v>
      </c>
      <c r="G89" s="133">
        <v>5940.6183199999996</v>
      </c>
      <c r="H89" s="168">
        <f t="shared" si="4"/>
        <v>0.83723398885894129</v>
      </c>
    </row>
    <row r="90" spans="1:8" ht="24" customHeight="1" x14ac:dyDescent="0.25">
      <c r="A90" s="95" t="str">
        <f t="shared" si="2"/>
        <v>5201002000</v>
      </c>
      <c r="B90" s="39" t="str">
        <f t="shared" ref="B90" si="17">B28</f>
        <v>Algodón sin cardar ni peinar de longitud de fibra superior a 28.57 mm pero inferior o igual a 34.92 mm</v>
      </c>
      <c r="C90" s="133">
        <v>41741.201177999996</v>
      </c>
      <c r="D90" s="133">
        <v>43795.563955000005</v>
      </c>
      <c r="E90" s="157">
        <f t="shared" si="3"/>
        <v>4.921666648354095E-2</v>
      </c>
      <c r="F90" s="133">
        <v>4106.5940129999999</v>
      </c>
      <c r="G90" s="133">
        <v>886.17942600000003</v>
      </c>
      <c r="H90" s="168">
        <f t="shared" si="4"/>
        <v>-0.78420573760282253</v>
      </c>
    </row>
    <row r="91" spans="1:8" ht="11.1" customHeight="1" x14ac:dyDescent="0.25">
      <c r="A91" s="95" t="str">
        <f t="shared" si="2"/>
        <v>1208100000</v>
      </c>
      <c r="B91" s="39" t="str">
        <f t="shared" ref="B91" si="18">B29</f>
        <v>Harina de habas (porotos, frijoles, frejoles) de soya</v>
      </c>
      <c r="C91" s="133">
        <v>43581.134063000005</v>
      </c>
      <c r="D91" s="133">
        <v>43433.072276000006</v>
      </c>
      <c r="E91" s="157">
        <f t="shared" si="3"/>
        <v>-3.3973826102359217E-3</v>
      </c>
      <c r="F91" s="133">
        <v>2888.0076469999995</v>
      </c>
      <c r="G91" s="133">
        <v>4816.7746319999997</v>
      </c>
      <c r="H91" s="168">
        <f t="shared" si="4"/>
        <v>0.6678538358454702</v>
      </c>
    </row>
    <row r="92" spans="1:8" ht="11.1" customHeight="1" x14ac:dyDescent="0.25">
      <c r="A92" s="95" t="str">
        <f t="shared" si="2"/>
        <v>1704901000</v>
      </c>
      <c r="B92" s="39" t="str">
        <f t="shared" ref="B92:B93" si="19">B30</f>
        <v>Bombones, caramelos, confites y pastillas</v>
      </c>
      <c r="C92" s="133">
        <v>38428.920745000003</v>
      </c>
      <c r="D92" s="133">
        <v>42480.651943000004</v>
      </c>
      <c r="E92" s="157">
        <f t="shared" si="3"/>
        <v>0.10543442593368102</v>
      </c>
      <c r="F92" s="133">
        <v>4698.0572520000005</v>
      </c>
      <c r="G92" s="133">
        <v>5326.1756689999993</v>
      </c>
      <c r="H92" s="168">
        <f t="shared" si="4"/>
        <v>0.13369748032180828</v>
      </c>
    </row>
    <row r="93" spans="1:8" ht="11.1" customHeight="1" x14ac:dyDescent="0.25">
      <c r="A93" s="95" t="str">
        <f t="shared" si="2"/>
        <v>1806900000</v>
      </c>
      <c r="B93" s="39" t="str">
        <f t="shared" si="19"/>
        <v>Los demás chocolate y demás preparaciones alimenticias que contengan cacao</v>
      </c>
      <c r="C93" s="133">
        <v>53113.721636000009</v>
      </c>
      <c r="D93" s="133">
        <v>41779.296630999997</v>
      </c>
      <c r="E93" s="157">
        <f t="shared" si="3"/>
        <v>-0.21339918679917247</v>
      </c>
      <c r="F93" s="133">
        <v>6104.6676330000018</v>
      </c>
      <c r="G93" s="133">
        <v>3887.6788849999998</v>
      </c>
      <c r="H93" s="168">
        <f t="shared" si="4"/>
        <v>-0.36316289129577273</v>
      </c>
    </row>
    <row r="94" spans="1:8" ht="11.1" customHeight="1" x14ac:dyDescent="0.25">
      <c r="A94" s="95" t="str">
        <f t="shared" si="2"/>
        <v>4407119000</v>
      </c>
      <c r="B94" s="39" t="str">
        <f t="shared" ref="B94" si="20">B32</f>
        <v>Las demás madera de pino aserrada o desbastada longitudinalmente, de espesor superior a 6 mm</v>
      </c>
      <c r="C94" s="133">
        <v>26902.013492000005</v>
      </c>
      <c r="D94" s="133">
        <v>39196.935651</v>
      </c>
      <c r="E94" s="157">
        <f t="shared" si="3"/>
        <v>0.45702609444665554</v>
      </c>
      <c r="F94" s="133">
        <v>4315.5167929999998</v>
      </c>
      <c r="G94" s="133">
        <v>5932.8774699999994</v>
      </c>
      <c r="H94" s="168">
        <f t="shared" si="4"/>
        <v>0.37477798247093963</v>
      </c>
    </row>
    <row r="95" spans="1:8" ht="11.1" customHeight="1" x14ac:dyDescent="0.25">
      <c r="A95" s="95" t="str">
        <f t="shared" si="2"/>
        <v>5201001000</v>
      </c>
      <c r="B95" s="39" t="str">
        <f t="shared" ref="B95" si="21">B33</f>
        <v>Algodón sin cardar ni peinar de longitud de fibra superior a 34.92 mm</v>
      </c>
      <c r="C95" s="133">
        <v>14549.619673000001</v>
      </c>
      <c r="D95" s="133">
        <v>38839.064261</v>
      </c>
      <c r="E95" s="157">
        <f t="shared" si="3"/>
        <v>1.669421272438782</v>
      </c>
      <c r="F95" s="133">
        <v>1831.6082469999999</v>
      </c>
      <c r="G95" s="133">
        <v>1944.46585</v>
      </c>
      <c r="H95" s="168">
        <f t="shared" si="4"/>
        <v>6.1616671133060352E-2</v>
      </c>
    </row>
    <row r="96" spans="1:8" ht="11.1" customHeight="1" x14ac:dyDescent="0.25">
      <c r="A96" s="95" t="str">
        <f t="shared" si="2"/>
        <v>2309109000</v>
      </c>
      <c r="B96" s="39" t="str">
        <f t="shared" ref="B96" si="22">B34</f>
        <v>Los demás alimentos para perros o gatos, acondicionados para la venta al por menor</v>
      </c>
      <c r="C96" s="133">
        <v>37097.128859999997</v>
      </c>
      <c r="D96" s="133">
        <v>38449.168885999999</v>
      </c>
      <c r="E96" s="157">
        <f t="shared" si="3"/>
        <v>3.6445947908864795E-2</v>
      </c>
      <c r="F96" s="133">
        <v>4929.1490730000005</v>
      </c>
      <c r="G96" s="133">
        <v>2856.5195100000001</v>
      </c>
      <c r="H96" s="168">
        <f t="shared" si="4"/>
        <v>-0.42048425241449383</v>
      </c>
    </row>
    <row r="97" spans="1:8" ht="11.1" customHeight="1" x14ac:dyDescent="0.25">
      <c r="A97" s="95" t="str">
        <f t="shared" si="2"/>
        <v>2004100000</v>
      </c>
      <c r="B97" s="39" t="str">
        <f t="shared" ref="B97" si="23">B35</f>
        <v>Papas preparadas o conservadas, congeladas</v>
      </c>
      <c r="C97" s="133">
        <v>34784.643947000004</v>
      </c>
      <c r="D97" s="133">
        <v>35666.069653999999</v>
      </c>
      <c r="E97" s="157">
        <f t="shared" si="3"/>
        <v>2.533950637364546E-2</v>
      </c>
      <c r="F97" s="133">
        <v>4522.4678750000003</v>
      </c>
      <c r="G97" s="133">
        <v>4112.3965600000001</v>
      </c>
      <c r="H97" s="168">
        <f t="shared" si="4"/>
        <v>-9.0674235027042638E-2</v>
      </c>
    </row>
    <row r="98" spans="1:8" ht="11.1" customHeight="1" x14ac:dyDescent="0.25">
      <c r="A98" s="95" t="str">
        <f t="shared" si="2"/>
        <v>2101120000</v>
      </c>
      <c r="B98" s="39" t="str">
        <f t="shared" ref="B98:B99" si="24">B36</f>
        <v>Preparaciones a base de extractos, esencias o concentrados o a base de café</v>
      </c>
      <c r="C98" s="133">
        <v>25217.182025999999</v>
      </c>
      <c r="D98" s="133">
        <v>35655.416389999999</v>
      </c>
      <c r="E98" s="157">
        <f>IFERROR(((D98/C98-1)),"")</f>
        <v>0.41393341862059496</v>
      </c>
      <c r="F98" s="133">
        <v>3649.5923290000001</v>
      </c>
      <c r="G98" s="133">
        <v>5526.1080019999999</v>
      </c>
      <c r="H98" s="168">
        <f t="shared" si="4"/>
        <v>0.51417131115961423</v>
      </c>
    </row>
    <row r="99" spans="1:8" ht="11.1" customHeight="1" x14ac:dyDescent="0.25">
      <c r="A99" s="95" t="str">
        <f t="shared" si="2"/>
        <v>1001190000</v>
      </c>
      <c r="B99" s="39" t="str">
        <f t="shared" si="24"/>
        <v>Los demás trigo duro, excepto para siembra</v>
      </c>
      <c r="C99" s="133">
        <v>35758.768449999996</v>
      </c>
      <c r="D99" s="133">
        <v>34978.577817999998</v>
      </c>
      <c r="E99" s="157">
        <f t="shared" si="3"/>
        <v>-2.1818162812036079E-2</v>
      </c>
      <c r="F99" s="133">
        <v>161.70046300000001</v>
      </c>
      <c r="G99" s="133">
        <v>771.61962200000005</v>
      </c>
      <c r="H99" s="168">
        <f t="shared" si="4"/>
        <v>3.7719073135863566</v>
      </c>
    </row>
    <row r="100" spans="1:8" ht="11.1" customHeight="1" x14ac:dyDescent="0.25">
      <c r="A100" s="95" t="str">
        <f t="shared" si="2"/>
        <v>2203000000</v>
      </c>
      <c r="B100" s="39" t="str">
        <f t="shared" ref="B100" si="25">B38</f>
        <v>Cerveza de malta</v>
      </c>
      <c r="C100" s="133">
        <v>28952.22064</v>
      </c>
      <c r="D100" s="133">
        <v>34064.529819999996</v>
      </c>
      <c r="E100" s="157">
        <f t="shared" si="3"/>
        <v>0.17657744611606407</v>
      </c>
      <c r="F100" s="133">
        <v>1302.1488140000001</v>
      </c>
      <c r="G100" s="133">
        <v>4254.4582599999994</v>
      </c>
      <c r="H100" s="168">
        <f t="shared" si="4"/>
        <v>2.2672596359635429</v>
      </c>
    </row>
    <row r="101" spans="1:8" ht="11.1" customHeight="1" x14ac:dyDescent="0.25">
      <c r="A101" s="95" t="str">
        <f t="shared" si="2"/>
        <v>0405902000</v>
      </c>
      <c r="B101" s="39" t="str">
        <f t="shared" ref="B101" si="26">B39</f>
        <v>Grasa láctea anhidra (butter oil)</v>
      </c>
      <c r="C101" s="133">
        <v>27911.624911999999</v>
      </c>
      <c r="D101" s="133">
        <v>33907.977481000002</v>
      </c>
      <c r="E101" s="157">
        <f t="shared" si="3"/>
        <v>0.21483351785879012</v>
      </c>
      <c r="F101" s="133">
        <v>4530.4175639999994</v>
      </c>
      <c r="G101" s="133">
        <v>117.71852</v>
      </c>
      <c r="H101" s="168">
        <f t="shared" si="4"/>
        <v>-0.97401596688671144</v>
      </c>
    </row>
    <row r="102" spans="1:8" ht="11.1" customHeight="1" x14ac:dyDescent="0.25">
      <c r="A102" s="95" t="str">
        <f t="shared" si="2"/>
        <v>1003900000</v>
      </c>
      <c r="B102" s="39" t="str">
        <f t="shared" ref="B102" si="27">B40</f>
        <v>Las demás cebada</v>
      </c>
      <c r="C102" s="133">
        <v>33541.564192000005</v>
      </c>
      <c r="D102" s="133">
        <v>32437.290423999999</v>
      </c>
      <c r="E102" s="157">
        <f t="shared" si="3"/>
        <v>-3.292254832478525E-2</v>
      </c>
      <c r="F102" s="133" t="s">
        <v>351</v>
      </c>
      <c r="G102" s="133" t="s">
        <v>351</v>
      </c>
      <c r="H102" s="133" t="s">
        <v>351</v>
      </c>
    </row>
    <row r="103" spans="1:8" ht="24" customHeight="1" x14ac:dyDescent="0.25">
      <c r="A103" s="95" t="str">
        <f t="shared" si="2"/>
        <v>2106902900</v>
      </c>
      <c r="B103" s="39" t="str">
        <f t="shared" ref="B103" si="28">B41</f>
        <v>Las demás preparaciones compuestas cuyo grado alcohólico volumétrico sea inferior o igual al 0.5 % vol, para la elaboración de bebidas</v>
      </c>
      <c r="C103" s="133">
        <v>30001.871313000007</v>
      </c>
      <c r="D103" s="133">
        <v>31284.411970000001</v>
      </c>
      <c r="E103" s="157">
        <f t="shared" si="3"/>
        <v>4.2748688694103532E-2</v>
      </c>
      <c r="F103" s="133">
        <v>2919.4971540000006</v>
      </c>
      <c r="G103" s="133">
        <v>3845.6849969999998</v>
      </c>
      <c r="H103" s="168">
        <f t="shared" si="4"/>
        <v>0.31724224897120723</v>
      </c>
    </row>
    <row r="104" spans="1:8" ht="24" customHeight="1" x14ac:dyDescent="0.25">
      <c r="A104" s="95" t="str">
        <f t="shared" si="2"/>
        <v>2204210000</v>
      </c>
      <c r="B104" s="39" t="str">
        <f t="shared" ref="B104:B105" si="29">B42</f>
        <v>Los demás vinos; mosto de uva en el que la fermentación se ha impedido o cortado añadiendo alcohol en recipientes con capacidad inferior o igual a 2 l</v>
      </c>
      <c r="C104" s="133">
        <v>31353.598515999991</v>
      </c>
      <c r="D104" s="133">
        <v>30355.787865000002</v>
      </c>
      <c r="E104" s="157">
        <f t="shared" si="3"/>
        <v>-3.1824437966531893E-2</v>
      </c>
      <c r="F104" s="133">
        <v>4603.4523389999968</v>
      </c>
      <c r="G104" s="133">
        <v>3612.4225190000002</v>
      </c>
      <c r="H104" s="168">
        <f t="shared" si="4"/>
        <v>-0.21527969598036001</v>
      </c>
    </row>
    <row r="105" spans="1:8" ht="24" customHeight="1" x14ac:dyDescent="0.25">
      <c r="A105" s="95" t="str">
        <f t="shared" si="2"/>
        <v>5201003000</v>
      </c>
      <c r="B105" s="39" t="str">
        <f t="shared" si="29"/>
        <v>Algodón sin cardar ni peinar de longitud de fibra superior a 22.22 mm pero inferior o igual a 28.57 mm</v>
      </c>
      <c r="C105" s="133">
        <v>23857.554889999999</v>
      </c>
      <c r="D105" s="133">
        <v>30261.283005000005</v>
      </c>
      <c r="E105" s="157">
        <f t="shared" si="3"/>
        <v>0.26841510559341342</v>
      </c>
      <c r="F105" s="133">
        <v>3801.1990000000001</v>
      </c>
      <c r="G105" s="133">
        <v>1669.2970929999999</v>
      </c>
      <c r="H105" s="168">
        <f t="shared" si="4"/>
        <v>-0.56084985474320082</v>
      </c>
    </row>
    <row r="106" spans="1:8" ht="11.1" customHeight="1" x14ac:dyDescent="0.25">
      <c r="A106" s="95" t="str">
        <f t="shared" si="2"/>
        <v>0207140021</v>
      </c>
      <c r="B106" s="39" t="str">
        <f t="shared" ref="B106" si="30">B44</f>
        <v>Cuartos traseros sin deshuesar de aves de la especie gallus domesticus</v>
      </c>
      <c r="C106" s="133">
        <v>29168.467620999996</v>
      </c>
      <c r="D106" s="133">
        <v>29855.137786999996</v>
      </c>
      <c r="E106" s="157">
        <f t="shared" si="3"/>
        <v>2.3541523501413808E-2</v>
      </c>
      <c r="F106" s="133">
        <v>2604.829851</v>
      </c>
      <c r="G106" s="133">
        <v>1816.6728820000001</v>
      </c>
      <c r="H106" s="168">
        <f t="shared" si="4"/>
        <v>-0.30257522144773663</v>
      </c>
    </row>
    <row r="107" spans="1:8" ht="25.5" x14ac:dyDescent="0.25">
      <c r="A107" s="95" t="str">
        <f t="shared" si="2"/>
        <v>2202990000</v>
      </c>
      <c r="B107" s="39" t="str">
        <f t="shared" ref="B107" si="31">B45</f>
        <v>Las demás agua, incluidas el agua mineral y la gaseada, con adición de azúcar u otro edulcorante o aromatizada, y demás bebidas no alcohólicas</v>
      </c>
      <c r="C107" s="133">
        <v>23017.275168</v>
      </c>
      <c r="D107" s="133">
        <v>29304.945623</v>
      </c>
      <c r="E107" s="157">
        <f t="shared" si="3"/>
        <v>0.27317179853423723</v>
      </c>
      <c r="F107" s="133">
        <v>2478.12462</v>
      </c>
      <c r="G107" s="133">
        <v>3576.0311819999997</v>
      </c>
      <c r="H107" s="168">
        <f t="shared" si="4"/>
        <v>0.44303928589353969</v>
      </c>
    </row>
    <row r="108" spans="1:8" ht="11.1" customHeight="1" x14ac:dyDescent="0.25">
      <c r="A108" s="95" t="str">
        <f t="shared" si="2"/>
        <v>0602200000</v>
      </c>
      <c r="B108" s="39" t="str">
        <f t="shared" ref="B108" si="32">B46</f>
        <v>Árboles, arbustos y matas, de frutas o de otros frutos comestibles, incluso injertados</v>
      </c>
      <c r="C108" s="133">
        <v>14275.034100999999</v>
      </c>
      <c r="D108" s="133">
        <v>27031.391073999999</v>
      </c>
      <c r="E108" s="157">
        <f t="shared" si="3"/>
        <v>0.89361306479165514</v>
      </c>
      <c r="F108" s="133">
        <v>3584.2403319999994</v>
      </c>
      <c r="G108" s="133">
        <v>4462.3738199999998</v>
      </c>
      <c r="H108" s="168">
        <f t="shared" si="4"/>
        <v>0.24499849526273354</v>
      </c>
    </row>
    <row r="109" spans="1:8" ht="11.1" customHeight="1" x14ac:dyDescent="0.25">
      <c r="A109" s="95" t="str">
        <f t="shared" si="2"/>
        <v>1005100000</v>
      </c>
      <c r="B109" s="39" t="str">
        <f t="shared" ref="B109" si="33">B47</f>
        <v>Maíz para siembra</v>
      </c>
      <c r="C109" s="133">
        <v>18312.335543000001</v>
      </c>
      <c r="D109" s="133">
        <v>26824.222096000001</v>
      </c>
      <c r="E109" s="157">
        <f t="shared" si="3"/>
        <v>0.46481709190031295</v>
      </c>
      <c r="F109" s="133">
        <v>1782.6609290000001</v>
      </c>
      <c r="G109" s="133">
        <v>2591.857825</v>
      </c>
      <c r="H109" s="168">
        <f t="shared" si="4"/>
        <v>0.45392642136041328</v>
      </c>
    </row>
    <row r="110" spans="1:8" ht="11.1" customHeight="1" x14ac:dyDescent="0.25">
      <c r="A110" s="95" t="str">
        <f t="shared" si="2"/>
        <v>1512111000</v>
      </c>
      <c r="B110" s="39" t="str">
        <f t="shared" ref="B110:B111" si="34">B48</f>
        <v>Aceite de girasol en bruto</v>
      </c>
      <c r="C110" s="133">
        <v>27878.728535999999</v>
      </c>
      <c r="D110" s="133">
        <v>26501.038330000003</v>
      </c>
      <c r="E110" s="157">
        <f t="shared" si="3"/>
        <v>-4.9417253883044743E-2</v>
      </c>
      <c r="F110" s="133">
        <v>5042.6079400000008</v>
      </c>
      <c r="G110" s="133">
        <v>4467.7927550000004</v>
      </c>
      <c r="H110" s="168">
        <f t="shared" si="4"/>
        <v>-0.11399164714756715</v>
      </c>
    </row>
    <row r="111" spans="1:8" ht="11.1" customHeight="1" x14ac:dyDescent="0.25">
      <c r="A111" s="95" t="str">
        <f t="shared" si="2"/>
        <v>1701140000</v>
      </c>
      <c r="B111" s="39" t="str">
        <f t="shared" si="34"/>
        <v>Los demás azúcares de caña sin adición de aromatizante ni colorante en estado sólido</v>
      </c>
      <c r="C111" s="133">
        <v>46170.976125999994</v>
      </c>
      <c r="D111" s="133">
        <v>25594.056341</v>
      </c>
      <c r="E111" s="157">
        <f t="shared" si="3"/>
        <v>-0.44566785265370712</v>
      </c>
      <c r="F111" s="133">
        <v>2919.9409580000006</v>
      </c>
      <c r="G111" s="133">
        <v>2029.22155</v>
      </c>
      <c r="H111" s="168">
        <f t="shared" si="4"/>
        <v>-0.30504706116047453</v>
      </c>
    </row>
    <row r="112" spans="1:8" ht="11.1" customHeight="1" x14ac:dyDescent="0.25">
      <c r="A112" s="95" t="str">
        <f t="shared" si="2"/>
        <v>2301109000</v>
      </c>
      <c r="B112" s="39" t="str">
        <f t="shared" ref="B112" si="35">B50</f>
        <v>Los demás harina, polvo y «pellets», de carne o despojos, impropios para la alimentación humana</v>
      </c>
      <c r="C112" s="133">
        <v>22327.726846000001</v>
      </c>
      <c r="D112" s="133">
        <v>24877.323071999999</v>
      </c>
      <c r="E112" s="157">
        <f t="shared" si="3"/>
        <v>0.11418969085322517</v>
      </c>
      <c r="F112" s="133">
        <v>3147.7711689999996</v>
      </c>
      <c r="G112" s="133">
        <v>2085.0129580000003</v>
      </c>
      <c r="H112" s="168">
        <f t="shared" si="4"/>
        <v>-0.3376224490097296</v>
      </c>
    </row>
    <row r="113" spans="1:8" ht="11.1" customHeight="1" x14ac:dyDescent="0.25">
      <c r="A113" s="95" t="str">
        <f t="shared" si="2"/>
        <v>0206290000</v>
      </c>
      <c r="B113" s="39" t="str">
        <f t="shared" ref="B113" si="36">B51</f>
        <v>Los demás despojos comestibles de la especia bovina, congelados, excepto lengua e hígado</v>
      </c>
      <c r="C113" s="133">
        <v>19676.280728999998</v>
      </c>
      <c r="D113" s="133">
        <v>22831.264624000003</v>
      </c>
      <c r="E113" s="157">
        <f t="shared" si="3"/>
        <v>0.16034452539346078</v>
      </c>
      <c r="F113" s="133">
        <v>2741.7449139999994</v>
      </c>
      <c r="G113" s="133">
        <v>1916.2048709999999</v>
      </c>
      <c r="H113" s="168">
        <f t="shared" si="4"/>
        <v>-0.30110023685449228</v>
      </c>
    </row>
    <row r="114" spans="1:8" ht="11.1" customHeight="1" x14ac:dyDescent="0.25">
      <c r="A114" s="95" t="str">
        <f t="shared" si="2"/>
        <v>1108130000</v>
      </c>
      <c r="B114" s="39" t="str">
        <f t="shared" ref="B114" si="37">B52</f>
        <v>Fécula de papa (patata)</v>
      </c>
      <c r="C114" s="133">
        <v>23818.490259000002</v>
      </c>
      <c r="D114" s="133">
        <v>22636.332842000003</v>
      </c>
      <c r="E114" s="157">
        <f t="shared" si="3"/>
        <v>-4.9631920585449851E-2</v>
      </c>
      <c r="F114" s="133">
        <v>2966.2679290000001</v>
      </c>
      <c r="G114" s="133">
        <v>3078.2333769999996</v>
      </c>
      <c r="H114" s="168">
        <f t="shared" si="4"/>
        <v>3.7746235566031849E-2</v>
      </c>
    </row>
    <row r="115" spans="1:8" ht="11.1" customHeight="1" x14ac:dyDescent="0.25">
      <c r="A115" s="95" t="str">
        <f t="shared" si="2"/>
        <v>0713109020</v>
      </c>
      <c r="B115" s="39" t="str">
        <f t="shared" ref="B115" si="38">B53</f>
        <v>Arvejas partidas excepto para la siembra</v>
      </c>
      <c r="C115" s="133">
        <v>17126.131804000001</v>
      </c>
      <c r="D115" s="133">
        <v>22229.088958999997</v>
      </c>
      <c r="E115" s="157">
        <f t="shared" si="3"/>
        <v>0.29796320695185496</v>
      </c>
      <c r="F115" s="133">
        <v>1824.3013940000003</v>
      </c>
      <c r="G115" s="133">
        <v>2324.1532609999999</v>
      </c>
      <c r="H115" s="168">
        <f t="shared" si="4"/>
        <v>0.27399631916303813</v>
      </c>
    </row>
    <row r="116" spans="1:8" ht="11.1" customHeight="1" x14ac:dyDescent="0.25">
      <c r="A116" s="95" t="str">
        <f t="shared" si="2"/>
        <v>1805000000</v>
      </c>
      <c r="B116" s="39" t="str">
        <f t="shared" ref="B116:B117" si="39">B54</f>
        <v>Cacao en polvo sin adición de azúcar ni otro edulcorante</v>
      </c>
      <c r="C116" s="133">
        <v>11913.244924999999</v>
      </c>
      <c r="D116" s="133">
        <v>21677.197929000002</v>
      </c>
      <c r="E116" s="157">
        <f t="shared" si="3"/>
        <v>0.8195880354570988</v>
      </c>
      <c r="F116" s="133">
        <v>945.16747399999997</v>
      </c>
      <c r="G116" s="133">
        <v>625.507653</v>
      </c>
      <c r="H116" s="168">
        <f t="shared" si="4"/>
        <v>-0.33820442386488636</v>
      </c>
    </row>
    <row r="117" spans="1:8" ht="11.1" customHeight="1" x14ac:dyDescent="0.25">
      <c r="A117" s="95" t="str">
        <f t="shared" si="2"/>
        <v>1905909000</v>
      </c>
      <c r="B117" s="39" t="str">
        <f t="shared" si="39"/>
        <v>Los demás productos de panadería, pastelería o galletería, incluso con adición de cacao</v>
      </c>
      <c r="C117" s="133">
        <v>32676.312006999997</v>
      </c>
      <c r="D117" s="133">
        <v>21447.796741999999</v>
      </c>
      <c r="E117" s="157">
        <f t="shared" si="3"/>
        <v>-0.34362859745599805</v>
      </c>
      <c r="F117" s="133">
        <v>3473.4473740000003</v>
      </c>
      <c r="G117" s="133">
        <v>3107.9433309999999</v>
      </c>
      <c r="H117" s="168">
        <f t="shared" si="4"/>
        <v>-0.10522803533340663</v>
      </c>
    </row>
    <row r="118" spans="1:8" ht="11.1" customHeight="1" x14ac:dyDescent="0.25">
      <c r="A118" s="95" t="str">
        <f t="shared" si="2"/>
        <v>0806200000</v>
      </c>
      <c r="B118" s="39" t="str">
        <f t="shared" ref="B118" si="40">B56</f>
        <v>Uvas secas, incluidas las pasas</v>
      </c>
      <c r="C118" s="133">
        <v>14278.040878000002</v>
      </c>
      <c r="D118" s="133">
        <v>20876.290182999997</v>
      </c>
      <c r="E118" s="157">
        <f t="shared" si="3"/>
        <v>0.46212567686136552</v>
      </c>
      <c r="F118" s="133">
        <v>2465.1525259999999</v>
      </c>
      <c r="G118" s="133">
        <v>2501.4760800000004</v>
      </c>
      <c r="H118" s="168">
        <f t="shared" si="4"/>
        <v>1.4734809962830164E-2</v>
      </c>
    </row>
    <row r="119" spans="1:8" ht="11.1" customHeight="1" x14ac:dyDescent="0.25">
      <c r="A119" s="147"/>
      <c r="B119" s="147" t="s">
        <v>18</v>
      </c>
      <c r="C119" s="134">
        <v>1375883.9700729989</v>
      </c>
      <c r="D119" s="134">
        <v>1443806.387952002</v>
      </c>
      <c r="E119" s="161">
        <f>IFERROR(((D119/C119-1)),"")</f>
        <v>4.9366385070537255E-2</v>
      </c>
      <c r="F119" s="134">
        <v>153646.64445300013</v>
      </c>
      <c r="G119" s="134">
        <v>160455.05366900004</v>
      </c>
      <c r="H119" s="169">
        <f t="shared" si="4"/>
        <v>4.4312124356757909E-2</v>
      </c>
    </row>
    <row r="120" spans="1:8" ht="8.1" customHeight="1" x14ac:dyDescent="0.25">
      <c r="A120" s="8" t="s">
        <v>44</v>
      </c>
      <c r="B120" s="37"/>
      <c r="C120" s="37"/>
      <c r="D120" s="37"/>
      <c r="E120" s="37"/>
    </row>
    <row r="121" spans="1:8" ht="8.1" customHeight="1" x14ac:dyDescent="0.25">
      <c r="A121" s="11" t="s">
        <v>20</v>
      </c>
      <c r="B121" s="37"/>
      <c r="C121" s="37"/>
      <c r="D121" s="37"/>
      <c r="E121" s="37"/>
    </row>
    <row r="122" spans="1:8" ht="8.1" customHeight="1" x14ac:dyDescent="0.25">
      <c r="A122" s="214" t="s">
        <v>348</v>
      </c>
      <c r="B122" s="40"/>
      <c r="C122" s="40"/>
      <c r="D122" s="40"/>
      <c r="E122" s="40"/>
      <c r="F122" s="40"/>
      <c r="G122" s="40"/>
    </row>
    <row r="123" spans="1:8" ht="8.1" customHeight="1" x14ac:dyDescent="0.25">
      <c r="A123" s="225" t="s">
        <v>349</v>
      </c>
    </row>
  </sheetData>
  <mergeCells count="10">
    <mergeCell ref="F65:G65"/>
    <mergeCell ref="A65:A66"/>
    <mergeCell ref="B65:B66"/>
    <mergeCell ref="A67:B67"/>
    <mergeCell ref="A2:B2"/>
    <mergeCell ref="A4:A5"/>
    <mergeCell ref="B4:B5"/>
    <mergeCell ref="F4:G4"/>
    <mergeCell ref="C4:D4"/>
    <mergeCell ref="C65:D65"/>
  </mergeCells>
  <phoneticPr fontId="11" type="noConversion"/>
  <conditionalFormatting sqref="C7:H57">
    <cfRule type="containsBlanks" dxfId="55" priority="6">
      <formula>LEN(TRIM(C7))=0</formula>
    </cfRule>
  </conditionalFormatting>
  <conditionalFormatting sqref="C69:H119">
    <cfRule type="containsBlanks" dxfId="54" priority="1">
      <formula>LEN(TRIM(C69))=0</formula>
    </cfRule>
  </conditionalFormatting>
  <pageMargins left="0.75" right="0.75" top="1" bottom="1" header="0" footer="0"/>
  <ignoredErrors>
    <ignoredError sqref="B67 A67 A64 A3 B2:B3 B64 B58:B59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3">
    <tabColor rgb="FFFFDDDD"/>
  </sheetPr>
  <dimension ref="A1:L62"/>
  <sheetViews>
    <sheetView showGridLines="0" zoomScaleNormal="100" zoomScalePageLayoutView="150" workbookViewId="0">
      <selection sqref="A1:G62"/>
    </sheetView>
  </sheetViews>
  <sheetFormatPr baseColWidth="10" defaultColWidth="11.42578125" defaultRowHeight="13.5" x14ac:dyDescent="0.2"/>
  <cols>
    <col min="1" max="1" width="8.85546875" style="15" customWidth="1"/>
    <col min="2" max="2" width="48.85546875" style="15" customWidth="1"/>
    <col min="3" max="7" width="6.85546875" style="15" customWidth="1"/>
    <col min="8" max="16384" width="11.42578125" style="15"/>
  </cols>
  <sheetData>
    <row r="1" spans="1:11" ht="15" customHeight="1" x14ac:dyDescent="0.25">
      <c r="A1" s="82" t="s">
        <v>380</v>
      </c>
      <c r="B1" s="82"/>
      <c r="C1" s="82"/>
      <c r="D1" s="82"/>
      <c r="E1" s="82"/>
      <c r="F1" s="82"/>
      <c r="G1" s="82"/>
    </row>
    <row r="2" spans="1:11" ht="11.25" customHeight="1" x14ac:dyDescent="0.25">
      <c r="A2" s="282" t="s">
        <v>336</v>
      </c>
      <c r="B2" s="282"/>
      <c r="C2" s="282"/>
      <c r="D2" s="282"/>
      <c r="E2" s="282"/>
      <c r="F2" s="82"/>
      <c r="G2" s="82"/>
    </row>
    <row r="3" spans="1:11" ht="5.0999999999999996" customHeight="1" x14ac:dyDescent="0.25">
      <c r="A3" s="46"/>
    </row>
    <row r="4" spans="1:11" s="38" customFormat="1" ht="15" customHeight="1" x14ac:dyDescent="0.25">
      <c r="A4" s="280" t="s">
        <v>31</v>
      </c>
      <c r="B4" s="280" t="s">
        <v>4</v>
      </c>
      <c r="C4" s="278" t="s">
        <v>355</v>
      </c>
      <c r="D4" s="279"/>
      <c r="E4" s="286" t="s">
        <v>327</v>
      </c>
      <c r="F4" s="199" t="s">
        <v>374</v>
      </c>
      <c r="G4" s="284" t="s">
        <v>376</v>
      </c>
    </row>
    <row r="5" spans="1:11" s="38" customFormat="1" ht="15" customHeight="1" x14ac:dyDescent="0.25">
      <c r="A5" s="281"/>
      <c r="B5" s="281"/>
      <c r="C5" s="176">
        <v>2024</v>
      </c>
      <c r="D5" s="177" t="s">
        <v>315</v>
      </c>
      <c r="E5" s="287"/>
      <c r="F5" s="200">
        <v>2024</v>
      </c>
      <c r="G5" s="285"/>
    </row>
    <row r="6" spans="1:11" s="38" customFormat="1" ht="14.1" customHeight="1" x14ac:dyDescent="0.25">
      <c r="A6" s="283" t="s">
        <v>45</v>
      </c>
      <c r="B6" s="283"/>
      <c r="C6" s="180">
        <f>SUM(C8:C58)</f>
        <v>5667779.1553169955</v>
      </c>
      <c r="D6" s="180">
        <f>SUM(D8:D58)</f>
        <v>6169914.4130760003</v>
      </c>
      <c r="E6" s="181">
        <f>(D6/C6-1)</f>
        <v>8.859471126145535E-2</v>
      </c>
      <c r="F6" s="181">
        <f>SUM(F7:F58)</f>
        <v>1.0000000000000004</v>
      </c>
      <c r="G6" s="201">
        <f>SUM(G7:G58)</f>
        <v>8.8594711261455235</v>
      </c>
    </row>
    <row r="7" spans="1:11" ht="3.95" customHeight="1" x14ac:dyDescent="0.2">
      <c r="A7" s="41"/>
      <c r="B7" s="41"/>
      <c r="C7" s="103"/>
      <c r="D7" s="103"/>
      <c r="E7" s="103"/>
      <c r="F7" s="103"/>
      <c r="G7" s="156"/>
    </row>
    <row r="8" spans="1:11" ht="11.1" customHeight="1" x14ac:dyDescent="0.2">
      <c r="A8" s="94" t="s">
        <v>146</v>
      </c>
      <c r="B8" s="13" t="s">
        <v>266</v>
      </c>
      <c r="C8" s="133">
        <v>764269.09981099993</v>
      </c>
      <c r="D8" s="133">
        <v>933151.74951000011</v>
      </c>
      <c r="E8" s="157">
        <f>IFERROR(((D8/C8-1)),"")</f>
        <v>0.22097275650783743</v>
      </c>
      <c r="F8" s="158">
        <f>C8/$C$6</f>
        <v>0.13484454472684104</v>
      </c>
      <c r="G8" s="159">
        <f>F8*E8*100</f>
        <v>2.9796970748334437</v>
      </c>
    </row>
    <row r="9" spans="1:11" ht="25.5" x14ac:dyDescent="0.25">
      <c r="A9" s="94" t="s">
        <v>148</v>
      </c>
      <c r="B9" s="13" t="s">
        <v>277</v>
      </c>
      <c r="C9" s="133">
        <v>584735.83327599976</v>
      </c>
      <c r="D9" s="133">
        <v>532978.22151900013</v>
      </c>
      <c r="E9" s="157">
        <f t="shared" ref="E9:E58" si="0">IFERROR(((D9/C9-1)),"")</f>
        <v>-8.8514520252720108E-2</v>
      </c>
      <c r="F9" s="158">
        <f t="shared" ref="F9:F58" si="1">C9/$C$6</f>
        <v>0.10316842227831932</v>
      </c>
      <c r="G9" s="159">
        <f t="shared" ref="G9:G19" si="2">F9*E9*100</f>
        <v>-0.9131903403195476</v>
      </c>
      <c r="J9" s="38"/>
    </row>
    <row r="10" spans="1:11" ht="11.1" customHeight="1" x14ac:dyDescent="0.25">
      <c r="A10" s="94" t="s">
        <v>147</v>
      </c>
      <c r="B10" s="13" t="s">
        <v>197</v>
      </c>
      <c r="C10" s="133">
        <v>517087.54563300003</v>
      </c>
      <c r="D10" s="133">
        <v>481600.04423700005</v>
      </c>
      <c r="E10" s="157">
        <f t="shared" si="0"/>
        <v>-6.8629580611069385E-2</v>
      </c>
      <c r="F10" s="158">
        <f t="shared" si="1"/>
        <v>9.1232832378078013E-2</v>
      </c>
      <c r="G10" s="159">
        <f t="shared" si="2"/>
        <v>-0.62612710240674863</v>
      </c>
      <c r="J10" s="38"/>
    </row>
    <row r="11" spans="1:11" ht="11.1" customHeight="1" x14ac:dyDescent="0.25">
      <c r="A11" s="94" t="s">
        <v>149</v>
      </c>
      <c r="B11" s="13" t="s">
        <v>273</v>
      </c>
      <c r="C11" s="133">
        <v>392179.44733199984</v>
      </c>
      <c r="D11" s="133">
        <v>470203.33221999981</v>
      </c>
      <c r="E11" s="157">
        <f t="shared" si="0"/>
        <v>0.19894944882705379</v>
      </c>
      <c r="F11" s="158">
        <f t="shared" si="1"/>
        <v>6.9194553384122726E-2</v>
      </c>
      <c r="G11" s="159">
        <f t="shared" si="2"/>
        <v>1.3766218257605367</v>
      </c>
      <c r="J11" s="38"/>
    </row>
    <row r="12" spans="1:11" ht="11.1" customHeight="1" x14ac:dyDescent="0.25">
      <c r="A12" s="94" t="s">
        <v>153</v>
      </c>
      <c r="B12" s="13" t="s">
        <v>268</v>
      </c>
      <c r="C12" s="133">
        <v>114498.80266500005</v>
      </c>
      <c r="D12" s="133">
        <v>157385.93656700006</v>
      </c>
      <c r="E12" s="157">
        <f t="shared" si="0"/>
        <v>0.37456403825880114</v>
      </c>
      <c r="F12" s="158">
        <f t="shared" si="1"/>
        <v>2.0201705028959654E-2</v>
      </c>
      <c r="G12" s="159">
        <f t="shared" si="2"/>
        <v>0.75668322153602585</v>
      </c>
      <c r="J12" s="38"/>
      <c r="K12" s="38"/>
    </row>
    <row r="13" spans="1:11" ht="11.1" customHeight="1" x14ac:dyDescent="0.25">
      <c r="A13" s="94" t="s">
        <v>155</v>
      </c>
      <c r="B13" s="13" t="s">
        <v>274</v>
      </c>
      <c r="C13" s="133">
        <v>94332.56330899999</v>
      </c>
      <c r="D13" s="133">
        <v>119875.87125500001</v>
      </c>
      <c r="E13" s="157">
        <f t="shared" si="0"/>
        <v>0.27077932635339508</v>
      </c>
      <c r="F13" s="158">
        <f t="shared" si="1"/>
        <v>1.6643655429041504E-2</v>
      </c>
      <c r="G13" s="159">
        <f t="shared" si="2"/>
        <v>0.45067578051338852</v>
      </c>
      <c r="J13" s="38"/>
    </row>
    <row r="14" spans="1:11" ht="11.1" customHeight="1" x14ac:dyDescent="0.25">
      <c r="A14" s="94" t="s">
        <v>151</v>
      </c>
      <c r="B14" s="13" t="s">
        <v>259</v>
      </c>
      <c r="C14" s="133">
        <v>103415.43967700012</v>
      </c>
      <c r="D14" s="133">
        <v>110841.22469599998</v>
      </c>
      <c r="E14" s="157">
        <f t="shared" si="0"/>
        <v>7.1805380726446488E-2</v>
      </c>
      <c r="F14" s="158">
        <f t="shared" si="1"/>
        <v>1.8246201350309344E-2</v>
      </c>
      <c r="G14" s="159">
        <f t="shared" si="2"/>
        <v>0.13101754347703645</v>
      </c>
      <c r="J14" s="38"/>
    </row>
    <row r="15" spans="1:11" ht="11.1" customHeight="1" x14ac:dyDescent="0.25">
      <c r="A15" s="94" t="s">
        <v>35</v>
      </c>
      <c r="B15" s="13" t="s">
        <v>278</v>
      </c>
      <c r="C15" s="133">
        <v>90461.12911199985</v>
      </c>
      <c r="D15" s="133">
        <v>104095.63810800006</v>
      </c>
      <c r="E15" s="157">
        <f t="shared" si="0"/>
        <v>0.15072229508786394</v>
      </c>
      <c r="F15" s="158">
        <f t="shared" si="1"/>
        <v>1.5960595258398068E-2</v>
      </c>
      <c r="G15" s="159">
        <f t="shared" si="2"/>
        <v>0.24056175483142356</v>
      </c>
      <c r="J15" s="38"/>
    </row>
    <row r="16" spans="1:11" ht="33" customHeight="1" x14ac:dyDescent="0.25">
      <c r="A16" s="94" t="s">
        <v>152</v>
      </c>
      <c r="B16" s="13" t="s">
        <v>275</v>
      </c>
      <c r="C16" s="133">
        <v>85189.60186499999</v>
      </c>
      <c r="D16" s="133">
        <v>97273.777506000013</v>
      </c>
      <c r="E16" s="157">
        <f t="shared" si="0"/>
        <v>0.14185035939186363</v>
      </c>
      <c r="F16" s="158">
        <f t="shared" si="1"/>
        <v>1.5030508340305187E-2</v>
      </c>
      <c r="G16" s="159">
        <f t="shared" si="2"/>
        <v>0.21320830099146945</v>
      </c>
      <c r="I16" s="212"/>
      <c r="J16" s="38"/>
    </row>
    <row r="17" spans="1:12" ht="11.1" customHeight="1" x14ac:dyDescent="0.25">
      <c r="A17" s="94" t="s">
        <v>34</v>
      </c>
      <c r="B17" s="13" t="s">
        <v>283</v>
      </c>
      <c r="C17" s="133">
        <v>93243.376841000019</v>
      </c>
      <c r="D17" s="133">
        <v>97023.502348999988</v>
      </c>
      <c r="E17" s="157">
        <f t="shared" si="0"/>
        <v>4.0540418376802112E-2</v>
      </c>
      <c r="F17" s="158">
        <f t="shared" si="1"/>
        <v>1.645148377976717E-2</v>
      </c>
      <c r="G17" s="159">
        <f t="shared" si="2"/>
        <v>6.6695003535093486E-2</v>
      </c>
      <c r="J17" s="38"/>
    </row>
    <row r="18" spans="1:12" ht="11.1" customHeight="1" x14ac:dyDescent="0.25">
      <c r="A18" s="94" t="s">
        <v>150</v>
      </c>
      <c r="B18" s="13" t="s">
        <v>224</v>
      </c>
      <c r="C18" s="133">
        <v>91178.506842000075</v>
      </c>
      <c r="D18" s="133">
        <v>86115.75018399999</v>
      </c>
      <c r="E18" s="157">
        <f t="shared" si="0"/>
        <v>-5.5525768444236068E-2</v>
      </c>
      <c r="F18" s="158">
        <f t="shared" si="1"/>
        <v>1.6087166479742721E-2</v>
      </c>
      <c r="G18" s="159">
        <f t="shared" si="2"/>
        <v>-8.932522808780706E-2</v>
      </c>
      <c r="J18" s="38"/>
    </row>
    <row r="19" spans="1:12" ht="11.1" customHeight="1" x14ac:dyDescent="0.25">
      <c r="A19" s="94" t="s">
        <v>189</v>
      </c>
      <c r="B19" s="13" t="s">
        <v>286</v>
      </c>
      <c r="C19" s="133">
        <v>35208.059152000009</v>
      </c>
      <c r="D19" s="133">
        <v>80561.670903000006</v>
      </c>
      <c r="E19" s="157">
        <f t="shared" si="0"/>
        <v>1.2881599509703068</v>
      </c>
      <c r="F19" s="158">
        <f t="shared" si="1"/>
        <v>6.2119673662603819E-3</v>
      </c>
      <c r="G19" s="159">
        <f t="shared" si="2"/>
        <v>0.80020075779511191</v>
      </c>
      <c r="J19" s="38"/>
    </row>
    <row r="20" spans="1:12" ht="11.1" customHeight="1" x14ac:dyDescent="0.25">
      <c r="A20" s="94" t="s">
        <v>66</v>
      </c>
      <c r="B20" s="13" t="s">
        <v>240</v>
      </c>
      <c r="C20" s="133">
        <v>123181.7747620001</v>
      </c>
      <c r="D20" s="133">
        <v>74515.650818000009</v>
      </c>
      <c r="E20" s="157">
        <f t="shared" si="0"/>
        <v>-0.39507568419133487</v>
      </c>
      <c r="F20" s="158">
        <f t="shared" si="1"/>
        <v>2.1733693460240445E-2</v>
      </c>
      <c r="G20" s="159">
        <v>1.4051863259540447</v>
      </c>
      <c r="J20" s="38"/>
    </row>
    <row r="21" spans="1:12" ht="25.5" x14ac:dyDescent="0.25">
      <c r="A21" s="94" t="s">
        <v>154</v>
      </c>
      <c r="B21" s="13" t="s">
        <v>270</v>
      </c>
      <c r="C21" s="133">
        <v>57143.307493999993</v>
      </c>
      <c r="D21" s="133">
        <v>72286.689491999976</v>
      </c>
      <c r="E21" s="157">
        <f t="shared" si="0"/>
        <v>0.26500709640564701</v>
      </c>
      <c r="F21" s="158">
        <f t="shared" si="1"/>
        <v>1.0082133747288537E-2</v>
      </c>
      <c r="G21" s="159">
        <f t="shared" ref="G21:G58" si="3">F21*E21*100</f>
        <v>0.26718369899423206</v>
      </c>
      <c r="J21" s="38"/>
      <c r="L21" s="38"/>
    </row>
    <row r="22" spans="1:12" ht="11.1" customHeight="1" x14ac:dyDescent="0.25">
      <c r="A22" s="94" t="s">
        <v>160</v>
      </c>
      <c r="B22" s="13" t="s">
        <v>272</v>
      </c>
      <c r="C22" s="133">
        <v>46474.514835000002</v>
      </c>
      <c r="D22" s="133">
        <v>66375.219808000009</v>
      </c>
      <c r="E22" s="157">
        <f t="shared" si="0"/>
        <v>0.42820683644905455</v>
      </c>
      <c r="F22" s="158">
        <f t="shared" si="1"/>
        <v>8.1997751785021188E-3</v>
      </c>
      <c r="G22" s="159">
        <f t="shared" si="3"/>
        <v>0.3511199788779874</v>
      </c>
      <c r="J22" s="38"/>
      <c r="K22" s="211"/>
    </row>
    <row r="23" spans="1:12" ht="11.1" customHeight="1" x14ac:dyDescent="0.25">
      <c r="A23" s="94" t="s">
        <v>117</v>
      </c>
      <c r="B23" s="13" t="s">
        <v>281</v>
      </c>
      <c r="C23" s="133">
        <v>58517.031999000035</v>
      </c>
      <c r="D23" s="133">
        <v>66375.083256000042</v>
      </c>
      <c r="E23" s="157">
        <f t="shared" si="0"/>
        <v>0.13428656561279961</v>
      </c>
      <c r="F23" s="158">
        <f t="shared" si="1"/>
        <v>1.0324508135449257E-2</v>
      </c>
      <c r="G23" s="159">
        <f t="shared" si="3"/>
        <v>0.13864427391508902</v>
      </c>
      <c r="J23" s="38"/>
    </row>
    <row r="24" spans="1:12" ht="11.1" customHeight="1" x14ac:dyDescent="0.25">
      <c r="A24" s="94" t="s">
        <v>157</v>
      </c>
      <c r="B24" s="13" t="s">
        <v>215</v>
      </c>
      <c r="C24" s="133">
        <v>55943.003825999993</v>
      </c>
      <c r="D24" s="133">
        <v>62571.243696999998</v>
      </c>
      <c r="E24" s="157">
        <f t="shared" si="0"/>
        <v>0.11848201593922059</v>
      </c>
      <c r="F24" s="158">
        <f t="shared" si="1"/>
        <v>9.8703570292641603E-3</v>
      </c>
      <c r="G24" s="159">
        <f t="shared" si="3"/>
        <v>0.11694597988670741</v>
      </c>
      <c r="J24" s="38"/>
    </row>
    <row r="25" spans="1:12" ht="11.1" customHeight="1" x14ac:dyDescent="0.25">
      <c r="A25" s="94" t="s">
        <v>166</v>
      </c>
      <c r="B25" s="13" t="s">
        <v>328</v>
      </c>
      <c r="C25" s="133">
        <v>77729.05334700011</v>
      </c>
      <c r="D25" s="133">
        <v>61484.016136000006</v>
      </c>
      <c r="E25" s="157">
        <f t="shared" si="0"/>
        <v>-0.20899569094812687</v>
      </c>
      <c r="F25" s="158">
        <f t="shared" si="1"/>
        <v>1.3714199374561335E-2</v>
      </c>
      <c r="G25" s="159">
        <f t="shared" si="3"/>
        <v>-0.2866208574086816</v>
      </c>
      <c r="J25" s="38"/>
      <c r="L25" s="212"/>
    </row>
    <row r="26" spans="1:12" ht="11.1" customHeight="1" x14ac:dyDescent="0.25">
      <c r="A26" s="94" t="s">
        <v>198</v>
      </c>
      <c r="B26" s="13" t="s">
        <v>312</v>
      </c>
      <c r="C26" s="133" t="s">
        <v>351</v>
      </c>
      <c r="D26" s="133">
        <v>54641.335355000003</v>
      </c>
      <c r="E26" s="133" t="s">
        <v>351</v>
      </c>
      <c r="F26" s="133" t="s">
        <v>351</v>
      </c>
      <c r="G26" s="159">
        <v>-1.2997621157429653</v>
      </c>
      <c r="J26" s="38"/>
      <c r="L26" s="212"/>
    </row>
    <row r="27" spans="1:12" ht="11.1" customHeight="1" x14ac:dyDescent="0.2">
      <c r="A27" s="94" t="s">
        <v>159</v>
      </c>
      <c r="B27" s="13" t="s">
        <v>214</v>
      </c>
      <c r="C27" s="133">
        <v>40453.546428000016</v>
      </c>
      <c r="D27" s="133">
        <v>44673.580980999992</v>
      </c>
      <c r="E27" s="157">
        <f t="shared" si="0"/>
        <v>0.10431803699858233</v>
      </c>
      <c r="F27" s="158">
        <f t="shared" si="1"/>
        <v>7.1374598973303633E-3</v>
      </c>
      <c r="G27" s="159">
        <f t="shared" si="3"/>
        <v>7.4456580564560657E-2</v>
      </c>
      <c r="J27" s="22"/>
    </row>
    <row r="28" spans="1:12" ht="11.1" customHeight="1" x14ac:dyDescent="0.2">
      <c r="A28" s="94" t="s">
        <v>116</v>
      </c>
      <c r="B28" s="13" t="s">
        <v>250</v>
      </c>
      <c r="C28" s="133">
        <v>39221.733961999955</v>
      </c>
      <c r="D28" s="133">
        <v>43807.302895000001</v>
      </c>
      <c r="E28" s="157">
        <f t="shared" si="0"/>
        <v>0.11691397778187929</v>
      </c>
      <c r="F28" s="158">
        <f t="shared" si="1"/>
        <v>6.9201238945955906E-3</v>
      </c>
      <c r="G28" s="159">
        <f t="shared" si="3"/>
        <v>8.0905921126060085E-2</v>
      </c>
    </row>
    <row r="29" spans="1:12" ht="25.5" x14ac:dyDescent="0.2">
      <c r="A29" s="94" t="s">
        <v>161</v>
      </c>
      <c r="B29" s="13" t="s">
        <v>287</v>
      </c>
      <c r="C29" s="133">
        <v>41741.20117800001</v>
      </c>
      <c r="D29" s="133">
        <v>43795.563955000005</v>
      </c>
      <c r="E29" s="157">
        <f t="shared" si="0"/>
        <v>4.9216666483540505E-2</v>
      </c>
      <c r="F29" s="158">
        <f t="shared" si="1"/>
        <v>7.364648486496198E-3</v>
      </c>
      <c r="G29" s="159">
        <f t="shared" si="3"/>
        <v>3.6246344832839478E-2</v>
      </c>
      <c r="H29" s="173"/>
    </row>
    <row r="30" spans="1:12" ht="11.1" customHeight="1" x14ac:dyDescent="0.2">
      <c r="A30" s="94" t="s">
        <v>171</v>
      </c>
      <c r="B30" s="13" t="s">
        <v>269</v>
      </c>
      <c r="C30" s="133">
        <v>43581.134062999969</v>
      </c>
      <c r="D30" s="133">
        <v>43433.072276000006</v>
      </c>
      <c r="E30" s="157">
        <f t="shared" si="0"/>
        <v>-3.3973826102351445E-3</v>
      </c>
      <c r="F30" s="158">
        <f t="shared" si="1"/>
        <v>7.6892787931082509E-3</v>
      </c>
      <c r="G30" s="159">
        <f t="shared" si="3"/>
        <v>-2.6123422056955853E-3</v>
      </c>
    </row>
    <row r="31" spans="1:12" ht="11.1" customHeight="1" x14ac:dyDescent="0.2">
      <c r="A31" s="94" t="s">
        <v>173</v>
      </c>
      <c r="B31" s="13" t="s">
        <v>256</v>
      </c>
      <c r="C31" s="133">
        <v>38428.920744999981</v>
      </c>
      <c r="D31" s="133">
        <v>42480.651943000019</v>
      </c>
      <c r="E31" s="157">
        <f t="shared" si="0"/>
        <v>0.10543442593368213</v>
      </c>
      <c r="F31" s="158">
        <f t="shared" si="1"/>
        <v>6.780243141433882E-3</v>
      </c>
      <c r="G31" s="159">
        <f t="shared" si="3"/>
        <v>7.1487104330786685E-2</v>
      </c>
      <c r="I31" s="22"/>
    </row>
    <row r="32" spans="1:12" ht="11.1" customHeight="1" x14ac:dyDescent="0.2">
      <c r="A32" s="94" t="s">
        <v>113</v>
      </c>
      <c r="B32" s="13" t="s">
        <v>252</v>
      </c>
      <c r="C32" s="133">
        <v>53113.72163599998</v>
      </c>
      <c r="D32" s="133">
        <v>41779.296631000005</v>
      </c>
      <c r="E32" s="157">
        <f t="shared" si="0"/>
        <v>-0.2133991867991718</v>
      </c>
      <c r="F32" s="158">
        <f t="shared" si="1"/>
        <v>9.3711699380829815E-3</v>
      </c>
      <c r="G32" s="159">
        <f t="shared" si="3"/>
        <v>-0.19998000441437533</v>
      </c>
    </row>
    <row r="33" spans="1:7" ht="25.5" x14ac:dyDescent="0.2">
      <c r="A33" s="94" t="s">
        <v>164</v>
      </c>
      <c r="B33" s="13" t="s">
        <v>290</v>
      </c>
      <c r="C33" s="133">
        <v>26902.013492000005</v>
      </c>
      <c r="D33" s="133">
        <v>39196.935650999993</v>
      </c>
      <c r="E33" s="157">
        <f t="shared" si="0"/>
        <v>0.4570260944466551</v>
      </c>
      <c r="F33" s="158">
        <f t="shared" si="1"/>
        <v>4.7464823089945173E-3</v>
      </c>
      <c r="G33" s="159">
        <f t="shared" si="3"/>
        <v>0.21692662720399059</v>
      </c>
    </row>
    <row r="34" spans="1:7" ht="11.1" customHeight="1" x14ac:dyDescent="0.2">
      <c r="A34" s="94" t="s">
        <v>191</v>
      </c>
      <c r="B34" s="13" t="s">
        <v>288</v>
      </c>
      <c r="C34" s="133">
        <v>14549.619672999997</v>
      </c>
      <c r="D34" s="133">
        <v>38839.064261</v>
      </c>
      <c r="E34" s="157">
        <f t="shared" si="0"/>
        <v>1.6694212724387829</v>
      </c>
      <c r="F34" s="158">
        <f t="shared" si="1"/>
        <v>2.5670759700209679E-3</v>
      </c>
      <c r="G34" s="159">
        <f t="shared" si="3"/>
        <v>0.42855312323194272</v>
      </c>
    </row>
    <row r="35" spans="1:7" ht="11.1" customHeight="1" x14ac:dyDescent="0.2">
      <c r="A35" s="94" t="s">
        <v>163</v>
      </c>
      <c r="B35" s="13" t="s">
        <v>285</v>
      </c>
      <c r="C35" s="133">
        <v>37097.128860000019</v>
      </c>
      <c r="D35" s="133">
        <v>38449.168885999992</v>
      </c>
      <c r="E35" s="157">
        <f t="shared" si="0"/>
        <v>3.6445947908863907E-2</v>
      </c>
      <c r="F35" s="158">
        <f t="shared" si="1"/>
        <v>6.5452671749213912E-3</v>
      </c>
      <c r="G35" s="159">
        <f t="shared" si="3"/>
        <v>2.3854846650678184E-2</v>
      </c>
    </row>
    <row r="36" spans="1:7" ht="11.1" customHeight="1" x14ac:dyDescent="0.2">
      <c r="A36" s="94" t="s">
        <v>187</v>
      </c>
      <c r="B36" s="13" t="s">
        <v>271</v>
      </c>
      <c r="C36" s="133">
        <v>34784.643947000048</v>
      </c>
      <c r="D36" s="133">
        <v>35666.069653999992</v>
      </c>
      <c r="E36" s="157">
        <f t="shared" si="0"/>
        <v>2.5339506373643905E-2</v>
      </c>
      <c r="F36" s="158">
        <f t="shared" si="1"/>
        <v>6.1372617022962608E-3</v>
      </c>
      <c r="G36" s="159">
        <f t="shared" si="3"/>
        <v>1.5551518202205674E-2</v>
      </c>
    </row>
    <row r="37" spans="1:7" ht="11.1" customHeight="1" x14ac:dyDescent="0.2">
      <c r="A37" s="94" t="s">
        <v>192</v>
      </c>
      <c r="B37" s="13" t="s">
        <v>265</v>
      </c>
      <c r="C37" s="133">
        <v>25217.182026000006</v>
      </c>
      <c r="D37" s="133">
        <v>35655.416390000006</v>
      </c>
      <c r="E37" s="157">
        <f t="shared" si="0"/>
        <v>0.41393341862059474</v>
      </c>
      <c r="F37" s="158">
        <f t="shared" si="1"/>
        <v>4.4492174685994137E-3</v>
      </c>
      <c r="G37" s="159">
        <f t="shared" si="3"/>
        <v>0.18416797969638238</v>
      </c>
    </row>
    <row r="38" spans="1:7" ht="11.1" customHeight="1" x14ac:dyDescent="0.2">
      <c r="A38" s="94" t="s">
        <v>158</v>
      </c>
      <c r="B38" s="13" t="s">
        <v>325</v>
      </c>
      <c r="C38" s="133">
        <v>35758.768449999996</v>
      </c>
      <c r="D38" s="133">
        <v>34978.577817999998</v>
      </c>
      <c r="E38" s="157">
        <f t="shared" si="0"/>
        <v>-2.1818162812036079E-2</v>
      </c>
      <c r="F38" s="158">
        <f t="shared" si="1"/>
        <v>6.3091322844600201E-3</v>
      </c>
      <c r="G38" s="159">
        <f t="shared" si="3"/>
        <v>-1.3765367538502184E-2</v>
      </c>
    </row>
    <row r="39" spans="1:7" ht="11.1" customHeight="1" x14ac:dyDescent="0.2">
      <c r="A39" s="94" t="s">
        <v>136</v>
      </c>
      <c r="B39" s="13" t="s">
        <v>257</v>
      </c>
      <c r="C39" s="133">
        <v>28952.220640000003</v>
      </c>
      <c r="D39" s="133">
        <v>34064.529819999989</v>
      </c>
      <c r="E39" s="157">
        <f t="shared" si="0"/>
        <v>0.17657744611606363</v>
      </c>
      <c r="F39" s="158">
        <f t="shared" si="1"/>
        <v>5.1082125549721993E-3</v>
      </c>
      <c r="G39" s="159">
        <f t="shared" si="3"/>
        <v>9.0199512717500319E-2</v>
      </c>
    </row>
    <row r="40" spans="1:7" ht="11.1" customHeight="1" x14ac:dyDescent="0.2">
      <c r="A40" s="94" t="s">
        <v>156</v>
      </c>
      <c r="B40" s="13" t="s">
        <v>329</v>
      </c>
      <c r="C40" s="133">
        <v>27911.624911999999</v>
      </c>
      <c r="D40" s="133">
        <v>33907.977481000002</v>
      </c>
      <c r="E40" s="157">
        <f t="shared" si="0"/>
        <v>0.21483351785879012</v>
      </c>
      <c r="F40" s="158">
        <f t="shared" si="1"/>
        <v>4.924614059073888E-3</v>
      </c>
      <c r="G40" s="159">
        <f t="shared" si="3"/>
        <v>0.10579721624076989</v>
      </c>
    </row>
    <row r="41" spans="1:7" ht="11.1" customHeight="1" x14ac:dyDescent="0.2">
      <c r="A41" s="94" t="s">
        <v>165</v>
      </c>
      <c r="B41" s="13" t="s">
        <v>264</v>
      </c>
      <c r="C41" s="133">
        <v>33541.564192000005</v>
      </c>
      <c r="D41" s="133">
        <v>32437.290423999999</v>
      </c>
      <c r="E41" s="157">
        <f t="shared" si="0"/>
        <v>-3.292254832478525E-2</v>
      </c>
      <c r="F41" s="158">
        <f t="shared" si="1"/>
        <v>5.9179377447221735E-3</v>
      </c>
      <c r="G41" s="159">
        <f t="shared" si="3"/>
        <v>-1.9483359138368642E-2</v>
      </c>
    </row>
    <row r="42" spans="1:7" ht="25.5" x14ac:dyDescent="0.2">
      <c r="A42" s="94" t="s">
        <v>109</v>
      </c>
      <c r="B42" s="13" t="s">
        <v>248</v>
      </c>
      <c r="C42" s="133">
        <v>30001.871312999996</v>
      </c>
      <c r="D42" s="133">
        <v>31284.411969999997</v>
      </c>
      <c r="E42" s="157">
        <f t="shared" si="0"/>
        <v>4.2748688694103754E-2</v>
      </c>
      <c r="F42" s="158">
        <f t="shared" si="1"/>
        <v>5.2934086686943277E-3</v>
      </c>
      <c r="G42" s="159">
        <f t="shared" si="3"/>
        <v>2.2628627930868402E-2</v>
      </c>
    </row>
    <row r="43" spans="1:7" ht="25.5" x14ac:dyDescent="0.2">
      <c r="A43" s="94" t="s">
        <v>167</v>
      </c>
      <c r="B43" s="13" t="s">
        <v>261</v>
      </c>
      <c r="C43" s="133">
        <v>31353.598515999962</v>
      </c>
      <c r="D43" s="133">
        <v>30355.787864999998</v>
      </c>
      <c r="E43" s="157">
        <f t="shared" si="0"/>
        <v>-3.1824437966531116E-2</v>
      </c>
      <c r="F43" s="158">
        <f t="shared" si="1"/>
        <v>5.5319019419779025E-3</v>
      </c>
      <c r="G43" s="159">
        <f t="shared" si="3"/>
        <v>-1.7604967018940879E-2</v>
      </c>
    </row>
    <row r="44" spans="1:7" ht="25.5" x14ac:dyDescent="0.2">
      <c r="A44" s="94" t="s">
        <v>172</v>
      </c>
      <c r="B44" s="13" t="s">
        <v>293</v>
      </c>
      <c r="C44" s="133">
        <v>23857.554889999999</v>
      </c>
      <c r="D44" s="133">
        <v>30261.283004999998</v>
      </c>
      <c r="E44" s="157">
        <f t="shared" si="0"/>
        <v>0.26841510559341297</v>
      </c>
      <c r="F44" s="158">
        <f t="shared" si="1"/>
        <v>4.2093303631315646E-3</v>
      </c>
      <c r="G44" s="159">
        <f t="shared" si="3"/>
        <v>0.11298478538975182</v>
      </c>
    </row>
    <row r="45" spans="1:7" ht="11.1" customHeight="1" x14ac:dyDescent="0.2">
      <c r="A45" s="94" t="s">
        <v>186</v>
      </c>
      <c r="B45" s="13" t="s">
        <v>267</v>
      </c>
      <c r="C45" s="133">
        <v>29168.467620999982</v>
      </c>
      <c r="D45" s="133">
        <v>29855.137786999996</v>
      </c>
      <c r="E45" s="157">
        <f t="shared" si="0"/>
        <v>2.3541523501414252E-2</v>
      </c>
      <c r="F45" s="158">
        <f t="shared" si="1"/>
        <v>5.14636629651259E-3</v>
      </c>
      <c r="G45" s="159">
        <f t="shared" si="3"/>
        <v>1.2115330311623736E-2</v>
      </c>
    </row>
    <row r="46" spans="1:7" ht="25.5" x14ac:dyDescent="0.2">
      <c r="A46" s="94" t="s">
        <v>137</v>
      </c>
      <c r="B46" s="13" t="s">
        <v>258</v>
      </c>
      <c r="C46" s="133">
        <v>23017.275167999989</v>
      </c>
      <c r="D46" s="133">
        <v>29304.945622999992</v>
      </c>
      <c r="E46" s="157">
        <f t="shared" si="0"/>
        <v>0.27317179853423768</v>
      </c>
      <c r="F46" s="158">
        <f t="shared" si="1"/>
        <v>4.0610748120641351E-3</v>
      </c>
      <c r="G46" s="159">
        <f t="shared" si="3"/>
        <v>0.11093711103936511</v>
      </c>
    </row>
    <row r="47" spans="1:7" ht="11.1" customHeight="1" x14ac:dyDescent="0.2">
      <c r="A47" s="94" t="s">
        <v>162</v>
      </c>
      <c r="B47" s="13" t="s">
        <v>324</v>
      </c>
      <c r="C47" s="133">
        <v>14275.034100999999</v>
      </c>
      <c r="D47" s="133">
        <v>27031.391073999999</v>
      </c>
      <c r="E47" s="157">
        <f t="shared" si="0"/>
        <v>0.89361306479165514</v>
      </c>
      <c r="F47" s="158">
        <f t="shared" si="1"/>
        <v>2.5186292037523124E-3</v>
      </c>
      <c r="G47" s="159">
        <f t="shared" si="3"/>
        <v>0.22506799618388701</v>
      </c>
    </row>
    <row r="48" spans="1:7" ht="11.1" customHeight="1" x14ac:dyDescent="0.2">
      <c r="A48" s="94" t="s">
        <v>170</v>
      </c>
      <c r="B48" s="13" t="s">
        <v>284</v>
      </c>
      <c r="C48" s="133">
        <v>18312.335543000001</v>
      </c>
      <c r="D48" s="133">
        <v>26824.222095999994</v>
      </c>
      <c r="E48" s="157">
        <f t="shared" si="0"/>
        <v>0.46481709190031273</v>
      </c>
      <c r="F48" s="158">
        <f t="shared" si="1"/>
        <v>3.2309543193511751E-3</v>
      </c>
      <c r="G48" s="159">
        <f t="shared" si="3"/>
        <v>0.15018027907835677</v>
      </c>
    </row>
    <row r="49" spans="1:7" ht="11.1" customHeight="1" x14ac:dyDescent="0.2">
      <c r="A49" s="94" t="s">
        <v>196</v>
      </c>
      <c r="B49" s="13" t="s">
        <v>276</v>
      </c>
      <c r="C49" s="133">
        <v>27878.728535999995</v>
      </c>
      <c r="D49" s="133">
        <v>26501.038329999999</v>
      </c>
      <c r="E49" s="157">
        <f t="shared" si="0"/>
        <v>-4.9417253883044743E-2</v>
      </c>
      <c r="F49" s="158">
        <f t="shared" si="1"/>
        <v>4.9188099557207878E-3</v>
      </c>
      <c r="G49" s="159">
        <f t="shared" si="3"/>
        <v>-2.4307408038430223E-2</v>
      </c>
    </row>
    <row r="50" spans="1:7" ht="11.1" customHeight="1" x14ac:dyDescent="0.2">
      <c r="A50" s="94" t="s">
        <v>65</v>
      </c>
      <c r="B50" s="13" t="s">
        <v>263</v>
      </c>
      <c r="C50" s="133">
        <v>46170.976126000001</v>
      </c>
      <c r="D50" s="133">
        <v>25594.056340999996</v>
      </c>
      <c r="E50" s="157">
        <f t="shared" si="0"/>
        <v>-0.44566785265370734</v>
      </c>
      <c r="F50" s="158">
        <f t="shared" si="1"/>
        <v>8.1462200379996425E-3</v>
      </c>
      <c r="G50" s="159">
        <f t="shared" si="3"/>
        <v>-0.3630508391579903</v>
      </c>
    </row>
    <row r="51" spans="1:7" ht="24" customHeight="1" x14ac:dyDescent="0.2">
      <c r="A51" s="94" t="s">
        <v>185</v>
      </c>
      <c r="B51" s="13" t="s">
        <v>262</v>
      </c>
      <c r="C51" s="133">
        <v>22327.726846000005</v>
      </c>
      <c r="D51" s="133">
        <v>24877.323072000007</v>
      </c>
      <c r="E51" s="157">
        <f t="shared" si="0"/>
        <v>0.11418969085322539</v>
      </c>
      <c r="F51" s="158">
        <f t="shared" si="1"/>
        <v>3.9394136987596206E-3</v>
      </c>
      <c r="G51" s="159">
        <f t="shared" si="3"/>
        <v>4.4984043240432224E-2</v>
      </c>
    </row>
    <row r="52" spans="1:7" ht="11.1" customHeight="1" x14ac:dyDescent="0.2">
      <c r="A52" s="94" t="s">
        <v>190</v>
      </c>
      <c r="B52" s="13" t="s">
        <v>330</v>
      </c>
      <c r="C52" s="133">
        <v>19676.280728999998</v>
      </c>
      <c r="D52" s="133">
        <v>22831.264623999992</v>
      </c>
      <c r="E52" s="157">
        <f>IFERROR(((D52/C52-1)),"")</f>
        <v>0.16034452539346034</v>
      </c>
      <c r="F52" s="158">
        <f t="shared" si="1"/>
        <v>3.4716032840731805E-3</v>
      </c>
      <c r="G52" s="159">
        <f t="shared" si="3"/>
        <v>5.5665258093909244E-2</v>
      </c>
    </row>
    <row r="53" spans="1:7" ht="11.1" customHeight="1" x14ac:dyDescent="0.2">
      <c r="A53" s="94" t="s">
        <v>174</v>
      </c>
      <c r="B53" s="13" t="s">
        <v>323</v>
      </c>
      <c r="C53" s="133">
        <v>23818.490258999991</v>
      </c>
      <c r="D53" s="133">
        <v>22636.332842000007</v>
      </c>
      <c r="E53" s="157">
        <f t="shared" si="0"/>
        <v>-4.9631920585449296E-2</v>
      </c>
      <c r="F53" s="158">
        <f t="shared" si="1"/>
        <v>4.2024379578473247E-3</v>
      </c>
      <c r="G53" s="159">
        <f t="shared" si="3"/>
        <v>-2.0857506698915614E-2</v>
      </c>
    </row>
    <row r="54" spans="1:7" ht="11.1" customHeight="1" x14ac:dyDescent="0.2">
      <c r="A54" s="94" t="s">
        <v>168</v>
      </c>
      <c r="B54" s="13" t="s">
        <v>216</v>
      </c>
      <c r="C54" s="133">
        <v>17126.131803999997</v>
      </c>
      <c r="D54" s="133">
        <v>22229.088959000001</v>
      </c>
      <c r="E54" s="157">
        <f t="shared" si="0"/>
        <v>0.29796320695185541</v>
      </c>
      <c r="F54" s="158">
        <f t="shared" si="1"/>
        <v>3.0216653356956958E-3</v>
      </c>
      <c r="G54" s="159">
        <f t="shared" si="3"/>
        <v>9.0034509375914437E-2</v>
      </c>
    </row>
    <row r="55" spans="1:7" ht="11.1" customHeight="1" x14ac:dyDescent="0.2">
      <c r="A55" s="94" t="s">
        <v>111</v>
      </c>
      <c r="B55" s="13" t="s">
        <v>247</v>
      </c>
      <c r="C55" s="133">
        <v>11913.244925000003</v>
      </c>
      <c r="D55" s="133">
        <v>21677.197928999998</v>
      </c>
      <c r="E55" s="157">
        <f t="shared" si="0"/>
        <v>0.81958803545709813</v>
      </c>
      <c r="F55" s="158">
        <f t="shared" si="1"/>
        <v>2.1019246866427529E-3</v>
      </c>
      <c r="G55" s="159">
        <f t="shared" si="3"/>
        <v>0.17227123246043105</v>
      </c>
    </row>
    <row r="56" spans="1:7" ht="11.1" customHeight="1" x14ac:dyDescent="0.2">
      <c r="A56" s="94" t="s">
        <v>138</v>
      </c>
      <c r="B56" s="13" t="s">
        <v>260</v>
      </c>
      <c r="C56" s="133">
        <v>32676.312007000019</v>
      </c>
      <c r="D56" s="133">
        <v>21447.796741999999</v>
      </c>
      <c r="E56" s="157">
        <f t="shared" si="0"/>
        <v>-0.3436285974559985</v>
      </c>
      <c r="F56" s="158">
        <f t="shared" si="1"/>
        <v>5.7652761534199987E-3</v>
      </c>
      <c r="G56" s="159">
        <f t="shared" si="3"/>
        <v>-0.1981113758546228</v>
      </c>
    </row>
    <row r="57" spans="1:7" ht="11.1" customHeight="1" x14ac:dyDescent="0.2">
      <c r="A57" s="94" t="s">
        <v>188</v>
      </c>
      <c r="B57" s="13" t="s">
        <v>212</v>
      </c>
      <c r="C57" s="133">
        <v>14278.040877999994</v>
      </c>
      <c r="D57" s="133">
        <v>20876.290183000008</v>
      </c>
      <c r="E57" s="157">
        <f t="shared" si="0"/>
        <v>0.46212567686136707</v>
      </c>
      <c r="F57" s="158">
        <f t="shared" si="1"/>
        <v>2.5191597073089263E-3</v>
      </c>
      <c r="G57" s="159">
        <f t="shared" si="3"/>
        <v>0.11641683848620209</v>
      </c>
    </row>
    <row r="58" spans="1:7" ht="11.1" customHeight="1" x14ac:dyDescent="0.2">
      <c r="A58" s="120"/>
      <c r="B58" s="160" t="s">
        <v>18</v>
      </c>
      <c r="C58" s="134">
        <v>1375883.9700729989</v>
      </c>
      <c r="D58" s="134">
        <v>1443806.3879520011</v>
      </c>
      <c r="E58" s="161">
        <f t="shared" si="0"/>
        <v>4.9366385070536589E-2</v>
      </c>
      <c r="F58" s="162">
        <f t="shared" si="1"/>
        <v>0.24275539543248956</v>
      </c>
      <c r="G58" s="163">
        <f t="shared" si="3"/>
        <v>1.198395632887066</v>
      </c>
    </row>
    <row r="59" spans="1:7" ht="8.1" customHeight="1" x14ac:dyDescent="0.2">
      <c r="A59" s="8" t="s">
        <v>44</v>
      </c>
      <c r="B59" s="37"/>
      <c r="C59" s="21"/>
      <c r="D59" s="21"/>
      <c r="E59" s="21"/>
      <c r="F59" s="21"/>
      <c r="G59" s="21"/>
    </row>
    <row r="60" spans="1:7" ht="8.1" customHeight="1" x14ac:dyDescent="0.2">
      <c r="A60" s="11" t="s">
        <v>20</v>
      </c>
      <c r="B60" s="37"/>
      <c r="C60" s="21"/>
      <c r="D60" s="21"/>
      <c r="E60" s="21"/>
      <c r="F60" s="21"/>
      <c r="G60" s="21"/>
    </row>
    <row r="61" spans="1:7" ht="8.1" customHeight="1" x14ac:dyDescent="0.2">
      <c r="A61" s="214" t="s">
        <v>348</v>
      </c>
      <c r="B61" s="11"/>
      <c r="C61" s="11"/>
      <c r="D61" s="11"/>
      <c r="E61" s="11"/>
      <c r="F61" s="11"/>
      <c r="G61" s="11"/>
    </row>
    <row r="62" spans="1:7" ht="8.1" customHeight="1" x14ac:dyDescent="0.2">
      <c r="A62" s="225" t="s">
        <v>349</v>
      </c>
    </row>
  </sheetData>
  <mergeCells count="7">
    <mergeCell ref="G4:G5"/>
    <mergeCell ref="A6:B6"/>
    <mergeCell ref="A2:E2"/>
    <mergeCell ref="A4:A5"/>
    <mergeCell ref="B4:B5"/>
    <mergeCell ref="C4:D4"/>
    <mergeCell ref="E4:E5"/>
  </mergeCells>
  <phoneticPr fontId="3" type="noConversion"/>
  <conditionalFormatting sqref="C8:G58">
    <cfRule type="containsBlanks" dxfId="53" priority="1">
      <formula>LEN(TRIM(C8))=0</formula>
    </cfRule>
  </conditionalFormatting>
  <pageMargins left="0.35039370078740162" right="0.35039370078740162" top="0.59055118110236227" bottom="0.59055118110236227" header="0" footer="0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4">
    <tabColor rgb="FFFFDDDD"/>
  </sheetPr>
  <dimension ref="A1:F62"/>
  <sheetViews>
    <sheetView showGridLines="0" zoomScaleNormal="100" zoomScalePageLayoutView="150" workbookViewId="0">
      <selection sqref="A1:F63"/>
    </sheetView>
  </sheetViews>
  <sheetFormatPr baseColWidth="10" defaultColWidth="11.42578125" defaultRowHeight="13.5" x14ac:dyDescent="0.2"/>
  <cols>
    <col min="1" max="1" width="19.42578125" style="15" customWidth="1"/>
    <col min="2" max="6" width="6.85546875" style="15" customWidth="1"/>
    <col min="7" max="16384" width="11.42578125" style="15"/>
  </cols>
  <sheetData>
    <row r="1" spans="1:6" ht="15" customHeight="1" x14ac:dyDescent="0.25">
      <c r="A1" s="82" t="s">
        <v>381</v>
      </c>
      <c r="B1" s="82"/>
      <c r="C1" s="82"/>
      <c r="D1" s="82"/>
      <c r="E1" s="82"/>
      <c r="F1" s="82"/>
    </row>
    <row r="2" spans="1:6" ht="11.25" customHeight="1" x14ac:dyDescent="0.25">
      <c r="A2" s="82" t="s">
        <v>382</v>
      </c>
      <c r="B2" s="82"/>
      <c r="C2" s="82"/>
      <c r="D2" s="82"/>
      <c r="E2" s="82"/>
      <c r="F2" s="82"/>
    </row>
    <row r="3" spans="1:6" ht="5.0999999999999996" customHeight="1" x14ac:dyDescent="0.2"/>
    <row r="4" spans="1:6" s="38" customFormat="1" ht="15" customHeight="1" x14ac:dyDescent="0.25">
      <c r="A4" s="288" t="s">
        <v>23</v>
      </c>
      <c r="B4" s="278" t="s">
        <v>355</v>
      </c>
      <c r="C4" s="279"/>
      <c r="D4" s="286" t="s">
        <v>327</v>
      </c>
      <c r="E4" s="199" t="s">
        <v>374</v>
      </c>
      <c r="F4" s="284" t="s">
        <v>376</v>
      </c>
    </row>
    <row r="5" spans="1:6" s="38" customFormat="1" ht="15" customHeight="1" x14ac:dyDescent="0.25">
      <c r="A5" s="288"/>
      <c r="B5" s="176">
        <v>2024</v>
      </c>
      <c r="C5" s="177" t="s">
        <v>315</v>
      </c>
      <c r="D5" s="287"/>
      <c r="E5" s="200">
        <v>2024</v>
      </c>
      <c r="F5" s="285"/>
    </row>
    <row r="6" spans="1:6" s="38" customFormat="1" ht="14.1" customHeight="1" x14ac:dyDescent="0.25">
      <c r="A6" s="179"/>
      <c r="B6" s="180">
        <f>SUM(B8:B58)</f>
        <v>5667779.155317002</v>
      </c>
      <c r="C6" s="180">
        <f>SUM(C8:C58)</f>
        <v>6169914.4130760022</v>
      </c>
      <c r="D6" s="181">
        <f>(C6/B6-1)</f>
        <v>8.8594711261454462E-2</v>
      </c>
      <c r="E6" s="181">
        <f>SUM(E7:E58)</f>
        <v>0.99999999999999956</v>
      </c>
      <c r="F6" s="201">
        <f>SUM(F7:F58)</f>
        <v>8.8594711261454187</v>
      </c>
    </row>
    <row r="7" spans="1:6" ht="3.95" customHeight="1" x14ac:dyDescent="0.2">
      <c r="A7" s="41"/>
      <c r="B7" s="103"/>
      <c r="C7" s="103"/>
      <c r="D7" s="103"/>
      <c r="E7" s="103"/>
      <c r="F7" s="156"/>
    </row>
    <row r="8" spans="1:6" ht="11.1" customHeight="1" x14ac:dyDescent="0.2">
      <c r="A8" s="13" t="s">
        <v>87</v>
      </c>
      <c r="B8" s="133">
        <v>1474403.4130630016</v>
      </c>
      <c r="C8" s="133">
        <v>1741493.8058820011</v>
      </c>
      <c r="D8" s="157">
        <f>IFERROR(((C8/B8-1)),"")</f>
        <v>0.18115150199234287</v>
      </c>
      <c r="E8" s="158">
        <f>B8/$B$6</f>
        <v>0.2601377669558364</v>
      </c>
      <c r="F8" s="159">
        <f>E8*D8*100</f>
        <v>4.7124347208983819</v>
      </c>
    </row>
    <row r="9" spans="1:6" ht="11.1" customHeight="1" x14ac:dyDescent="0.2">
      <c r="A9" s="13" t="s">
        <v>70</v>
      </c>
      <c r="B9" s="133">
        <v>704204.9103560003</v>
      </c>
      <c r="C9" s="133">
        <v>861220.265059</v>
      </c>
      <c r="D9" s="157">
        <f t="shared" ref="D9:D58" si="0">IFERROR(((C9/B9-1)),"")</f>
        <v>0.22296827584406209</v>
      </c>
      <c r="E9" s="158">
        <f t="shared" ref="E9:E58" si="1">B9/$B$6</f>
        <v>0.12424706239574956</v>
      </c>
      <c r="F9" s="159">
        <f t="shared" ref="F9:F58" si="2">E9*D9*100</f>
        <v>2.7703153281069883</v>
      </c>
    </row>
    <row r="10" spans="1:6" ht="11.1" customHeight="1" x14ac:dyDescent="0.2">
      <c r="A10" s="13" t="s">
        <v>86</v>
      </c>
      <c r="B10" s="133">
        <v>536917.94090899918</v>
      </c>
      <c r="C10" s="133">
        <v>557945.96051200002</v>
      </c>
      <c r="D10" s="157">
        <f t="shared" si="0"/>
        <v>3.9164307989784319E-2</v>
      </c>
      <c r="E10" s="158">
        <f t="shared" si="1"/>
        <v>9.4731627008668981E-2</v>
      </c>
      <c r="F10" s="159">
        <f t="shared" si="2"/>
        <v>0.37100986165408828</v>
      </c>
    </row>
    <row r="11" spans="1:6" ht="11.1" customHeight="1" x14ac:dyDescent="0.2">
      <c r="A11" s="13" t="s">
        <v>85</v>
      </c>
      <c r="B11" s="133">
        <v>508156.15265300055</v>
      </c>
      <c r="C11" s="133">
        <v>536526.43862999987</v>
      </c>
      <c r="D11" s="157">
        <f t="shared" si="0"/>
        <v>5.5829858260856735E-2</v>
      </c>
      <c r="E11" s="158">
        <f t="shared" si="1"/>
        <v>8.9657013572290306E-2</v>
      </c>
      <c r="F11" s="159">
        <f t="shared" si="2"/>
        <v>0.50055383598326764</v>
      </c>
    </row>
    <row r="12" spans="1:6" ht="11.1" customHeight="1" x14ac:dyDescent="0.2">
      <c r="A12" s="13" t="s">
        <v>84</v>
      </c>
      <c r="B12" s="133">
        <v>384681.66220600036</v>
      </c>
      <c r="C12" s="133">
        <v>413749.60415099916</v>
      </c>
      <c r="D12" s="157">
        <f t="shared" si="0"/>
        <v>7.5563627801505939E-2</v>
      </c>
      <c r="E12" s="158">
        <f t="shared" si="1"/>
        <v>6.7871674542069368E-2</v>
      </c>
      <c r="F12" s="159">
        <f t="shared" si="2"/>
        <v>0.51286299533618751</v>
      </c>
    </row>
    <row r="13" spans="1:6" ht="11.1" customHeight="1" x14ac:dyDescent="0.2">
      <c r="A13" s="13" t="s">
        <v>83</v>
      </c>
      <c r="B13" s="133">
        <v>263498.11142899998</v>
      </c>
      <c r="C13" s="133">
        <v>133275.51922900003</v>
      </c>
      <c r="D13" s="157">
        <f t="shared" si="0"/>
        <v>-0.49420692806403155</v>
      </c>
      <c r="E13" s="158">
        <f t="shared" si="1"/>
        <v>4.6490539629055534E-2</v>
      </c>
      <c r="F13" s="159">
        <f t="shared" si="2"/>
        <v>-2.2975946774114653</v>
      </c>
    </row>
    <row r="14" spans="1:6" ht="11.1" customHeight="1" x14ac:dyDescent="0.2">
      <c r="A14" s="13" t="s">
        <v>81</v>
      </c>
      <c r="B14" s="133">
        <v>258528.76272099922</v>
      </c>
      <c r="C14" s="133">
        <v>295902.52529099985</v>
      </c>
      <c r="D14" s="157">
        <f t="shared" si="0"/>
        <v>0.14456326706802014</v>
      </c>
      <c r="E14" s="158">
        <f t="shared" si="1"/>
        <v>4.5613767868578778E-2</v>
      </c>
      <c r="F14" s="159">
        <f t="shared" si="2"/>
        <v>0.65940753063640301</v>
      </c>
    </row>
    <row r="15" spans="1:6" ht="11.1" customHeight="1" x14ac:dyDescent="0.2">
      <c r="A15" s="13" t="s">
        <v>179</v>
      </c>
      <c r="B15" s="133">
        <v>181245.17606299993</v>
      </c>
      <c r="C15" s="133">
        <v>182014.32899200005</v>
      </c>
      <c r="D15" s="157">
        <f t="shared" si="0"/>
        <v>4.2437153126368976E-3</v>
      </c>
      <c r="E15" s="158">
        <f t="shared" si="1"/>
        <v>3.1978164832511508E-2</v>
      </c>
      <c r="F15" s="159">
        <f t="shared" si="2"/>
        <v>1.357062277697558E-2</v>
      </c>
    </row>
    <row r="16" spans="1:6" ht="11.1" customHeight="1" x14ac:dyDescent="0.2">
      <c r="A16" s="13" t="s">
        <v>119</v>
      </c>
      <c r="B16" s="133">
        <v>147969.79670500007</v>
      </c>
      <c r="C16" s="133">
        <v>149651.66649299985</v>
      </c>
      <c r="D16" s="157">
        <f t="shared" si="0"/>
        <v>1.1366304647649317E-2</v>
      </c>
      <c r="E16" s="158">
        <f t="shared" si="1"/>
        <v>2.6107191661867785E-2</v>
      </c>
      <c r="F16" s="159">
        <f t="shared" si="2"/>
        <v>2.9674229392335931E-2</v>
      </c>
    </row>
    <row r="17" spans="1:6" ht="11.1" customHeight="1" x14ac:dyDescent="0.2">
      <c r="A17" s="13" t="s">
        <v>78</v>
      </c>
      <c r="B17" s="133">
        <v>126737.48795100005</v>
      </c>
      <c r="C17" s="133">
        <v>158054.25430299994</v>
      </c>
      <c r="D17" s="157">
        <f t="shared" si="0"/>
        <v>0.24709947197397319</v>
      </c>
      <c r="E17" s="158">
        <f t="shared" si="1"/>
        <v>2.2361049094883366E-2</v>
      </c>
      <c r="F17" s="159">
        <f t="shared" si="2"/>
        <v>0.55254034241297711</v>
      </c>
    </row>
    <row r="18" spans="1:6" ht="11.1" customHeight="1" x14ac:dyDescent="0.2">
      <c r="A18" s="13" t="s">
        <v>73</v>
      </c>
      <c r="B18" s="133">
        <v>82891.171060000022</v>
      </c>
      <c r="C18" s="133">
        <v>89686.343137000062</v>
      </c>
      <c r="D18" s="157">
        <f t="shared" si="0"/>
        <v>8.1977030727210076E-2</v>
      </c>
      <c r="E18" s="158">
        <f t="shared" si="1"/>
        <v>1.4624982517577271E-2</v>
      </c>
      <c r="F18" s="159">
        <f t="shared" si="2"/>
        <v>0.1198912641228342</v>
      </c>
    </row>
    <row r="19" spans="1:6" ht="11.1" customHeight="1" x14ac:dyDescent="0.2">
      <c r="A19" s="13" t="s">
        <v>221</v>
      </c>
      <c r="B19" s="133">
        <v>77250.103111000033</v>
      </c>
      <c r="C19" s="133">
        <v>86102.715052000043</v>
      </c>
      <c r="D19" s="157">
        <f t="shared" si="0"/>
        <v>0.11459676536974661</v>
      </c>
      <c r="E19" s="158">
        <f t="shared" si="1"/>
        <v>1.3629695334641067E-2</v>
      </c>
      <c r="F19" s="159">
        <f t="shared" si="2"/>
        <v>0.15619189983249923</v>
      </c>
    </row>
    <row r="20" spans="1:6" ht="11.1" customHeight="1" x14ac:dyDescent="0.2">
      <c r="A20" s="13" t="s">
        <v>71</v>
      </c>
      <c r="B20" s="133">
        <v>76978.307005000141</v>
      </c>
      <c r="C20" s="133">
        <v>86723.430451000197</v>
      </c>
      <c r="D20" s="157">
        <f t="shared" si="0"/>
        <v>0.12659571020920302</v>
      </c>
      <c r="E20" s="158">
        <f t="shared" si="1"/>
        <v>1.3581740730456301E-2</v>
      </c>
      <c r="F20" s="159">
        <f t="shared" si="2"/>
        <v>0.17193901136493753</v>
      </c>
    </row>
    <row r="21" spans="1:6" ht="11.1" customHeight="1" x14ac:dyDescent="0.2">
      <c r="A21" s="13" t="s">
        <v>80</v>
      </c>
      <c r="B21" s="133">
        <v>67610.954138000001</v>
      </c>
      <c r="C21" s="133">
        <v>92504.561798999959</v>
      </c>
      <c r="D21" s="157">
        <f t="shared" si="0"/>
        <v>0.36818897142303131</v>
      </c>
      <c r="E21" s="158">
        <f t="shared" si="1"/>
        <v>1.1929002927817586E-2</v>
      </c>
      <c r="F21" s="159">
        <f t="shared" si="2"/>
        <v>0.43921273180954856</v>
      </c>
    </row>
    <row r="22" spans="1:6" ht="11.1" customHeight="1" x14ac:dyDescent="0.2">
      <c r="A22" s="13" t="s">
        <v>82</v>
      </c>
      <c r="B22" s="133">
        <v>64092.456471999976</v>
      </c>
      <c r="C22" s="133">
        <v>64610.875497000015</v>
      </c>
      <c r="D22" s="157">
        <f t="shared" si="0"/>
        <v>8.0886121945804579E-3</v>
      </c>
      <c r="E22" s="158">
        <f t="shared" si="1"/>
        <v>1.1308213449332123E-2</v>
      </c>
      <c r="F22" s="159">
        <f t="shared" si="2"/>
        <v>9.1467753205186544E-3</v>
      </c>
    </row>
    <row r="23" spans="1:6" ht="11.1" customHeight="1" x14ac:dyDescent="0.2">
      <c r="A23" s="13" t="s">
        <v>79</v>
      </c>
      <c r="B23" s="133">
        <v>59362.627602</v>
      </c>
      <c r="C23" s="133">
        <v>30592.516598000013</v>
      </c>
      <c r="D23" s="157">
        <f t="shared" si="0"/>
        <v>-0.48465022803388658</v>
      </c>
      <c r="E23" s="158">
        <f t="shared" si="1"/>
        <v>1.0473701599031307E-2</v>
      </c>
      <c r="F23" s="159">
        <f t="shared" si="2"/>
        <v>-0.50760818683294051</v>
      </c>
    </row>
    <row r="24" spans="1:6" ht="11.1" customHeight="1" x14ac:dyDescent="0.2">
      <c r="A24" s="13" t="s">
        <v>74</v>
      </c>
      <c r="B24" s="133">
        <v>52909.265819000044</v>
      </c>
      <c r="C24" s="133">
        <v>46581.35792900002</v>
      </c>
      <c r="D24" s="157">
        <f t="shared" si="0"/>
        <v>-0.11959923828176866</v>
      </c>
      <c r="E24" s="158">
        <f t="shared" si="1"/>
        <v>9.3350965817652429E-3</v>
      </c>
      <c r="F24" s="159">
        <f t="shared" si="2"/>
        <v>-0.11164704404658654</v>
      </c>
    </row>
    <row r="25" spans="1:6" ht="11.1" customHeight="1" x14ac:dyDescent="0.2">
      <c r="A25" s="13" t="s">
        <v>124</v>
      </c>
      <c r="B25" s="133">
        <v>49864.172127999977</v>
      </c>
      <c r="C25" s="133">
        <v>19930.809423000006</v>
      </c>
      <c r="D25" s="157">
        <f t="shared" si="0"/>
        <v>-0.60029799809293616</v>
      </c>
      <c r="E25" s="158">
        <f t="shared" si="1"/>
        <v>8.7978325833711936E-3</v>
      </c>
      <c r="F25" s="159">
        <f t="shared" si="2"/>
        <v>-0.52813212873545323</v>
      </c>
    </row>
    <row r="26" spans="1:6" ht="11.1" customHeight="1" x14ac:dyDescent="0.2">
      <c r="A26" s="13" t="s">
        <v>139</v>
      </c>
      <c r="B26" s="133">
        <v>48740.686535000095</v>
      </c>
      <c r="C26" s="133">
        <v>82989.940396000064</v>
      </c>
      <c r="D26" s="157">
        <f t="shared" si="0"/>
        <v>0.70268304153668404</v>
      </c>
      <c r="E26" s="158">
        <f t="shared" si="1"/>
        <v>8.5996093353912628E-3</v>
      </c>
      <c r="F26" s="159">
        <f t="shared" si="2"/>
        <v>0.60427996438199949</v>
      </c>
    </row>
    <row r="27" spans="1:6" ht="11.1" customHeight="1" x14ac:dyDescent="0.2">
      <c r="A27" s="13" t="s">
        <v>123</v>
      </c>
      <c r="B27" s="133">
        <v>44785.720177000017</v>
      </c>
      <c r="C27" s="133">
        <v>36137.142510000005</v>
      </c>
      <c r="D27" s="157">
        <f t="shared" si="0"/>
        <v>-0.19311016173948992</v>
      </c>
      <c r="E27" s="158">
        <f t="shared" si="1"/>
        <v>7.9018110885612173E-3</v>
      </c>
      <c r="F27" s="159">
        <f t="shared" si="2"/>
        <v>-0.15259200173469517</v>
      </c>
    </row>
    <row r="28" spans="1:6" ht="11.1" customHeight="1" x14ac:dyDescent="0.2">
      <c r="A28" s="13" t="s">
        <v>135</v>
      </c>
      <c r="B28" s="133">
        <v>44315.46197199999</v>
      </c>
      <c r="C28" s="133">
        <v>15092.035727000002</v>
      </c>
      <c r="D28" s="157">
        <f t="shared" si="0"/>
        <v>-0.65944085753781234</v>
      </c>
      <c r="E28" s="158">
        <f t="shared" si="1"/>
        <v>7.8188406353884125E-3</v>
      </c>
      <c r="F28" s="159">
        <f t="shared" si="2"/>
        <v>-0.5156062973552028</v>
      </c>
    </row>
    <row r="29" spans="1:6" ht="11.1" customHeight="1" x14ac:dyDescent="0.2">
      <c r="A29" s="13" t="s">
        <v>217</v>
      </c>
      <c r="B29" s="133">
        <v>41399.710145999998</v>
      </c>
      <c r="C29" s="133">
        <v>57870.233535000014</v>
      </c>
      <c r="D29" s="157">
        <f t="shared" si="0"/>
        <v>0.39784151461242501</v>
      </c>
      <c r="E29" s="158">
        <f t="shared" si="1"/>
        <v>7.3043971918282146E-3</v>
      </c>
      <c r="F29" s="159">
        <f t="shared" si="2"/>
        <v>0.29059924421276806</v>
      </c>
    </row>
    <row r="30" spans="1:6" ht="11.1" customHeight="1" x14ac:dyDescent="0.2">
      <c r="A30" s="13" t="s">
        <v>72</v>
      </c>
      <c r="B30" s="133">
        <v>34708.717707999996</v>
      </c>
      <c r="C30" s="133">
        <v>30560.326437999989</v>
      </c>
      <c r="D30" s="157">
        <f t="shared" si="0"/>
        <v>-0.11952015355046797</v>
      </c>
      <c r="E30" s="158">
        <f t="shared" si="1"/>
        <v>6.1238655841837786E-3</v>
      </c>
      <c r="F30" s="159">
        <f t="shared" si="2"/>
        <v>-7.3192535494407143E-2</v>
      </c>
    </row>
    <row r="31" spans="1:6" ht="11.1" customHeight="1" x14ac:dyDescent="0.2">
      <c r="A31" s="13" t="s">
        <v>76</v>
      </c>
      <c r="B31" s="133">
        <v>33550.415180999968</v>
      </c>
      <c r="C31" s="133">
        <v>34501.326673999989</v>
      </c>
      <c r="D31" s="157">
        <f t="shared" si="0"/>
        <v>2.8342763803964388E-2</v>
      </c>
      <c r="E31" s="158">
        <f t="shared" si="1"/>
        <v>5.9194993773753479E-3</v>
      </c>
      <c r="F31" s="159">
        <f t="shared" si="2"/>
        <v>1.6777497269066376E-2</v>
      </c>
    </row>
    <row r="32" spans="1:6" ht="11.1" customHeight="1" x14ac:dyDescent="0.2">
      <c r="A32" s="13" t="s">
        <v>129</v>
      </c>
      <c r="B32" s="133">
        <v>31902.036903000007</v>
      </c>
      <c r="C32" s="133">
        <v>33267.16838100001</v>
      </c>
      <c r="D32" s="157">
        <f t="shared" si="0"/>
        <v>4.2791357873190439E-2</v>
      </c>
      <c r="E32" s="158">
        <f t="shared" si="1"/>
        <v>5.6286661898377567E-3</v>
      </c>
      <c r="F32" s="159">
        <f t="shared" si="2"/>
        <v>2.4085826927807471E-2</v>
      </c>
    </row>
    <row r="33" spans="1:6" ht="11.1" customHeight="1" x14ac:dyDescent="0.2">
      <c r="A33" s="13" t="s">
        <v>122</v>
      </c>
      <c r="B33" s="133">
        <v>29340.102395999998</v>
      </c>
      <c r="C33" s="133">
        <v>36829.624373999985</v>
      </c>
      <c r="D33" s="157">
        <f t="shared" si="0"/>
        <v>0.25526570687841388</v>
      </c>
      <c r="E33" s="158">
        <f t="shared" si="1"/>
        <v>5.1766488411030881E-3</v>
      </c>
      <c r="F33" s="159">
        <f t="shared" si="2"/>
        <v>0.13214209256855017</v>
      </c>
    </row>
    <row r="34" spans="1:6" ht="11.1" customHeight="1" x14ac:dyDescent="0.2">
      <c r="A34" s="13" t="s">
        <v>140</v>
      </c>
      <c r="B34" s="133">
        <v>25530.512576999998</v>
      </c>
      <c r="C34" s="133">
        <v>38671.645896000002</v>
      </c>
      <c r="D34" s="157">
        <f t="shared" si="0"/>
        <v>0.51472265898956637</v>
      </c>
      <c r="E34" s="158">
        <f t="shared" si="1"/>
        <v>4.5045002420479917E-3</v>
      </c>
      <c r="F34" s="159">
        <f t="shared" si="2"/>
        <v>0.23185683420060876</v>
      </c>
    </row>
    <row r="35" spans="1:6" ht="11.1" customHeight="1" x14ac:dyDescent="0.2">
      <c r="A35" s="13" t="s">
        <v>121</v>
      </c>
      <c r="B35" s="133">
        <v>21605.545573000025</v>
      </c>
      <c r="C35" s="133">
        <v>25894.258401999967</v>
      </c>
      <c r="D35" s="157">
        <f t="shared" si="0"/>
        <v>0.19850055692921043</v>
      </c>
      <c r="E35" s="158">
        <f t="shared" si="1"/>
        <v>3.8119949597421486E-3</v>
      </c>
      <c r="F35" s="159">
        <f t="shared" si="2"/>
        <v>7.5668312252015951E-2</v>
      </c>
    </row>
    <row r="36" spans="1:6" ht="11.1" customHeight="1" x14ac:dyDescent="0.2">
      <c r="A36" s="13" t="s">
        <v>130</v>
      </c>
      <c r="B36" s="133">
        <v>21407.971184000005</v>
      </c>
      <c r="C36" s="133">
        <v>27487.078396999997</v>
      </c>
      <c r="D36" s="157">
        <f t="shared" si="0"/>
        <v>0.2839646578720838</v>
      </c>
      <c r="E36" s="158">
        <f t="shared" si="1"/>
        <v>3.7771357347113582E-3</v>
      </c>
      <c r="F36" s="159">
        <f t="shared" si="2"/>
        <v>0.10725730566437328</v>
      </c>
    </row>
    <row r="37" spans="1:6" ht="11.1" customHeight="1" x14ac:dyDescent="0.2">
      <c r="A37" s="13" t="s">
        <v>193</v>
      </c>
      <c r="B37" s="133">
        <v>17423.471248000009</v>
      </c>
      <c r="C37" s="133">
        <v>13534.889886999992</v>
      </c>
      <c r="D37" s="157">
        <f t="shared" si="0"/>
        <v>-0.22318063407981203</v>
      </c>
      <c r="E37" s="158">
        <f t="shared" si="1"/>
        <v>3.0741267029882192E-3</v>
      </c>
      <c r="F37" s="159">
        <f t="shared" si="2"/>
        <v>-6.860855468145928E-2</v>
      </c>
    </row>
    <row r="38" spans="1:6" ht="11.1" customHeight="1" x14ac:dyDescent="0.2">
      <c r="A38" s="13" t="s">
        <v>142</v>
      </c>
      <c r="B38" s="133">
        <v>15781.293088</v>
      </c>
      <c r="C38" s="133">
        <v>15655.606973999997</v>
      </c>
      <c r="D38" s="157">
        <f t="shared" si="0"/>
        <v>-7.9642468648892795E-3</v>
      </c>
      <c r="E38" s="158">
        <f t="shared" si="1"/>
        <v>2.7843874391604352E-3</v>
      </c>
      <c r="F38" s="159">
        <f t="shared" si="2"/>
        <v>-2.2175548932970583E-3</v>
      </c>
    </row>
    <row r="39" spans="1:6" ht="11.1" customHeight="1" x14ac:dyDescent="0.2">
      <c r="A39" s="13" t="s">
        <v>127</v>
      </c>
      <c r="B39" s="133">
        <v>12454.591091999995</v>
      </c>
      <c r="C39" s="133">
        <v>10047.124672000004</v>
      </c>
      <c r="D39" s="157">
        <f t="shared" si="0"/>
        <v>-0.19329951519214372</v>
      </c>
      <c r="E39" s="158">
        <f t="shared" si="1"/>
        <v>2.1974376119288657E-3</v>
      </c>
      <c r="F39" s="159">
        <f t="shared" si="2"/>
        <v>-4.247636250508318E-2</v>
      </c>
    </row>
    <row r="40" spans="1:6" ht="11.1" customHeight="1" x14ac:dyDescent="0.2">
      <c r="A40" s="13" t="s">
        <v>218</v>
      </c>
      <c r="B40" s="133">
        <v>12336.692272000002</v>
      </c>
      <c r="C40" s="133">
        <v>22339.115927000006</v>
      </c>
      <c r="D40" s="157">
        <f t="shared" si="0"/>
        <v>0.81078650860912083</v>
      </c>
      <c r="E40" s="158">
        <f t="shared" si="1"/>
        <v>2.1766360216111851E-3</v>
      </c>
      <c r="F40" s="159">
        <f t="shared" si="2"/>
        <v>0.17647871204749796</v>
      </c>
    </row>
    <row r="41" spans="1:6" ht="11.1" customHeight="1" x14ac:dyDescent="0.2">
      <c r="A41" s="13" t="s">
        <v>141</v>
      </c>
      <c r="B41" s="133">
        <v>11982.686891999998</v>
      </c>
      <c r="C41" s="133">
        <v>19685.919741999998</v>
      </c>
      <c r="D41" s="157">
        <f t="shared" si="0"/>
        <v>0.64286356803188349</v>
      </c>
      <c r="E41" s="158">
        <f t="shared" si="1"/>
        <v>2.1141767460644469E-3</v>
      </c>
      <c r="F41" s="159">
        <f t="shared" si="2"/>
        <v>0.13591272064250276</v>
      </c>
    </row>
    <row r="42" spans="1:6" ht="11.1" customHeight="1" x14ac:dyDescent="0.2">
      <c r="A42" s="13" t="s">
        <v>133</v>
      </c>
      <c r="B42" s="133">
        <v>11422.163775999998</v>
      </c>
      <c r="C42" s="133">
        <v>3723.3968370000007</v>
      </c>
      <c r="D42" s="157">
        <f t="shared" si="0"/>
        <v>-0.67402000969172571</v>
      </c>
      <c r="E42" s="158">
        <f t="shared" si="1"/>
        <v>2.0152803175622585E-3</v>
      </c>
      <c r="F42" s="159">
        <f t="shared" si="2"/>
        <v>-0.13583392591748578</v>
      </c>
    </row>
    <row r="43" spans="1:6" ht="11.1" customHeight="1" x14ac:dyDescent="0.2">
      <c r="A43" s="13" t="s">
        <v>143</v>
      </c>
      <c r="B43" s="133">
        <v>9374.6601870000031</v>
      </c>
      <c r="C43" s="133">
        <v>11425.491880999998</v>
      </c>
      <c r="D43" s="157">
        <f t="shared" si="0"/>
        <v>0.21876331014578176</v>
      </c>
      <c r="E43" s="158">
        <f t="shared" si="1"/>
        <v>1.654027076585286E-3</v>
      </c>
      <c r="F43" s="159">
        <f t="shared" si="2"/>
        <v>3.6184043834454768E-2</v>
      </c>
    </row>
    <row r="44" spans="1:6" ht="11.1" customHeight="1" x14ac:dyDescent="0.2">
      <c r="A44" s="13" t="s">
        <v>184</v>
      </c>
      <c r="B44" s="133">
        <v>8856.146020000002</v>
      </c>
      <c r="C44" s="133">
        <v>8404.7427089999983</v>
      </c>
      <c r="D44" s="157">
        <f t="shared" si="0"/>
        <v>-5.0970626498320071E-2</v>
      </c>
      <c r="E44" s="158">
        <f t="shared" si="1"/>
        <v>1.5625425369109451E-3</v>
      </c>
      <c r="F44" s="159">
        <f t="shared" si="2"/>
        <v>-7.9643772036625295E-3</v>
      </c>
    </row>
    <row r="45" spans="1:6" ht="11.1" customHeight="1" x14ac:dyDescent="0.2">
      <c r="A45" s="13" t="s">
        <v>295</v>
      </c>
      <c r="B45" s="133">
        <v>6642.9089180000001</v>
      </c>
      <c r="C45" s="133">
        <v>3793.3908280000001</v>
      </c>
      <c r="D45" s="157">
        <f t="shared" si="0"/>
        <v>-0.42895636914105284</v>
      </c>
      <c r="E45" s="158">
        <f t="shared" si="1"/>
        <v>1.1720479461109945E-3</v>
      </c>
      <c r="F45" s="159">
        <f t="shared" si="2"/>
        <v>-5.0275743142300058E-2</v>
      </c>
    </row>
    <row r="46" spans="1:6" ht="11.1" customHeight="1" x14ac:dyDescent="0.2">
      <c r="A46" s="13" t="s">
        <v>302</v>
      </c>
      <c r="B46" s="133">
        <v>6503.4433470000022</v>
      </c>
      <c r="C46" s="133">
        <v>9454.0087700000004</v>
      </c>
      <c r="D46" s="157">
        <f t="shared" si="0"/>
        <v>0.45369280019346614</v>
      </c>
      <c r="E46" s="158">
        <f t="shared" si="1"/>
        <v>1.1474412055909157E-3</v>
      </c>
      <c r="F46" s="159">
        <f t="shared" si="2"/>
        <v>5.205858136219093E-2</v>
      </c>
    </row>
    <row r="47" spans="1:6" ht="11.1" customHeight="1" x14ac:dyDescent="0.2">
      <c r="A47" s="13" t="s">
        <v>125</v>
      </c>
      <c r="B47" s="133">
        <v>6296.4430860000002</v>
      </c>
      <c r="C47" s="133">
        <v>7237.2643910000006</v>
      </c>
      <c r="D47" s="157">
        <f t="shared" si="0"/>
        <v>0.14942107665388016</v>
      </c>
      <c r="E47" s="158">
        <f t="shared" si="1"/>
        <v>1.110918917878662E-3</v>
      </c>
      <c r="F47" s="159">
        <f t="shared" si="2"/>
        <v>1.6599470078459314E-2</v>
      </c>
    </row>
    <row r="48" spans="1:6" ht="11.1" customHeight="1" x14ac:dyDescent="0.2">
      <c r="A48" s="13" t="s">
        <v>77</v>
      </c>
      <c r="B48" s="133">
        <v>4849.4971639999985</v>
      </c>
      <c r="C48" s="133">
        <v>5862.3248439999979</v>
      </c>
      <c r="D48" s="157">
        <f t="shared" si="0"/>
        <v>0.20885210275380217</v>
      </c>
      <c r="E48" s="158">
        <f t="shared" si="1"/>
        <v>8.5562563944479653E-4</v>
      </c>
      <c r="F48" s="159">
        <f t="shared" si="2"/>
        <v>1.7869921396811234E-2</v>
      </c>
    </row>
    <row r="49" spans="1:6" ht="11.1" customHeight="1" x14ac:dyDescent="0.2">
      <c r="A49" s="13" t="s">
        <v>183</v>
      </c>
      <c r="B49" s="133">
        <v>4704.3970130000007</v>
      </c>
      <c r="C49" s="133">
        <v>5105.720632999999</v>
      </c>
      <c r="D49" s="157">
        <f t="shared" si="0"/>
        <v>8.5308195479886439E-2</v>
      </c>
      <c r="E49" s="158">
        <f t="shared" si="1"/>
        <v>8.300247564492271E-4</v>
      </c>
      <c r="F49" s="159">
        <f t="shared" si="2"/>
        <v>7.0807914176315798E-3</v>
      </c>
    </row>
    <row r="50" spans="1:6" ht="11.1" customHeight="1" x14ac:dyDescent="0.2">
      <c r="A50" s="13" t="s">
        <v>219</v>
      </c>
      <c r="B50" s="133">
        <v>4345.4558270000007</v>
      </c>
      <c r="C50" s="133">
        <v>5331.1120359999977</v>
      </c>
      <c r="D50" s="157">
        <f t="shared" si="0"/>
        <v>0.22682458371242276</v>
      </c>
      <c r="E50" s="158">
        <f t="shared" si="1"/>
        <v>7.6669462728156648E-4</v>
      </c>
      <c r="F50" s="159">
        <f t="shared" si="2"/>
        <v>1.7390518966769245E-2</v>
      </c>
    </row>
    <row r="51" spans="1:6" ht="11.1" customHeight="1" x14ac:dyDescent="0.2">
      <c r="A51" s="13" t="s">
        <v>227</v>
      </c>
      <c r="B51" s="133">
        <v>3307.7581319999999</v>
      </c>
      <c r="C51" s="133">
        <v>6502.3706379999994</v>
      </c>
      <c r="D51" s="157">
        <f t="shared" si="0"/>
        <v>0.96579386355205243</v>
      </c>
      <c r="E51" s="158">
        <f t="shared" si="1"/>
        <v>5.8360744858891654E-4</v>
      </c>
      <c r="F51" s="159">
        <f t="shared" si="2"/>
        <v>5.6364449257044556E-2</v>
      </c>
    </row>
    <row r="52" spans="1:6" ht="11.1" customHeight="1" x14ac:dyDescent="0.2">
      <c r="A52" s="13" t="s">
        <v>294</v>
      </c>
      <c r="B52" s="133">
        <v>2896.7451599999995</v>
      </c>
      <c r="C52" s="133">
        <v>5163.5328490000002</v>
      </c>
      <c r="D52" s="157">
        <f>IFERROR(((C52/B52-1)),"")</f>
        <v>0.78252920564127249</v>
      </c>
      <c r="E52" s="158">
        <f t="shared" si="1"/>
        <v>5.1108998438701217E-4</v>
      </c>
      <c r="F52" s="159">
        <f t="shared" si="2"/>
        <v>3.9994283949357903E-2</v>
      </c>
    </row>
    <row r="53" spans="1:6" ht="11.1" customHeight="1" x14ac:dyDescent="0.2">
      <c r="A53" s="13" t="s">
        <v>181</v>
      </c>
      <c r="B53" s="133">
        <v>2844.1491969999997</v>
      </c>
      <c r="C53" s="133">
        <v>5204.9346860000005</v>
      </c>
      <c r="D53" s="157">
        <f t="shared" si="0"/>
        <v>0.83004980592795574</v>
      </c>
      <c r="E53" s="158">
        <f t="shared" si="1"/>
        <v>5.018101656857738E-4</v>
      </c>
      <c r="F53" s="159">
        <f t="shared" si="2"/>
        <v>4.1652743064015188E-2</v>
      </c>
    </row>
    <row r="54" spans="1:6" ht="11.1" customHeight="1" x14ac:dyDescent="0.2">
      <c r="A54" s="13" t="s">
        <v>222</v>
      </c>
      <c r="B54" s="133">
        <v>2585.6530549999998</v>
      </c>
      <c r="C54" s="133">
        <v>5376.2562319999997</v>
      </c>
      <c r="D54" s="157">
        <f t="shared" si="0"/>
        <v>1.0792643551321315</v>
      </c>
      <c r="E54" s="158">
        <f t="shared" si="1"/>
        <v>4.5620215328509616E-4</v>
      </c>
      <c r="F54" s="159">
        <f t="shared" si="2"/>
        <v>4.9236272277512913E-2</v>
      </c>
    </row>
    <row r="55" spans="1:6" ht="11.1" customHeight="1" x14ac:dyDescent="0.2">
      <c r="A55" s="13" t="s">
        <v>126</v>
      </c>
      <c r="B55" s="133">
        <v>2432.1509959999985</v>
      </c>
      <c r="C55" s="133">
        <v>3048.8992829999997</v>
      </c>
      <c r="D55" s="157">
        <f t="shared" si="0"/>
        <v>0.25358141333096795</v>
      </c>
      <c r="E55" s="158">
        <f t="shared" si="1"/>
        <v>4.2911887166922739E-4</v>
      </c>
      <c r="F55" s="159">
        <f t="shared" si="2"/>
        <v>1.0881656996487294E-2</v>
      </c>
    </row>
    <row r="56" spans="1:6" ht="11.1" customHeight="1" x14ac:dyDescent="0.2">
      <c r="A56" s="13" t="s">
        <v>296</v>
      </c>
      <c r="B56" s="133">
        <v>2362.9809510000005</v>
      </c>
      <c r="C56" s="133">
        <v>1724.9535410000005</v>
      </c>
      <c r="D56" s="157">
        <f t="shared" si="0"/>
        <v>-0.2700095443977194</v>
      </c>
      <c r="E56" s="158">
        <f t="shared" si="1"/>
        <v>4.1691478906394293E-4</v>
      </c>
      <c r="F56" s="159">
        <f t="shared" si="2"/>
        <v>-1.1257097224782651E-2</v>
      </c>
    </row>
    <row r="57" spans="1:6" ht="11.1" customHeight="1" x14ac:dyDescent="0.2">
      <c r="A57" s="13" t="s">
        <v>223</v>
      </c>
      <c r="B57" s="133">
        <v>2282.5928910000011</v>
      </c>
      <c r="C57" s="133">
        <v>2372.6051039999993</v>
      </c>
      <c r="D57" s="157">
        <f t="shared" si="0"/>
        <v>3.9434194925825672E-2</v>
      </c>
      <c r="E57" s="158">
        <f t="shared" si="1"/>
        <v>4.0273144532434319E-4</v>
      </c>
      <c r="F57" s="159">
        <f t="shared" si="2"/>
        <v>1.5881390317679651E-3</v>
      </c>
    </row>
    <row r="58" spans="1:6" ht="11.1" customHeight="1" x14ac:dyDescent="0.2">
      <c r="A58" s="160" t="s">
        <v>18</v>
      </c>
      <c r="B58" s="134">
        <v>21503.923262</v>
      </c>
      <c r="C58" s="134">
        <v>33052.991453999995</v>
      </c>
      <c r="D58" s="161">
        <f t="shared" si="0"/>
        <v>0.53706795970615184</v>
      </c>
      <c r="E58" s="162">
        <f t="shared" si="1"/>
        <v>3.7940651307535418E-3</v>
      </c>
      <c r="F58" s="163">
        <f t="shared" si="2"/>
        <v>0.20376708187660589</v>
      </c>
    </row>
    <row r="59" spans="1:6" ht="8.1" customHeight="1" x14ac:dyDescent="0.2">
      <c r="A59" s="8" t="s">
        <v>44</v>
      </c>
      <c r="B59" s="21"/>
      <c r="C59" s="21"/>
      <c r="D59" s="21"/>
      <c r="E59" s="21"/>
      <c r="F59" s="21"/>
    </row>
    <row r="60" spans="1:6" ht="8.1" customHeight="1" x14ac:dyDescent="0.2">
      <c r="A60" s="11" t="s">
        <v>20</v>
      </c>
      <c r="B60" s="21"/>
      <c r="C60" s="21"/>
      <c r="D60" s="21"/>
      <c r="E60" s="21"/>
      <c r="F60" s="21"/>
    </row>
    <row r="61" spans="1:6" ht="8.1" customHeight="1" x14ac:dyDescent="0.2">
      <c r="A61" s="214" t="s">
        <v>348</v>
      </c>
      <c r="B61" s="11"/>
      <c r="C61" s="11"/>
      <c r="D61" s="11"/>
      <c r="E61" s="11"/>
      <c r="F61" s="11"/>
    </row>
    <row r="62" spans="1:6" ht="8.1" customHeight="1" x14ac:dyDescent="0.2">
      <c r="A62" s="225" t="s">
        <v>349</v>
      </c>
    </row>
  </sheetData>
  <mergeCells count="4">
    <mergeCell ref="B4:C4"/>
    <mergeCell ref="F4:F5"/>
    <mergeCell ref="A4:A5"/>
    <mergeCell ref="D4:D5"/>
  </mergeCells>
  <phoneticPr fontId="11" type="noConversion"/>
  <conditionalFormatting sqref="B8:F58">
    <cfRule type="containsBlanks" dxfId="52" priority="1">
      <formula>LEN(TRIM(B8))=0</formula>
    </cfRule>
  </conditionalFormatting>
  <pageMargins left="0.35433070866141736" right="0.35433070866141736" top="0.59055118110236227" bottom="0.59055118110236227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5">
    <tabColor rgb="FFFFDDDD"/>
  </sheetPr>
  <dimension ref="A1:I512"/>
  <sheetViews>
    <sheetView showGridLines="0" zoomScaleNormal="100" zoomScalePageLayoutView="150" workbookViewId="0">
      <selection sqref="A1:H62"/>
    </sheetView>
  </sheetViews>
  <sheetFormatPr baseColWidth="10" defaultColWidth="11.42578125" defaultRowHeight="13.5" x14ac:dyDescent="0.25"/>
  <cols>
    <col min="1" max="1" width="11.7109375" style="23" customWidth="1"/>
    <col min="2" max="3" width="7.42578125" style="23" customWidth="1"/>
    <col min="4" max="4" width="7.140625" style="23" customWidth="1"/>
    <col min="5" max="6" width="7.42578125" style="23" customWidth="1"/>
    <col min="7" max="7" width="7.140625" style="23" customWidth="1"/>
    <col min="8" max="8" width="6.42578125" style="23" customWidth="1"/>
    <col min="9" max="16384" width="11.42578125" style="23"/>
  </cols>
  <sheetData>
    <row r="1" spans="1:9" s="69" customFormat="1" ht="15" customHeight="1" x14ac:dyDescent="0.25">
      <c r="A1" s="82" t="s">
        <v>383</v>
      </c>
      <c r="B1" s="82"/>
      <c r="C1" s="82"/>
      <c r="D1" s="82"/>
      <c r="E1" s="82"/>
      <c r="F1" s="82"/>
    </row>
    <row r="2" spans="1:9" ht="4.3499999999999996" customHeight="1" x14ac:dyDescent="0.25"/>
    <row r="3" spans="1:9" ht="13.35" customHeight="1" x14ac:dyDescent="0.25">
      <c r="A3" s="289" t="s">
        <v>23</v>
      </c>
      <c r="B3" s="289" t="s">
        <v>14</v>
      </c>
      <c r="C3" s="289"/>
      <c r="D3" s="289"/>
      <c r="E3" s="289" t="s">
        <v>55</v>
      </c>
      <c r="F3" s="289"/>
      <c r="G3" s="289"/>
      <c r="H3" s="289"/>
    </row>
    <row r="4" spans="1:9" ht="25.5" x14ac:dyDescent="0.25">
      <c r="A4" s="289"/>
      <c r="B4" s="176">
        <v>2024</v>
      </c>
      <c r="C4" s="177" t="s">
        <v>315</v>
      </c>
      <c r="D4" s="187" t="s">
        <v>327</v>
      </c>
      <c r="E4" s="176">
        <v>2024</v>
      </c>
      <c r="F4" s="177" t="s">
        <v>315</v>
      </c>
      <c r="G4" s="187" t="s">
        <v>327</v>
      </c>
      <c r="H4" s="202" t="s">
        <v>332</v>
      </c>
    </row>
    <row r="5" spans="1:9" ht="16.350000000000001" customHeight="1" x14ac:dyDescent="0.25">
      <c r="A5" s="290" t="s">
        <v>45</v>
      </c>
      <c r="B5" s="290"/>
      <c r="C5" s="290"/>
      <c r="D5" s="290"/>
      <c r="E5" s="213">
        <f>SUM(E7:E57)</f>
        <v>5667779.155317001</v>
      </c>
      <c r="F5" s="213">
        <f>SUM(F7:F57)</f>
        <v>6169914.4130760022</v>
      </c>
      <c r="G5" s="204">
        <f>(F5/E5-1)</f>
        <v>8.8594711261454684E-2</v>
      </c>
      <c r="H5" s="205">
        <f>SUM($H$7:$H$57)</f>
        <v>0.99999999999999933</v>
      </c>
      <c r="I5" s="5"/>
    </row>
    <row r="6" spans="1:9" ht="3" customHeight="1" x14ac:dyDescent="0.25">
      <c r="A6" s="41"/>
      <c r="B6" s="1"/>
      <c r="C6" s="1"/>
      <c r="D6" s="1"/>
      <c r="E6" s="108"/>
      <c r="F6" s="108"/>
      <c r="G6" s="109"/>
      <c r="H6" s="109"/>
      <c r="I6" s="5"/>
    </row>
    <row r="7" spans="1:9" ht="12" customHeight="1" x14ac:dyDescent="0.25">
      <c r="A7" s="16" t="s">
        <v>87</v>
      </c>
      <c r="B7" s="249">
        <v>4368707.6683880044</v>
      </c>
      <c r="C7" s="249">
        <v>4835690.0884180013</v>
      </c>
      <c r="D7" s="250">
        <f>IFERROR(((C7/B7-1)),"")</f>
        <v>0.10689257681604203</v>
      </c>
      <c r="E7" s="72">
        <v>1474403.4130630016</v>
      </c>
      <c r="F7" s="72">
        <v>1741493.8058820011</v>
      </c>
      <c r="G7" s="166">
        <f>IFERROR(((F7/E7-1)),"")</f>
        <v>0.18115150199234287</v>
      </c>
      <c r="H7" s="251">
        <f>(F7/$F$5)</f>
        <v>0.28225574769582285</v>
      </c>
    </row>
    <row r="8" spans="1:9" ht="12" customHeight="1" x14ac:dyDescent="0.25">
      <c r="A8" s="16" t="s">
        <v>70</v>
      </c>
      <c r="B8" s="249">
        <v>539802.7140629997</v>
      </c>
      <c r="C8" s="249">
        <v>849383.67922299879</v>
      </c>
      <c r="D8" s="250">
        <f t="shared" ref="D8:D57" si="0">IFERROR(((C8/B8-1)),"")</f>
        <v>0.57350761138238426</v>
      </c>
      <c r="E8" s="252">
        <v>704204.9103560003</v>
      </c>
      <c r="F8" s="252">
        <v>861220.265059</v>
      </c>
      <c r="G8" s="166">
        <f t="shared" ref="G8:G57" si="1">IFERROR(((F8/E8-1)),"")</f>
        <v>0.22296827584406209</v>
      </c>
      <c r="H8" s="251">
        <f t="shared" ref="H8:H57" si="2">(F8/$F$5)</f>
        <v>0.13958382684106632</v>
      </c>
    </row>
    <row r="9" spans="1:9" ht="12" customHeight="1" x14ac:dyDescent="0.25">
      <c r="A9" s="16" t="s">
        <v>86</v>
      </c>
      <c r="B9" s="249">
        <v>1023614.4984629973</v>
      </c>
      <c r="C9" s="249">
        <v>1239598.1873179993</v>
      </c>
      <c r="D9" s="250">
        <f t="shared" si="0"/>
        <v>0.21100100592489768</v>
      </c>
      <c r="E9" s="252">
        <v>536917.94090899918</v>
      </c>
      <c r="F9" s="252">
        <v>557945.96051200002</v>
      </c>
      <c r="G9" s="166">
        <f t="shared" si="1"/>
        <v>3.9164307989784319E-2</v>
      </c>
      <c r="H9" s="251">
        <f t="shared" si="2"/>
        <v>9.0430097268373102E-2</v>
      </c>
    </row>
    <row r="10" spans="1:9" ht="12" customHeight="1" x14ac:dyDescent="0.25">
      <c r="A10" s="16" t="s">
        <v>85</v>
      </c>
      <c r="B10" s="249">
        <v>1391168.7659190008</v>
      </c>
      <c r="C10" s="249">
        <v>1457063.4146379984</v>
      </c>
      <c r="D10" s="250">
        <f t="shared" si="0"/>
        <v>4.7366394598047146E-2</v>
      </c>
      <c r="E10" s="252">
        <v>508156.15265300055</v>
      </c>
      <c r="F10" s="252">
        <v>536526.43862999987</v>
      </c>
      <c r="G10" s="166">
        <f t="shared" si="1"/>
        <v>5.5829858260856735E-2</v>
      </c>
      <c r="H10" s="251">
        <f t="shared" si="2"/>
        <v>8.6958489649861345E-2</v>
      </c>
    </row>
    <row r="11" spans="1:9" ht="12" customHeight="1" x14ac:dyDescent="0.25">
      <c r="A11" s="16" t="s">
        <v>84</v>
      </c>
      <c r="B11" s="249">
        <v>224200.63684600047</v>
      </c>
      <c r="C11" s="249">
        <v>263254.21093299962</v>
      </c>
      <c r="D11" s="250">
        <f t="shared" si="0"/>
        <v>0.17419029060931868</v>
      </c>
      <c r="E11" s="252">
        <v>384681.66220600036</v>
      </c>
      <c r="F11" s="252">
        <v>413749.60415099916</v>
      </c>
      <c r="G11" s="166">
        <f t="shared" si="1"/>
        <v>7.5563627801505939E-2</v>
      </c>
      <c r="H11" s="251">
        <f t="shared" si="2"/>
        <v>6.7059212891856776E-2</v>
      </c>
    </row>
    <row r="12" spans="1:9" ht="12" customHeight="1" x14ac:dyDescent="0.25">
      <c r="A12" s="16" t="s">
        <v>81</v>
      </c>
      <c r="B12" s="249">
        <v>205972.02654400014</v>
      </c>
      <c r="C12" s="249">
        <v>235654.08781700037</v>
      </c>
      <c r="D12" s="250">
        <f t="shared" si="0"/>
        <v>0.14410724490618865</v>
      </c>
      <c r="E12" s="252">
        <v>258528.76272099922</v>
      </c>
      <c r="F12" s="252">
        <v>295902.52529099985</v>
      </c>
      <c r="G12" s="166">
        <f t="shared" si="1"/>
        <v>0.14456326706802014</v>
      </c>
      <c r="H12" s="251">
        <f t="shared" si="2"/>
        <v>4.7958935161870109E-2</v>
      </c>
    </row>
    <row r="13" spans="1:9" ht="12" customHeight="1" x14ac:dyDescent="0.25">
      <c r="A13" s="16" t="s">
        <v>179</v>
      </c>
      <c r="B13" s="249">
        <v>59562.149451999983</v>
      </c>
      <c r="C13" s="249">
        <v>64586.414272999973</v>
      </c>
      <c r="D13" s="250">
        <f t="shared" si="0"/>
        <v>8.4353316111416499E-2</v>
      </c>
      <c r="E13" s="252">
        <v>181245.17606299993</v>
      </c>
      <c r="F13" s="252">
        <v>182014.32899200005</v>
      </c>
      <c r="G13" s="166">
        <f t="shared" si="1"/>
        <v>4.2437153126368976E-3</v>
      </c>
      <c r="H13" s="251">
        <f t="shared" si="2"/>
        <v>2.9500300458990818E-2</v>
      </c>
    </row>
    <row r="14" spans="1:9" ht="12" customHeight="1" x14ac:dyDescent="0.25">
      <c r="A14" s="16" t="s">
        <v>78</v>
      </c>
      <c r="B14" s="249">
        <v>66962.232329999999</v>
      </c>
      <c r="C14" s="249">
        <v>91267.002583000023</v>
      </c>
      <c r="D14" s="250">
        <f t="shared" si="0"/>
        <v>0.36296236560965367</v>
      </c>
      <c r="E14" s="252">
        <v>126737.48795100005</v>
      </c>
      <c r="F14" s="252">
        <v>158054.25430299994</v>
      </c>
      <c r="G14" s="166">
        <f t="shared" si="1"/>
        <v>0.24709947197397319</v>
      </c>
      <c r="H14" s="251">
        <f t="shared" si="2"/>
        <v>2.561692816484341E-2</v>
      </c>
    </row>
    <row r="15" spans="1:9" ht="12" customHeight="1" x14ac:dyDescent="0.25">
      <c r="A15" s="16" t="s">
        <v>119</v>
      </c>
      <c r="B15" s="249">
        <v>81927.039324999976</v>
      </c>
      <c r="C15" s="249">
        <v>113238.72381000007</v>
      </c>
      <c r="D15" s="250">
        <f t="shared" si="0"/>
        <v>0.38218986970575597</v>
      </c>
      <c r="E15" s="252">
        <v>147969.79670500007</v>
      </c>
      <c r="F15" s="252">
        <v>149651.66649299985</v>
      </c>
      <c r="G15" s="166">
        <f t="shared" si="1"/>
        <v>1.1366304647649317E-2</v>
      </c>
      <c r="H15" s="251">
        <f t="shared" si="2"/>
        <v>2.4255063599559919E-2</v>
      </c>
    </row>
    <row r="16" spans="1:9" ht="12" customHeight="1" x14ac:dyDescent="0.25">
      <c r="A16" s="16" t="s">
        <v>83</v>
      </c>
      <c r="B16" s="249">
        <v>466773.38764899987</v>
      </c>
      <c r="C16" s="249">
        <v>301842.13167000015</v>
      </c>
      <c r="D16" s="250">
        <f t="shared" si="0"/>
        <v>-0.35334331464291457</v>
      </c>
      <c r="E16" s="252">
        <v>263498.11142899998</v>
      </c>
      <c r="F16" s="252">
        <v>133275.51922900003</v>
      </c>
      <c r="G16" s="166">
        <f t="shared" si="1"/>
        <v>-0.49420692806403155</v>
      </c>
      <c r="H16" s="251">
        <f t="shared" si="2"/>
        <v>2.1600870013131303E-2</v>
      </c>
    </row>
    <row r="17" spans="1:8" ht="12" customHeight="1" x14ac:dyDescent="0.25">
      <c r="A17" s="16" t="s">
        <v>80</v>
      </c>
      <c r="B17" s="249">
        <v>16247.793241000007</v>
      </c>
      <c r="C17" s="249">
        <v>19482.027132000003</v>
      </c>
      <c r="D17" s="250">
        <f t="shared" si="0"/>
        <v>0.19905680993272767</v>
      </c>
      <c r="E17" s="252">
        <v>67610.954138000001</v>
      </c>
      <c r="F17" s="252">
        <v>92504.561798999959</v>
      </c>
      <c r="G17" s="166">
        <f t="shared" si="1"/>
        <v>0.36818897142303131</v>
      </c>
      <c r="H17" s="251">
        <f t="shared" si="2"/>
        <v>1.4992843596493576E-2</v>
      </c>
    </row>
    <row r="18" spans="1:8" ht="12" customHeight="1" x14ac:dyDescent="0.25">
      <c r="A18" s="16" t="s">
        <v>73</v>
      </c>
      <c r="B18" s="249">
        <v>49703.762948999967</v>
      </c>
      <c r="C18" s="249">
        <v>41935.360342999971</v>
      </c>
      <c r="D18" s="250">
        <f t="shared" si="0"/>
        <v>-0.15629405391239692</v>
      </c>
      <c r="E18" s="252">
        <v>82891.171060000022</v>
      </c>
      <c r="F18" s="252">
        <v>89686.343137000062</v>
      </c>
      <c r="G18" s="166">
        <f t="shared" si="1"/>
        <v>8.1977030727210076E-2</v>
      </c>
      <c r="H18" s="251">
        <f t="shared" si="2"/>
        <v>1.4536075726905759E-2</v>
      </c>
    </row>
    <row r="19" spans="1:8" ht="12" customHeight="1" x14ac:dyDescent="0.25">
      <c r="A19" s="16" t="s">
        <v>71</v>
      </c>
      <c r="B19" s="249">
        <v>18063.000935000033</v>
      </c>
      <c r="C19" s="249">
        <v>19355.695549000022</v>
      </c>
      <c r="D19" s="250">
        <f t="shared" si="0"/>
        <v>7.1565883136017527E-2</v>
      </c>
      <c r="E19" s="252">
        <v>76978.307005000141</v>
      </c>
      <c r="F19" s="252">
        <v>86723.430451000197</v>
      </c>
      <c r="G19" s="166">
        <f t="shared" si="1"/>
        <v>0.12659571020920302</v>
      </c>
      <c r="H19" s="251">
        <f t="shared" si="2"/>
        <v>1.4055856312561774E-2</v>
      </c>
    </row>
    <row r="20" spans="1:8" ht="12" customHeight="1" x14ac:dyDescent="0.25">
      <c r="A20" s="16" t="s">
        <v>221</v>
      </c>
      <c r="B20" s="249">
        <v>30729.63122900001</v>
      </c>
      <c r="C20" s="249">
        <v>31249.252244000003</v>
      </c>
      <c r="D20" s="250">
        <f t="shared" si="0"/>
        <v>1.6909445190790962E-2</v>
      </c>
      <c r="E20" s="252">
        <v>77250.103111000033</v>
      </c>
      <c r="F20" s="252">
        <v>86102.715052000043</v>
      </c>
      <c r="G20" s="166">
        <f t="shared" si="1"/>
        <v>0.11459676536974661</v>
      </c>
      <c r="H20" s="251">
        <f t="shared" si="2"/>
        <v>1.3955252745406181E-2</v>
      </c>
    </row>
    <row r="21" spans="1:8" ht="12" customHeight="1" x14ac:dyDescent="0.25">
      <c r="A21" s="16" t="s">
        <v>139</v>
      </c>
      <c r="B21" s="249">
        <v>41207.748674000009</v>
      </c>
      <c r="C21" s="249">
        <v>85197.816744000011</v>
      </c>
      <c r="D21" s="250">
        <f t="shared" si="0"/>
        <v>1.067519325503834</v>
      </c>
      <c r="E21" s="252">
        <v>48740.686535000095</v>
      </c>
      <c r="F21" s="252">
        <v>82989.940396000064</v>
      </c>
      <c r="G21" s="166">
        <f t="shared" si="1"/>
        <v>0.70268304153668404</v>
      </c>
      <c r="H21" s="251">
        <f t="shared" si="2"/>
        <v>1.3450744182142642E-2</v>
      </c>
    </row>
    <row r="22" spans="1:8" ht="12" customHeight="1" x14ac:dyDescent="0.25">
      <c r="A22" s="16" t="s">
        <v>82</v>
      </c>
      <c r="B22" s="249">
        <v>62585.500121999947</v>
      </c>
      <c r="C22" s="249">
        <v>71571.158662999995</v>
      </c>
      <c r="D22" s="250">
        <f t="shared" si="0"/>
        <v>0.14357412697004923</v>
      </c>
      <c r="E22" s="252">
        <v>64092.456471999976</v>
      </c>
      <c r="F22" s="252">
        <v>64610.875497000015</v>
      </c>
      <c r="G22" s="166">
        <f t="shared" si="1"/>
        <v>8.0886121945804579E-3</v>
      </c>
      <c r="H22" s="251">
        <f t="shared" si="2"/>
        <v>1.0471924109687666E-2</v>
      </c>
    </row>
    <row r="23" spans="1:8" ht="12" customHeight="1" x14ac:dyDescent="0.25">
      <c r="A23" s="16" t="s">
        <v>217</v>
      </c>
      <c r="B23" s="249">
        <v>9715.7392220000002</v>
      </c>
      <c r="C23" s="249">
        <v>10324.561076999993</v>
      </c>
      <c r="D23" s="250">
        <f t="shared" si="0"/>
        <v>6.2663461944449494E-2</v>
      </c>
      <c r="E23" s="252">
        <v>41399.710145999998</v>
      </c>
      <c r="F23" s="252">
        <v>57870.233535000014</v>
      </c>
      <c r="G23" s="166">
        <f t="shared" si="1"/>
        <v>0.39784151461242501</v>
      </c>
      <c r="H23" s="251">
        <f t="shared" si="2"/>
        <v>9.3794224134381293E-3</v>
      </c>
    </row>
    <row r="24" spans="1:8" ht="12" customHeight="1" x14ac:dyDescent="0.25">
      <c r="A24" s="16" t="s">
        <v>74</v>
      </c>
      <c r="B24" s="249">
        <v>44163.624612999985</v>
      </c>
      <c r="C24" s="249">
        <v>20274.195384999985</v>
      </c>
      <c r="D24" s="250">
        <f t="shared" si="0"/>
        <v>-0.54092999470355796</v>
      </c>
      <c r="E24" s="252">
        <v>52909.265819000044</v>
      </c>
      <c r="F24" s="252">
        <v>46581.35792900002</v>
      </c>
      <c r="G24" s="166">
        <f t="shared" si="1"/>
        <v>-0.11959923828176866</v>
      </c>
      <c r="H24" s="251">
        <f t="shared" si="2"/>
        <v>7.5497575509766183E-3</v>
      </c>
    </row>
    <row r="25" spans="1:8" ht="12" customHeight="1" x14ac:dyDescent="0.25">
      <c r="A25" s="16" t="s">
        <v>140</v>
      </c>
      <c r="B25" s="249">
        <v>18145.734699999997</v>
      </c>
      <c r="C25" s="249">
        <v>27204.019690000001</v>
      </c>
      <c r="D25" s="250">
        <f t="shared" si="0"/>
        <v>0.49919637533331751</v>
      </c>
      <c r="E25" s="252">
        <v>25530.512576999998</v>
      </c>
      <c r="F25" s="252">
        <v>38671.645896000002</v>
      </c>
      <c r="G25" s="166">
        <f t="shared" si="1"/>
        <v>0.51472265898956637</v>
      </c>
      <c r="H25" s="251">
        <f t="shared" si="2"/>
        <v>6.2677767156773751E-3</v>
      </c>
    </row>
    <row r="26" spans="1:8" ht="12" customHeight="1" x14ac:dyDescent="0.25">
      <c r="A26" s="16" t="s">
        <v>122</v>
      </c>
      <c r="B26" s="249">
        <v>8462.1616070000018</v>
      </c>
      <c r="C26" s="249">
        <v>11027.256696000011</v>
      </c>
      <c r="D26" s="250">
        <f t="shared" si="0"/>
        <v>0.30312527792876609</v>
      </c>
      <c r="E26" s="252">
        <v>29340.102395999998</v>
      </c>
      <c r="F26" s="252">
        <v>36829.624373999985</v>
      </c>
      <c r="G26" s="166">
        <f t="shared" si="1"/>
        <v>0.25526570687841388</v>
      </c>
      <c r="H26" s="251">
        <f t="shared" si="2"/>
        <v>5.9692277571867687E-3</v>
      </c>
    </row>
    <row r="27" spans="1:8" ht="12" customHeight="1" x14ac:dyDescent="0.25">
      <c r="A27" s="16" t="s">
        <v>123</v>
      </c>
      <c r="B27" s="249">
        <v>108518.51057299996</v>
      </c>
      <c r="C27" s="249">
        <v>104330.89421699995</v>
      </c>
      <c r="D27" s="250">
        <f t="shared" si="0"/>
        <v>-3.8588959006979895E-2</v>
      </c>
      <c r="E27" s="252">
        <v>44785.720177000017</v>
      </c>
      <c r="F27" s="252">
        <v>36137.142510000005</v>
      </c>
      <c r="G27" s="166">
        <f t="shared" si="1"/>
        <v>-0.19311016173948992</v>
      </c>
      <c r="H27" s="251">
        <f t="shared" si="2"/>
        <v>5.8569925108546009E-3</v>
      </c>
    </row>
    <row r="28" spans="1:8" ht="12" customHeight="1" x14ac:dyDescent="0.25">
      <c r="A28" s="16" t="s">
        <v>76</v>
      </c>
      <c r="B28" s="249">
        <v>16829.869609000008</v>
      </c>
      <c r="C28" s="249">
        <v>17450.100800999993</v>
      </c>
      <c r="D28" s="250">
        <f t="shared" si="0"/>
        <v>3.6853000433723304E-2</v>
      </c>
      <c r="E28" s="252">
        <v>33550.415180999968</v>
      </c>
      <c r="F28" s="252">
        <v>34501.326673999989</v>
      </c>
      <c r="G28" s="166">
        <f t="shared" si="1"/>
        <v>2.8342763803964388E-2</v>
      </c>
      <c r="H28" s="251">
        <f t="shared" si="2"/>
        <v>5.5918647106158806E-3</v>
      </c>
    </row>
    <row r="29" spans="1:8" ht="12" customHeight="1" x14ac:dyDescent="0.25">
      <c r="A29" s="16" t="s">
        <v>129</v>
      </c>
      <c r="B29" s="249">
        <v>4908.8225579999998</v>
      </c>
      <c r="C29" s="249">
        <v>5037.2113600000012</v>
      </c>
      <c r="D29" s="250">
        <f t="shared" si="0"/>
        <v>2.6154704205138435E-2</v>
      </c>
      <c r="E29" s="252">
        <v>31902.036903000007</v>
      </c>
      <c r="F29" s="252">
        <v>33267.16838100001</v>
      </c>
      <c r="G29" s="166">
        <f t="shared" si="1"/>
        <v>4.2791357873190439E-2</v>
      </c>
      <c r="H29" s="251">
        <f t="shared" si="2"/>
        <v>5.3918362806615839E-3</v>
      </c>
    </row>
    <row r="30" spans="1:8" ht="12" customHeight="1" x14ac:dyDescent="0.25">
      <c r="A30" s="16" t="s">
        <v>79</v>
      </c>
      <c r="B30" s="249">
        <v>74943.415820000009</v>
      </c>
      <c r="C30" s="249">
        <v>43585.759478999986</v>
      </c>
      <c r="D30" s="250">
        <f t="shared" si="0"/>
        <v>-0.41841776222630711</v>
      </c>
      <c r="E30" s="252">
        <v>59362.627602</v>
      </c>
      <c r="F30" s="252">
        <v>30592.516598000013</v>
      </c>
      <c r="G30" s="166">
        <f t="shared" si="1"/>
        <v>-0.48465022803388658</v>
      </c>
      <c r="H30" s="251">
        <f t="shared" si="2"/>
        <v>4.9583372717723253E-3</v>
      </c>
    </row>
    <row r="31" spans="1:8" ht="12" customHeight="1" x14ac:dyDescent="0.25">
      <c r="A31" s="16" t="s">
        <v>72</v>
      </c>
      <c r="B31" s="249">
        <v>6266.6251950000051</v>
      </c>
      <c r="C31" s="249">
        <v>4376.3929559999997</v>
      </c>
      <c r="D31" s="250">
        <f t="shared" si="0"/>
        <v>-0.30163480026030243</v>
      </c>
      <c r="E31" s="252">
        <v>34708.717707999996</v>
      </c>
      <c r="F31" s="252">
        <v>30560.326437999989</v>
      </c>
      <c r="G31" s="166">
        <f t="shared" si="1"/>
        <v>-0.11952015355046797</v>
      </c>
      <c r="H31" s="251">
        <f t="shared" si="2"/>
        <v>4.9531199935663583E-3</v>
      </c>
    </row>
    <row r="32" spans="1:8" ht="12" customHeight="1" x14ac:dyDescent="0.25">
      <c r="A32" s="16" t="s">
        <v>130</v>
      </c>
      <c r="B32" s="249">
        <v>5917.2413690000039</v>
      </c>
      <c r="C32" s="249">
        <v>19921.749731999989</v>
      </c>
      <c r="D32" s="250">
        <f t="shared" si="0"/>
        <v>2.3667292729292035</v>
      </c>
      <c r="E32" s="252">
        <v>21407.971184000005</v>
      </c>
      <c r="F32" s="252">
        <v>27487.078396999997</v>
      </c>
      <c r="G32" s="166">
        <f t="shared" si="1"/>
        <v>0.2839646578720838</v>
      </c>
      <c r="H32" s="251">
        <f t="shared" si="2"/>
        <v>4.4550177776771383E-3</v>
      </c>
    </row>
    <row r="33" spans="1:8" ht="12" customHeight="1" x14ac:dyDescent="0.25">
      <c r="A33" s="16" t="s">
        <v>121</v>
      </c>
      <c r="B33" s="249">
        <v>6528.5756260000053</v>
      </c>
      <c r="C33" s="249">
        <v>6579.298666000007</v>
      </c>
      <c r="D33" s="250">
        <f t="shared" si="0"/>
        <v>7.7693884402589841E-3</v>
      </c>
      <c r="E33" s="252">
        <v>21605.545573000025</v>
      </c>
      <c r="F33" s="252">
        <v>25894.258401999967</v>
      </c>
      <c r="G33" s="166">
        <f t="shared" si="1"/>
        <v>0.19850055692921043</v>
      </c>
      <c r="H33" s="251">
        <f t="shared" si="2"/>
        <v>4.1968586058700966E-3</v>
      </c>
    </row>
    <row r="34" spans="1:8" ht="12" customHeight="1" x14ac:dyDescent="0.25">
      <c r="A34" s="16" t="s">
        <v>218</v>
      </c>
      <c r="B34" s="249">
        <v>2737.4755570000002</v>
      </c>
      <c r="C34" s="249">
        <v>5587.2229989999978</v>
      </c>
      <c r="D34" s="250">
        <f t="shared" si="0"/>
        <v>1.0410129269329573</v>
      </c>
      <c r="E34" s="252">
        <v>12336.692272000002</v>
      </c>
      <c r="F34" s="252">
        <v>22339.115927000006</v>
      </c>
      <c r="G34" s="166">
        <f t="shared" si="1"/>
        <v>0.81078650860912083</v>
      </c>
      <c r="H34" s="251">
        <f t="shared" si="2"/>
        <v>3.6206524809576524E-3</v>
      </c>
    </row>
    <row r="35" spans="1:8" ht="12" customHeight="1" x14ac:dyDescent="0.25">
      <c r="A35" s="16" t="s">
        <v>124</v>
      </c>
      <c r="B35" s="249">
        <v>35620.172795000013</v>
      </c>
      <c r="C35" s="249">
        <v>10793.811088</v>
      </c>
      <c r="D35" s="250">
        <f t="shared" si="0"/>
        <v>-0.69697476904112254</v>
      </c>
      <c r="E35" s="252">
        <v>49864.172127999977</v>
      </c>
      <c r="F35" s="252">
        <v>19930.809423000006</v>
      </c>
      <c r="G35" s="166">
        <f t="shared" si="1"/>
        <v>-0.60029799809293616</v>
      </c>
      <c r="H35" s="251">
        <f t="shared" si="2"/>
        <v>3.2303218632596118E-3</v>
      </c>
    </row>
    <row r="36" spans="1:8" ht="12" customHeight="1" x14ac:dyDescent="0.25">
      <c r="A36" s="16" t="s">
        <v>141</v>
      </c>
      <c r="B36" s="249">
        <v>1289.0494239999998</v>
      </c>
      <c r="C36" s="249">
        <v>1850.6819609999998</v>
      </c>
      <c r="D36" s="250">
        <f t="shared" si="0"/>
        <v>0.43569511497644497</v>
      </c>
      <c r="E36" s="252">
        <v>11982.686891999998</v>
      </c>
      <c r="F36" s="252">
        <v>19685.919741999998</v>
      </c>
      <c r="G36" s="166">
        <f t="shared" si="1"/>
        <v>0.64286356803188349</v>
      </c>
      <c r="H36" s="251">
        <f>(F36/$F$5)</f>
        <v>3.1906309267887576E-3</v>
      </c>
    </row>
    <row r="37" spans="1:8" ht="12" customHeight="1" x14ac:dyDescent="0.25">
      <c r="A37" s="16" t="s">
        <v>142</v>
      </c>
      <c r="B37" s="249">
        <v>2616.8078040000005</v>
      </c>
      <c r="C37" s="249">
        <v>2556.3612830000002</v>
      </c>
      <c r="D37" s="250">
        <f t="shared" si="0"/>
        <v>-2.3099335345760919E-2</v>
      </c>
      <c r="E37" s="252">
        <v>15781.293088</v>
      </c>
      <c r="F37" s="252">
        <v>15655.606973999997</v>
      </c>
      <c r="G37" s="166">
        <f t="shared" si="1"/>
        <v>-7.9642468648892795E-3</v>
      </c>
      <c r="H37" s="251">
        <f t="shared" si="2"/>
        <v>2.537410720126167E-3</v>
      </c>
    </row>
    <row r="38" spans="1:8" ht="12" customHeight="1" x14ac:dyDescent="0.25">
      <c r="A38" s="16" t="s">
        <v>135</v>
      </c>
      <c r="B38" s="249">
        <v>62165.898978999998</v>
      </c>
      <c r="C38" s="249">
        <v>16244.151166</v>
      </c>
      <c r="D38" s="250">
        <f t="shared" si="0"/>
        <v>-0.7386967544459162</v>
      </c>
      <c r="E38" s="252">
        <v>44315.46197199999</v>
      </c>
      <c r="F38" s="252">
        <v>15092.035727000002</v>
      </c>
      <c r="G38" s="166">
        <f t="shared" si="1"/>
        <v>-0.65944085753781234</v>
      </c>
      <c r="H38" s="251">
        <f t="shared" si="2"/>
        <v>2.4460688944104637E-3</v>
      </c>
    </row>
    <row r="39" spans="1:8" ht="12" customHeight="1" x14ac:dyDescent="0.25">
      <c r="A39" s="17" t="s">
        <v>193</v>
      </c>
      <c r="B39" s="249">
        <v>11883.018781000002</v>
      </c>
      <c r="C39" s="249">
        <v>7773.7964759999995</v>
      </c>
      <c r="D39" s="250">
        <f t="shared" si="0"/>
        <v>-0.34580626192145059</v>
      </c>
      <c r="E39" s="252">
        <v>17423.471248000009</v>
      </c>
      <c r="F39" s="252">
        <v>13534.889886999992</v>
      </c>
      <c r="G39" s="166">
        <f t="shared" si="1"/>
        <v>-0.22318063407981203</v>
      </c>
      <c r="H39" s="251">
        <f t="shared" si="2"/>
        <v>2.1936916755790443E-3</v>
      </c>
    </row>
    <row r="40" spans="1:8" ht="12" customHeight="1" x14ac:dyDescent="0.25">
      <c r="A40" s="16" t="s">
        <v>143</v>
      </c>
      <c r="B40" s="249">
        <v>5760.7760189999981</v>
      </c>
      <c r="C40" s="249">
        <v>8144.6761530000022</v>
      </c>
      <c r="D40" s="250">
        <f t="shared" si="0"/>
        <v>0.41381579949255176</v>
      </c>
      <c r="E40" s="252">
        <v>9374.6601870000031</v>
      </c>
      <c r="F40" s="252">
        <v>11425.491880999998</v>
      </c>
      <c r="G40" s="166">
        <f t="shared" si="1"/>
        <v>0.21876331014578176</v>
      </c>
      <c r="H40" s="251">
        <f t="shared" si="2"/>
        <v>1.8518071914880639E-3</v>
      </c>
    </row>
    <row r="41" spans="1:8" ht="12" customHeight="1" x14ac:dyDescent="0.25">
      <c r="A41" s="16" t="s">
        <v>127</v>
      </c>
      <c r="B41" s="249">
        <v>8099.8037329999979</v>
      </c>
      <c r="C41" s="249">
        <v>5352.8822070000006</v>
      </c>
      <c r="D41" s="250">
        <f t="shared" si="0"/>
        <v>-0.33913433171331853</v>
      </c>
      <c r="E41" s="252">
        <v>12454.591091999995</v>
      </c>
      <c r="F41" s="252">
        <v>10047.124672000004</v>
      </c>
      <c r="G41" s="166">
        <f t="shared" si="1"/>
        <v>-0.19329951519214372</v>
      </c>
      <c r="H41" s="251">
        <f t="shared" si="2"/>
        <v>1.6284058415311183E-3</v>
      </c>
    </row>
    <row r="42" spans="1:8" ht="12" customHeight="1" x14ac:dyDescent="0.25">
      <c r="A42" s="16" t="s">
        <v>302</v>
      </c>
      <c r="B42" s="249">
        <v>2504.3674110000002</v>
      </c>
      <c r="C42" s="249">
        <v>1151.3177429999998</v>
      </c>
      <c r="D42" s="250">
        <f t="shared" si="0"/>
        <v>-0.54027602421951504</v>
      </c>
      <c r="E42" s="252">
        <v>6503.4433470000022</v>
      </c>
      <c r="F42" s="252">
        <v>9454.0087700000004</v>
      </c>
      <c r="G42" s="166">
        <f t="shared" si="1"/>
        <v>0.45369280019346614</v>
      </c>
      <c r="H42" s="251">
        <f t="shared" si="2"/>
        <v>1.5322755126009468E-3</v>
      </c>
    </row>
    <row r="43" spans="1:8" ht="12" customHeight="1" x14ac:dyDescent="0.25">
      <c r="A43" s="16" t="s">
        <v>184</v>
      </c>
      <c r="B43" s="249">
        <v>609.2000240000001</v>
      </c>
      <c r="C43" s="249">
        <v>574.21557100000018</v>
      </c>
      <c r="D43" s="250">
        <f t="shared" si="0"/>
        <v>-5.742687396873758E-2</v>
      </c>
      <c r="E43" s="252">
        <v>8856.146020000002</v>
      </c>
      <c r="F43" s="252">
        <v>8404.7427089999983</v>
      </c>
      <c r="G43" s="166">
        <f t="shared" si="1"/>
        <v>-5.0970626498320071E-2</v>
      </c>
      <c r="H43" s="251">
        <f t="shared" si="2"/>
        <v>1.3622138244231861E-3</v>
      </c>
    </row>
    <row r="44" spans="1:8" ht="12" customHeight="1" x14ac:dyDescent="0.25">
      <c r="A44" s="16" t="s">
        <v>125</v>
      </c>
      <c r="B44" s="249">
        <v>2390.8985229999998</v>
      </c>
      <c r="C44" s="249">
        <v>3305.0920150000002</v>
      </c>
      <c r="D44" s="250">
        <f t="shared" si="0"/>
        <v>0.38236398709758213</v>
      </c>
      <c r="E44" s="252">
        <v>6296.4430860000002</v>
      </c>
      <c r="F44" s="252">
        <v>7237.2643910000006</v>
      </c>
      <c r="G44" s="166">
        <f t="shared" si="1"/>
        <v>0.14942107665388016</v>
      </c>
      <c r="H44" s="251">
        <f t="shared" si="2"/>
        <v>1.1729926716101517E-3</v>
      </c>
    </row>
    <row r="45" spans="1:8" ht="12" customHeight="1" x14ac:dyDescent="0.25">
      <c r="A45" s="16" t="s">
        <v>227</v>
      </c>
      <c r="B45" s="249">
        <v>1365.9650000000004</v>
      </c>
      <c r="C45" s="249">
        <v>2024.1890000000001</v>
      </c>
      <c r="D45" s="250">
        <f t="shared" si="0"/>
        <v>0.48187471860552766</v>
      </c>
      <c r="E45" s="252">
        <v>3307.7581319999999</v>
      </c>
      <c r="F45" s="252">
        <v>6502.3706379999994</v>
      </c>
      <c r="G45" s="166">
        <f t="shared" si="1"/>
        <v>0.96579386355205243</v>
      </c>
      <c r="H45" s="251">
        <f t="shared" si="2"/>
        <v>1.0538834419192942E-3</v>
      </c>
    </row>
    <row r="46" spans="1:8" ht="12" customHeight="1" x14ac:dyDescent="0.25">
      <c r="A46" s="16" t="s">
        <v>77</v>
      </c>
      <c r="B46" s="249">
        <v>1351.4821169999987</v>
      </c>
      <c r="C46" s="249">
        <v>1907.6194760000005</v>
      </c>
      <c r="D46" s="250">
        <f t="shared" si="0"/>
        <v>0.41150182603563268</v>
      </c>
      <c r="E46" s="252">
        <v>4849.4971639999985</v>
      </c>
      <c r="F46" s="252">
        <v>5862.3248439999979</v>
      </c>
      <c r="G46" s="166">
        <f t="shared" si="1"/>
        <v>0.20885210275380217</v>
      </c>
      <c r="H46" s="251">
        <f t="shared" si="2"/>
        <v>9.5014686615034331E-4</v>
      </c>
    </row>
    <row r="47" spans="1:8" ht="12" customHeight="1" x14ac:dyDescent="0.25">
      <c r="A47" s="16" t="s">
        <v>222</v>
      </c>
      <c r="B47" s="249">
        <v>1172.9853089999999</v>
      </c>
      <c r="C47" s="249">
        <v>2230.1374890000006</v>
      </c>
      <c r="D47" s="250">
        <f t="shared" si="0"/>
        <v>0.90124929262860931</v>
      </c>
      <c r="E47" s="252">
        <v>2585.6530549999998</v>
      </c>
      <c r="F47" s="252">
        <v>5376.2562319999997</v>
      </c>
      <c r="G47" s="166">
        <f t="shared" si="1"/>
        <v>1.0792643551321315</v>
      </c>
      <c r="H47" s="251">
        <f t="shared" si="2"/>
        <v>8.7136641970365274E-4</v>
      </c>
    </row>
    <row r="48" spans="1:8" ht="12" customHeight="1" x14ac:dyDescent="0.25">
      <c r="A48" s="16" t="s">
        <v>219</v>
      </c>
      <c r="B48" s="249">
        <v>1639.0837499999998</v>
      </c>
      <c r="C48" s="249">
        <v>1379.3236529999997</v>
      </c>
      <c r="D48" s="250">
        <f t="shared" si="0"/>
        <v>-0.15847884343920815</v>
      </c>
      <c r="E48" s="252">
        <v>4345.4558270000007</v>
      </c>
      <c r="F48" s="252">
        <v>5331.1120359999977</v>
      </c>
      <c r="G48" s="166">
        <f t="shared" si="1"/>
        <v>0.22682458371242276</v>
      </c>
      <c r="H48" s="251">
        <f t="shared" si="2"/>
        <v>8.6404959276285636E-4</v>
      </c>
    </row>
    <row r="49" spans="1:8" ht="12" customHeight="1" x14ac:dyDescent="0.25">
      <c r="A49" s="16" t="s">
        <v>181</v>
      </c>
      <c r="B49" s="249">
        <v>732.49067800000012</v>
      </c>
      <c r="C49" s="249">
        <v>6681.9801729999999</v>
      </c>
      <c r="D49" s="250">
        <f t="shared" si="0"/>
        <v>8.1222733253678339</v>
      </c>
      <c r="E49" s="252">
        <v>2844.1491969999997</v>
      </c>
      <c r="F49" s="252">
        <v>5204.9346860000005</v>
      </c>
      <c r="G49" s="166">
        <f t="shared" si="1"/>
        <v>0.83004980592795574</v>
      </c>
      <c r="H49" s="251">
        <f t="shared" si="2"/>
        <v>8.4359917132223038E-4</v>
      </c>
    </row>
    <row r="50" spans="1:8" ht="12" customHeight="1" x14ac:dyDescent="0.25">
      <c r="A50" s="16" t="s">
        <v>132</v>
      </c>
      <c r="B50" s="249">
        <v>1144.5492110000002</v>
      </c>
      <c r="C50" s="249">
        <v>2273.7112400000001</v>
      </c>
      <c r="D50" s="250">
        <f t="shared" si="0"/>
        <v>0.98655612021561168</v>
      </c>
      <c r="E50" s="252">
        <v>1301.3010100000004</v>
      </c>
      <c r="F50" s="252">
        <v>5173.102323000001</v>
      </c>
      <c r="G50" s="166">
        <f t="shared" si="1"/>
        <v>2.9753310596446854</v>
      </c>
      <c r="H50" s="251">
        <f t="shared" si="2"/>
        <v>8.384398837099846E-4</v>
      </c>
    </row>
    <row r="51" spans="1:8" ht="12" customHeight="1" x14ac:dyDescent="0.25">
      <c r="A51" s="16" t="s">
        <v>294</v>
      </c>
      <c r="B51" s="249">
        <v>455.25912899999997</v>
      </c>
      <c r="C51" s="249">
        <v>703.45112200000005</v>
      </c>
      <c r="D51" s="250">
        <f t="shared" si="0"/>
        <v>0.5451664276236845</v>
      </c>
      <c r="E51" s="252">
        <v>2896.7451599999995</v>
      </c>
      <c r="F51" s="252">
        <v>5163.5328490000002</v>
      </c>
      <c r="G51" s="166">
        <f t="shared" si="1"/>
        <v>0.78252920564127249</v>
      </c>
      <c r="H51" s="251">
        <f t="shared" si="2"/>
        <v>8.3688889396210089E-4</v>
      </c>
    </row>
    <row r="52" spans="1:8" ht="12" customHeight="1" x14ac:dyDescent="0.25">
      <c r="A52" s="16" t="s">
        <v>194</v>
      </c>
      <c r="B52" s="249">
        <v>358.84838400000001</v>
      </c>
      <c r="C52" s="249">
        <v>1488.6427689999998</v>
      </c>
      <c r="D52" s="250">
        <f t="shared" si="0"/>
        <v>3.1483892233439725</v>
      </c>
      <c r="E52" s="252">
        <v>1590.1228880000001</v>
      </c>
      <c r="F52" s="252">
        <v>5119.8431580000015</v>
      </c>
      <c r="G52" s="166">
        <f t="shared" si="1"/>
        <v>2.2197782930095156</v>
      </c>
      <c r="H52" s="251">
        <f t="shared" si="2"/>
        <v>8.2980780854097962E-4</v>
      </c>
    </row>
    <row r="53" spans="1:8" ht="12" customHeight="1" x14ac:dyDescent="0.25">
      <c r="A53" s="16" t="s">
        <v>183</v>
      </c>
      <c r="B53" s="249">
        <v>2127.2713900000003</v>
      </c>
      <c r="C53" s="249">
        <v>1560.4172220000003</v>
      </c>
      <c r="D53" s="250">
        <f t="shared" si="0"/>
        <v>-0.26647007554593205</v>
      </c>
      <c r="E53" s="252">
        <v>4704.3970130000007</v>
      </c>
      <c r="F53" s="252">
        <v>5105.720632999999</v>
      </c>
      <c r="G53" s="166">
        <f t="shared" si="1"/>
        <v>8.5308195479886439E-2</v>
      </c>
      <c r="H53" s="251">
        <f t="shared" si="2"/>
        <v>8.275188748452265E-4</v>
      </c>
    </row>
    <row r="54" spans="1:8" ht="12" customHeight="1" x14ac:dyDescent="0.25">
      <c r="A54" s="16" t="s">
        <v>295</v>
      </c>
      <c r="B54" s="249">
        <v>2826.9759999999997</v>
      </c>
      <c r="C54" s="249">
        <v>2403.4175</v>
      </c>
      <c r="D54" s="250">
        <f t="shared" si="0"/>
        <v>-0.14982741275483047</v>
      </c>
      <c r="E54" s="252">
        <v>6642.9089180000001</v>
      </c>
      <c r="F54" s="252">
        <v>3793.3908280000001</v>
      </c>
      <c r="G54" s="166">
        <f t="shared" si="1"/>
        <v>-0.42895636914105284</v>
      </c>
      <c r="H54" s="251">
        <f t="shared" si="2"/>
        <v>6.1482065617646231E-4</v>
      </c>
    </row>
    <row r="55" spans="1:8" ht="12" customHeight="1" x14ac:dyDescent="0.25">
      <c r="A55" s="16" t="s">
        <v>133</v>
      </c>
      <c r="B55" s="249">
        <v>17259.422580000002</v>
      </c>
      <c r="C55" s="249">
        <v>6344.8567400000002</v>
      </c>
      <c r="D55" s="250">
        <f t="shared" si="0"/>
        <v>-0.63238302378943212</v>
      </c>
      <c r="E55" s="252">
        <v>11422.163775999998</v>
      </c>
      <c r="F55" s="252">
        <v>3723.3968370000007</v>
      </c>
      <c r="G55" s="166">
        <f t="shared" si="1"/>
        <v>-0.67402000969172571</v>
      </c>
      <c r="H55" s="251">
        <f t="shared" si="2"/>
        <v>6.0347625391835968E-4</v>
      </c>
    </row>
    <row r="56" spans="1:8" ht="12" customHeight="1" x14ac:dyDescent="0.25">
      <c r="A56" s="16" t="s">
        <v>126</v>
      </c>
      <c r="B56" s="249">
        <v>674.52869399999997</v>
      </c>
      <c r="C56" s="249">
        <v>434.89905000000005</v>
      </c>
      <c r="D56" s="250">
        <f t="shared" si="0"/>
        <v>-0.35525493004453257</v>
      </c>
      <c r="E56" s="252">
        <v>2432.1509959999985</v>
      </c>
      <c r="F56" s="252">
        <v>3048.8992829999997</v>
      </c>
      <c r="G56" s="166">
        <f t="shared" si="1"/>
        <v>0.25358141333096795</v>
      </c>
      <c r="H56" s="251">
        <f t="shared" si="2"/>
        <v>4.9415584704682724E-4</v>
      </c>
    </row>
    <row r="57" spans="1:8" ht="12" customHeight="1" x14ac:dyDescent="0.25">
      <c r="A57" s="119" t="s">
        <v>18</v>
      </c>
      <c r="B57" s="253">
        <v>9656.2714950000027</v>
      </c>
      <c r="C57" s="253">
        <v>21051.870750000006</v>
      </c>
      <c r="D57" s="167">
        <f t="shared" si="0"/>
        <v>1.1801241567100327</v>
      </c>
      <c r="E57" s="254">
        <v>23258.073206000001</v>
      </c>
      <c r="F57" s="254">
        <v>26857.60461799999</v>
      </c>
      <c r="G57" s="167">
        <f t="shared" si="1"/>
        <v>0.1547648156456658</v>
      </c>
      <c r="H57" s="255">
        <f t="shared" si="2"/>
        <v>4.3529946802957631E-3</v>
      </c>
    </row>
    <row r="58" spans="1:8" ht="8.1" customHeight="1" x14ac:dyDescent="0.25">
      <c r="A58" s="8" t="s">
        <v>44</v>
      </c>
      <c r="B58" s="32"/>
      <c r="C58" s="9"/>
      <c r="D58" s="35"/>
      <c r="E58" s="9"/>
      <c r="F58" s="9"/>
      <c r="G58" s="35"/>
      <c r="H58" s="10"/>
    </row>
    <row r="59" spans="1:8" ht="8.1" customHeight="1" x14ac:dyDescent="0.25">
      <c r="A59" s="11" t="s">
        <v>20</v>
      </c>
      <c r="B59" s="32"/>
      <c r="C59" s="9"/>
      <c r="D59" s="35"/>
      <c r="E59" s="9"/>
      <c r="F59" s="9"/>
      <c r="G59" s="35"/>
      <c r="H59" s="10"/>
    </row>
    <row r="60" spans="1:8" ht="8.1" customHeight="1" x14ac:dyDescent="0.25">
      <c r="A60" s="214" t="s">
        <v>348</v>
      </c>
      <c r="B60" s="11"/>
      <c r="C60" s="11"/>
      <c r="D60" s="11"/>
      <c r="E60" s="11"/>
      <c r="F60" s="11"/>
      <c r="G60" s="11"/>
      <c r="H60" s="10"/>
    </row>
    <row r="61" spans="1:8" ht="8.1" customHeight="1" x14ac:dyDescent="0.25">
      <c r="A61" s="225" t="s">
        <v>349</v>
      </c>
      <c r="B61" s="9"/>
      <c r="C61" s="9"/>
      <c r="D61" s="35"/>
      <c r="E61" s="9"/>
      <c r="F61" s="9"/>
      <c r="G61" s="35"/>
      <c r="H61" s="10"/>
    </row>
    <row r="62" spans="1:8" x14ac:dyDescent="0.25">
      <c r="B62" s="28"/>
      <c r="C62" s="28"/>
      <c r="D62" s="36"/>
      <c r="E62" s="28"/>
      <c r="F62" s="28"/>
      <c r="G62" s="36"/>
    </row>
    <row r="63" spans="1:8" x14ac:dyDescent="0.25">
      <c r="B63" s="28"/>
      <c r="C63" s="28"/>
      <c r="D63" s="28"/>
      <c r="E63" s="28"/>
      <c r="F63" s="28"/>
      <c r="G63" s="28"/>
      <c r="H63" s="28"/>
    </row>
    <row r="64" spans="1:8" x14ac:dyDescent="0.25">
      <c r="B64" s="28"/>
      <c r="C64" s="28"/>
      <c r="D64" s="36"/>
      <c r="E64" s="28"/>
      <c r="F64" s="28"/>
      <c r="G64" s="36"/>
    </row>
    <row r="65" spans="2:7" x14ac:dyDescent="0.25">
      <c r="B65" s="28"/>
      <c r="C65" s="28"/>
      <c r="D65" s="36"/>
      <c r="E65" s="28"/>
      <c r="F65" s="28"/>
      <c r="G65" s="36"/>
    </row>
    <row r="66" spans="2:7" x14ac:dyDescent="0.25">
      <c r="B66" s="28"/>
      <c r="C66" s="28"/>
      <c r="D66" s="36"/>
      <c r="E66" s="28"/>
      <c r="F66" s="28"/>
      <c r="G66" s="36"/>
    </row>
    <row r="67" spans="2:7" x14ac:dyDescent="0.25">
      <c r="B67" s="28"/>
      <c r="C67" s="28"/>
      <c r="D67" s="36"/>
      <c r="E67" s="28"/>
      <c r="F67" s="28"/>
      <c r="G67" s="36"/>
    </row>
    <row r="68" spans="2:7" x14ac:dyDescent="0.25">
      <c r="B68" s="28"/>
      <c r="C68" s="28"/>
      <c r="D68" s="36"/>
      <c r="E68" s="28"/>
      <c r="F68" s="28"/>
      <c r="G68" s="36"/>
    </row>
    <row r="69" spans="2:7" x14ac:dyDescent="0.25">
      <c r="B69" s="28"/>
      <c r="C69" s="28"/>
      <c r="D69" s="36"/>
      <c r="E69" s="28"/>
      <c r="F69" s="28"/>
      <c r="G69" s="36"/>
    </row>
    <row r="70" spans="2:7" x14ac:dyDescent="0.25">
      <c r="B70" s="28"/>
      <c r="C70" s="28"/>
      <c r="D70" s="36"/>
      <c r="E70" s="28"/>
      <c r="F70" s="28"/>
      <c r="G70" s="36"/>
    </row>
    <row r="71" spans="2:7" x14ac:dyDescent="0.25">
      <c r="B71" s="28"/>
      <c r="C71" s="28"/>
      <c r="D71" s="36"/>
      <c r="E71" s="28"/>
      <c r="F71" s="28"/>
      <c r="G71" s="36"/>
    </row>
    <row r="72" spans="2:7" x14ac:dyDescent="0.25">
      <c r="B72" s="28"/>
      <c r="C72" s="28"/>
      <c r="D72" s="36"/>
      <c r="E72" s="28"/>
      <c r="F72" s="28"/>
      <c r="G72" s="36"/>
    </row>
    <row r="73" spans="2:7" x14ac:dyDescent="0.25">
      <c r="B73" s="28"/>
      <c r="C73" s="28"/>
      <c r="D73" s="36"/>
      <c r="E73" s="28"/>
      <c r="F73" s="28"/>
      <c r="G73" s="36"/>
    </row>
    <row r="74" spans="2:7" x14ac:dyDescent="0.25">
      <c r="B74" s="28"/>
      <c r="C74" s="28"/>
      <c r="D74" s="36"/>
      <c r="E74" s="28"/>
      <c r="F74" s="28"/>
      <c r="G74" s="36"/>
    </row>
    <row r="75" spans="2:7" x14ac:dyDescent="0.25">
      <c r="B75" s="28"/>
      <c r="C75" s="28"/>
      <c r="D75" s="36"/>
      <c r="E75" s="28"/>
      <c r="F75" s="28"/>
      <c r="G75" s="36"/>
    </row>
    <row r="76" spans="2:7" x14ac:dyDescent="0.25">
      <c r="B76" s="28"/>
      <c r="C76" s="28"/>
      <c r="D76" s="36"/>
      <c r="E76" s="28"/>
      <c r="F76" s="28"/>
      <c r="G76" s="36"/>
    </row>
    <row r="77" spans="2:7" x14ac:dyDescent="0.25">
      <c r="B77" s="28"/>
      <c r="C77" s="28"/>
      <c r="D77" s="36"/>
      <c r="E77" s="28"/>
      <c r="F77" s="28"/>
      <c r="G77" s="36"/>
    </row>
    <row r="78" spans="2:7" x14ac:dyDescent="0.25">
      <c r="B78" s="28"/>
      <c r="C78" s="28"/>
      <c r="D78" s="36"/>
      <c r="E78" s="28"/>
      <c r="F78" s="28"/>
      <c r="G78" s="36"/>
    </row>
    <row r="79" spans="2:7" x14ac:dyDescent="0.25">
      <c r="B79" s="28"/>
      <c r="C79" s="28"/>
      <c r="D79" s="36"/>
      <c r="E79" s="28"/>
      <c r="F79" s="28"/>
      <c r="G79" s="36"/>
    </row>
    <row r="80" spans="2:7" x14ac:dyDescent="0.25">
      <c r="B80" s="28"/>
      <c r="C80" s="28"/>
      <c r="D80" s="36"/>
      <c r="E80" s="28"/>
      <c r="F80" s="28"/>
      <c r="G80" s="36"/>
    </row>
    <row r="81" spans="2:7" x14ac:dyDescent="0.25">
      <c r="B81" s="28"/>
      <c r="C81" s="28"/>
      <c r="D81" s="36"/>
      <c r="E81" s="28"/>
      <c r="F81" s="28"/>
      <c r="G81" s="36"/>
    </row>
    <row r="82" spans="2:7" x14ac:dyDescent="0.25">
      <c r="B82" s="28"/>
      <c r="C82" s="28"/>
      <c r="D82" s="36"/>
      <c r="E82" s="28"/>
      <c r="F82" s="28"/>
      <c r="G82" s="36"/>
    </row>
    <row r="83" spans="2:7" x14ac:dyDescent="0.25">
      <c r="B83" s="28"/>
      <c r="C83" s="28"/>
      <c r="D83" s="36"/>
      <c r="E83" s="28"/>
      <c r="F83" s="28"/>
      <c r="G83" s="36"/>
    </row>
    <row r="84" spans="2:7" x14ac:dyDescent="0.25">
      <c r="B84" s="28"/>
      <c r="C84" s="28"/>
      <c r="D84" s="36"/>
      <c r="E84" s="28"/>
      <c r="F84" s="28"/>
      <c r="G84" s="36"/>
    </row>
    <row r="85" spans="2:7" x14ac:dyDescent="0.25">
      <c r="B85" s="28"/>
      <c r="C85" s="28"/>
      <c r="D85" s="36"/>
      <c r="E85" s="28"/>
      <c r="F85" s="28"/>
      <c r="G85" s="36"/>
    </row>
    <row r="86" spans="2:7" x14ac:dyDescent="0.25">
      <c r="B86" s="28"/>
      <c r="C86" s="28"/>
      <c r="D86" s="36"/>
      <c r="E86" s="28"/>
      <c r="F86" s="28"/>
      <c r="G86" s="36"/>
    </row>
    <row r="87" spans="2:7" x14ac:dyDescent="0.25">
      <c r="B87" s="28"/>
      <c r="C87" s="28"/>
      <c r="D87" s="36"/>
      <c r="E87" s="28"/>
      <c r="F87" s="28"/>
      <c r="G87" s="36"/>
    </row>
    <row r="88" spans="2:7" x14ac:dyDescent="0.25">
      <c r="B88" s="28"/>
      <c r="C88" s="28"/>
      <c r="D88" s="36"/>
      <c r="E88" s="28"/>
      <c r="F88" s="28"/>
      <c r="G88" s="36"/>
    </row>
    <row r="89" spans="2:7" x14ac:dyDescent="0.25">
      <c r="B89" s="28"/>
      <c r="C89" s="28"/>
      <c r="D89" s="36"/>
      <c r="E89" s="28"/>
      <c r="F89" s="28"/>
      <c r="G89" s="36"/>
    </row>
    <row r="90" spans="2:7" x14ac:dyDescent="0.25">
      <c r="B90" s="28"/>
      <c r="C90" s="28"/>
      <c r="D90" s="36"/>
      <c r="E90" s="28"/>
      <c r="F90" s="28"/>
      <c r="G90" s="36"/>
    </row>
    <row r="91" spans="2:7" x14ac:dyDescent="0.25">
      <c r="B91" s="28"/>
      <c r="C91" s="28"/>
      <c r="D91" s="36"/>
      <c r="E91" s="28"/>
      <c r="F91" s="28"/>
      <c r="G91" s="36"/>
    </row>
    <row r="92" spans="2:7" x14ac:dyDescent="0.25">
      <c r="B92" s="28"/>
      <c r="C92" s="28"/>
      <c r="D92" s="36"/>
      <c r="E92" s="28"/>
      <c r="F92" s="28"/>
      <c r="G92" s="36"/>
    </row>
    <row r="93" spans="2:7" x14ac:dyDescent="0.25">
      <c r="B93" s="28"/>
      <c r="C93" s="28"/>
      <c r="D93" s="36"/>
      <c r="E93" s="28"/>
      <c r="F93" s="28"/>
      <c r="G93" s="36"/>
    </row>
    <row r="94" spans="2:7" x14ac:dyDescent="0.25">
      <c r="B94" s="28"/>
      <c r="C94" s="28"/>
      <c r="D94" s="36"/>
      <c r="E94" s="28"/>
      <c r="F94" s="28"/>
      <c r="G94" s="36"/>
    </row>
    <row r="95" spans="2:7" x14ac:dyDescent="0.25">
      <c r="B95" s="28"/>
      <c r="C95" s="28"/>
      <c r="D95" s="36"/>
      <c r="E95" s="28"/>
      <c r="F95" s="28"/>
      <c r="G95" s="36"/>
    </row>
    <row r="96" spans="2:7" x14ac:dyDescent="0.25">
      <c r="B96" s="28"/>
      <c r="C96" s="28"/>
      <c r="D96" s="36"/>
      <c r="E96" s="28"/>
      <c r="F96" s="28"/>
      <c r="G96" s="36"/>
    </row>
    <row r="97" spans="2:7" x14ac:dyDescent="0.25">
      <c r="B97" s="28"/>
      <c r="C97" s="28"/>
      <c r="D97" s="36"/>
      <c r="E97" s="28"/>
      <c r="F97" s="28"/>
      <c r="G97" s="36"/>
    </row>
    <row r="98" spans="2:7" x14ac:dyDescent="0.25">
      <c r="B98" s="28"/>
      <c r="C98" s="28"/>
      <c r="D98" s="36"/>
      <c r="E98" s="28"/>
      <c r="F98" s="28"/>
      <c r="G98" s="36"/>
    </row>
    <row r="99" spans="2:7" x14ac:dyDescent="0.25">
      <c r="B99" s="28"/>
      <c r="C99" s="28"/>
      <c r="D99" s="36"/>
      <c r="E99" s="28"/>
      <c r="F99" s="28"/>
      <c r="G99" s="36"/>
    </row>
    <row r="100" spans="2:7" x14ac:dyDescent="0.25">
      <c r="B100" s="28"/>
      <c r="C100" s="28"/>
      <c r="D100" s="36"/>
      <c r="E100" s="28"/>
      <c r="F100" s="28"/>
      <c r="G100" s="36"/>
    </row>
    <row r="101" spans="2:7" x14ac:dyDescent="0.25">
      <c r="B101" s="28"/>
      <c r="C101" s="28"/>
      <c r="D101" s="36"/>
      <c r="E101" s="28"/>
      <c r="F101" s="28"/>
      <c r="G101" s="36"/>
    </row>
    <row r="102" spans="2:7" x14ac:dyDescent="0.25">
      <c r="B102" s="28"/>
      <c r="C102" s="28"/>
      <c r="D102" s="36"/>
      <c r="E102" s="28"/>
      <c r="F102" s="28"/>
      <c r="G102" s="36"/>
    </row>
    <row r="103" spans="2:7" x14ac:dyDescent="0.25">
      <c r="B103" s="28"/>
      <c r="C103" s="28"/>
      <c r="D103" s="36"/>
      <c r="E103" s="28"/>
      <c r="F103" s="28"/>
      <c r="G103" s="36"/>
    </row>
    <row r="104" spans="2:7" x14ac:dyDescent="0.25">
      <c r="B104" s="28"/>
      <c r="C104" s="28"/>
      <c r="D104" s="36"/>
      <c r="E104" s="28"/>
      <c r="F104" s="28"/>
      <c r="G104" s="36"/>
    </row>
    <row r="105" spans="2:7" x14ac:dyDescent="0.25">
      <c r="B105" s="28"/>
      <c r="C105" s="28"/>
      <c r="D105" s="36"/>
      <c r="E105" s="28"/>
      <c r="F105" s="28"/>
      <c r="G105" s="36"/>
    </row>
    <row r="106" spans="2:7" x14ac:dyDescent="0.25">
      <c r="B106" s="28"/>
      <c r="C106" s="28"/>
      <c r="D106" s="36"/>
      <c r="E106" s="28"/>
      <c r="F106" s="28"/>
      <c r="G106" s="36"/>
    </row>
    <row r="107" spans="2:7" x14ac:dyDescent="0.25">
      <c r="B107" s="28"/>
      <c r="C107" s="28"/>
      <c r="D107" s="36"/>
      <c r="E107" s="28"/>
      <c r="F107" s="28"/>
      <c r="G107" s="36"/>
    </row>
    <row r="108" spans="2:7" x14ac:dyDescent="0.25">
      <c r="B108" s="28"/>
      <c r="C108" s="28"/>
      <c r="D108" s="36"/>
      <c r="E108" s="28"/>
      <c r="F108" s="28"/>
      <c r="G108" s="36"/>
    </row>
    <row r="109" spans="2:7" x14ac:dyDescent="0.25">
      <c r="B109" s="28"/>
      <c r="C109" s="28"/>
      <c r="D109" s="36"/>
      <c r="E109" s="28"/>
      <c r="F109" s="28"/>
      <c r="G109" s="36"/>
    </row>
    <row r="110" spans="2:7" x14ac:dyDescent="0.25">
      <c r="B110" s="28"/>
      <c r="C110" s="28"/>
      <c r="D110" s="36"/>
      <c r="E110" s="28"/>
      <c r="F110" s="28"/>
      <c r="G110" s="36"/>
    </row>
    <row r="111" spans="2:7" x14ac:dyDescent="0.25">
      <c r="B111" s="28"/>
      <c r="C111" s="28"/>
      <c r="D111" s="36"/>
      <c r="E111" s="28"/>
      <c r="F111" s="28"/>
      <c r="G111" s="36"/>
    </row>
    <row r="112" spans="2:7" x14ac:dyDescent="0.25">
      <c r="B112" s="28"/>
      <c r="C112" s="28"/>
      <c r="D112" s="36"/>
      <c r="E112" s="28"/>
      <c r="F112" s="28"/>
      <c r="G112" s="36"/>
    </row>
    <row r="113" spans="2:7" x14ac:dyDescent="0.25">
      <c r="B113" s="28"/>
      <c r="C113" s="28"/>
      <c r="D113" s="36"/>
      <c r="E113" s="28"/>
      <c r="F113" s="28"/>
      <c r="G113" s="36"/>
    </row>
    <row r="114" spans="2:7" x14ac:dyDescent="0.25">
      <c r="B114" s="28"/>
      <c r="C114" s="28"/>
      <c r="D114" s="36"/>
      <c r="E114" s="28"/>
      <c r="F114" s="28"/>
      <c r="G114" s="36"/>
    </row>
    <row r="115" spans="2:7" x14ac:dyDescent="0.25">
      <c r="B115" s="28"/>
      <c r="C115" s="28"/>
      <c r="D115" s="36"/>
      <c r="E115" s="28"/>
      <c r="F115" s="28"/>
      <c r="G115" s="36"/>
    </row>
    <row r="116" spans="2:7" x14ac:dyDescent="0.25">
      <c r="B116" s="28"/>
      <c r="C116" s="28"/>
      <c r="D116" s="36"/>
      <c r="E116" s="28"/>
      <c r="F116" s="28"/>
      <c r="G116" s="36"/>
    </row>
    <row r="117" spans="2:7" x14ac:dyDescent="0.25">
      <c r="B117" s="28"/>
      <c r="C117" s="28"/>
      <c r="D117" s="36"/>
      <c r="E117" s="28"/>
      <c r="F117" s="28"/>
      <c r="G117" s="36"/>
    </row>
    <row r="118" spans="2:7" x14ac:dyDescent="0.25">
      <c r="B118" s="28"/>
      <c r="C118" s="28"/>
      <c r="D118" s="36"/>
      <c r="E118" s="28"/>
      <c r="F118" s="28"/>
      <c r="G118" s="36"/>
    </row>
    <row r="119" spans="2:7" x14ac:dyDescent="0.25">
      <c r="B119" s="28"/>
      <c r="C119" s="28"/>
      <c r="D119" s="36"/>
      <c r="E119" s="28"/>
      <c r="F119" s="28"/>
      <c r="G119" s="36"/>
    </row>
    <row r="120" spans="2:7" x14ac:dyDescent="0.25">
      <c r="B120" s="28"/>
      <c r="C120" s="28"/>
      <c r="D120" s="36"/>
      <c r="E120" s="28"/>
      <c r="F120" s="28"/>
      <c r="G120" s="36"/>
    </row>
    <row r="121" spans="2:7" x14ac:dyDescent="0.25">
      <c r="B121" s="28"/>
      <c r="C121" s="28"/>
      <c r="D121" s="36"/>
      <c r="E121" s="28"/>
      <c r="F121" s="28"/>
      <c r="G121" s="36"/>
    </row>
    <row r="122" spans="2:7" x14ac:dyDescent="0.25">
      <c r="B122" s="28"/>
      <c r="C122" s="28"/>
      <c r="D122" s="36"/>
      <c r="E122" s="28"/>
      <c r="F122" s="28"/>
      <c r="G122" s="36"/>
    </row>
    <row r="123" spans="2:7" x14ac:dyDescent="0.25">
      <c r="B123" s="28"/>
      <c r="C123" s="28"/>
      <c r="D123" s="36"/>
      <c r="E123" s="28"/>
      <c r="F123" s="28"/>
      <c r="G123" s="36"/>
    </row>
    <row r="124" spans="2:7" x14ac:dyDescent="0.25">
      <c r="B124" s="28"/>
      <c r="C124" s="28"/>
      <c r="D124" s="36"/>
      <c r="E124" s="28"/>
      <c r="F124" s="28"/>
      <c r="G124" s="36"/>
    </row>
    <row r="125" spans="2:7" x14ac:dyDescent="0.25">
      <c r="B125" s="28"/>
      <c r="C125" s="28"/>
      <c r="D125" s="36"/>
      <c r="E125" s="28"/>
      <c r="F125" s="28"/>
      <c r="G125" s="36"/>
    </row>
    <row r="126" spans="2:7" x14ac:dyDescent="0.25">
      <c r="B126" s="28"/>
      <c r="C126" s="28"/>
      <c r="D126" s="36"/>
      <c r="E126" s="28"/>
      <c r="F126" s="28"/>
      <c r="G126" s="36"/>
    </row>
    <row r="127" spans="2:7" x14ac:dyDescent="0.25">
      <c r="B127" s="28"/>
      <c r="C127" s="28"/>
      <c r="D127" s="36"/>
      <c r="E127" s="28"/>
      <c r="F127" s="28"/>
      <c r="G127" s="36"/>
    </row>
    <row r="128" spans="2:7" x14ac:dyDescent="0.25">
      <c r="B128" s="28"/>
      <c r="C128" s="28"/>
      <c r="D128" s="36"/>
      <c r="E128" s="28"/>
      <c r="F128" s="28"/>
      <c r="G128" s="36"/>
    </row>
    <row r="129" spans="2:7" x14ac:dyDescent="0.25">
      <c r="B129" s="28"/>
      <c r="C129" s="28"/>
      <c r="D129" s="36"/>
      <c r="E129" s="28"/>
      <c r="F129" s="28"/>
      <c r="G129" s="36"/>
    </row>
    <row r="130" spans="2:7" x14ac:dyDescent="0.25">
      <c r="B130" s="28"/>
      <c r="C130" s="28"/>
      <c r="D130" s="36"/>
      <c r="E130" s="28"/>
      <c r="F130" s="28"/>
      <c r="G130" s="36"/>
    </row>
    <row r="131" spans="2:7" x14ac:dyDescent="0.25">
      <c r="B131" s="28"/>
      <c r="C131" s="28"/>
      <c r="D131" s="36"/>
      <c r="E131" s="28"/>
      <c r="F131" s="28"/>
      <c r="G131" s="36"/>
    </row>
    <row r="132" spans="2:7" x14ac:dyDescent="0.25">
      <c r="B132" s="28"/>
      <c r="C132" s="28"/>
      <c r="D132" s="36"/>
      <c r="E132" s="28"/>
      <c r="F132" s="28"/>
      <c r="G132" s="36"/>
    </row>
    <row r="133" spans="2:7" x14ac:dyDescent="0.25">
      <c r="B133" s="28"/>
      <c r="C133" s="28"/>
      <c r="D133" s="36"/>
      <c r="E133" s="28"/>
      <c r="F133" s="28"/>
      <c r="G133" s="36"/>
    </row>
    <row r="134" spans="2:7" x14ac:dyDescent="0.25">
      <c r="B134" s="28"/>
      <c r="C134" s="28"/>
      <c r="D134" s="36"/>
      <c r="E134" s="28"/>
      <c r="F134" s="28"/>
      <c r="G134" s="36"/>
    </row>
    <row r="135" spans="2:7" x14ac:dyDescent="0.25">
      <c r="B135" s="28"/>
      <c r="C135" s="28"/>
      <c r="D135" s="36"/>
      <c r="E135" s="28"/>
      <c r="F135" s="28"/>
      <c r="G135" s="36"/>
    </row>
    <row r="136" spans="2:7" x14ac:dyDescent="0.25">
      <c r="B136" s="28"/>
      <c r="C136" s="28"/>
      <c r="D136" s="36"/>
      <c r="E136" s="28"/>
      <c r="F136" s="28"/>
      <c r="G136" s="36"/>
    </row>
    <row r="137" spans="2:7" x14ac:dyDescent="0.25">
      <c r="B137" s="28"/>
      <c r="C137" s="28"/>
      <c r="D137" s="36"/>
      <c r="E137" s="28"/>
      <c r="F137" s="28"/>
      <c r="G137" s="36"/>
    </row>
    <row r="138" spans="2:7" x14ac:dyDescent="0.25">
      <c r="B138" s="28"/>
      <c r="C138" s="28"/>
      <c r="D138" s="36"/>
      <c r="E138" s="28"/>
      <c r="F138" s="28"/>
      <c r="G138" s="36"/>
    </row>
    <row r="139" spans="2:7" x14ac:dyDescent="0.25">
      <c r="B139" s="28"/>
      <c r="C139" s="28"/>
      <c r="D139" s="36"/>
      <c r="E139" s="28"/>
      <c r="F139" s="28"/>
      <c r="G139" s="36"/>
    </row>
    <row r="140" spans="2:7" x14ac:dyDescent="0.25">
      <c r="B140" s="28"/>
      <c r="C140" s="28"/>
      <c r="D140" s="36"/>
      <c r="E140" s="28"/>
      <c r="F140" s="28"/>
      <c r="G140" s="36"/>
    </row>
    <row r="141" spans="2:7" x14ac:dyDescent="0.25">
      <c r="B141" s="28"/>
      <c r="C141" s="28"/>
      <c r="D141" s="36"/>
      <c r="E141" s="28"/>
      <c r="F141" s="28"/>
      <c r="G141" s="36"/>
    </row>
    <row r="142" spans="2:7" x14ac:dyDescent="0.25">
      <c r="B142" s="28"/>
      <c r="C142" s="28"/>
      <c r="D142" s="36"/>
      <c r="E142" s="28"/>
      <c r="F142" s="28"/>
      <c r="G142" s="36"/>
    </row>
    <row r="143" spans="2:7" x14ac:dyDescent="0.25">
      <c r="B143" s="28"/>
      <c r="C143" s="28"/>
      <c r="D143" s="36"/>
      <c r="E143" s="28"/>
      <c r="F143" s="28"/>
      <c r="G143" s="36"/>
    </row>
    <row r="144" spans="2:7" x14ac:dyDescent="0.25">
      <c r="B144" s="28"/>
      <c r="C144" s="28"/>
      <c r="D144" s="36"/>
      <c r="E144" s="28"/>
      <c r="F144" s="28"/>
      <c r="G144" s="36"/>
    </row>
    <row r="145" spans="2:7" x14ac:dyDescent="0.25">
      <c r="B145" s="28"/>
      <c r="C145" s="28"/>
      <c r="D145" s="36"/>
      <c r="E145" s="28"/>
      <c r="F145" s="28"/>
      <c r="G145" s="36"/>
    </row>
    <row r="146" spans="2:7" x14ac:dyDescent="0.25">
      <c r="B146" s="28"/>
      <c r="C146" s="28"/>
      <c r="D146" s="36"/>
      <c r="E146" s="28"/>
      <c r="F146" s="28"/>
      <c r="G146" s="36"/>
    </row>
    <row r="147" spans="2:7" x14ac:dyDescent="0.25">
      <c r="B147" s="28"/>
      <c r="C147" s="28"/>
      <c r="D147" s="36"/>
      <c r="E147" s="28"/>
      <c r="F147" s="28"/>
      <c r="G147" s="36"/>
    </row>
    <row r="148" spans="2:7" x14ac:dyDescent="0.25">
      <c r="B148" s="28"/>
      <c r="C148" s="28"/>
      <c r="D148" s="36"/>
      <c r="E148" s="28"/>
      <c r="F148" s="28"/>
      <c r="G148" s="36"/>
    </row>
    <row r="149" spans="2:7" x14ac:dyDescent="0.25">
      <c r="B149" s="28"/>
      <c r="C149" s="28"/>
      <c r="D149" s="36"/>
      <c r="E149" s="28"/>
      <c r="F149" s="28"/>
      <c r="G149" s="36"/>
    </row>
    <row r="150" spans="2:7" x14ac:dyDescent="0.25">
      <c r="B150" s="28"/>
      <c r="C150" s="28"/>
      <c r="D150" s="36"/>
      <c r="E150" s="28"/>
      <c r="F150" s="28"/>
      <c r="G150" s="36"/>
    </row>
    <row r="151" spans="2:7" x14ac:dyDescent="0.25">
      <c r="B151" s="28"/>
      <c r="C151" s="28"/>
      <c r="D151" s="36"/>
      <c r="E151" s="28"/>
      <c r="F151" s="28"/>
      <c r="G151" s="36"/>
    </row>
    <row r="152" spans="2:7" x14ac:dyDescent="0.25">
      <c r="B152" s="28"/>
      <c r="C152" s="28"/>
      <c r="D152" s="36"/>
      <c r="E152" s="28"/>
      <c r="F152" s="28"/>
      <c r="G152" s="36"/>
    </row>
    <row r="153" spans="2:7" x14ac:dyDescent="0.25">
      <c r="B153" s="28"/>
      <c r="C153" s="28"/>
      <c r="D153" s="36"/>
      <c r="E153" s="28"/>
      <c r="F153" s="28"/>
      <c r="G153" s="36"/>
    </row>
    <row r="154" spans="2:7" x14ac:dyDescent="0.25">
      <c r="B154" s="28"/>
      <c r="C154" s="28"/>
      <c r="D154" s="36"/>
      <c r="E154" s="28"/>
      <c r="F154" s="28"/>
      <c r="G154" s="36"/>
    </row>
    <row r="155" spans="2:7" x14ac:dyDescent="0.25">
      <c r="B155" s="28"/>
      <c r="C155" s="28"/>
      <c r="D155" s="36"/>
      <c r="E155" s="28"/>
      <c r="F155" s="28"/>
      <c r="G155" s="36"/>
    </row>
    <row r="156" spans="2:7" x14ac:dyDescent="0.25">
      <c r="B156" s="28"/>
      <c r="C156" s="28"/>
      <c r="D156" s="36"/>
      <c r="E156" s="28"/>
      <c r="F156" s="28"/>
      <c r="G156" s="36"/>
    </row>
    <row r="157" spans="2:7" x14ac:dyDescent="0.25">
      <c r="B157" s="28"/>
      <c r="C157" s="28"/>
      <c r="D157" s="36"/>
      <c r="E157" s="28"/>
      <c r="F157" s="28"/>
      <c r="G157" s="36"/>
    </row>
    <row r="158" spans="2:7" x14ac:dyDescent="0.25">
      <c r="B158" s="28"/>
      <c r="C158" s="28"/>
      <c r="D158" s="36"/>
      <c r="E158" s="28"/>
      <c r="F158" s="28"/>
      <c r="G158" s="36"/>
    </row>
    <row r="159" spans="2:7" x14ac:dyDescent="0.25">
      <c r="B159" s="28"/>
      <c r="C159" s="28"/>
      <c r="D159" s="36"/>
      <c r="E159" s="28"/>
      <c r="F159" s="28"/>
      <c r="G159" s="36"/>
    </row>
    <row r="160" spans="2:7" x14ac:dyDescent="0.25">
      <c r="B160" s="28"/>
      <c r="C160" s="28"/>
      <c r="D160" s="36"/>
      <c r="E160" s="28"/>
      <c r="F160" s="28"/>
      <c r="G160" s="36"/>
    </row>
    <row r="161" spans="2:7" x14ac:dyDescent="0.25">
      <c r="B161" s="28"/>
      <c r="C161" s="28"/>
      <c r="D161" s="36"/>
      <c r="E161" s="28"/>
      <c r="F161" s="28"/>
      <c r="G161" s="36"/>
    </row>
    <row r="162" spans="2:7" x14ac:dyDescent="0.25">
      <c r="B162" s="28"/>
      <c r="C162" s="28"/>
      <c r="D162" s="36"/>
      <c r="E162" s="28"/>
      <c r="F162" s="28"/>
      <c r="G162" s="36"/>
    </row>
    <row r="163" spans="2:7" x14ac:dyDescent="0.25">
      <c r="B163" s="28"/>
      <c r="C163" s="28"/>
      <c r="D163" s="36"/>
      <c r="E163" s="28"/>
      <c r="F163" s="28"/>
      <c r="G163" s="36"/>
    </row>
    <row r="164" spans="2:7" x14ac:dyDescent="0.25">
      <c r="B164" s="28"/>
      <c r="C164" s="28"/>
      <c r="D164" s="36"/>
      <c r="E164" s="28"/>
      <c r="F164" s="28"/>
      <c r="G164" s="36"/>
    </row>
    <row r="165" spans="2:7" x14ac:dyDescent="0.25">
      <c r="B165" s="28"/>
      <c r="C165" s="28"/>
      <c r="D165" s="36"/>
      <c r="E165" s="28"/>
      <c r="F165" s="28"/>
      <c r="G165" s="36"/>
    </row>
    <row r="166" spans="2:7" x14ac:dyDescent="0.25">
      <c r="B166" s="28"/>
      <c r="C166" s="28"/>
      <c r="D166" s="36"/>
      <c r="E166" s="28"/>
      <c r="F166" s="28"/>
      <c r="G166" s="36"/>
    </row>
    <row r="167" spans="2:7" x14ac:dyDescent="0.25">
      <c r="B167" s="28"/>
      <c r="C167" s="28"/>
      <c r="D167" s="36"/>
      <c r="E167" s="28"/>
      <c r="F167" s="28"/>
      <c r="G167" s="36"/>
    </row>
    <row r="168" spans="2:7" x14ac:dyDescent="0.25">
      <c r="B168" s="28"/>
      <c r="C168" s="28"/>
      <c r="D168" s="36"/>
      <c r="E168" s="28"/>
      <c r="F168" s="28"/>
      <c r="G168" s="36"/>
    </row>
    <row r="169" spans="2:7" x14ac:dyDescent="0.25">
      <c r="B169" s="28"/>
      <c r="C169" s="28"/>
      <c r="D169" s="36"/>
      <c r="E169" s="28"/>
      <c r="F169" s="28"/>
      <c r="G169" s="36"/>
    </row>
    <row r="170" spans="2:7" x14ac:dyDescent="0.25">
      <c r="B170" s="28"/>
      <c r="C170" s="28"/>
      <c r="D170" s="36"/>
      <c r="E170" s="28"/>
      <c r="F170" s="28"/>
      <c r="G170" s="36"/>
    </row>
    <row r="171" spans="2:7" x14ac:dyDescent="0.25">
      <c r="B171" s="28"/>
      <c r="C171" s="28"/>
      <c r="D171" s="36"/>
      <c r="E171" s="28"/>
      <c r="F171" s="28"/>
      <c r="G171" s="36"/>
    </row>
    <row r="172" spans="2:7" x14ac:dyDescent="0.25">
      <c r="B172" s="28"/>
      <c r="C172" s="28"/>
      <c r="D172" s="36"/>
      <c r="E172" s="28"/>
      <c r="F172" s="28"/>
      <c r="G172" s="36"/>
    </row>
    <row r="173" spans="2:7" x14ac:dyDescent="0.25">
      <c r="B173" s="28"/>
      <c r="C173" s="28"/>
      <c r="D173" s="36"/>
      <c r="E173" s="28"/>
      <c r="F173" s="28"/>
      <c r="G173" s="36"/>
    </row>
    <row r="174" spans="2:7" x14ac:dyDescent="0.25">
      <c r="B174" s="28"/>
      <c r="C174" s="28"/>
      <c r="D174" s="36"/>
      <c r="E174" s="28"/>
      <c r="F174" s="28"/>
      <c r="G174" s="36"/>
    </row>
    <row r="175" spans="2:7" x14ac:dyDescent="0.25">
      <c r="B175" s="28"/>
      <c r="C175" s="28"/>
      <c r="D175" s="36"/>
      <c r="E175" s="28"/>
      <c r="F175" s="28"/>
      <c r="G175" s="36"/>
    </row>
    <row r="176" spans="2:7" x14ac:dyDescent="0.25">
      <c r="B176" s="28"/>
      <c r="C176" s="28"/>
      <c r="D176" s="36"/>
      <c r="E176" s="28"/>
      <c r="F176" s="28"/>
      <c r="G176" s="36"/>
    </row>
    <row r="177" spans="2:7" x14ac:dyDescent="0.25">
      <c r="B177" s="28"/>
      <c r="C177" s="28"/>
      <c r="D177" s="36"/>
      <c r="E177" s="28"/>
      <c r="F177" s="28"/>
      <c r="G177" s="36"/>
    </row>
    <row r="178" spans="2:7" x14ac:dyDescent="0.25">
      <c r="B178" s="28"/>
      <c r="C178" s="28"/>
      <c r="D178" s="36"/>
      <c r="E178" s="28"/>
      <c r="F178" s="28"/>
      <c r="G178" s="36"/>
    </row>
    <row r="179" spans="2:7" x14ac:dyDescent="0.25">
      <c r="B179" s="28"/>
      <c r="C179" s="28"/>
      <c r="D179" s="36"/>
      <c r="E179" s="28"/>
      <c r="F179" s="28"/>
      <c r="G179" s="36"/>
    </row>
    <row r="180" spans="2:7" x14ac:dyDescent="0.25">
      <c r="B180" s="28"/>
      <c r="C180" s="28"/>
      <c r="D180" s="36"/>
      <c r="E180" s="28"/>
      <c r="F180" s="28"/>
      <c r="G180" s="36"/>
    </row>
    <row r="181" spans="2:7" x14ac:dyDescent="0.25">
      <c r="B181" s="28"/>
      <c r="C181" s="28"/>
      <c r="D181" s="36"/>
      <c r="E181" s="28"/>
      <c r="F181" s="28"/>
      <c r="G181" s="36"/>
    </row>
    <row r="182" spans="2:7" x14ac:dyDescent="0.25">
      <c r="B182" s="28"/>
      <c r="C182" s="28"/>
      <c r="D182" s="36"/>
      <c r="E182" s="28"/>
      <c r="F182" s="28"/>
      <c r="G182" s="36"/>
    </row>
    <row r="183" spans="2:7" x14ac:dyDescent="0.25">
      <c r="B183" s="28"/>
      <c r="C183" s="28"/>
      <c r="D183" s="36"/>
      <c r="E183" s="28"/>
      <c r="F183" s="28"/>
      <c r="G183" s="36"/>
    </row>
    <row r="184" spans="2:7" x14ac:dyDescent="0.25">
      <c r="B184" s="28"/>
      <c r="C184" s="28"/>
      <c r="D184" s="36"/>
      <c r="E184" s="28"/>
      <c r="F184" s="28"/>
      <c r="G184" s="36"/>
    </row>
    <row r="185" spans="2:7" x14ac:dyDescent="0.25">
      <c r="B185" s="28"/>
      <c r="C185" s="28"/>
      <c r="D185" s="36"/>
      <c r="E185" s="28"/>
      <c r="F185" s="28"/>
      <c r="G185" s="36"/>
    </row>
    <row r="186" spans="2:7" x14ac:dyDescent="0.25">
      <c r="B186" s="28"/>
      <c r="C186" s="28"/>
      <c r="D186" s="36"/>
      <c r="E186" s="28"/>
      <c r="F186" s="28"/>
      <c r="G186" s="36"/>
    </row>
    <row r="187" spans="2:7" x14ac:dyDescent="0.25">
      <c r="B187" s="28"/>
      <c r="C187" s="28"/>
      <c r="D187" s="36"/>
      <c r="E187" s="28"/>
      <c r="F187" s="28"/>
      <c r="G187" s="36"/>
    </row>
    <row r="188" spans="2:7" x14ac:dyDescent="0.25">
      <c r="B188" s="28"/>
      <c r="C188" s="28"/>
      <c r="D188" s="36"/>
      <c r="E188" s="28"/>
      <c r="F188" s="28"/>
      <c r="G188" s="36"/>
    </row>
    <row r="189" spans="2:7" x14ac:dyDescent="0.25">
      <c r="B189" s="28"/>
      <c r="C189" s="28"/>
      <c r="D189" s="36"/>
      <c r="E189" s="28"/>
      <c r="F189" s="28"/>
      <c r="G189" s="36"/>
    </row>
    <row r="190" spans="2:7" x14ac:dyDescent="0.25">
      <c r="B190" s="28"/>
      <c r="C190" s="28"/>
      <c r="D190" s="36"/>
      <c r="E190" s="28"/>
      <c r="F190" s="28"/>
      <c r="G190" s="36"/>
    </row>
    <row r="191" spans="2:7" x14ac:dyDescent="0.25">
      <c r="B191" s="28"/>
      <c r="C191" s="28"/>
      <c r="D191" s="36"/>
      <c r="E191" s="28"/>
      <c r="F191" s="28"/>
      <c r="G191" s="36"/>
    </row>
    <row r="192" spans="2:7" x14ac:dyDescent="0.25">
      <c r="B192" s="28"/>
      <c r="C192" s="28"/>
      <c r="D192" s="36"/>
      <c r="E192" s="28"/>
      <c r="F192" s="28"/>
      <c r="G192" s="36"/>
    </row>
    <row r="193" spans="2:7" x14ac:dyDescent="0.25">
      <c r="B193" s="28"/>
      <c r="C193" s="28"/>
      <c r="D193" s="36"/>
      <c r="E193" s="28"/>
      <c r="F193" s="28"/>
      <c r="G193" s="36"/>
    </row>
    <row r="194" spans="2:7" x14ac:dyDescent="0.25">
      <c r="B194" s="28"/>
      <c r="C194" s="28"/>
      <c r="D194" s="36"/>
      <c r="E194" s="28"/>
      <c r="F194" s="28"/>
      <c r="G194" s="36"/>
    </row>
    <row r="195" spans="2:7" x14ac:dyDescent="0.25">
      <c r="B195" s="28"/>
      <c r="C195" s="28"/>
      <c r="D195" s="36"/>
      <c r="E195" s="28"/>
      <c r="F195" s="28"/>
      <c r="G195" s="36"/>
    </row>
    <row r="196" spans="2:7" x14ac:dyDescent="0.25">
      <c r="B196" s="28"/>
      <c r="C196" s="28"/>
      <c r="D196" s="36"/>
      <c r="E196" s="28"/>
      <c r="F196" s="28"/>
      <c r="G196" s="36"/>
    </row>
    <row r="197" spans="2:7" x14ac:dyDescent="0.25">
      <c r="B197" s="28"/>
      <c r="C197" s="28"/>
      <c r="D197" s="36"/>
      <c r="E197" s="28"/>
      <c r="F197" s="28"/>
      <c r="G197" s="36"/>
    </row>
    <row r="198" spans="2:7" x14ac:dyDescent="0.25">
      <c r="B198" s="28"/>
      <c r="C198" s="28"/>
      <c r="D198" s="36"/>
      <c r="E198" s="28"/>
      <c r="F198" s="28"/>
      <c r="G198" s="36"/>
    </row>
    <row r="199" spans="2:7" x14ac:dyDescent="0.25">
      <c r="B199" s="28"/>
      <c r="C199" s="28"/>
      <c r="D199" s="36"/>
      <c r="E199" s="28"/>
      <c r="F199" s="28"/>
      <c r="G199" s="36"/>
    </row>
    <row r="200" spans="2:7" x14ac:dyDescent="0.25">
      <c r="B200" s="28"/>
      <c r="C200" s="28"/>
      <c r="D200" s="36"/>
      <c r="E200" s="28"/>
      <c r="F200" s="28"/>
      <c r="G200" s="36"/>
    </row>
    <row r="201" spans="2:7" x14ac:dyDescent="0.25">
      <c r="B201" s="28"/>
      <c r="C201" s="28"/>
      <c r="D201" s="36"/>
      <c r="E201" s="28"/>
      <c r="F201" s="28"/>
      <c r="G201" s="36"/>
    </row>
    <row r="202" spans="2:7" x14ac:dyDescent="0.25">
      <c r="B202" s="28"/>
      <c r="C202" s="28"/>
      <c r="D202" s="36"/>
      <c r="E202" s="28"/>
      <c r="F202" s="28"/>
      <c r="G202" s="36"/>
    </row>
    <row r="203" spans="2:7" x14ac:dyDescent="0.25">
      <c r="B203" s="28"/>
      <c r="C203" s="28"/>
      <c r="D203" s="36"/>
      <c r="E203" s="28"/>
      <c r="F203" s="28"/>
      <c r="G203" s="36"/>
    </row>
    <row r="204" spans="2:7" x14ac:dyDescent="0.25">
      <c r="B204" s="28"/>
      <c r="C204" s="28"/>
      <c r="D204" s="36"/>
      <c r="E204" s="28"/>
      <c r="F204" s="28"/>
      <c r="G204" s="36"/>
    </row>
    <row r="205" spans="2:7" x14ac:dyDescent="0.25">
      <c r="B205" s="28"/>
      <c r="C205" s="28"/>
      <c r="D205" s="36"/>
      <c r="E205" s="28"/>
      <c r="F205" s="28"/>
      <c r="G205" s="36"/>
    </row>
    <row r="206" spans="2:7" x14ac:dyDescent="0.25">
      <c r="B206" s="28"/>
      <c r="C206" s="28"/>
      <c r="D206" s="36"/>
      <c r="E206" s="28"/>
      <c r="F206" s="28"/>
      <c r="G206" s="36"/>
    </row>
    <row r="207" spans="2:7" x14ac:dyDescent="0.25">
      <c r="B207" s="28"/>
      <c r="C207" s="28"/>
      <c r="D207" s="36"/>
      <c r="E207" s="28"/>
      <c r="F207" s="28"/>
      <c r="G207" s="36"/>
    </row>
    <row r="208" spans="2:7" x14ac:dyDescent="0.25">
      <c r="B208" s="28"/>
      <c r="C208" s="28"/>
      <c r="D208" s="36"/>
      <c r="E208" s="28"/>
      <c r="F208" s="28"/>
      <c r="G208" s="36"/>
    </row>
    <row r="209" spans="2:7" x14ac:dyDescent="0.25">
      <c r="B209" s="28"/>
      <c r="C209" s="28"/>
      <c r="D209" s="36"/>
      <c r="E209" s="28"/>
      <c r="F209" s="28"/>
      <c r="G209" s="36"/>
    </row>
    <row r="210" spans="2:7" x14ac:dyDescent="0.25">
      <c r="B210" s="28"/>
      <c r="C210" s="28"/>
      <c r="D210" s="36"/>
      <c r="E210" s="28"/>
      <c r="F210" s="28"/>
      <c r="G210" s="36"/>
    </row>
    <row r="211" spans="2:7" x14ac:dyDescent="0.25">
      <c r="B211" s="28"/>
      <c r="C211" s="28"/>
      <c r="D211" s="36"/>
      <c r="E211" s="28"/>
      <c r="F211" s="28"/>
      <c r="G211" s="36"/>
    </row>
    <row r="212" spans="2:7" x14ac:dyDescent="0.25">
      <c r="B212" s="28"/>
      <c r="C212" s="28"/>
      <c r="D212" s="36"/>
      <c r="E212" s="28"/>
      <c r="F212" s="28"/>
      <c r="G212" s="36"/>
    </row>
    <row r="213" spans="2:7" x14ac:dyDescent="0.25">
      <c r="B213" s="28"/>
      <c r="C213" s="28"/>
      <c r="D213" s="36"/>
      <c r="E213" s="28"/>
      <c r="F213" s="28"/>
      <c r="G213" s="36"/>
    </row>
    <row r="214" spans="2:7" x14ac:dyDescent="0.25">
      <c r="B214" s="28"/>
      <c r="C214" s="28"/>
      <c r="D214" s="36"/>
      <c r="E214" s="28"/>
      <c r="F214" s="28"/>
      <c r="G214" s="36"/>
    </row>
    <row r="215" spans="2:7" x14ac:dyDescent="0.25">
      <c r="B215" s="28"/>
      <c r="C215" s="28"/>
      <c r="D215" s="36"/>
      <c r="E215" s="28"/>
      <c r="F215" s="28"/>
      <c r="G215" s="36"/>
    </row>
    <row r="216" spans="2:7" x14ac:dyDescent="0.25">
      <c r="B216" s="28"/>
      <c r="C216" s="28"/>
      <c r="D216" s="36"/>
      <c r="E216" s="28"/>
      <c r="F216" s="28"/>
      <c r="G216" s="36"/>
    </row>
    <row r="217" spans="2:7" x14ac:dyDescent="0.25">
      <c r="B217" s="28"/>
      <c r="C217" s="28"/>
      <c r="D217" s="36"/>
      <c r="E217" s="28"/>
      <c r="F217" s="28"/>
      <c r="G217" s="36"/>
    </row>
    <row r="218" spans="2:7" x14ac:dyDescent="0.25">
      <c r="B218" s="28"/>
      <c r="C218" s="28"/>
      <c r="D218" s="36"/>
      <c r="E218" s="28"/>
      <c r="F218" s="28"/>
      <c r="G218" s="36"/>
    </row>
    <row r="219" spans="2:7" x14ac:dyDescent="0.25">
      <c r="B219" s="28"/>
      <c r="C219" s="28"/>
      <c r="D219" s="36"/>
      <c r="E219" s="28"/>
      <c r="F219" s="28"/>
      <c r="G219" s="36"/>
    </row>
    <row r="220" spans="2:7" x14ac:dyDescent="0.25">
      <c r="B220" s="28"/>
      <c r="C220" s="28"/>
      <c r="D220" s="36"/>
      <c r="E220" s="28"/>
      <c r="F220" s="28"/>
      <c r="G220" s="36"/>
    </row>
    <row r="221" spans="2:7" x14ac:dyDescent="0.25">
      <c r="B221" s="28"/>
      <c r="C221" s="28"/>
      <c r="D221" s="36"/>
      <c r="E221" s="28"/>
      <c r="F221" s="28"/>
      <c r="G221" s="36"/>
    </row>
    <row r="222" spans="2:7" x14ac:dyDescent="0.25">
      <c r="B222" s="28"/>
      <c r="C222" s="28"/>
      <c r="D222" s="36"/>
      <c r="E222" s="28"/>
      <c r="F222" s="28"/>
      <c r="G222" s="36"/>
    </row>
    <row r="223" spans="2:7" x14ac:dyDescent="0.25">
      <c r="B223" s="28"/>
      <c r="C223" s="28"/>
      <c r="D223" s="36"/>
      <c r="E223" s="28"/>
      <c r="F223" s="28"/>
      <c r="G223" s="36"/>
    </row>
    <row r="224" spans="2:7" x14ac:dyDescent="0.25">
      <c r="B224" s="28"/>
      <c r="C224" s="28"/>
      <c r="D224" s="36"/>
      <c r="E224" s="28"/>
      <c r="F224" s="28"/>
      <c r="G224" s="36"/>
    </row>
    <row r="225" spans="2:7" x14ac:dyDescent="0.25">
      <c r="B225" s="28"/>
      <c r="C225" s="28"/>
      <c r="D225" s="36"/>
      <c r="E225" s="28"/>
      <c r="F225" s="28"/>
      <c r="G225" s="36"/>
    </row>
    <row r="226" spans="2:7" x14ac:dyDescent="0.25">
      <c r="B226" s="28"/>
      <c r="C226" s="28"/>
      <c r="D226" s="36"/>
      <c r="E226" s="28"/>
      <c r="F226" s="28"/>
      <c r="G226" s="36"/>
    </row>
    <row r="227" spans="2:7" x14ac:dyDescent="0.25">
      <c r="B227" s="28"/>
      <c r="C227" s="28"/>
      <c r="D227" s="36"/>
      <c r="E227" s="28"/>
      <c r="F227" s="28"/>
      <c r="G227" s="36"/>
    </row>
    <row r="228" spans="2:7" x14ac:dyDescent="0.25">
      <c r="B228" s="28"/>
      <c r="C228" s="28"/>
      <c r="D228" s="36"/>
      <c r="E228" s="28"/>
      <c r="F228" s="28"/>
      <c r="G228" s="36"/>
    </row>
    <row r="229" spans="2:7" x14ac:dyDescent="0.25">
      <c r="B229" s="28"/>
      <c r="C229" s="28"/>
      <c r="D229" s="36"/>
      <c r="E229" s="28"/>
      <c r="F229" s="28"/>
      <c r="G229" s="36"/>
    </row>
    <row r="230" spans="2:7" x14ac:dyDescent="0.25">
      <c r="B230" s="28"/>
      <c r="C230" s="28"/>
      <c r="D230" s="36"/>
      <c r="E230" s="28"/>
      <c r="F230" s="28"/>
      <c r="G230" s="36"/>
    </row>
    <row r="231" spans="2:7" x14ac:dyDescent="0.25">
      <c r="B231" s="28"/>
      <c r="C231" s="28"/>
      <c r="D231" s="36"/>
      <c r="E231" s="28"/>
      <c r="F231" s="28"/>
      <c r="G231" s="36"/>
    </row>
    <row r="232" spans="2:7" x14ac:dyDescent="0.25">
      <c r="B232" s="28"/>
      <c r="C232" s="28"/>
      <c r="D232" s="36"/>
      <c r="E232" s="28"/>
      <c r="F232" s="28"/>
      <c r="G232" s="36"/>
    </row>
    <row r="233" spans="2:7" x14ac:dyDescent="0.25">
      <c r="B233" s="28"/>
      <c r="C233" s="28"/>
      <c r="D233" s="36"/>
      <c r="E233" s="28"/>
      <c r="F233" s="28"/>
      <c r="G233" s="36"/>
    </row>
    <row r="234" spans="2:7" x14ac:dyDescent="0.25">
      <c r="B234" s="28"/>
      <c r="C234" s="28"/>
      <c r="D234" s="36"/>
      <c r="E234" s="28"/>
      <c r="F234" s="28"/>
      <c r="G234" s="36"/>
    </row>
    <row r="235" spans="2:7" x14ac:dyDescent="0.25">
      <c r="B235" s="28"/>
      <c r="C235" s="28"/>
      <c r="D235" s="36"/>
      <c r="E235" s="28"/>
      <c r="F235" s="28"/>
      <c r="G235" s="36"/>
    </row>
    <row r="236" spans="2:7" x14ac:dyDescent="0.25">
      <c r="B236" s="28"/>
      <c r="C236" s="28"/>
      <c r="D236" s="36"/>
      <c r="E236" s="28"/>
      <c r="F236" s="28"/>
      <c r="G236" s="36"/>
    </row>
    <row r="237" spans="2:7" x14ac:dyDescent="0.25">
      <c r="B237" s="28"/>
      <c r="C237" s="28"/>
      <c r="D237" s="36"/>
      <c r="E237" s="28"/>
      <c r="F237" s="28"/>
      <c r="G237" s="36"/>
    </row>
    <row r="238" spans="2:7" x14ac:dyDescent="0.25">
      <c r="B238" s="28"/>
      <c r="C238" s="28"/>
      <c r="D238" s="36"/>
      <c r="E238" s="28"/>
      <c r="F238" s="28"/>
      <c r="G238" s="36"/>
    </row>
    <row r="239" spans="2:7" x14ac:dyDescent="0.25">
      <c r="B239" s="28"/>
      <c r="C239" s="28"/>
      <c r="D239" s="36"/>
      <c r="E239" s="28"/>
      <c r="F239" s="28"/>
      <c r="G239" s="36"/>
    </row>
    <row r="240" spans="2:7" x14ac:dyDescent="0.25">
      <c r="B240" s="28"/>
      <c r="C240" s="28"/>
      <c r="D240" s="36"/>
      <c r="E240" s="28"/>
      <c r="F240" s="28"/>
      <c r="G240" s="36"/>
    </row>
    <row r="241" spans="2:7" x14ac:dyDescent="0.25">
      <c r="B241" s="28"/>
      <c r="C241" s="28"/>
      <c r="D241" s="36"/>
      <c r="E241" s="28"/>
      <c r="F241" s="28"/>
      <c r="G241" s="36"/>
    </row>
    <row r="242" spans="2:7" x14ac:dyDescent="0.25">
      <c r="B242" s="28"/>
      <c r="C242" s="28"/>
      <c r="D242" s="36"/>
      <c r="E242" s="28"/>
      <c r="F242" s="28"/>
      <c r="G242" s="36"/>
    </row>
    <row r="243" spans="2:7" x14ac:dyDescent="0.25">
      <c r="B243" s="28"/>
      <c r="C243" s="28"/>
      <c r="D243" s="36"/>
      <c r="E243" s="28"/>
      <c r="F243" s="28"/>
      <c r="G243" s="36"/>
    </row>
    <row r="244" spans="2:7" x14ac:dyDescent="0.25">
      <c r="B244" s="28"/>
      <c r="C244" s="28"/>
      <c r="D244" s="36"/>
      <c r="E244" s="28"/>
      <c r="F244" s="28"/>
      <c r="G244" s="36"/>
    </row>
    <row r="245" spans="2:7" x14ac:dyDescent="0.25">
      <c r="B245" s="28"/>
      <c r="C245" s="28"/>
      <c r="D245" s="36"/>
      <c r="E245" s="28"/>
      <c r="F245" s="28"/>
      <c r="G245" s="36"/>
    </row>
    <row r="246" spans="2:7" x14ac:dyDescent="0.25">
      <c r="B246" s="28"/>
      <c r="C246" s="28"/>
      <c r="D246" s="36"/>
      <c r="E246" s="28"/>
      <c r="F246" s="28"/>
      <c r="G246" s="36"/>
    </row>
    <row r="247" spans="2:7" x14ac:dyDescent="0.25">
      <c r="B247" s="28"/>
      <c r="C247" s="28"/>
      <c r="D247" s="36"/>
      <c r="E247" s="28"/>
      <c r="F247" s="28"/>
      <c r="G247" s="36"/>
    </row>
    <row r="248" spans="2:7" x14ac:dyDescent="0.25">
      <c r="B248" s="28"/>
      <c r="C248" s="28"/>
      <c r="D248" s="36"/>
      <c r="E248" s="28"/>
      <c r="F248" s="28"/>
      <c r="G248" s="36"/>
    </row>
    <row r="249" spans="2:7" x14ac:dyDescent="0.25">
      <c r="B249" s="28"/>
      <c r="C249" s="28"/>
      <c r="D249" s="36"/>
      <c r="E249" s="28"/>
      <c r="F249" s="28"/>
      <c r="G249" s="36"/>
    </row>
    <row r="250" spans="2:7" x14ac:dyDescent="0.25">
      <c r="B250" s="28"/>
      <c r="C250" s="28"/>
      <c r="D250" s="36"/>
      <c r="E250" s="28"/>
      <c r="F250" s="28"/>
      <c r="G250" s="36"/>
    </row>
    <row r="251" spans="2:7" x14ac:dyDescent="0.25">
      <c r="B251" s="28"/>
      <c r="C251" s="28"/>
      <c r="D251" s="36"/>
      <c r="E251" s="28"/>
      <c r="F251" s="28"/>
      <c r="G251" s="36"/>
    </row>
    <row r="252" spans="2:7" x14ac:dyDescent="0.25">
      <c r="B252" s="28"/>
      <c r="C252" s="28"/>
      <c r="D252" s="36"/>
      <c r="E252" s="28"/>
      <c r="F252" s="28"/>
      <c r="G252" s="36"/>
    </row>
    <row r="253" spans="2:7" x14ac:dyDescent="0.25">
      <c r="B253" s="28"/>
      <c r="C253" s="28"/>
      <c r="D253" s="36"/>
      <c r="E253" s="28"/>
      <c r="F253" s="28"/>
      <c r="G253" s="36"/>
    </row>
    <row r="254" spans="2:7" x14ac:dyDescent="0.25">
      <c r="B254" s="28"/>
      <c r="C254" s="28"/>
      <c r="D254" s="36"/>
      <c r="E254" s="28"/>
      <c r="F254" s="28"/>
      <c r="G254" s="36"/>
    </row>
    <row r="255" spans="2:7" x14ac:dyDescent="0.25">
      <c r="B255" s="28"/>
      <c r="C255" s="28"/>
      <c r="D255" s="36"/>
      <c r="E255" s="28"/>
      <c r="F255" s="28"/>
      <c r="G255" s="36"/>
    </row>
    <row r="256" spans="2:7" x14ac:dyDescent="0.25">
      <c r="B256" s="28"/>
      <c r="C256" s="28"/>
      <c r="D256" s="36"/>
      <c r="E256" s="28"/>
      <c r="F256" s="28"/>
      <c r="G256" s="36"/>
    </row>
    <row r="257" spans="2:7" x14ac:dyDescent="0.25">
      <c r="B257" s="28"/>
      <c r="C257" s="28"/>
      <c r="D257" s="36"/>
      <c r="E257" s="28"/>
      <c r="F257" s="28"/>
      <c r="G257" s="36"/>
    </row>
    <row r="258" spans="2:7" x14ac:dyDescent="0.25">
      <c r="B258" s="28"/>
      <c r="C258" s="28"/>
      <c r="D258" s="36"/>
      <c r="E258" s="28"/>
      <c r="F258" s="28"/>
      <c r="G258" s="36"/>
    </row>
    <row r="259" spans="2:7" x14ac:dyDescent="0.25">
      <c r="B259" s="28"/>
      <c r="C259" s="28"/>
      <c r="D259" s="36"/>
      <c r="E259" s="28"/>
      <c r="F259" s="28"/>
      <c r="G259" s="36"/>
    </row>
    <row r="260" spans="2:7" x14ac:dyDescent="0.25">
      <c r="B260" s="28"/>
      <c r="C260" s="28"/>
      <c r="D260" s="36"/>
      <c r="E260" s="28"/>
      <c r="F260" s="28"/>
      <c r="G260" s="36"/>
    </row>
    <row r="261" spans="2:7" x14ac:dyDescent="0.25">
      <c r="B261" s="28"/>
      <c r="C261" s="28"/>
      <c r="D261" s="36"/>
      <c r="E261" s="28"/>
      <c r="F261" s="28"/>
      <c r="G261" s="36"/>
    </row>
    <row r="262" spans="2:7" x14ac:dyDescent="0.25">
      <c r="B262" s="28"/>
      <c r="C262" s="28"/>
      <c r="D262" s="36"/>
      <c r="E262" s="28"/>
      <c r="F262" s="28"/>
      <c r="G262" s="36"/>
    </row>
    <row r="263" spans="2:7" x14ac:dyDescent="0.25">
      <c r="B263" s="28"/>
      <c r="C263" s="28"/>
      <c r="D263" s="36"/>
      <c r="E263" s="28"/>
      <c r="F263" s="28"/>
      <c r="G263" s="36"/>
    </row>
    <row r="264" spans="2:7" x14ac:dyDescent="0.25">
      <c r="B264" s="28"/>
      <c r="C264" s="28"/>
      <c r="D264" s="36"/>
      <c r="E264" s="28"/>
      <c r="F264" s="28"/>
      <c r="G264" s="36"/>
    </row>
    <row r="265" spans="2:7" x14ac:dyDescent="0.25">
      <c r="B265" s="28"/>
      <c r="C265" s="28"/>
      <c r="D265" s="36"/>
      <c r="E265" s="28"/>
      <c r="F265" s="28"/>
      <c r="G265" s="36"/>
    </row>
    <row r="266" spans="2:7" x14ac:dyDescent="0.25">
      <c r="B266" s="28"/>
      <c r="C266" s="28"/>
      <c r="D266" s="36"/>
      <c r="E266" s="28"/>
      <c r="F266" s="28"/>
      <c r="G266" s="36"/>
    </row>
    <row r="267" spans="2:7" x14ac:dyDescent="0.25">
      <c r="B267" s="28"/>
      <c r="C267" s="28"/>
      <c r="D267" s="36"/>
      <c r="E267" s="28"/>
      <c r="F267" s="28"/>
      <c r="G267" s="36"/>
    </row>
    <row r="268" spans="2:7" x14ac:dyDescent="0.25">
      <c r="B268" s="28"/>
      <c r="C268" s="28"/>
      <c r="D268" s="36"/>
      <c r="E268" s="28"/>
      <c r="F268" s="28"/>
      <c r="G268" s="36"/>
    </row>
    <row r="269" spans="2:7" x14ac:dyDescent="0.25">
      <c r="B269" s="28"/>
      <c r="C269" s="28"/>
      <c r="D269" s="36"/>
      <c r="E269" s="28"/>
      <c r="F269" s="28"/>
      <c r="G269" s="36"/>
    </row>
    <row r="270" spans="2:7" x14ac:dyDescent="0.25">
      <c r="B270" s="28"/>
      <c r="C270" s="28"/>
      <c r="D270" s="36"/>
      <c r="E270" s="28"/>
      <c r="F270" s="28"/>
      <c r="G270" s="36"/>
    </row>
    <row r="271" spans="2:7" x14ac:dyDescent="0.25">
      <c r="B271" s="28"/>
      <c r="C271" s="28"/>
      <c r="D271" s="36"/>
      <c r="E271" s="28"/>
      <c r="F271" s="28"/>
      <c r="G271" s="36"/>
    </row>
    <row r="272" spans="2:7" x14ac:dyDescent="0.25">
      <c r="B272" s="28"/>
      <c r="C272" s="28"/>
      <c r="D272" s="36"/>
      <c r="E272" s="28"/>
      <c r="F272" s="28"/>
      <c r="G272" s="36"/>
    </row>
    <row r="273" spans="2:7" x14ac:dyDescent="0.25">
      <c r="B273" s="28"/>
      <c r="C273" s="28"/>
      <c r="D273" s="36"/>
      <c r="E273" s="28"/>
      <c r="F273" s="28"/>
      <c r="G273" s="36"/>
    </row>
    <row r="274" spans="2:7" x14ac:dyDescent="0.25">
      <c r="B274" s="28"/>
      <c r="C274" s="28"/>
      <c r="D274" s="36"/>
      <c r="E274" s="28"/>
      <c r="F274" s="28"/>
      <c r="G274" s="36"/>
    </row>
    <row r="275" spans="2:7" x14ac:dyDescent="0.25">
      <c r="B275" s="28"/>
      <c r="C275" s="28"/>
      <c r="D275" s="36"/>
      <c r="E275" s="28"/>
      <c r="F275" s="28"/>
      <c r="G275" s="36"/>
    </row>
    <row r="276" spans="2:7" x14ac:dyDescent="0.25">
      <c r="B276" s="28"/>
      <c r="C276" s="28"/>
      <c r="D276" s="36"/>
      <c r="E276" s="28"/>
      <c r="F276" s="28"/>
      <c r="G276" s="36"/>
    </row>
    <row r="277" spans="2:7" x14ac:dyDescent="0.25">
      <c r="B277" s="28"/>
      <c r="C277" s="28"/>
      <c r="D277" s="36"/>
      <c r="E277" s="28"/>
      <c r="F277" s="28"/>
      <c r="G277" s="36"/>
    </row>
    <row r="278" spans="2:7" x14ac:dyDescent="0.25">
      <c r="B278" s="28"/>
      <c r="C278" s="28"/>
      <c r="D278" s="36"/>
      <c r="E278" s="28"/>
      <c r="F278" s="28"/>
      <c r="G278" s="36"/>
    </row>
    <row r="279" spans="2:7" x14ac:dyDescent="0.25">
      <c r="B279" s="28"/>
      <c r="C279" s="28"/>
      <c r="D279" s="36"/>
      <c r="E279" s="28"/>
      <c r="F279" s="28"/>
      <c r="G279" s="36"/>
    </row>
    <row r="280" spans="2:7" x14ac:dyDescent="0.25">
      <c r="B280" s="28"/>
      <c r="C280" s="28"/>
      <c r="D280" s="36"/>
      <c r="E280" s="28"/>
      <c r="F280" s="28"/>
      <c r="G280" s="36"/>
    </row>
    <row r="281" spans="2:7" x14ac:dyDescent="0.25">
      <c r="B281" s="28"/>
      <c r="C281" s="28"/>
      <c r="D281" s="36"/>
      <c r="E281" s="28"/>
      <c r="F281" s="28"/>
      <c r="G281" s="36"/>
    </row>
    <row r="282" spans="2:7" x14ac:dyDescent="0.25">
      <c r="B282" s="28"/>
      <c r="C282" s="28"/>
      <c r="D282" s="36"/>
      <c r="E282" s="28"/>
      <c r="F282" s="28"/>
      <c r="G282" s="36"/>
    </row>
    <row r="283" spans="2:7" x14ac:dyDescent="0.25">
      <c r="B283" s="28"/>
      <c r="C283" s="28"/>
      <c r="D283" s="36"/>
      <c r="E283" s="28"/>
      <c r="F283" s="28"/>
      <c r="G283" s="36"/>
    </row>
    <row r="284" spans="2:7" x14ac:dyDescent="0.25">
      <c r="B284" s="28"/>
      <c r="C284" s="28"/>
      <c r="D284" s="36"/>
      <c r="E284" s="28"/>
      <c r="F284" s="28"/>
      <c r="G284" s="36"/>
    </row>
    <row r="285" spans="2:7" x14ac:dyDescent="0.25">
      <c r="B285" s="28"/>
      <c r="C285" s="28"/>
      <c r="D285" s="36"/>
      <c r="E285" s="28"/>
      <c r="F285" s="28"/>
      <c r="G285" s="36"/>
    </row>
    <row r="286" spans="2:7" x14ac:dyDescent="0.25">
      <c r="B286" s="28"/>
      <c r="C286" s="28"/>
      <c r="D286" s="36"/>
      <c r="E286" s="28"/>
      <c r="F286" s="28"/>
      <c r="G286" s="36"/>
    </row>
    <row r="287" spans="2:7" x14ac:dyDescent="0.25">
      <c r="B287" s="28"/>
      <c r="C287" s="28"/>
      <c r="D287" s="36"/>
      <c r="E287" s="28"/>
      <c r="F287" s="28"/>
      <c r="G287" s="36"/>
    </row>
    <row r="288" spans="2:7" x14ac:dyDescent="0.25">
      <c r="B288" s="28"/>
      <c r="C288" s="28"/>
      <c r="D288" s="36"/>
      <c r="E288" s="28"/>
      <c r="F288" s="28"/>
      <c r="G288" s="36"/>
    </row>
    <row r="289" spans="2:7" x14ac:dyDescent="0.25">
      <c r="B289" s="28"/>
      <c r="C289" s="28"/>
      <c r="D289" s="36"/>
      <c r="E289" s="28"/>
      <c r="F289" s="28"/>
      <c r="G289" s="36"/>
    </row>
    <row r="290" spans="2:7" x14ac:dyDescent="0.25">
      <c r="B290" s="28"/>
      <c r="C290" s="28"/>
      <c r="D290" s="36"/>
      <c r="E290" s="28"/>
      <c r="F290" s="28"/>
      <c r="G290" s="36"/>
    </row>
    <row r="291" spans="2:7" x14ac:dyDescent="0.25">
      <c r="B291" s="28"/>
      <c r="C291" s="28"/>
      <c r="D291" s="36"/>
      <c r="E291" s="28"/>
      <c r="F291" s="28"/>
      <c r="G291" s="36"/>
    </row>
    <row r="292" spans="2:7" x14ac:dyDescent="0.25">
      <c r="B292" s="28"/>
      <c r="C292" s="28"/>
      <c r="D292" s="36"/>
      <c r="E292" s="28"/>
      <c r="F292" s="28"/>
      <c r="G292" s="36"/>
    </row>
    <row r="293" spans="2:7" x14ac:dyDescent="0.25">
      <c r="B293" s="28"/>
      <c r="C293" s="28"/>
      <c r="D293" s="36"/>
      <c r="E293" s="28"/>
      <c r="F293" s="28"/>
      <c r="G293" s="36"/>
    </row>
    <row r="294" spans="2:7" x14ac:dyDescent="0.25">
      <c r="B294" s="28"/>
      <c r="C294" s="28"/>
      <c r="D294" s="36"/>
      <c r="E294" s="28"/>
      <c r="F294" s="28"/>
      <c r="G294" s="36"/>
    </row>
    <row r="295" spans="2:7" x14ac:dyDescent="0.25">
      <c r="B295" s="28"/>
      <c r="C295" s="28"/>
      <c r="D295" s="36"/>
      <c r="E295" s="28"/>
      <c r="F295" s="28"/>
      <c r="G295" s="36"/>
    </row>
    <row r="296" spans="2:7" x14ac:dyDescent="0.25">
      <c r="B296" s="28"/>
      <c r="C296" s="28"/>
      <c r="D296" s="36"/>
      <c r="E296" s="28"/>
      <c r="F296" s="28"/>
      <c r="G296" s="36"/>
    </row>
    <row r="297" spans="2:7" x14ac:dyDescent="0.25">
      <c r="B297" s="28"/>
      <c r="C297" s="28"/>
      <c r="D297" s="36"/>
      <c r="E297" s="28"/>
      <c r="F297" s="28"/>
      <c r="G297" s="36"/>
    </row>
    <row r="298" spans="2:7" x14ac:dyDescent="0.25">
      <c r="B298" s="28"/>
      <c r="C298" s="28"/>
      <c r="D298" s="36"/>
      <c r="E298" s="28"/>
      <c r="F298" s="28"/>
      <c r="G298" s="36"/>
    </row>
    <row r="299" spans="2:7" x14ac:dyDescent="0.25">
      <c r="B299" s="28"/>
      <c r="C299" s="28"/>
      <c r="D299" s="36"/>
      <c r="E299" s="28"/>
      <c r="F299" s="28"/>
      <c r="G299" s="36"/>
    </row>
    <row r="300" spans="2:7" x14ac:dyDescent="0.25">
      <c r="B300" s="28"/>
      <c r="C300" s="28"/>
      <c r="D300" s="36"/>
      <c r="E300" s="28"/>
      <c r="F300" s="28"/>
      <c r="G300" s="36"/>
    </row>
    <row r="301" spans="2:7" x14ac:dyDescent="0.25">
      <c r="B301" s="28"/>
      <c r="C301" s="28"/>
      <c r="D301" s="36"/>
      <c r="E301" s="28"/>
      <c r="F301" s="28"/>
      <c r="G301" s="36"/>
    </row>
    <row r="302" spans="2:7" x14ac:dyDescent="0.25">
      <c r="B302" s="28"/>
      <c r="C302" s="28"/>
      <c r="D302" s="36"/>
      <c r="E302" s="28"/>
      <c r="F302" s="28"/>
      <c r="G302" s="36"/>
    </row>
    <row r="303" spans="2:7" x14ac:dyDescent="0.25">
      <c r="B303" s="28"/>
      <c r="C303" s="28"/>
      <c r="D303" s="36"/>
      <c r="E303" s="28"/>
      <c r="F303" s="28"/>
      <c r="G303" s="36"/>
    </row>
    <row r="304" spans="2:7" x14ac:dyDescent="0.25">
      <c r="B304" s="28"/>
      <c r="C304" s="28"/>
      <c r="D304" s="36"/>
      <c r="E304" s="28"/>
      <c r="F304" s="28"/>
      <c r="G304" s="36"/>
    </row>
    <row r="305" spans="2:7" x14ac:dyDescent="0.25">
      <c r="B305" s="28"/>
      <c r="C305" s="28"/>
      <c r="D305" s="36"/>
      <c r="E305" s="28"/>
      <c r="F305" s="28"/>
      <c r="G305" s="36"/>
    </row>
    <row r="306" spans="2:7" x14ac:dyDescent="0.25">
      <c r="B306" s="28"/>
      <c r="C306" s="28"/>
      <c r="D306" s="36"/>
      <c r="E306" s="28"/>
      <c r="F306" s="28"/>
      <c r="G306" s="36"/>
    </row>
    <row r="307" spans="2:7" x14ac:dyDescent="0.25">
      <c r="B307" s="28"/>
      <c r="C307" s="28"/>
      <c r="D307" s="36"/>
      <c r="E307" s="28"/>
      <c r="F307" s="28"/>
      <c r="G307" s="36"/>
    </row>
    <row r="308" spans="2:7" x14ac:dyDescent="0.25">
      <c r="B308" s="28"/>
      <c r="C308" s="28"/>
      <c r="D308" s="36"/>
      <c r="E308" s="28"/>
      <c r="F308" s="28"/>
      <c r="G308" s="36"/>
    </row>
    <row r="309" spans="2:7" x14ac:dyDescent="0.25">
      <c r="B309" s="28"/>
      <c r="C309" s="28"/>
      <c r="D309" s="36"/>
      <c r="E309" s="28"/>
      <c r="F309" s="28"/>
      <c r="G309" s="36"/>
    </row>
    <row r="310" spans="2:7" x14ac:dyDescent="0.25">
      <c r="B310" s="28"/>
      <c r="C310" s="28"/>
      <c r="D310" s="36"/>
      <c r="E310" s="28"/>
      <c r="F310" s="28"/>
      <c r="G310" s="36"/>
    </row>
    <row r="311" spans="2:7" x14ac:dyDescent="0.25">
      <c r="B311" s="28"/>
      <c r="C311" s="28"/>
      <c r="D311" s="36"/>
      <c r="E311" s="28"/>
      <c r="F311" s="28"/>
      <c r="G311" s="36"/>
    </row>
    <row r="312" spans="2:7" x14ac:dyDescent="0.25">
      <c r="B312" s="28"/>
      <c r="C312" s="28"/>
      <c r="D312" s="36"/>
      <c r="E312" s="28"/>
      <c r="F312" s="28"/>
      <c r="G312" s="36"/>
    </row>
    <row r="313" spans="2:7" x14ac:dyDescent="0.25">
      <c r="B313" s="28"/>
      <c r="C313" s="28"/>
      <c r="D313" s="36"/>
      <c r="E313" s="28"/>
      <c r="F313" s="28"/>
      <c r="G313" s="36"/>
    </row>
    <row r="314" spans="2:7" x14ac:dyDescent="0.25">
      <c r="B314" s="28"/>
      <c r="C314" s="28"/>
      <c r="D314" s="36"/>
      <c r="E314" s="28"/>
      <c r="F314" s="28"/>
      <c r="G314" s="36"/>
    </row>
    <row r="315" spans="2:7" x14ac:dyDescent="0.25">
      <c r="B315" s="28"/>
      <c r="C315" s="28"/>
      <c r="D315" s="36"/>
      <c r="E315" s="28"/>
      <c r="F315" s="28"/>
      <c r="G315" s="36"/>
    </row>
    <row r="316" spans="2:7" x14ac:dyDescent="0.25">
      <c r="B316" s="28"/>
      <c r="C316" s="28"/>
      <c r="D316" s="36"/>
      <c r="E316" s="28"/>
      <c r="F316" s="28"/>
      <c r="G316" s="36"/>
    </row>
    <row r="317" spans="2:7" x14ac:dyDescent="0.25">
      <c r="B317" s="28"/>
      <c r="C317" s="28"/>
      <c r="D317" s="36"/>
      <c r="E317" s="28"/>
      <c r="F317" s="28"/>
      <c r="G317" s="36"/>
    </row>
    <row r="318" spans="2:7" x14ac:dyDescent="0.25">
      <c r="B318" s="28"/>
      <c r="C318" s="28"/>
      <c r="D318" s="36"/>
      <c r="E318" s="28"/>
      <c r="F318" s="28"/>
      <c r="G318" s="36"/>
    </row>
    <row r="319" spans="2:7" x14ac:dyDescent="0.25">
      <c r="B319" s="28"/>
      <c r="C319" s="28"/>
      <c r="D319" s="36"/>
      <c r="E319" s="28"/>
      <c r="F319" s="28"/>
      <c r="G319" s="36"/>
    </row>
    <row r="320" spans="2:7" x14ac:dyDescent="0.25">
      <c r="B320" s="28"/>
      <c r="C320" s="28"/>
      <c r="D320" s="36"/>
      <c r="E320" s="28"/>
      <c r="F320" s="28"/>
      <c r="G320" s="36"/>
    </row>
    <row r="321" spans="2:7" x14ac:dyDescent="0.25">
      <c r="B321" s="28"/>
      <c r="C321" s="28"/>
      <c r="D321" s="36"/>
      <c r="E321" s="28"/>
      <c r="F321" s="28"/>
      <c r="G321" s="36"/>
    </row>
    <row r="322" spans="2:7" x14ac:dyDescent="0.25">
      <c r="B322" s="28"/>
      <c r="C322" s="28"/>
      <c r="D322" s="36"/>
      <c r="E322" s="28"/>
      <c r="F322" s="28"/>
      <c r="G322" s="36"/>
    </row>
    <row r="323" spans="2:7" x14ac:dyDescent="0.25">
      <c r="B323" s="28"/>
      <c r="C323" s="28"/>
      <c r="D323" s="36"/>
      <c r="E323" s="28"/>
      <c r="F323" s="28"/>
      <c r="G323" s="36"/>
    </row>
    <row r="324" spans="2:7" x14ac:dyDescent="0.25">
      <c r="B324" s="28"/>
      <c r="C324" s="28"/>
      <c r="D324" s="36"/>
      <c r="E324" s="28"/>
      <c r="F324" s="28"/>
      <c r="G324" s="36"/>
    </row>
    <row r="325" spans="2:7" x14ac:dyDescent="0.25">
      <c r="B325" s="28"/>
      <c r="C325" s="28"/>
      <c r="D325" s="36"/>
      <c r="E325" s="28"/>
      <c r="F325" s="28"/>
      <c r="G325" s="36"/>
    </row>
    <row r="326" spans="2:7" x14ac:dyDescent="0.25">
      <c r="B326" s="28"/>
      <c r="C326" s="28"/>
      <c r="D326" s="36"/>
      <c r="E326" s="28"/>
      <c r="F326" s="28"/>
      <c r="G326" s="36"/>
    </row>
    <row r="327" spans="2:7" x14ac:dyDescent="0.25">
      <c r="B327" s="28"/>
      <c r="C327" s="28"/>
      <c r="D327" s="36"/>
      <c r="E327" s="28"/>
      <c r="F327" s="28"/>
      <c r="G327" s="36"/>
    </row>
    <row r="328" spans="2:7" x14ac:dyDescent="0.25">
      <c r="B328" s="28"/>
      <c r="C328" s="28"/>
      <c r="D328" s="36"/>
      <c r="E328" s="28"/>
      <c r="F328" s="28"/>
      <c r="G328" s="36"/>
    </row>
    <row r="329" spans="2:7" x14ac:dyDescent="0.25">
      <c r="B329" s="28"/>
      <c r="C329" s="28"/>
      <c r="D329" s="36"/>
      <c r="E329" s="28"/>
      <c r="F329" s="28"/>
      <c r="G329" s="36"/>
    </row>
    <row r="330" spans="2:7" x14ac:dyDescent="0.25">
      <c r="B330" s="28"/>
      <c r="C330" s="28"/>
      <c r="D330" s="36"/>
      <c r="E330" s="28"/>
      <c r="F330" s="28"/>
      <c r="G330" s="36"/>
    </row>
    <row r="331" spans="2:7" x14ac:dyDescent="0.25">
      <c r="B331" s="28"/>
      <c r="C331" s="28"/>
      <c r="D331" s="36"/>
      <c r="E331" s="28"/>
      <c r="F331" s="28"/>
      <c r="G331" s="36"/>
    </row>
    <row r="332" spans="2:7" x14ac:dyDescent="0.25">
      <c r="B332" s="28"/>
      <c r="C332" s="28"/>
      <c r="D332" s="36"/>
      <c r="E332" s="28"/>
      <c r="F332" s="28"/>
      <c r="G332" s="36"/>
    </row>
    <row r="333" spans="2:7" x14ac:dyDescent="0.25">
      <c r="B333" s="28"/>
      <c r="C333" s="28"/>
      <c r="D333" s="36"/>
      <c r="E333" s="28"/>
      <c r="F333" s="28"/>
      <c r="G333" s="36"/>
    </row>
    <row r="334" spans="2:7" x14ac:dyDescent="0.25">
      <c r="B334" s="28"/>
      <c r="C334" s="28"/>
      <c r="D334" s="36"/>
      <c r="E334" s="28"/>
      <c r="F334" s="28"/>
      <c r="G334" s="36"/>
    </row>
    <row r="335" spans="2:7" x14ac:dyDescent="0.25">
      <c r="B335" s="28"/>
      <c r="C335" s="28"/>
      <c r="D335" s="36"/>
      <c r="E335" s="28"/>
      <c r="F335" s="28"/>
      <c r="G335" s="36"/>
    </row>
    <row r="336" spans="2:7" x14ac:dyDescent="0.25">
      <c r="B336" s="28"/>
      <c r="C336" s="28"/>
      <c r="D336" s="36"/>
      <c r="E336" s="28"/>
      <c r="F336" s="28"/>
      <c r="G336" s="36"/>
    </row>
    <row r="337" spans="2:7" x14ac:dyDescent="0.25">
      <c r="B337" s="28"/>
      <c r="C337" s="28"/>
      <c r="D337" s="36"/>
      <c r="E337" s="28"/>
      <c r="F337" s="28"/>
      <c r="G337" s="36"/>
    </row>
    <row r="338" spans="2:7" x14ac:dyDescent="0.25">
      <c r="B338" s="28"/>
      <c r="C338" s="28"/>
      <c r="D338" s="36"/>
      <c r="E338" s="28"/>
      <c r="F338" s="28"/>
      <c r="G338" s="36"/>
    </row>
    <row r="339" spans="2:7" x14ac:dyDescent="0.25">
      <c r="B339" s="28"/>
      <c r="C339" s="28"/>
      <c r="D339" s="36"/>
      <c r="E339" s="28"/>
      <c r="F339" s="28"/>
      <c r="G339" s="36"/>
    </row>
    <row r="340" spans="2:7" x14ac:dyDescent="0.25">
      <c r="B340" s="28"/>
      <c r="C340" s="28"/>
      <c r="D340" s="36"/>
      <c r="E340" s="28"/>
      <c r="F340" s="28"/>
      <c r="G340" s="36"/>
    </row>
    <row r="341" spans="2:7" x14ac:dyDescent="0.25">
      <c r="B341" s="28"/>
      <c r="C341" s="28"/>
      <c r="D341" s="36"/>
      <c r="E341" s="28"/>
      <c r="F341" s="28"/>
      <c r="G341" s="36"/>
    </row>
    <row r="342" spans="2:7" x14ac:dyDescent="0.25">
      <c r="B342" s="28"/>
      <c r="C342" s="28"/>
      <c r="D342" s="36"/>
      <c r="E342" s="28"/>
      <c r="F342" s="28"/>
      <c r="G342" s="36"/>
    </row>
    <row r="343" spans="2:7" x14ac:dyDescent="0.25">
      <c r="B343" s="28"/>
      <c r="C343" s="28"/>
      <c r="D343" s="36"/>
      <c r="E343" s="28"/>
      <c r="F343" s="28"/>
      <c r="G343" s="36"/>
    </row>
    <row r="344" spans="2:7" x14ac:dyDescent="0.25">
      <c r="B344" s="28"/>
      <c r="C344" s="28"/>
      <c r="D344" s="36"/>
      <c r="E344" s="28"/>
      <c r="F344" s="28"/>
      <c r="G344" s="36"/>
    </row>
    <row r="345" spans="2:7" x14ac:dyDescent="0.25">
      <c r="B345" s="28"/>
      <c r="C345" s="28"/>
      <c r="D345" s="36"/>
      <c r="E345" s="28"/>
      <c r="F345" s="28"/>
      <c r="G345" s="36"/>
    </row>
    <row r="346" spans="2:7" x14ac:dyDescent="0.25">
      <c r="B346" s="28"/>
      <c r="C346" s="28"/>
      <c r="D346" s="36"/>
      <c r="E346" s="28"/>
      <c r="F346" s="28"/>
      <c r="G346" s="36"/>
    </row>
    <row r="347" spans="2:7" x14ac:dyDescent="0.25">
      <c r="B347" s="28"/>
      <c r="C347" s="28"/>
      <c r="D347" s="36"/>
      <c r="E347" s="28"/>
      <c r="F347" s="28"/>
      <c r="G347" s="36"/>
    </row>
    <row r="348" spans="2:7" x14ac:dyDescent="0.25">
      <c r="B348" s="28"/>
      <c r="C348" s="28"/>
      <c r="D348" s="36"/>
      <c r="E348" s="28"/>
      <c r="F348" s="28"/>
      <c r="G348" s="36"/>
    </row>
    <row r="349" spans="2:7" x14ac:dyDescent="0.25">
      <c r="B349" s="28"/>
      <c r="C349" s="28"/>
      <c r="D349" s="36"/>
      <c r="E349" s="28"/>
      <c r="F349" s="28"/>
      <c r="G349" s="36"/>
    </row>
    <row r="350" spans="2:7" x14ac:dyDescent="0.25">
      <c r="B350" s="28"/>
      <c r="C350" s="28"/>
      <c r="D350" s="36"/>
      <c r="E350" s="28"/>
      <c r="F350" s="28"/>
      <c r="G350" s="36"/>
    </row>
    <row r="351" spans="2:7" x14ac:dyDescent="0.25">
      <c r="B351" s="28"/>
      <c r="C351" s="28"/>
      <c r="D351" s="36"/>
      <c r="E351" s="28"/>
      <c r="F351" s="28"/>
      <c r="G351" s="36"/>
    </row>
    <row r="352" spans="2:7" x14ac:dyDescent="0.25">
      <c r="B352" s="28"/>
      <c r="C352" s="28"/>
      <c r="D352" s="36"/>
      <c r="E352" s="28"/>
      <c r="F352" s="28"/>
      <c r="G352" s="36"/>
    </row>
    <row r="353" spans="2:7" x14ac:dyDescent="0.25">
      <c r="B353" s="28"/>
      <c r="C353" s="28"/>
      <c r="D353" s="36"/>
      <c r="E353" s="28"/>
      <c r="F353" s="28"/>
      <c r="G353" s="36"/>
    </row>
    <row r="354" spans="2:7" x14ac:dyDescent="0.25">
      <c r="B354" s="28"/>
      <c r="C354" s="28"/>
      <c r="D354" s="36"/>
      <c r="E354" s="28"/>
      <c r="F354" s="28"/>
      <c r="G354" s="36"/>
    </row>
    <row r="355" spans="2:7" x14ac:dyDescent="0.25">
      <c r="B355" s="28"/>
      <c r="C355" s="28"/>
      <c r="D355" s="36"/>
      <c r="E355" s="28"/>
      <c r="F355" s="28"/>
      <c r="G355" s="36"/>
    </row>
    <row r="356" spans="2:7" x14ac:dyDescent="0.25">
      <c r="B356" s="28"/>
      <c r="C356" s="28"/>
      <c r="D356" s="36"/>
      <c r="E356" s="28"/>
      <c r="F356" s="28"/>
      <c r="G356" s="36"/>
    </row>
    <row r="357" spans="2:7" x14ac:dyDescent="0.25">
      <c r="B357" s="28"/>
      <c r="C357" s="28"/>
      <c r="D357" s="36"/>
      <c r="E357" s="28"/>
      <c r="F357" s="28"/>
      <c r="G357" s="36"/>
    </row>
    <row r="358" spans="2:7" x14ac:dyDescent="0.25">
      <c r="B358" s="28"/>
      <c r="C358" s="28"/>
      <c r="D358" s="36"/>
      <c r="E358" s="28"/>
      <c r="F358" s="28"/>
      <c r="G358" s="36"/>
    </row>
    <row r="359" spans="2:7" x14ac:dyDescent="0.25">
      <c r="B359" s="28"/>
      <c r="C359" s="28"/>
      <c r="D359" s="36"/>
      <c r="E359" s="28"/>
      <c r="F359" s="28"/>
      <c r="G359" s="36"/>
    </row>
    <row r="360" spans="2:7" x14ac:dyDescent="0.25">
      <c r="B360" s="28"/>
      <c r="C360" s="28"/>
      <c r="D360" s="36"/>
      <c r="E360" s="28"/>
      <c r="F360" s="28"/>
      <c r="G360" s="36"/>
    </row>
    <row r="361" spans="2:7" x14ac:dyDescent="0.25">
      <c r="B361" s="28"/>
      <c r="C361" s="28"/>
      <c r="D361" s="36"/>
      <c r="E361" s="28"/>
      <c r="F361" s="28"/>
      <c r="G361" s="36"/>
    </row>
    <row r="362" spans="2:7" x14ac:dyDescent="0.25">
      <c r="B362" s="28"/>
      <c r="C362" s="28"/>
      <c r="D362" s="36"/>
      <c r="E362" s="28"/>
      <c r="F362" s="28"/>
      <c r="G362" s="36"/>
    </row>
    <row r="363" spans="2:7" x14ac:dyDescent="0.25">
      <c r="B363" s="28"/>
      <c r="C363" s="28"/>
      <c r="D363" s="36"/>
      <c r="E363" s="28"/>
      <c r="F363" s="28"/>
      <c r="G363" s="36"/>
    </row>
    <row r="364" spans="2:7" x14ac:dyDescent="0.25">
      <c r="B364" s="28"/>
      <c r="C364" s="28"/>
      <c r="D364" s="36"/>
      <c r="E364" s="28"/>
      <c r="F364" s="28"/>
      <c r="G364" s="36"/>
    </row>
    <row r="365" spans="2:7" x14ac:dyDescent="0.25">
      <c r="B365" s="28"/>
      <c r="C365" s="28"/>
      <c r="D365" s="36"/>
      <c r="E365" s="28"/>
      <c r="F365" s="28"/>
      <c r="G365" s="36"/>
    </row>
    <row r="366" spans="2:7" x14ac:dyDescent="0.25">
      <c r="B366" s="28"/>
      <c r="C366" s="28"/>
      <c r="D366" s="36"/>
      <c r="E366" s="28"/>
      <c r="F366" s="28"/>
      <c r="G366" s="36"/>
    </row>
    <row r="367" spans="2:7" x14ac:dyDescent="0.25">
      <c r="B367" s="28"/>
      <c r="C367" s="28"/>
      <c r="D367" s="36"/>
      <c r="E367" s="28"/>
      <c r="F367" s="28"/>
      <c r="G367" s="36"/>
    </row>
    <row r="368" spans="2:7" x14ac:dyDescent="0.25">
      <c r="B368" s="28"/>
      <c r="C368" s="28"/>
      <c r="D368" s="36"/>
      <c r="E368" s="28"/>
      <c r="F368" s="28"/>
      <c r="G368" s="36"/>
    </row>
    <row r="369" spans="2:7" x14ac:dyDescent="0.25">
      <c r="B369" s="28"/>
      <c r="C369" s="28"/>
      <c r="D369" s="36"/>
      <c r="E369" s="28"/>
      <c r="F369" s="28"/>
      <c r="G369" s="36"/>
    </row>
    <row r="370" spans="2:7" x14ac:dyDescent="0.25">
      <c r="B370" s="28"/>
      <c r="C370" s="28"/>
      <c r="D370" s="36"/>
      <c r="E370" s="28"/>
      <c r="F370" s="28"/>
      <c r="G370" s="36"/>
    </row>
    <row r="371" spans="2:7" x14ac:dyDescent="0.25">
      <c r="B371" s="28"/>
      <c r="C371" s="28"/>
      <c r="D371" s="36"/>
      <c r="E371" s="28"/>
      <c r="F371" s="28"/>
      <c r="G371" s="36"/>
    </row>
    <row r="372" spans="2:7" x14ac:dyDescent="0.25">
      <c r="B372" s="28"/>
      <c r="C372" s="28"/>
      <c r="D372" s="36"/>
      <c r="E372" s="28"/>
      <c r="F372" s="28"/>
      <c r="G372" s="36"/>
    </row>
    <row r="373" spans="2:7" x14ac:dyDescent="0.25">
      <c r="B373" s="28"/>
      <c r="C373" s="28"/>
      <c r="D373" s="36"/>
      <c r="E373" s="28"/>
      <c r="F373" s="28"/>
      <c r="G373" s="36"/>
    </row>
    <row r="374" spans="2:7" x14ac:dyDescent="0.25">
      <c r="B374" s="28"/>
      <c r="C374" s="28"/>
      <c r="D374" s="36"/>
      <c r="E374" s="28"/>
      <c r="F374" s="28"/>
      <c r="G374" s="36"/>
    </row>
    <row r="375" spans="2:7" x14ac:dyDescent="0.25">
      <c r="B375" s="28"/>
      <c r="C375" s="28"/>
      <c r="D375" s="36"/>
      <c r="E375" s="28"/>
      <c r="F375" s="28"/>
      <c r="G375" s="36"/>
    </row>
    <row r="376" spans="2:7" x14ac:dyDescent="0.25">
      <c r="B376" s="28"/>
      <c r="C376" s="28"/>
      <c r="D376" s="36"/>
      <c r="E376" s="28"/>
      <c r="F376" s="28"/>
      <c r="G376" s="36"/>
    </row>
    <row r="377" spans="2:7" x14ac:dyDescent="0.25">
      <c r="B377" s="28"/>
      <c r="C377" s="28"/>
      <c r="D377" s="36"/>
      <c r="E377" s="28"/>
      <c r="F377" s="28"/>
      <c r="G377" s="36"/>
    </row>
    <row r="378" spans="2:7" x14ac:dyDescent="0.25">
      <c r="B378" s="28"/>
      <c r="C378" s="28"/>
      <c r="D378" s="36"/>
      <c r="E378" s="28"/>
      <c r="F378" s="28"/>
      <c r="G378" s="36"/>
    </row>
    <row r="379" spans="2:7" x14ac:dyDescent="0.25">
      <c r="B379" s="28"/>
      <c r="C379" s="28"/>
      <c r="D379" s="36"/>
      <c r="E379" s="28"/>
      <c r="F379" s="28"/>
      <c r="G379" s="36"/>
    </row>
    <row r="380" spans="2:7" x14ac:dyDescent="0.25">
      <c r="B380" s="28"/>
      <c r="C380" s="28"/>
      <c r="D380" s="36"/>
      <c r="E380" s="28"/>
      <c r="F380" s="28"/>
      <c r="G380" s="36"/>
    </row>
    <row r="381" spans="2:7" x14ac:dyDescent="0.25">
      <c r="B381" s="28"/>
      <c r="C381" s="28"/>
      <c r="D381" s="36"/>
      <c r="E381" s="28"/>
      <c r="F381" s="28"/>
      <c r="G381" s="36"/>
    </row>
    <row r="382" spans="2:7" x14ac:dyDescent="0.25">
      <c r="B382" s="28"/>
      <c r="C382" s="28"/>
      <c r="D382" s="36"/>
      <c r="E382" s="28"/>
      <c r="F382" s="28"/>
      <c r="G382" s="36"/>
    </row>
    <row r="383" spans="2:7" x14ac:dyDescent="0.25">
      <c r="B383" s="28"/>
      <c r="C383" s="28"/>
      <c r="D383" s="36"/>
      <c r="E383" s="28"/>
      <c r="F383" s="28"/>
      <c r="G383" s="36"/>
    </row>
    <row r="384" spans="2:7" x14ac:dyDescent="0.25">
      <c r="B384" s="28"/>
      <c r="C384" s="28"/>
      <c r="D384" s="36"/>
      <c r="E384" s="28"/>
      <c r="F384" s="28"/>
      <c r="G384" s="36"/>
    </row>
    <row r="385" spans="2:7" x14ac:dyDescent="0.25">
      <c r="B385" s="28"/>
      <c r="C385" s="28"/>
      <c r="D385" s="36"/>
      <c r="E385" s="28"/>
      <c r="F385" s="28"/>
      <c r="G385" s="36"/>
    </row>
    <row r="386" spans="2:7" x14ac:dyDescent="0.25">
      <c r="B386" s="28"/>
      <c r="C386" s="28"/>
      <c r="D386" s="36"/>
      <c r="E386" s="28"/>
      <c r="F386" s="28"/>
      <c r="G386" s="36"/>
    </row>
    <row r="387" spans="2:7" x14ac:dyDescent="0.25">
      <c r="B387" s="28"/>
      <c r="C387" s="28"/>
      <c r="D387" s="36"/>
      <c r="E387" s="28"/>
      <c r="F387" s="28"/>
      <c r="G387" s="36"/>
    </row>
    <row r="388" spans="2:7" x14ac:dyDescent="0.25">
      <c r="B388" s="28"/>
      <c r="C388" s="28"/>
      <c r="D388" s="36"/>
      <c r="E388" s="28"/>
      <c r="F388" s="28"/>
      <c r="G388" s="36"/>
    </row>
    <row r="389" spans="2:7" x14ac:dyDescent="0.25">
      <c r="B389" s="28"/>
      <c r="C389" s="28"/>
      <c r="D389" s="36"/>
      <c r="E389" s="28"/>
      <c r="F389" s="28"/>
      <c r="G389" s="36"/>
    </row>
    <row r="390" spans="2:7" x14ac:dyDescent="0.25">
      <c r="B390" s="28"/>
      <c r="C390" s="28"/>
      <c r="D390" s="36"/>
      <c r="E390" s="28"/>
      <c r="F390" s="28"/>
      <c r="G390" s="36"/>
    </row>
    <row r="391" spans="2:7" x14ac:dyDescent="0.25">
      <c r="B391" s="28"/>
      <c r="C391" s="28"/>
      <c r="D391" s="36"/>
      <c r="E391" s="28"/>
      <c r="F391" s="28"/>
      <c r="G391" s="36"/>
    </row>
    <row r="392" spans="2:7" x14ac:dyDescent="0.25">
      <c r="B392" s="28"/>
      <c r="C392" s="28"/>
      <c r="D392" s="36"/>
      <c r="E392" s="28"/>
      <c r="F392" s="28"/>
      <c r="G392" s="36"/>
    </row>
    <row r="393" spans="2:7" x14ac:dyDescent="0.25">
      <c r="B393" s="28"/>
      <c r="C393" s="28"/>
      <c r="D393" s="36"/>
      <c r="E393" s="28"/>
      <c r="F393" s="28"/>
      <c r="G393" s="36"/>
    </row>
    <row r="394" spans="2:7" x14ac:dyDescent="0.25">
      <c r="B394" s="28"/>
      <c r="C394" s="28"/>
      <c r="D394" s="36"/>
      <c r="E394" s="28"/>
      <c r="F394" s="28"/>
      <c r="G394" s="36"/>
    </row>
    <row r="395" spans="2:7" x14ac:dyDescent="0.25">
      <c r="B395" s="28"/>
      <c r="C395" s="28"/>
      <c r="D395" s="36"/>
      <c r="E395" s="28"/>
      <c r="F395" s="28"/>
      <c r="G395" s="36"/>
    </row>
    <row r="396" spans="2:7" x14ac:dyDescent="0.25">
      <c r="B396" s="28"/>
      <c r="C396" s="28"/>
      <c r="D396" s="36"/>
      <c r="E396" s="28"/>
      <c r="F396" s="28"/>
      <c r="G396" s="36"/>
    </row>
    <row r="397" spans="2:7" x14ac:dyDescent="0.25">
      <c r="B397" s="28"/>
      <c r="C397" s="28"/>
      <c r="D397" s="36"/>
      <c r="E397" s="28"/>
      <c r="F397" s="28"/>
      <c r="G397" s="36"/>
    </row>
    <row r="398" spans="2:7" x14ac:dyDescent="0.25">
      <c r="B398" s="28"/>
      <c r="C398" s="28"/>
      <c r="D398" s="36"/>
      <c r="E398" s="28"/>
      <c r="F398" s="28"/>
      <c r="G398" s="36"/>
    </row>
    <row r="399" spans="2:7" x14ac:dyDescent="0.25">
      <c r="B399" s="28"/>
      <c r="C399" s="28"/>
      <c r="D399" s="36"/>
      <c r="E399" s="28"/>
      <c r="F399" s="28"/>
      <c r="G399" s="36"/>
    </row>
    <row r="400" spans="2:7" x14ac:dyDescent="0.25">
      <c r="B400" s="28"/>
      <c r="C400" s="28"/>
      <c r="D400" s="36"/>
      <c r="E400" s="28"/>
      <c r="F400" s="28"/>
      <c r="G400" s="36"/>
    </row>
    <row r="401" spans="2:7" x14ac:dyDescent="0.25">
      <c r="B401" s="28"/>
      <c r="C401" s="28"/>
      <c r="D401" s="36"/>
      <c r="E401" s="28"/>
      <c r="F401" s="28"/>
      <c r="G401" s="36"/>
    </row>
    <row r="402" spans="2:7" x14ac:dyDescent="0.25">
      <c r="B402" s="28"/>
      <c r="C402" s="28"/>
      <c r="D402" s="36"/>
      <c r="E402" s="28"/>
      <c r="F402" s="28"/>
      <c r="G402" s="36"/>
    </row>
    <row r="403" spans="2:7" x14ac:dyDescent="0.25">
      <c r="B403" s="28"/>
      <c r="C403" s="28"/>
      <c r="D403" s="36"/>
      <c r="E403" s="28"/>
      <c r="F403" s="28"/>
      <c r="G403" s="36"/>
    </row>
    <row r="404" spans="2:7" x14ac:dyDescent="0.25">
      <c r="B404" s="28"/>
      <c r="C404" s="28"/>
      <c r="D404" s="36"/>
      <c r="E404" s="28"/>
      <c r="F404" s="28"/>
      <c r="G404" s="36"/>
    </row>
    <row r="405" spans="2:7" x14ac:dyDescent="0.25">
      <c r="B405" s="28"/>
      <c r="C405" s="28"/>
      <c r="D405" s="36"/>
      <c r="E405" s="28"/>
      <c r="F405" s="28"/>
      <c r="G405" s="36"/>
    </row>
    <row r="406" spans="2:7" x14ac:dyDescent="0.25">
      <c r="B406" s="28"/>
      <c r="C406" s="28"/>
      <c r="D406" s="36"/>
      <c r="E406" s="28"/>
      <c r="F406" s="28"/>
      <c r="G406" s="36"/>
    </row>
    <row r="407" spans="2:7" x14ac:dyDescent="0.25">
      <c r="B407" s="28"/>
      <c r="C407" s="28"/>
      <c r="D407" s="36"/>
      <c r="E407" s="28"/>
      <c r="F407" s="28"/>
      <c r="G407" s="36"/>
    </row>
    <row r="408" spans="2:7" x14ac:dyDescent="0.25">
      <c r="B408" s="28"/>
      <c r="C408" s="28"/>
      <c r="D408" s="36"/>
      <c r="E408" s="28"/>
      <c r="F408" s="28"/>
      <c r="G408" s="36"/>
    </row>
    <row r="409" spans="2:7" x14ac:dyDescent="0.25">
      <c r="B409" s="28"/>
      <c r="C409" s="28"/>
      <c r="D409" s="36"/>
      <c r="E409" s="28"/>
      <c r="F409" s="28"/>
      <c r="G409" s="36"/>
    </row>
    <row r="410" spans="2:7" x14ac:dyDescent="0.25">
      <c r="B410" s="28"/>
      <c r="C410" s="28"/>
      <c r="D410" s="36"/>
      <c r="E410" s="28"/>
      <c r="F410" s="28"/>
      <c r="G410" s="36"/>
    </row>
    <row r="411" spans="2:7" x14ac:dyDescent="0.25">
      <c r="B411" s="28"/>
      <c r="C411" s="28"/>
      <c r="D411" s="36"/>
      <c r="E411" s="28"/>
      <c r="F411" s="28"/>
      <c r="G411" s="36"/>
    </row>
    <row r="412" spans="2:7" x14ac:dyDescent="0.25">
      <c r="B412" s="28"/>
      <c r="C412" s="28"/>
      <c r="D412" s="36"/>
      <c r="E412" s="28"/>
      <c r="F412" s="28"/>
      <c r="G412" s="36"/>
    </row>
    <row r="413" spans="2:7" x14ac:dyDescent="0.25">
      <c r="B413" s="28"/>
      <c r="C413" s="28"/>
      <c r="D413" s="36"/>
      <c r="E413" s="28"/>
      <c r="F413" s="28"/>
      <c r="G413" s="36"/>
    </row>
    <row r="414" spans="2:7" x14ac:dyDescent="0.25">
      <c r="B414" s="28"/>
      <c r="C414" s="28"/>
      <c r="D414" s="36"/>
      <c r="E414" s="28"/>
      <c r="F414" s="28"/>
      <c r="G414" s="36"/>
    </row>
    <row r="415" spans="2:7" x14ac:dyDescent="0.25">
      <c r="B415" s="28"/>
      <c r="C415" s="28"/>
      <c r="D415" s="36"/>
      <c r="E415" s="28"/>
      <c r="F415" s="28"/>
      <c r="G415" s="36"/>
    </row>
    <row r="416" spans="2:7" x14ac:dyDescent="0.25">
      <c r="B416" s="28"/>
      <c r="C416" s="28"/>
      <c r="D416" s="36"/>
      <c r="E416" s="28"/>
      <c r="F416" s="28"/>
      <c r="G416" s="36"/>
    </row>
    <row r="417" spans="2:7" x14ac:dyDescent="0.25">
      <c r="B417" s="28"/>
      <c r="C417" s="28"/>
      <c r="D417" s="36"/>
      <c r="E417" s="28"/>
      <c r="F417" s="28"/>
      <c r="G417" s="36"/>
    </row>
    <row r="418" spans="2:7" x14ac:dyDescent="0.25">
      <c r="B418" s="28"/>
      <c r="C418" s="28"/>
      <c r="D418" s="36"/>
      <c r="E418" s="28"/>
      <c r="F418" s="28"/>
      <c r="G418" s="36"/>
    </row>
    <row r="419" spans="2:7" x14ac:dyDescent="0.25">
      <c r="B419" s="28"/>
      <c r="C419" s="28"/>
      <c r="D419" s="36"/>
      <c r="E419" s="28"/>
      <c r="F419" s="28"/>
      <c r="G419" s="36"/>
    </row>
    <row r="420" spans="2:7" x14ac:dyDescent="0.25">
      <c r="B420" s="28"/>
      <c r="C420" s="28"/>
      <c r="D420" s="36"/>
      <c r="E420" s="28"/>
      <c r="F420" s="28"/>
      <c r="G420" s="36"/>
    </row>
    <row r="421" spans="2:7" x14ac:dyDescent="0.25">
      <c r="B421" s="28"/>
      <c r="C421" s="28"/>
      <c r="D421" s="36"/>
      <c r="E421" s="28"/>
      <c r="F421" s="28"/>
      <c r="G421" s="36"/>
    </row>
    <row r="422" spans="2:7" x14ac:dyDescent="0.25">
      <c r="B422" s="28"/>
      <c r="C422" s="28"/>
      <c r="D422" s="36"/>
      <c r="E422" s="28"/>
      <c r="F422" s="28"/>
      <c r="G422" s="36"/>
    </row>
    <row r="423" spans="2:7" x14ac:dyDescent="0.25">
      <c r="B423" s="28"/>
      <c r="C423" s="28"/>
      <c r="D423" s="36"/>
      <c r="E423" s="28"/>
      <c r="F423" s="28"/>
      <c r="G423" s="36"/>
    </row>
    <row r="424" spans="2:7" x14ac:dyDescent="0.25">
      <c r="B424" s="28"/>
      <c r="C424" s="28"/>
      <c r="D424" s="36"/>
      <c r="E424" s="28"/>
      <c r="F424" s="28"/>
      <c r="G424" s="36"/>
    </row>
    <row r="425" spans="2:7" x14ac:dyDescent="0.25">
      <c r="B425" s="28"/>
      <c r="C425" s="28"/>
      <c r="D425" s="36"/>
      <c r="E425" s="28"/>
      <c r="F425" s="28"/>
      <c r="G425" s="36"/>
    </row>
    <row r="426" spans="2:7" x14ac:dyDescent="0.25">
      <c r="B426" s="28"/>
      <c r="C426" s="28"/>
      <c r="D426" s="36"/>
      <c r="E426" s="28"/>
      <c r="F426" s="28"/>
      <c r="G426" s="36"/>
    </row>
    <row r="427" spans="2:7" x14ac:dyDescent="0.25">
      <c r="B427" s="28"/>
      <c r="C427" s="28"/>
      <c r="D427" s="36"/>
      <c r="E427" s="28"/>
      <c r="F427" s="28"/>
      <c r="G427" s="36"/>
    </row>
    <row r="428" spans="2:7" x14ac:dyDescent="0.25">
      <c r="B428" s="28"/>
      <c r="C428" s="28"/>
      <c r="D428" s="36"/>
      <c r="E428" s="28"/>
      <c r="F428" s="28"/>
      <c r="G428" s="36"/>
    </row>
    <row r="429" spans="2:7" x14ac:dyDescent="0.25">
      <c r="B429" s="28"/>
      <c r="C429" s="28"/>
      <c r="D429" s="36"/>
      <c r="E429" s="28"/>
      <c r="F429" s="28"/>
      <c r="G429" s="36"/>
    </row>
    <row r="430" spans="2:7" x14ac:dyDescent="0.25">
      <c r="B430" s="28"/>
      <c r="C430" s="28"/>
      <c r="D430" s="36"/>
      <c r="E430" s="28"/>
      <c r="F430" s="28"/>
      <c r="G430" s="36"/>
    </row>
    <row r="431" spans="2:7" x14ac:dyDescent="0.25">
      <c r="B431" s="28"/>
      <c r="C431" s="28"/>
      <c r="D431" s="36"/>
      <c r="E431" s="28"/>
      <c r="F431" s="28"/>
      <c r="G431" s="36"/>
    </row>
    <row r="432" spans="2:7" x14ac:dyDescent="0.25">
      <c r="B432" s="28"/>
      <c r="C432" s="28"/>
      <c r="D432" s="36"/>
      <c r="E432" s="28"/>
      <c r="F432" s="28"/>
      <c r="G432" s="36"/>
    </row>
    <row r="433" spans="2:7" x14ac:dyDescent="0.25">
      <c r="B433" s="28"/>
      <c r="C433" s="28"/>
      <c r="D433" s="36"/>
      <c r="E433" s="28"/>
      <c r="F433" s="28"/>
      <c r="G433" s="36"/>
    </row>
    <row r="434" spans="2:7" x14ac:dyDescent="0.25">
      <c r="B434" s="28"/>
      <c r="C434" s="28"/>
      <c r="D434" s="36"/>
      <c r="E434" s="28"/>
      <c r="F434" s="28"/>
      <c r="G434" s="36"/>
    </row>
    <row r="435" spans="2:7" x14ac:dyDescent="0.25">
      <c r="B435" s="28"/>
      <c r="C435" s="28"/>
      <c r="D435" s="36"/>
      <c r="E435" s="28"/>
      <c r="F435" s="28"/>
      <c r="G435" s="36"/>
    </row>
    <row r="436" spans="2:7" x14ac:dyDescent="0.25">
      <c r="B436" s="28"/>
      <c r="C436" s="28"/>
      <c r="D436" s="36"/>
      <c r="E436" s="28"/>
      <c r="F436" s="28"/>
      <c r="G436" s="36"/>
    </row>
    <row r="437" spans="2:7" x14ac:dyDescent="0.25">
      <c r="B437" s="28"/>
      <c r="C437" s="28"/>
      <c r="D437" s="36"/>
      <c r="E437" s="28"/>
      <c r="F437" s="28"/>
      <c r="G437" s="36"/>
    </row>
    <row r="438" spans="2:7" x14ac:dyDescent="0.25">
      <c r="B438" s="28"/>
      <c r="C438" s="28"/>
      <c r="D438" s="36"/>
      <c r="E438" s="28"/>
      <c r="F438" s="28"/>
      <c r="G438" s="36"/>
    </row>
    <row r="439" spans="2:7" x14ac:dyDescent="0.25">
      <c r="B439" s="28"/>
      <c r="C439" s="28"/>
      <c r="D439" s="36"/>
      <c r="E439" s="28"/>
      <c r="F439" s="28"/>
      <c r="G439" s="36"/>
    </row>
    <row r="440" spans="2:7" x14ac:dyDescent="0.25">
      <c r="B440" s="28"/>
      <c r="C440" s="28"/>
      <c r="D440" s="36"/>
      <c r="E440" s="28"/>
      <c r="F440" s="28"/>
      <c r="G440" s="36"/>
    </row>
    <row r="441" spans="2:7" x14ac:dyDescent="0.25">
      <c r="B441" s="28"/>
      <c r="C441" s="28"/>
      <c r="D441" s="36"/>
      <c r="E441" s="28"/>
      <c r="F441" s="28"/>
      <c r="G441" s="36"/>
    </row>
    <row r="442" spans="2:7" x14ac:dyDescent="0.25">
      <c r="B442" s="28"/>
      <c r="C442" s="28"/>
      <c r="D442" s="36"/>
      <c r="E442" s="28"/>
      <c r="F442" s="28"/>
      <c r="G442" s="36"/>
    </row>
    <row r="443" spans="2:7" x14ac:dyDescent="0.25">
      <c r="B443" s="28"/>
      <c r="C443" s="28"/>
      <c r="D443" s="36"/>
      <c r="E443" s="28"/>
      <c r="F443" s="28"/>
      <c r="G443" s="36"/>
    </row>
    <row r="444" spans="2:7" x14ac:dyDescent="0.25">
      <c r="B444" s="28"/>
      <c r="C444" s="28"/>
      <c r="D444" s="36"/>
      <c r="E444" s="28"/>
      <c r="F444" s="28"/>
      <c r="G444" s="36"/>
    </row>
    <row r="445" spans="2:7" x14ac:dyDescent="0.25">
      <c r="B445" s="28"/>
      <c r="C445" s="28"/>
      <c r="D445" s="36"/>
      <c r="E445" s="28"/>
      <c r="F445" s="28"/>
      <c r="G445" s="36"/>
    </row>
    <row r="446" spans="2:7" x14ac:dyDescent="0.25">
      <c r="B446" s="28"/>
      <c r="C446" s="28"/>
      <c r="D446" s="36"/>
      <c r="E446" s="28"/>
      <c r="F446" s="28"/>
      <c r="G446" s="36"/>
    </row>
    <row r="447" spans="2:7" x14ac:dyDescent="0.25">
      <c r="B447" s="28"/>
      <c r="C447" s="28"/>
      <c r="D447" s="36"/>
      <c r="E447" s="28"/>
      <c r="F447" s="28"/>
      <c r="G447" s="36"/>
    </row>
    <row r="448" spans="2:7" x14ac:dyDescent="0.25">
      <c r="B448" s="28"/>
      <c r="C448" s="28"/>
      <c r="D448" s="36"/>
      <c r="E448" s="28"/>
      <c r="F448" s="28"/>
      <c r="G448" s="36"/>
    </row>
    <row r="449" spans="2:7" x14ac:dyDescent="0.25">
      <c r="B449" s="28"/>
      <c r="C449" s="28"/>
      <c r="D449" s="36"/>
      <c r="E449" s="28"/>
      <c r="F449" s="28"/>
      <c r="G449" s="36"/>
    </row>
    <row r="450" spans="2:7" x14ac:dyDescent="0.25">
      <c r="B450" s="28"/>
      <c r="C450" s="28"/>
      <c r="D450" s="36"/>
      <c r="E450" s="28"/>
      <c r="F450" s="28"/>
      <c r="G450" s="36"/>
    </row>
    <row r="451" spans="2:7" x14ac:dyDescent="0.25">
      <c r="B451" s="28"/>
      <c r="C451" s="28"/>
      <c r="D451" s="36"/>
      <c r="E451" s="28"/>
      <c r="F451" s="28"/>
      <c r="G451" s="36"/>
    </row>
    <row r="452" spans="2:7" x14ac:dyDescent="0.25">
      <c r="B452" s="28"/>
      <c r="C452" s="28"/>
      <c r="D452" s="36"/>
      <c r="E452" s="28"/>
      <c r="F452" s="28"/>
      <c r="G452" s="36"/>
    </row>
    <row r="453" spans="2:7" x14ac:dyDescent="0.25">
      <c r="B453" s="28"/>
      <c r="C453" s="28"/>
      <c r="D453" s="36"/>
      <c r="E453" s="28"/>
      <c r="F453" s="28"/>
      <c r="G453" s="36"/>
    </row>
    <row r="454" spans="2:7" x14ac:dyDescent="0.25">
      <c r="B454" s="28"/>
      <c r="C454" s="28"/>
      <c r="D454" s="36"/>
      <c r="E454" s="28"/>
      <c r="F454" s="28"/>
      <c r="G454" s="36"/>
    </row>
    <row r="455" spans="2:7" x14ac:dyDescent="0.25">
      <c r="B455" s="28"/>
      <c r="C455" s="28"/>
      <c r="D455" s="36"/>
      <c r="E455" s="28"/>
      <c r="F455" s="28"/>
      <c r="G455" s="36"/>
    </row>
    <row r="456" spans="2:7" x14ac:dyDescent="0.25">
      <c r="B456" s="28"/>
      <c r="C456" s="28"/>
      <c r="D456" s="36"/>
      <c r="E456" s="28"/>
      <c r="F456" s="28"/>
      <c r="G456" s="36"/>
    </row>
    <row r="457" spans="2:7" x14ac:dyDescent="0.25">
      <c r="B457" s="28"/>
      <c r="C457" s="28"/>
      <c r="D457" s="36"/>
      <c r="E457" s="28"/>
      <c r="F457" s="28"/>
      <c r="G457" s="36"/>
    </row>
    <row r="458" spans="2:7" x14ac:dyDescent="0.25">
      <c r="B458" s="28"/>
      <c r="C458" s="28"/>
      <c r="D458" s="36"/>
      <c r="E458" s="28"/>
      <c r="F458" s="28"/>
      <c r="G458" s="36"/>
    </row>
    <row r="459" spans="2:7" x14ac:dyDescent="0.25">
      <c r="B459" s="28"/>
      <c r="C459" s="28"/>
      <c r="D459" s="36"/>
      <c r="E459" s="28"/>
      <c r="F459" s="28"/>
      <c r="G459" s="36"/>
    </row>
    <row r="460" spans="2:7" x14ac:dyDescent="0.25">
      <c r="B460" s="28"/>
      <c r="C460" s="28"/>
      <c r="D460" s="36"/>
      <c r="E460" s="28"/>
      <c r="F460" s="28"/>
      <c r="G460" s="36"/>
    </row>
    <row r="461" spans="2:7" x14ac:dyDescent="0.25">
      <c r="B461" s="28"/>
      <c r="C461" s="28"/>
      <c r="D461" s="36"/>
      <c r="E461" s="28"/>
      <c r="F461" s="28"/>
      <c r="G461" s="36"/>
    </row>
    <row r="462" spans="2:7" x14ac:dyDescent="0.25">
      <c r="B462" s="28"/>
      <c r="C462" s="28"/>
      <c r="D462" s="36"/>
      <c r="E462" s="28"/>
      <c r="F462" s="28"/>
      <c r="G462" s="36"/>
    </row>
    <row r="463" spans="2:7" x14ac:dyDescent="0.25">
      <c r="B463" s="28"/>
      <c r="C463" s="28"/>
      <c r="D463" s="36"/>
      <c r="E463" s="28"/>
      <c r="F463" s="28"/>
      <c r="G463" s="36"/>
    </row>
    <row r="464" spans="2:7" x14ac:dyDescent="0.25">
      <c r="B464" s="28"/>
      <c r="C464" s="28"/>
      <c r="D464" s="36"/>
      <c r="E464" s="28"/>
      <c r="F464" s="28"/>
      <c r="G464" s="36"/>
    </row>
    <row r="465" spans="2:7" x14ac:dyDescent="0.25">
      <c r="B465" s="28"/>
      <c r="C465" s="28"/>
      <c r="D465" s="36"/>
      <c r="E465" s="28"/>
      <c r="F465" s="28"/>
      <c r="G465" s="36"/>
    </row>
    <row r="466" spans="2:7" x14ac:dyDescent="0.25">
      <c r="B466" s="28"/>
      <c r="C466" s="28"/>
      <c r="D466" s="36"/>
      <c r="E466" s="28"/>
      <c r="F466" s="28"/>
      <c r="G466" s="36"/>
    </row>
    <row r="467" spans="2:7" x14ac:dyDescent="0.25">
      <c r="B467" s="28"/>
      <c r="C467" s="28"/>
      <c r="D467" s="36"/>
      <c r="E467" s="28"/>
      <c r="F467" s="28"/>
      <c r="G467" s="36"/>
    </row>
    <row r="468" spans="2:7" x14ac:dyDescent="0.25">
      <c r="B468" s="28"/>
      <c r="C468" s="28"/>
      <c r="D468" s="36"/>
      <c r="E468" s="28"/>
      <c r="F468" s="28"/>
      <c r="G468" s="36"/>
    </row>
    <row r="469" spans="2:7" x14ac:dyDescent="0.25">
      <c r="B469" s="28"/>
      <c r="C469" s="28"/>
      <c r="D469" s="36"/>
      <c r="E469" s="28"/>
      <c r="F469" s="28"/>
      <c r="G469" s="36"/>
    </row>
    <row r="470" spans="2:7" x14ac:dyDescent="0.25">
      <c r="B470" s="28"/>
      <c r="C470" s="28"/>
      <c r="D470" s="36"/>
      <c r="E470" s="28"/>
      <c r="F470" s="28"/>
      <c r="G470" s="36"/>
    </row>
    <row r="471" spans="2:7" x14ac:dyDescent="0.25">
      <c r="B471" s="28"/>
      <c r="C471" s="28"/>
      <c r="D471" s="36"/>
      <c r="E471" s="28"/>
      <c r="F471" s="28"/>
      <c r="G471" s="36"/>
    </row>
    <row r="472" spans="2:7" x14ac:dyDescent="0.25">
      <c r="B472" s="28"/>
      <c r="C472" s="28"/>
      <c r="D472" s="36"/>
      <c r="E472" s="28"/>
      <c r="F472" s="28"/>
      <c r="G472" s="36"/>
    </row>
    <row r="473" spans="2:7" x14ac:dyDescent="0.25">
      <c r="B473" s="28"/>
      <c r="C473" s="28"/>
      <c r="D473" s="36"/>
      <c r="E473" s="28"/>
      <c r="F473" s="28"/>
      <c r="G473" s="36"/>
    </row>
    <row r="474" spans="2:7" x14ac:dyDescent="0.25">
      <c r="B474" s="28"/>
      <c r="C474" s="28"/>
      <c r="D474" s="36"/>
      <c r="E474" s="28"/>
      <c r="F474" s="28"/>
      <c r="G474" s="36"/>
    </row>
    <row r="475" spans="2:7" x14ac:dyDescent="0.25">
      <c r="B475" s="28"/>
      <c r="C475" s="28"/>
      <c r="D475" s="36"/>
      <c r="E475" s="28"/>
      <c r="F475" s="28"/>
      <c r="G475" s="36"/>
    </row>
    <row r="476" spans="2:7" x14ac:dyDescent="0.25">
      <c r="B476" s="28"/>
      <c r="C476" s="28"/>
      <c r="D476" s="36"/>
      <c r="E476" s="28"/>
      <c r="F476" s="28"/>
      <c r="G476" s="36"/>
    </row>
    <row r="477" spans="2:7" x14ac:dyDescent="0.25">
      <c r="B477" s="28"/>
      <c r="C477" s="28"/>
      <c r="D477" s="36"/>
      <c r="E477" s="28"/>
      <c r="F477" s="28"/>
      <c r="G477" s="36"/>
    </row>
    <row r="478" spans="2:7" x14ac:dyDescent="0.25">
      <c r="B478" s="28"/>
      <c r="C478" s="28"/>
      <c r="D478" s="36"/>
      <c r="E478" s="28"/>
      <c r="F478" s="28"/>
      <c r="G478" s="36"/>
    </row>
    <row r="479" spans="2:7" x14ac:dyDescent="0.25">
      <c r="B479" s="28"/>
      <c r="C479" s="28"/>
      <c r="D479" s="36"/>
      <c r="E479" s="28"/>
      <c r="F479" s="28"/>
      <c r="G479" s="36"/>
    </row>
    <row r="480" spans="2:7" x14ac:dyDescent="0.25">
      <c r="B480" s="28"/>
      <c r="C480" s="28"/>
      <c r="D480" s="36"/>
      <c r="E480" s="28"/>
      <c r="F480" s="28"/>
      <c r="G480" s="36"/>
    </row>
    <row r="481" spans="2:7" x14ac:dyDescent="0.25">
      <c r="B481" s="28"/>
      <c r="C481" s="28"/>
      <c r="D481" s="36"/>
      <c r="E481" s="28"/>
      <c r="F481" s="28"/>
      <c r="G481" s="36"/>
    </row>
    <row r="482" spans="2:7" x14ac:dyDescent="0.25">
      <c r="B482" s="28"/>
      <c r="C482" s="28"/>
      <c r="D482" s="36"/>
      <c r="E482" s="28"/>
      <c r="F482" s="28"/>
      <c r="G482" s="36"/>
    </row>
    <row r="483" spans="2:7" x14ac:dyDescent="0.25">
      <c r="B483" s="28"/>
      <c r="C483" s="28"/>
      <c r="D483" s="36"/>
      <c r="E483" s="28"/>
      <c r="F483" s="28"/>
      <c r="G483" s="36"/>
    </row>
    <row r="484" spans="2:7" x14ac:dyDescent="0.25">
      <c r="B484" s="28"/>
      <c r="C484" s="28"/>
      <c r="D484" s="36"/>
      <c r="E484" s="28"/>
      <c r="F484" s="28"/>
      <c r="G484" s="36"/>
    </row>
    <row r="485" spans="2:7" x14ac:dyDescent="0.25">
      <c r="B485" s="28"/>
      <c r="C485" s="28"/>
      <c r="D485" s="36"/>
      <c r="E485" s="28"/>
      <c r="F485" s="28"/>
      <c r="G485" s="36"/>
    </row>
    <row r="486" spans="2:7" x14ac:dyDescent="0.25">
      <c r="B486" s="28"/>
      <c r="C486" s="28"/>
      <c r="D486" s="36"/>
      <c r="E486" s="28"/>
      <c r="F486" s="28"/>
      <c r="G486" s="36"/>
    </row>
    <row r="487" spans="2:7" x14ac:dyDescent="0.25">
      <c r="B487" s="28"/>
      <c r="C487" s="28"/>
      <c r="D487" s="36"/>
      <c r="E487" s="28"/>
      <c r="F487" s="28"/>
      <c r="G487" s="36"/>
    </row>
    <row r="488" spans="2:7" x14ac:dyDescent="0.25">
      <c r="B488" s="28"/>
      <c r="C488" s="28"/>
      <c r="D488" s="36"/>
      <c r="E488" s="28"/>
      <c r="F488" s="28"/>
      <c r="G488" s="36"/>
    </row>
    <row r="489" spans="2:7" x14ac:dyDescent="0.25">
      <c r="B489" s="28"/>
      <c r="C489" s="28"/>
      <c r="D489" s="36"/>
      <c r="E489" s="28"/>
      <c r="F489" s="28"/>
      <c r="G489" s="36"/>
    </row>
    <row r="490" spans="2:7" x14ac:dyDescent="0.25">
      <c r="B490" s="28"/>
      <c r="C490" s="28"/>
      <c r="D490" s="36"/>
      <c r="E490" s="28"/>
      <c r="F490" s="28"/>
      <c r="G490" s="36"/>
    </row>
    <row r="491" spans="2:7" x14ac:dyDescent="0.25">
      <c r="B491" s="28"/>
      <c r="C491" s="28"/>
      <c r="D491" s="36"/>
      <c r="E491" s="28"/>
      <c r="F491" s="28"/>
      <c r="G491" s="36"/>
    </row>
    <row r="492" spans="2:7" x14ac:dyDescent="0.25">
      <c r="B492" s="28"/>
      <c r="C492" s="28"/>
      <c r="D492" s="36"/>
      <c r="E492" s="28"/>
      <c r="F492" s="28"/>
      <c r="G492" s="36"/>
    </row>
    <row r="493" spans="2:7" x14ac:dyDescent="0.25">
      <c r="B493" s="28"/>
      <c r="C493" s="28"/>
      <c r="D493" s="36"/>
      <c r="E493" s="28"/>
      <c r="F493" s="28"/>
      <c r="G493" s="36"/>
    </row>
    <row r="494" spans="2:7" x14ac:dyDescent="0.25">
      <c r="B494" s="28"/>
      <c r="C494" s="28"/>
      <c r="D494" s="36"/>
      <c r="E494" s="28"/>
      <c r="F494" s="28"/>
      <c r="G494" s="36"/>
    </row>
    <row r="495" spans="2:7" x14ac:dyDescent="0.25">
      <c r="B495" s="28"/>
      <c r="C495" s="28"/>
      <c r="D495" s="36"/>
      <c r="E495" s="28"/>
      <c r="F495" s="28"/>
      <c r="G495" s="36"/>
    </row>
    <row r="496" spans="2:7" x14ac:dyDescent="0.25">
      <c r="B496" s="28"/>
      <c r="C496" s="28"/>
      <c r="D496" s="36"/>
      <c r="E496" s="28"/>
      <c r="F496" s="28"/>
      <c r="G496" s="36"/>
    </row>
    <row r="497" spans="2:7" x14ac:dyDescent="0.25">
      <c r="B497" s="28"/>
      <c r="C497" s="28"/>
      <c r="D497" s="36"/>
      <c r="E497" s="28"/>
      <c r="F497" s="28"/>
      <c r="G497" s="36"/>
    </row>
    <row r="498" spans="2:7" x14ac:dyDescent="0.25">
      <c r="B498" s="28"/>
      <c r="C498" s="28"/>
      <c r="D498" s="36"/>
      <c r="E498" s="28"/>
      <c r="F498" s="28"/>
      <c r="G498" s="36"/>
    </row>
    <row r="499" spans="2:7" x14ac:dyDescent="0.25">
      <c r="B499" s="28"/>
      <c r="C499" s="28"/>
      <c r="D499" s="36"/>
      <c r="E499" s="28"/>
      <c r="F499" s="28"/>
      <c r="G499" s="36"/>
    </row>
    <row r="500" spans="2:7" x14ac:dyDescent="0.25">
      <c r="B500" s="28"/>
      <c r="C500" s="28"/>
      <c r="D500" s="36"/>
      <c r="E500" s="28"/>
      <c r="F500" s="28"/>
      <c r="G500" s="36"/>
    </row>
    <row r="501" spans="2:7" x14ac:dyDescent="0.25">
      <c r="B501" s="28"/>
      <c r="C501" s="28"/>
      <c r="D501" s="36"/>
      <c r="E501" s="28"/>
      <c r="F501" s="28"/>
      <c r="G501" s="36"/>
    </row>
    <row r="502" spans="2:7" x14ac:dyDescent="0.25">
      <c r="B502" s="28"/>
      <c r="C502" s="28"/>
      <c r="D502" s="36"/>
      <c r="E502" s="28"/>
      <c r="F502" s="28"/>
      <c r="G502" s="36"/>
    </row>
    <row r="503" spans="2:7" x14ac:dyDescent="0.25">
      <c r="B503" s="28"/>
      <c r="C503" s="28"/>
      <c r="D503" s="36"/>
      <c r="E503" s="28"/>
      <c r="F503" s="28"/>
      <c r="G503" s="36"/>
    </row>
    <row r="504" spans="2:7" x14ac:dyDescent="0.25">
      <c r="B504" s="28"/>
      <c r="C504" s="28"/>
      <c r="D504" s="36"/>
      <c r="E504" s="28"/>
      <c r="F504" s="28"/>
      <c r="G504" s="36"/>
    </row>
    <row r="505" spans="2:7" x14ac:dyDescent="0.25">
      <c r="B505" s="28"/>
      <c r="C505" s="28"/>
      <c r="D505" s="36"/>
      <c r="E505" s="28"/>
      <c r="F505" s="28"/>
      <c r="G505" s="36"/>
    </row>
    <row r="506" spans="2:7" x14ac:dyDescent="0.25">
      <c r="B506" s="28"/>
      <c r="C506" s="28"/>
      <c r="D506" s="36"/>
      <c r="E506" s="28"/>
      <c r="F506" s="28"/>
      <c r="G506" s="36"/>
    </row>
    <row r="507" spans="2:7" x14ac:dyDescent="0.25">
      <c r="B507" s="28"/>
      <c r="C507" s="28"/>
      <c r="D507" s="36"/>
      <c r="E507" s="28"/>
      <c r="F507" s="28"/>
      <c r="G507" s="36"/>
    </row>
    <row r="508" spans="2:7" x14ac:dyDescent="0.25">
      <c r="B508" s="28"/>
      <c r="C508" s="28"/>
      <c r="D508" s="36"/>
      <c r="E508" s="28"/>
      <c r="F508" s="28"/>
      <c r="G508" s="36"/>
    </row>
    <row r="509" spans="2:7" x14ac:dyDescent="0.25">
      <c r="B509" s="28"/>
      <c r="C509" s="28"/>
      <c r="D509" s="36"/>
      <c r="E509" s="28"/>
      <c r="F509" s="28"/>
      <c r="G509" s="36"/>
    </row>
    <row r="510" spans="2:7" x14ac:dyDescent="0.25">
      <c r="B510" s="28"/>
      <c r="C510" s="28"/>
      <c r="D510" s="36"/>
      <c r="E510" s="28"/>
      <c r="F510" s="28"/>
      <c r="G510" s="36"/>
    </row>
    <row r="511" spans="2:7" x14ac:dyDescent="0.25">
      <c r="B511" s="28"/>
      <c r="C511" s="28"/>
      <c r="D511" s="36"/>
      <c r="E511" s="28"/>
      <c r="F511" s="28"/>
      <c r="G511" s="36"/>
    </row>
    <row r="512" spans="2:7" x14ac:dyDescent="0.25">
      <c r="B512" s="28"/>
      <c r="C512" s="28"/>
      <c r="D512" s="36"/>
      <c r="E512" s="28"/>
      <c r="F512" s="28"/>
      <c r="G512" s="36"/>
    </row>
  </sheetData>
  <mergeCells count="4">
    <mergeCell ref="B3:D3"/>
    <mergeCell ref="A3:A4"/>
    <mergeCell ref="E3:H3"/>
    <mergeCell ref="A5:D5"/>
  </mergeCells>
  <phoneticPr fontId="8" type="noConversion"/>
  <conditionalFormatting sqref="B7:H57">
    <cfRule type="containsBlanks" dxfId="51" priority="1">
      <formula>LEN(TRIM(B7))=0</formula>
    </cfRule>
  </conditionalFormatting>
  <conditionalFormatting sqref="E5:F5">
    <cfRule type="containsBlanks" dxfId="50" priority="29">
      <formula>LEN(TRIM(E5))=0</formula>
    </cfRule>
  </conditionalFormatting>
  <pageMargins left="0.75" right="0.75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6">
    <tabColor rgb="FFFFDDDD"/>
  </sheetPr>
  <dimension ref="A1:J2892"/>
  <sheetViews>
    <sheetView showGridLines="0" tabSelected="1" zoomScaleNormal="100" zoomScalePageLayoutView="150" workbookViewId="0">
      <selection activeCell="K36" sqref="K36"/>
    </sheetView>
  </sheetViews>
  <sheetFormatPr baseColWidth="10" defaultColWidth="30.28515625" defaultRowHeight="13.5" x14ac:dyDescent="0.25"/>
  <cols>
    <col min="1" max="1" width="8" style="23" customWidth="1"/>
    <col min="2" max="2" width="1.42578125" style="23" customWidth="1"/>
    <col min="3" max="3" width="32.7109375" style="23" customWidth="1"/>
    <col min="4" max="5" width="6.85546875" style="23" customWidth="1"/>
    <col min="6" max="6" width="7.28515625" style="23" customWidth="1"/>
    <col min="7" max="9" width="6.85546875" style="23" customWidth="1"/>
    <col min="10" max="10" width="6.140625" style="23" customWidth="1"/>
    <col min="11" max="16384" width="30.28515625" style="23"/>
  </cols>
  <sheetData>
    <row r="1" spans="1:10" ht="15" customHeight="1" x14ac:dyDescent="0.25">
      <c r="A1" s="82" t="s">
        <v>308</v>
      </c>
    </row>
    <row r="2" spans="1:10" x14ac:dyDescent="0.25">
      <c r="A2" s="62" t="s">
        <v>353</v>
      </c>
      <c r="B2" s="62"/>
      <c r="C2" s="62"/>
      <c r="D2" s="71"/>
      <c r="E2" s="71"/>
      <c r="F2" s="62"/>
      <c r="G2" s="71"/>
      <c r="H2" s="71"/>
      <c r="I2" s="82"/>
      <c r="J2" s="69"/>
    </row>
    <row r="3" spans="1:10" ht="5.0999999999999996" customHeight="1" x14ac:dyDescent="0.25">
      <c r="A3" s="46"/>
      <c r="B3" s="24"/>
      <c r="C3" s="25"/>
      <c r="D3" s="26"/>
      <c r="E3" s="26"/>
      <c r="F3" s="25"/>
      <c r="G3" s="26"/>
      <c r="H3" s="26"/>
      <c r="I3" s="25"/>
    </row>
    <row r="4" spans="1:10" s="3" customFormat="1" ht="15" customHeight="1" x14ac:dyDescent="0.25">
      <c r="A4" s="286" t="s">
        <v>5</v>
      </c>
      <c r="B4" s="293" t="s">
        <v>62</v>
      </c>
      <c r="C4" s="294"/>
      <c r="D4" s="289" t="s">
        <v>14</v>
      </c>
      <c r="E4" s="289"/>
      <c r="F4" s="289"/>
      <c r="G4" s="289" t="s">
        <v>56</v>
      </c>
      <c r="H4" s="289"/>
      <c r="I4" s="289"/>
      <c r="J4" s="289"/>
    </row>
    <row r="5" spans="1:10" s="27" customFormat="1" ht="22.35" customHeight="1" x14ac:dyDescent="0.2">
      <c r="A5" s="298"/>
      <c r="B5" s="299"/>
      <c r="C5" s="300"/>
      <c r="D5" s="176">
        <v>2024</v>
      </c>
      <c r="E5" s="177" t="s">
        <v>315</v>
      </c>
      <c r="F5" s="202" t="s">
        <v>327</v>
      </c>
      <c r="G5" s="176">
        <v>2024</v>
      </c>
      <c r="H5" s="177" t="s">
        <v>315</v>
      </c>
      <c r="I5" s="202" t="s">
        <v>327</v>
      </c>
      <c r="J5" s="202" t="s">
        <v>384</v>
      </c>
    </row>
    <row r="6" spans="1:10" s="27" customFormat="1" ht="4.3499999999999996" customHeight="1" x14ac:dyDescent="0.2">
      <c r="A6" s="77"/>
      <c r="B6" s="77"/>
      <c r="C6" s="77"/>
      <c r="D6" s="75"/>
      <c r="E6" s="75"/>
      <c r="F6" s="76"/>
      <c r="G6" s="75"/>
      <c r="H6" s="75"/>
      <c r="I6" s="76"/>
      <c r="J6" s="76"/>
    </row>
    <row r="7" spans="1:10" s="3" customFormat="1" ht="12.75" x14ac:dyDescent="0.25">
      <c r="A7" s="208" t="s">
        <v>146</v>
      </c>
      <c r="B7" s="207" t="s">
        <v>266</v>
      </c>
      <c r="C7" s="207"/>
      <c r="D7" s="209">
        <v>3368060.8859999995</v>
      </c>
      <c r="E7" s="209">
        <v>3854559.9949999996</v>
      </c>
      <c r="F7" s="185">
        <f>(E7/D7-1)</f>
        <v>0.14444486767511489</v>
      </c>
      <c r="G7" s="209">
        <v>764269.09981100017</v>
      </c>
      <c r="H7" s="209">
        <v>933151.74950999999</v>
      </c>
      <c r="I7" s="185">
        <f>(H7/G7-1)</f>
        <v>0.22097275650783699</v>
      </c>
      <c r="J7" s="185">
        <f>SUM(J8:J11)</f>
        <v>0.99999999999999989</v>
      </c>
    </row>
    <row r="8" spans="1:10" ht="9.9499999999999993" customHeight="1" x14ac:dyDescent="0.25">
      <c r="A8" s="153"/>
      <c r="B8" s="15"/>
      <c r="C8" s="29" t="s">
        <v>87</v>
      </c>
      <c r="D8" s="72">
        <v>3331819.4599999995</v>
      </c>
      <c r="E8" s="72">
        <v>3724855.5649999999</v>
      </c>
      <c r="F8" s="166">
        <f t="shared" ref="F8:F66" si="0">IFERROR(((E8/D8-1)),"")</f>
        <v>0.11796440645076256</v>
      </c>
      <c r="G8" s="72">
        <v>756267.89804400015</v>
      </c>
      <c r="H8" s="72">
        <v>901640.00579799991</v>
      </c>
      <c r="I8" s="166">
        <f>IF(G8="","",IF(H8="","",(H8/G8-1)))</f>
        <v>0.19222303119038631</v>
      </c>
      <c r="J8" s="166">
        <f>(H8/$H$7)</f>
        <v>0.96623084752448141</v>
      </c>
    </row>
    <row r="9" spans="1:10" ht="9.9499999999999993" customHeight="1" x14ac:dyDescent="0.25">
      <c r="A9" s="153"/>
      <c r="B9" s="15"/>
      <c r="C9" s="29" t="s">
        <v>84</v>
      </c>
      <c r="D9" s="72">
        <v>6863</v>
      </c>
      <c r="E9" s="72">
        <v>64460.34</v>
      </c>
      <c r="F9" s="166">
        <f t="shared" si="0"/>
        <v>8.3924435378114524</v>
      </c>
      <c r="G9" s="72">
        <v>1434.2190960000009</v>
      </c>
      <c r="H9" s="72">
        <v>15712.275269</v>
      </c>
      <c r="I9" s="166">
        <f t="shared" ref="I9:I11" si="1">IF(G9="","",IF(H9="","",(H9/G9-1)))</f>
        <v>9.95528243405845</v>
      </c>
      <c r="J9" s="166">
        <f t="shared" ref="J9:J11" si="2">(H9/$H$7)</f>
        <v>1.6837856519318052E-2</v>
      </c>
    </row>
    <row r="10" spans="1:10" ht="9.9499999999999993" customHeight="1" x14ac:dyDescent="0.25">
      <c r="A10" s="153"/>
      <c r="B10" s="15"/>
      <c r="C10" s="29" t="s">
        <v>83</v>
      </c>
      <c r="D10" s="152" t="s">
        <v>356</v>
      </c>
      <c r="E10" s="72">
        <v>33184.28</v>
      </c>
      <c r="F10" s="152" t="s">
        <v>356</v>
      </c>
      <c r="G10" s="152" t="s">
        <v>356</v>
      </c>
      <c r="H10" s="72">
        <v>7830.2297500000004</v>
      </c>
      <c r="I10" s="152" t="s">
        <v>356</v>
      </c>
      <c r="J10" s="166">
        <f t="shared" si="2"/>
        <v>8.3911644104098515E-3</v>
      </c>
    </row>
    <row r="11" spans="1:10" ht="9.9499999999999993" customHeight="1" x14ac:dyDescent="0.25">
      <c r="A11" s="153"/>
      <c r="B11" s="15"/>
      <c r="C11" s="16" t="s">
        <v>18</v>
      </c>
      <c r="D11" s="72">
        <f>D7-SUM(D8:D10)</f>
        <v>29378.425999999978</v>
      </c>
      <c r="E11" s="72">
        <f>E7-SUM(E8:E10)</f>
        <v>32059.810000000056</v>
      </c>
      <c r="F11" s="166">
        <f t="shared" si="0"/>
        <v>9.1270512586347552E-2</v>
      </c>
      <c r="G11" s="72">
        <f>G7-SUM(G8:G10)</f>
        <v>6566.9826710000634</v>
      </c>
      <c r="H11" s="72">
        <f>H7-SUM(H8:H10)</f>
        <v>7969.2386930000503</v>
      </c>
      <c r="I11" s="166">
        <f t="shared" si="1"/>
        <v>0.21353125053799515</v>
      </c>
      <c r="J11" s="166">
        <f t="shared" si="2"/>
        <v>8.5401315457906118E-3</v>
      </c>
    </row>
    <row r="12" spans="1:10" s="3" customFormat="1" ht="24" customHeight="1" x14ac:dyDescent="0.25">
      <c r="A12" s="208" t="s">
        <v>148</v>
      </c>
      <c r="B12" s="291" t="s">
        <v>277</v>
      </c>
      <c r="C12" s="292"/>
      <c r="D12" s="209">
        <v>1313551.6519999998</v>
      </c>
      <c r="E12" s="209">
        <v>1553371.3633890001</v>
      </c>
      <c r="F12" s="185">
        <f>(E12/D12-1)</f>
        <v>0.1825734915135262</v>
      </c>
      <c r="G12" s="209">
        <v>584735.83327600011</v>
      </c>
      <c r="H12" s="209">
        <v>532978.22151900001</v>
      </c>
      <c r="I12" s="185">
        <f>(H12/G12-1)</f>
        <v>-8.8514520252720774E-2</v>
      </c>
      <c r="J12" s="185">
        <f>SUM(J13:J16)</f>
        <v>1</v>
      </c>
    </row>
    <row r="13" spans="1:10" ht="9.9499999999999993" customHeight="1" x14ac:dyDescent="0.25">
      <c r="A13" s="153"/>
      <c r="B13" s="15"/>
      <c r="C13" s="29" t="s">
        <v>86</v>
      </c>
      <c r="D13" s="72">
        <v>667840.95599999989</v>
      </c>
      <c r="E13" s="72">
        <v>906076.02938899992</v>
      </c>
      <c r="F13" s="166">
        <f t="shared" si="0"/>
        <v>0.35672426383655331</v>
      </c>
      <c r="G13" s="72">
        <v>289439.67946100014</v>
      </c>
      <c r="H13" s="72">
        <v>297544.24264300003</v>
      </c>
      <c r="I13" s="166">
        <f>IF(G13="","",IF(H13="","",(H13/G13-1)))</f>
        <v>2.8000871190475118E-2</v>
      </c>
      <c r="J13" s="166">
        <f>(H13/$H$12)</f>
        <v>0.55826716858147074</v>
      </c>
    </row>
    <row r="14" spans="1:10" ht="9.9499999999999993" customHeight="1" x14ac:dyDescent="0.25">
      <c r="A14" s="153"/>
      <c r="B14" s="15"/>
      <c r="C14" s="29" t="s">
        <v>87</v>
      </c>
      <c r="D14" s="72">
        <v>299222.03999999992</v>
      </c>
      <c r="E14" s="72">
        <v>380737.81</v>
      </c>
      <c r="F14" s="166">
        <f t="shared" si="0"/>
        <v>0.27242568762648656</v>
      </c>
      <c r="G14" s="72">
        <v>137452.71049500001</v>
      </c>
      <c r="H14" s="72">
        <v>138859.821207</v>
      </c>
      <c r="I14" s="166">
        <f t="shared" ref="I14:I16" si="3">IF(G14="","",IF(H14="","",(H14/G14-1)))</f>
        <v>1.023705321584889E-2</v>
      </c>
      <c r="J14" s="166">
        <f t="shared" ref="J14:J16" si="4">(H14/$H$12)</f>
        <v>0.26053563841923288</v>
      </c>
    </row>
    <row r="15" spans="1:10" ht="9.9499999999999993" customHeight="1" x14ac:dyDescent="0.25">
      <c r="A15" s="153"/>
      <c r="B15" s="15"/>
      <c r="C15" s="29" t="s">
        <v>83</v>
      </c>
      <c r="D15" s="72">
        <v>346239.36</v>
      </c>
      <c r="E15" s="72">
        <v>214485.51000000004</v>
      </c>
      <c r="F15" s="166">
        <f t="shared" si="0"/>
        <v>-0.38052822763997707</v>
      </c>
      <c r="G15" s="72">
        <v>157719.07812799999</v>
      </c>
      <c r="H15" s="72">
        <v>77065.371633999996</v>
      </c>
      <c r="I15" s="166">
        <f t="shared" si="3"/>
        <v>-0.5113757159330079</v>
      </c>
      <c r="J15" s="166">
        <f t="shared" si="4"/>
        <v>0.14459384740780204</v>
      </c>
    </row>
    <row r="16" spans="1:10" ht="9.9499999999999993" customHeight="1" x14ac:dyDescent="0.25">
      <c r="A16" s="153"/>
      <c r="B16" s="15"/>
      <c r="C16" s="16" t="s">
        <v>18</v>
      </c>
      <c r="D16" s="72">
        <f>D12-SUM(D13:D15)</f>
        <v>249.29600000008941</v>
      </c>
      <c r="E16" s="72">
        <f>E12-SUM(E13:E15)</f>
        <v>52072.014000000199</v>
      </c>
      <c r="F16" s="166">
        <f t="shared" si="0"/>
        <v>207.8762515242183</v>
      </c>
      <c r="G16" s="72">
        <f>G12-SUM(G13:G15)</f>
        <v>124.36519199993927</v>
      </c>
      <c r="H16" s="72">
        <f>H12-SUM(H13:H15)</f>
        <v>19508.786034999997</v>
      </c>
      <c r="I16" s="166">
        <f t="shared" si="3"/>
        <v>155.86693134369563</v>
      </c>
      <c r="J16" s="166">
        <f t="shared" si="4"/>
        <v>3.660334559149437E-2</v>
      </c>
    </row>
    <row r="17" spans="1:10" s="3" customFormat="1" ht="12.75" x14ac:dyDescent="0.25">
      <c r="A17" s="208" t="s">
        <v>147</v>
      </c>
      <c r="B17" s="207" t="s">
        <v>197</v>
      </c>
      <c r="C17" s="207"/>
      <c r="D17" s="209">
        <v>1659332.8699999999</v>
      </c>
      <c r="E17" s="209">
        <v>1685440.0059999998</v>
      </c>
      <c r="F17" s="185">
        <f>(E17/D17-1)</f>
        <v>1.5733513433022095E-2</v>
      </c>
      <c r="G17" s="209">
        <v>517087.54563299997</v>
      </c>
      <c r="H17" s="209">
        <v>481600.04423699994</v>
      </c>
      <c r="I17" s="185">
        <f>(H17/G17-1)</f>
        <v>-6.8629580611069496E-2</v>
      </c>
      <c r="J17" s="185">
        <f>SUM(J18:J21)</f>
        <v>0.99987016039570575</v>
      </c>
    </row>
    <row r="18" spans="1:10" ht="9.9499999999999993" customHeight="1" x14ac:dyDescent="0.25">
      <c r="A18" s="153"/>
      <c r="B18" s="29"/>
      <c r="C18" s="16" t="s">
        <v>85</v>
      </c>
      <c r="D18" s="72">
        <v>1210824.8999999999</v>
      </c>
      <c r="E18" s="72">
        <v>1193674.0260000001</v>
      </c>
      <c r="F18" s="166">
        <f t="shared" si="0"/>
        <v>-1.4164619508567955E-2</v>
      </c>
      <c r="G18" s="72">
        <v>385151.96344800002</v>
      </c>
      <c r="H18" s="72">
        <v>348070.29176999995</v>
      </c>
      <c r="I18" s="166">
        <f>IF(G18="","",IF(H18="","",(H18/G18-1)))</f>
        <v>-9.6278028407367877E-2</v>
      </c>
      <c r="J18" s="166">
        <f>(H18/$H$17)</f>
        <v>0.7227372504116949</v>
      </c>
    </row>
    <row r="19" spans="1:10" ht="9.9499999999999993" customHeight="1" x14ac:dyDescent="0.25">
      <c r="A19" s="153"/>
      <c r="B19" s="29"/>
      <c r="C19" s="16" t="s">
        <v>70</v>
      </c>
      <c r="D19" s="72">
        <v>162658.53</v>
      </c>
      <c r="E19" s="72">
        <v>315620.63999999996</v>
      </c>
      <c r="F19" s="166">
        <f t="shared" si="0"/>
        <v>0.94038787882811903</v>
      </c>
      <c r="G19" s="72">
        <v>48217.755867</v>
      </c>
      <c r="H19" s="72">
        <v>86790.479516000007</v>
      </c>
      <c r="I19" s="166">
        <f t="shared" ref="I19:I20" si="5">IF(G19="","",IF(H19="","",(H19/G19-1)))</f>
        <v>0.79996928424864744</v>
      </c>
      <c r="J19" s="166">
        <f t="shared" ref="J19:J20" si="6">(H19/$H$17)</f>
        <v>0.1802127731393845</v>
      </c>
    </row>
    <row r="20" spans="1:10" ht="9.9499999999999993" customHeight="1" x14ac:dyDescent="0.25">
      <c r="A20" s="153"/>
      <c r="B20" s="29"/>
      <c r="C20" s="16" t="s">
        <v>87</v>
      </c>
      <c r="D20" s="72">
        <v>285849.44</v>
      </c>
      <c r="E20" s="72">
        <v>173720.72999999998</v>
      </c>
      <c r="F20" s="166">
        <f t="shared" si="0"/>
        <v>-0.39226492799845969</v>
      </c>
      <c r="G20" s="72">
        <v>83717.826318000007</v>
      </c>
      <c r="H20" s="72">
        <v>46090.601966999995</v>
      </c>
      <c r="I20" s="166">
        <f t="shared" si="5"/>
        <v>-0.4494529541184451</v>
      </c>
      <c r="J20" s="166">
        <f t="shared" si="6"/>
        <v>9.5703068383271112E-2</v>
      </c>
    </row>
    <row r="21" spans="1:10" ht="9.9499999999999993" customHeight="1" x14ac:dyDescent="0.25">
      <c r="A21" s="153"/>
      <c r="B21" s="29"/>
      <c r="C21" s="16" t="s">
        <v>18</v>
      </c>
      <c r="D21" s="152" t="s">
        <v>356</v>
      </c>
      <c r="E21" s="72">
        <f>E17-SUM(E18:E20)</f>
        <v>2424.6099999998696</v>
      </c>
      <c r="F21" s="152" t="s">
        <v>356</v>
      </c>
      <c r="G21" s="152" t="s">
        <v>352</v>
      </c>
      <c r="H21" s="72">
        <f>H17-SUM(H18:H20)</f>
        <v>648.67098399996758</v>
      </c>
      <c r="I21" s="152" t="s">
        <v>356</v>
      </c>
      <c r="J21" s="166">
        <f t="shared" ref="J21" si="7">(H21/$H$12)</f>
        <v>1.2170684613552138E-3</v>
      </c>
    </row>
    <row r="22" spans="1:10" s="3" customFormat="1" ht="12.75" x14ac:dyDescent="0.25">
      <c r="A22" s="208" t="s">
        <v>149</v>
      </c>
      <c r="B22" s="207" t="s">
        <v>273</v>
      </c>
      <c r="C22" s="207"/>
      <c r="D22" s="209">
        <v>399360.96100000007</v>
      </c>
      <c r="E22" s="209">
        <v>408996.50761299999</v>
      </c>
      <c r="F22" s="185">
        <f>(E22/D22-1)</f>
        <v>2.4127412426273587E-2</v>
      </c>
      <c r="G22" s="209">
        <v>392179.44733200007</v>
      </c>
      <c r="H22" s="209">
        <v>470203.33221999998</v>
      </c>
      <c r="I22" s="185">
        <f>(H22/G22-1)</f>
        <v>0.19894944882705357</v>
      </c>
      <c r="J22" s="185">
        <f>SUM(J23:J26)</f>
        <v>1</v>
      </c>
    </row>
    <row r="23" spans="1:10" ht="9.9499999999999993" customHeight="1" x14ac:dyDescent="0.25">
      <c r="A23" s="153"/>
      <c r="B23" s="29"/>
      <c r="C23" s="16" t="s">
        <v>87</v>
      </c>
      <c r="D23" s="72">
        <v>298154.21900000004</v>
      </c>
      <c r="E23" s="72">
        <v>358803.62699999998</v>
      </c>
      <c r="F23" s="166">
        <f t="shared" si="0"/>
        <v>0.2034162327248501</v>
      </c>
      <c r="G23" s="72">
        <v>296913.32548300002</v>
      </c>
      <c r="H23" s="72">
        <v>413513.91178699996</v>
      </c>
      <c r="I23" s="166">
        <f>IF(G23="","",IF(H23="","",(H23/G23-1)))</f>
        <v>0.39270917232940428</v>
      </c>
      <c r="J23" s="166">
        <f>(H23/$H$22)</f>
        <v>0.87943637029250987</v>
      </c>
    </row>
    <row r="24" spans="1:10" ht="9.9499999999999993" customHeight="1" x14ac:dyDescent="0.25">
      <c r="A24" s="153"/>
      <c r="B24" s="29"/>
      <c r="C24" s="16" t="s">
        <v>86</v>
      </c>
      <c r="D24" s="72">
        <v>14346.361000000001</v>
      </c>
      <c r="E24" s="72">
        <v>32947.972999999998</v>
      </c>
      <c r="F24" s="166">
        <f t="shared" si="0"/>
        <v>1.2966083873115974</v>
      </c>
      <c r="G24" s="72">
        <v>13383.736508000005</v>
      </c>
      <c r="H24" s="72">
        <v>35627.370440000006</v>
      </c>
      <c r="I24" s="166">
        <f t="shared" ref="I24:I26" si="8">IF(G24="","",IF(H24="","",(H24/G24-1)))</f>
        <v>1.6619898276317735</v>
      </c>
      <c r="J24" s="166">
        <f t="shared" ref="J24:J26" si="9">(H24/$H$22)</f>
        <v>7.5770136021346995E-2</v>
      </c>
    </row>
    <row r="25" spans="1:10" ht="9.9499999999999993" customHeight="1" x14ac:dyDescent="0.25">
      <c r="A25" s="153"/>
      <c r="B25" s="29"/>
      <c r="C25" s="16" t="s">
        <v>83</v>
      </c>
      <c r="D25" s="72">
        <v>84268.960999999996</v>
      </c>
      <c r="E25" s="72">
        <v>17244.307000000001</v>
      </c>
      <c r="F25" s="166">
        <f t="shared" si="0"/>
        <v>-0.79536585244002234</v>
      </c>
      <c r="G25" s="72">
        <v>79614.434320999993</v>
      </c>
      <c r="H25" s="72">
        <v>21060.731359999998</v>
      </c>
      <c r="I25" s="166">
        <f t="shared" si="8"/>
        <v>-0.73546591720937737</v>
      </c>
      <c r="J25" s="166">
        <f t="shared" si="9"/>
        <v>4.4790689297255014E-2</v>
      </c>
    </row>
    <row r="26" spans="1:10" ht="9.9499999999999993" customHeight="1" x14ac:dyDescent="0.25">
      <c r="A26" s="16"/>
      <c r="B26" s="29"/>
      <c r="C26" s="16" t="s">
        <v>18</v>
      </c>
      <c r="D26" s="72">
        <f>D22-SUM(D23:D25)</f>
        <v>2591.4200000000419</v>
      </c>
      <c r="E26" s="72">
        <f>E22-SUM(E23:E25)</f>
        <v>0.6006129999877885</v>
      </c>
      <c r="F26" s="166">
        <f t="shared" si="0"/>
        <v>-0.9997682301595312</v>
      </c>
      <c r="G26" s="72">
        <f>G22-SUM(G23:G25)</f>
        <v>2267.9510200000368</v>
      </c>
      <c r="H26" s="72">
        <f>H22-SUM(H23:H25)</f>
        <v>1.3186330000171438</v>
      </c>
      <c r="I26" s="166">
        <f t="shared" si="8"/>
        <v>-0.99941857959524316</v>
      </c>
      <c r="J26" s="166">
        <f t="shared" si="9"/>
        <v>2.8043888880825249E-6</v>
      </c>
    </row>
    <row r="27" spans="1:10" s="3" customFormat="1" ht="24" customHeight="1" x14ac:dyDescent="0.25">
      <c r="A27" s="208" t="s">
        <v>153</v>
      </c>
      <c r="B27" s="291" t="s">
        <v>268</v>
      </c>
      <c r="C27" s="292"/>
      <c r="D27" s="209">
        <v>96081.074823999996</v>
      </c>
      <c r="E27" s="209">
        <v>121993.73717699997</v>
      </c>
      <c r="F27" s="185">
        <f>(E27/D27-1)</f>
        <v>0.26969580014031314</v>
      </c>
      <c r="G27" s="209">
        <v>114498.80266500002</v>
      </c>
      <c r="H27" s="209">
        <v>157385.93656699997</v>
      </c>
      <c r="I27" s="185">
        <f>(H27/G27-1)</f>
        <v>0.37456403825880069</v>
      </c>
      <c r="J27" s="185">
        <f>SUM(J28:J31)</f>
        <v>1</v>
      </c>
    </row>
    <row r="28" spans="1:10" s="3" customFormat="1" ht="9.9499999999999993" customHeight="1" x14ac:dyDescent="0.25">
      <c r="A28" s="153"/>
      <c r="B28" s="16"/>
      <c r="C28" s="72" t="s">
        <v>86</v>
      </c>
      <c r="D28" s="72">
        <v>65070.072415999995</v>
      </c>
      <c r="E28" s="72">
        <v>75401.514423999994</v>
      </c>
      <c r="F28" s="166">
        <f t="shared" si="0"/>
        <v>0.15877409728315617</v>
      </c>
      <c r="G28" s="72">
        <v>73717.709241000019</v>
      </c>
      <c r="H28" s="72">
        <v>90909.671612999984</v>
      </c>
      <c r="I28" s="166">
        <f>IF(G28="","",IF(H28="","",(H28/G28-1)))</f>
        <v>0.23321346456650627</v>
      </c>
      <c r="J28" s="166">
        <f>(H28/$H$27)</f>
        <v>0.57762258557516855</v>
      </c>
    </row>
    <row r="29" spans="1:10" s="3" customFormat="1" ht="9.9499999999999993" customHeight="1" x14ac:dyDescent="0.25">
      <c r="A29" s="153"/>
      <c r="B29" s="16"/>
      <c r="C29" s="72" t="s">
        <v>84</v>
      </c>
      <c r="D29" s="72">
        <v>21813.481853999998</v>
      </c>
      <c r="E29" s="135">
        <v>30717.865189999997</v>
      </c>
      <c r="F29" s="166">
        <f t="shared" si="0"/>
        <v>0.40820550316533621</v>
      </c>
      <c r="G29" s="72">
        <v>28765.146297000003</v>
      </c>
      <c r="H29" s="72">
        <v>44805.654189000001</v>
      </c>
      <c r="I29" s="166">
        <f t="shared" ref="I29:I31" si="10">IF(G29="","",IF(H29="","",(H29/G29-1)))</f>
        <v>0.55763693069320164</v>
      </c>
      <c r="J29" s="166">
        <f t="shared" ref="J29:J31" si="11">(H29/$H$27)</f>
        <v>0.28468651752709817</v>
      </c>
    </row>
    <row r="30" spans="1:10" s="3" customFormat="1" ht="9.9499999999999993" customHeight="1" x14ac:dyDescent="0.25">
      <c r="A30" s="153"/>
      <c r="B30" s="16"/>
      <c r="C30" s="72" t="s">
        <v>87</v>
      </c>
      <c r="D30" s="72">
        <v>8727.5296539999981</v>
      </c>
      <c r="E30" s="135">
        <v>15583.861455999999</v>
      </c>
      <c r="F30" s="166">
        <f t="shared" si="0"/>
        <v>0.7855982246771982</v>
      </c>
      <c r="G30" s="72">
        <v>11051.367857000001</v>
      </c>
      <c r="H30" s="72">
        <v>20954.450203</v>
      </c>
      <c r="I30" s="166">
        <f t="shared" si="10"/>
        <v>0.89609562129698994</v>
      </c>
      <c r="J30" s="166">
        <f t="shared" si="11"/>
        <v>0.13314055029357461</v>
      </c>
    </row>
    <row r="31" spans="1:10" s="3" customFormat="1" ht="9.9499999999999993" customHeight="1" x14ac:dyDescent="0.25">
      <c r="A31" s="153"/>
      <c r="B31" s="16"/>
      <c r="C31" s="16" t="s">
        <v>18</v>
      </c>
      <c r="D31" s="72">
        <f>D27-SUM(D28:D30)</f>
        <v>469.99090000000433</v>
      </c>
      <c r="E31" s="72">
        <f>E27-SUM(E28:E30)</f>
        <v>290.49610699998448</v>
      </c>
      <c r="F31" s="166">
        <f t="shared" si="0"/>
        <v>-0.38191120934473033</v>
      </c>
      <c r="G31" s="72">
        <f>G27-SUM(G28:G30)</f>
        <v>964.579270000002</v>
      </c>
      <c r="H31" s="72">
        <f>H27-SUM(H28:H30)</f>
        <v>716.16056199997547</v>
      </c>
      <c r="I31" s="166">
        <f t="shared" si="10"/>
        <v>-0.25754099815977383</v>
      </c>
      <c r="J31" s="166">
        <f t="shared" si="11"/>
        <v>4.55034660415864E-3</v>
      </c>
    </row>
    <row r="32" spans="1:10" s="3" customFormat="1" ht="24" customHeight="1" x14ac:dyDescent="0.25">
      <c r="A32" s="208" t="s">
        <v>155</v>
      </c>
      <c r="B32" s="291" t="s">
        <v>274</v>
      </c>
      <c r="C32" s="292"/>
      <c r="D32" s="209">
        <v>126456.18384099998</v>
      </c>
      <c r="E32" s="209">
        <v>155982.579773</v>
      </c>
      <c r="F32" s="185">
        <f>(E32/D32-1)</f>
        <v>0.23349111949420465</v>
      </c>
      <c r="G32" s="209">
        <v>94332.563309000019</v>
      </c>
      <c r="H32" s="209">
        <v>119875.87125500001</v>
      </c>
      <c r="I32" s="185">
        <f>(H32/G32-1)</f>
        <v>0.27077932635339463</v>
      </c>
      <c r="J32" s="185">
        <f>SUM(J33:J35)</f>
        <v>0.99999999999999989</v>
      </c>
    </row>
    <row r="33" spans="1:10" s="3" customFormat="1" ht="9.9499999999999993" customHeight="1" x14ac:dyDescent="0.25">
      <c r="A33" s="153"/>
      <c r="B33" s="29"/>
      <c r="C33" s="72" t="s">
        <v>70</v>
      </c>
      <c r="D33" s="72">
        <v>126456.11299999998</v>
      </c>
      <c r="E33" s="172">
        <v>155982.53700000001</v>
      </c>
      <c r="F33" s="166">
        <f t="shared" si="0"/>
        <v>0.23349147225488442</v>
      </c>
      <c r="G33" s="172">
        <v>94330.813635000013</v>
      </c>
      <c r="H33" s="172">
        <v>119874.20574400001</v>
      </c>
      <c r="I33" s="166">
        <f>IF(G33="","",IF(H33="","",(H33/G33-1)))</f>
        <v>0.2707852410542817</v>
      </c>
      <c r="J33" s="166">
        <f>(H33/$H$32)</f>
        <v>0.99998610637000951</v>
      </c>
    </row>
    <row r="34" spans="1:10" s="3" customFormat="1" ht="9.9499999999999993" customHeight="1" x14ac:dyDescent="0.25">
      <c r="A34" s="153"/>
      <c r="B34" s="29"/>
      <c r="C34" s="72" t="s">
        <v>81</v>
      </c>
      <c r="D34" s="72">
        <v>3.7911E-2</v>
      </c>
      <c r="E34" s="172">
        <v>3.3801999999999999E-2</v>
      </c>
      <c r="F34" s="166">
        <f t="shared" si="0"/>
        <v>-0.108385429031152</v>
      </c>
      <c r="G34" s="172">
        <v>1.1375709999999999</v>
      </c>
      <c r="H34" s="172">
        <v>1.2960530000000001</v>
      </c>
      <c r="I34" s="166">
        <f t="shared" ref="I34:I35" si="12">IF(G34="","",IF(H34="","",(H34/G34-1)))</f>
        <v>0.13931613938822296</v>
      </c>
      <c r="J34" s="166">
        <f t="shared" ref="J34:J35" si="13">(H34/$H$32)</f>
        <v>1.0811625278977415E-5</v>
      </c>
    </row>
    <row r="35" spans="1:10" s="3" customFormat="1" ht="9.9499999999999993" customHeight="1" x14ac:dyDescent="0.25">
      <c r="A35" s="153"/>
      <c r="B35" s="29"/>
      <c r="C35" s="72" t="s">
        <v>127</v>
      </c>
      <c r="D35" s="72">
        <v>3.2800000000000003E-2</v>
      </c>
      <c r="E35" s="172">
        <v>8.9709999999999998E-3</v>
      </c>
      <c r="F35" s="166">
        <f t="shared" si="0"/>
        <v>-0.72649390243902445</v>
      </c>
      <c r="G35" s="172">
        <v>0.54186199999999995</v>
      </c>
      <c r="H35" s="172">
        <v>0.36945799999999995</v>
      </c>
      <c r="I35" s="166">
        <f t="shared" si="12"/>
        <v>-0.31816957085014264</v>
      </c>
      <c r="J35" s="166">
        <f t="shared" si="13"/>
        <v>3.0820047114743276E-6</v>
      </c>
    </row>
    <row r="36" spans="1:10" s="3" customFormat="1" ht="24" customHeight="1" x14ac:dyDescent="0.25">
      <c r="A36" s="208" t="s">
        <v>151</v>
      </c>
      <c r="B36" s="291" t="s">
        <v>259</v>
      </c>
      <c r="C36" s="292"/>
      <c r="D36" s="209">
        <v>16598.296299000001</v>
      </c>
      <c r="E36" s="209">
        <v>18119.090465000001</v>
      </c>
      <c r="F36" s="185">
        <f>(E36/D36-1)</f>
        <v>9.1623509943705717E-2</v>
      </c>
      <c r="G36" s="209">
        <v>103415.439677</v>
      </c>
      <c r="H36" s="209">
        <v>110841.22469600003</v>
      </c>
      <c r="I36" s="185">
        <f>(H36/G36-1)</f>
        <v>7.1805380726448265E-2</v>
      </c>
      <c r="J36" s="185">
        <f>SUM(J37:J42)</f>
        <v>1</v>
      </c>
    </row>
    <row r="37" spans="1:10" s="3" customFormat="1" ht="9.9499999999999993" customHeight="1" x14ac:dyDescent="0.25">
      <c r="A37" s="153"/>
      <c r="B37" s="29"/>
      <c r="C37" s="16" t="s">
        <v>71</v>
      </c>
      <c r="D37" s="72">
        <v>798.11691299999984</v>
      </c>
      <c r="E37" s="72">
        <v>928.30663000000004</v>
      </c>
      <c r="F37" s="166">
        <f t="shared" si="0"/>
        <v>0.1631211103027963</v>
      </c>
      <c r="G37" s="72">
        <v>12832.474881</v>
      </c>
      <c r="H37" s="72">
        <v>14779.284624000002</v>
      </c>
      <c r="I37" s="166">
        <f>IF(G37="","",IF(H37="","",(H37/G37-1)))</f>
        <v>0.1517096087117602</v>
      </c>
      <c r="J37" s="166">
        <f>(H37/$H$36)</f>
        <v>0.13333743527766476</v>
      </c>
    </row>
    <row r="38" spans="1:10" s="3" customFormat="1" ht="9.9499999999999993" customHeight="1" x14ac:dyDescent="0.25">
      <c r="A38" s="153"/>
      <c r="B38" s="29"/>
      <c r="C38" s="16" t="s">
        <v>179</v>
      </c>
      <c r="D38" s="72">
        <v>2956.5717909999994</v>
      </c>
      <c r="E38" s="72">
        <v>3007.8899139999999</v>
      </c>
      <c r="F38" s="166">
        <f t="shared" si="0"/>
        <v>1.7357306579267373E-2</v>
      </c>
      <c r="G38" s="72">
        <v>15858.676320000004</v>
      </c>
      <c r="H38" s="72">
        <v>12945.516023999999</v>
      </c>
      <c r="I38" s="166">
        <f t="shared" ref="I38:I42" si="14">IF(G38="","",IF(H38="","",(H38/G38-1)))</f>
        <v>-0.18369504725473862</v>
      </c>
      <c r="J38" s="166">
        <f t="shared" ref="J38:J42" si="15">(H38/$H$36)</f>
        <v>0.11679333262064875</v>
      </c>
    </row>
    <row r="39" spans="1:10" s="3" customFormat="1" ht="9.9499999999999993" customHeight="1" x14ac:dyDescent="0.25">
      <c r="A39" s="153"/>
      <c r="B39" s="29"/>
      <c r="C39" s="16" t="s">
        <v>221</v>
      </c>
      <c r="D39" s="72">
        <v>1037.3930330000003</v>
      </c>
      <c r="E39" s="72">
        <v>1078.710795</v>
      </c>
      <c r="F39" s="166">
        <f t="shared" si="0"/>
        <v>3.982845525819112E-2</v>
      </c>
      <c r="G39" s="72">
        <v>12996.045463999997</v>
      </c>
      <c r="H39" s="72">
        <v>12605.400098</v>
      </c>
      <c r="I39" s="166">
        <f t="shared" si="14"/>
        <v>-3.0058787273568255E-2</v>
      </c>
      <c r="J39" s="166">
        <f t="shared" si="15"/>
        <v>0.11372483597661742</v>
      </c>
    </row>
    <row r="40" spans="1:10" s="3" customFormat="1" ht="9.9499999999999993" customHeight="1" x14ac:dyDescent="0.25">
      <c r="A40" s="153"/>
      <c r="B40" s="29"/>
      <c r="C40" s="16" t="s">
        <v>70</v>
      </c>
      <c r="D40" s="72">
        <v>2205.6559339999994</v>
      </c>
      <c r="E40" s="72">
        <v>2380.0890720000002</v>
      </c>
      <c r="F40" s="166">
        <f t="shared" si="0"/>
        <v>7.9084473380969689E-2</v>
      </c>
      <c r="G40" s="72">
        <v>8793.3483820000019</v>
      </c>
      <c r="H40" s="72">
        <v>10781.622066</v>
      </c>
      <c r="I40" s="166">
        <f t="shared" si="14"/>
        <v>0.22611110098514886</v>
      </c>
      <c r="J40" s="166">
        <f t="shared" si="15"/>
        <v>9.727086736519143E-2</v>
      </c>
    </row>
    <row r="41" spans="1:10" s="3" customFormat="1" ht="9.9499999999999993" customHeight="1" x14ac:dyDescent="0.25">
      <c r="A41" s="153"/>
      <c r="B41" s="29"/>
      <c r="C41" s="16" t="s">
        <v>217</v>
      </c>
      <c r="D41" s="72">
        <v>945.54613300000005</v>
      </c>
      <c r="E41" s="72">
        <v>1216.62843</v>
      </c>
      <c r="F41" s="166">
        <f t="shared" si="0"/>
        <v>0.28669388783804584</v>
      </c>
      <c r="G41" s="72">
        <v>5984.2428059999993</v>
      </c>
      <c r="H41" s="72">
        <v>10469.842605999998</v>
      </c>
      <c r="I41" s="166">
        <f t="shared" si="14"/>
        <v>0.74956848266627629</v>
      </c>
      <c r="J41" s="166">
        <f t="shared" si="15"/>
        <v>9.4458019881278221E-2</v>
      </c>
    </row>
    <row r="42" spans="1:10" s="3" customFormat="1" ht="9.9499999999999993" customHeight="1" x14ac:dyDescent="0.25">
      <c r="A42" s="153"/>
      <c r="B42" s="29"/>
      <c r="C42" s="16" t="s">
        <v>18</v>
      </c>
      <c r="D42" s="72">
        <f>D36-SUM(D37:D41)</f>
        <v>8655.0124950000027</v>
      </c>
      <c r="E42" s="72">
        <f>E36-SUM(E37:E41)</f>
        <v>9507.4656240000004</v>
      </c>
      <c r="F42" s="166">
        <f t="shared" si="0"/>
        <v>9.8492420374027168E-2</v>
      </c>
      <c r="G42" s="72">
        <f>G36-SUM(G37:G41)</f>
        <v>46950.651823999993</v>
      </c>
      <c r="H42" s="72">
        <f>H36-SUM(H37:H41)</f>
        <v>49259.559278000037</v>
      </c>
      <c r="I42" s="166">
        <f t="shared" si="14"/>
        <v>4.9177324793173272E-2</v>
      </c>
      <c r="J42" s="166">
        <f t="shared" si="15"/>
        <v>0.44441550887859943</v>
      </c>
    </row>
    <row r="43" spans="1:10" s="3" customFormat="1" ht="24" customHeight="1" x14ac:dyDescent="0.25">
      <c r="A43" s="208" t="s">
        <v>35</v>
      </c>
      <c r="B43" s="291" t="s">
        <v>278</v>
      </c>
      <c r="C43" s="292"/>
      <c r="D43" s="209">
        <v>52712.239778999996</v>
      </c>
      <c r="E43" s="209">
        <v>62722.143872000001</v>
      </c>
      <c r="F43" s="185">
        <f>(E43/D43-1)</f>
        <v>0.18989714978849848</v>
      </c>
      <c r="G43" s="209">
        <v>90461.129111999951</v>
      </c>
      <c r="H43" s="209">
        <v>104095.63810799998</v>
      </c>
      <c r="I43" s="185">
        <f>(H43/G43-1)</f>
        <v>0.15072229508786195</v>
      </c>
      <c r="J43" s="185">
        <f>SUM(J44:J54)</f>
        <v>0.99999999999999989</v>
      </c>
    </row>
    <row r="44" spans="1:10" s="3" customFormat="1" ht="9.9499999999999993" customHeight="1" x14ac:dyDescent="0.25">
      <c r="A44" s="153"/>
      <c r="B44" s="29"/>
      <c r="C44" s="16" t="s">
        <v>81</v>
      </c>
      <c r="D44" s="72">
        <v>9820.5999999999985</v>
      </c>
      <c r="E44" s="72">
        <v>20167.032999999999</v>
      </c>
      <c r="F44" s="166">
        <f t="shared" si="0"/>
        <v>1.0535438771561823</v>
      </c>
      <c r="G44" s="72">
        <v>17760.838691000001</v>
      </c>
      <c r="H44" s="72">
        <v>26271.976470999998</v>
      </c>
      <c r="I44" s="166">
        <f>IF(G44="","",IF(H44="","",(H44/G44-1)))</f>
        <v>0.47920810092785038</v>
      </c>
      <c r="J44" s="166">
        <f>(H44/$H$43)</f>
        <v>0.25238306761463558</v>
      </c>
    </row>
    <row r="45" spans="1:10" s="3" customFormat="1" ht="9.9499999999999993" customHeight="1" x14ac:dyDescent="0.25">
      <c r="A45" s="153"/>
      <c r="B45" s="29"/>
      <c r="C45" s="16" t="s">
        <v>70</v>
      </c>
      <c r="D45" s="72">
        <v>9770.5103590000017</v>
      </c>
      <c r="E45" s="72">
        <v>15005.189770000001</v>
      </c>
      <c r="F45" s="166">
        <f t="shared" si="0"/>
        <v>0.5357631504047411</v>
      </c>
      <c r="G45" s="72">
        <v>14080.611947999996</v>
      </c>
      <c r="H45" s="72">
        <v>20530.923452999999</v>
      </c>
      <c r="I45" s="166">
        <f t="shared" ref="I45:I49" si="16">IF(G45="","",IF(H45="","",(H45/G45-1)))</f>
        <v>0.45809880485458598</v>
      </c>
      <c r="J45" s="166">
        <f t="shared" ref="J45:J50" si="17">(H45/$H$43)</f>
        <v>0.19723135211197818</v>
      </c>
    </row>
    <row r="46" spans="1:10" s="3" customFormat="1" ht="9.9499999999999993" customHeight="1" x14ac:dyDescent="0.25">
      <c r="A46" s="153"/>
      <c r="B46" s="29"/>
      <c r="C46" s="16" t="s">
        <v>84</v>
      </c>
      <c r="D46" s="72">
        <v>4127.9582540000001</v>
      </c>
      <c r="E46" s="72">
        <v>6473.684021</v>
      </c>
      <c r="F46" s="166">
        <f t="shared" si="0"/>
        <v>0.56825326775700469</v>
      </c>
      <c r="G46" s="72">
        <v>10591.054283999998</v>
      </c>
      <c r="H46" s="72">
        <v>14147.276410999997</v>
      </c>
      <c r="I46" s="166">
        <f t="shared" si="16"/>
        <v>0.33577602679011997</v>
      </c>
      <c r="J46" s="166">
        <f t="shared" si="17"/>
        <v>0.13590652469339873</v>
      </c>
    </row>
    <row r="47" spans="1:10" s="3" customFormat="1" ht="9.9499999999999993" customHeight="1" x14ac:dyDescent="0.25">
      <c r="A47" s="153"/>
      <c r="B47" s="29"/>
      <c r="C47" s="16" t="s">
        <v>73</v>
      </c>
      <c r="D47" s="72">
        <v>17525.255000000001</v>
      </c>
      <c r="E47" s="72">
        <v>7272.9699999999993</v>
      </c>
      <c r="F47" s="166">
        <f t="shared" si="0"/>
        <v>-0.58500061768002809</v>
      </c>
      <c r="G47" s="72">
        <v>19861.495045</v>
      </c>
      <c r="H47" s="72">
        <v>8387.5243730000002</v>
      </c>
      <c r="I47" s="166">
        <f t="shared" si="16"/>
        <v>-0.57769924398961581</v>
      </c>
      <c r="J47" s="166">
        <f t="shared" si="17"/>
        <v>8.0575176111585795E-2</v>
      </c>
    </row>
    <row r="48" spans="1:10" s="3" customFormat="1" ht="9.9499999999999993" customHeight="1" x14ac:dyDescent="0.25">
      <c r="A48" s="153"/>
      <c r="B48" s="29"/>
      <c r="C48" s="16" t="s">
        <v>139</v>
      </c>
      <c r="D48" s="72">
        <v>1296.3725899999999</v>
      </c>
      <c r="E48" s="72">
        <v>1485.45216</v>
      </c>
      <c r="F48" s="166">
        <f t="shared" si="0"/>
        <v>0.14585279838414356</v>
      </c>
      <c r="G48" s="72">
        <v>3688.557714</v>
      </c>
      <c r="H48" s="72">
        <v>5765.8324110000003</v>
      </c>
      <c r="I48" s="166">
        <f t="shared" si="16"/>
        <v>0.56316719381010616</v>
      </c>
      <c r="J48" s="166">
        <f t="shared" si="17"/>
        <v>5.5389759991844298E-2</v>
      </c>
    </row>
    <row r="49" spans="1:10" s="3" customFormat="1" ht="9.9499999999999993" customHeight="1" x14ac:dyDescent="0.25">
      <c r="A49" s="153"/>
      <c r="B49" s="29"/>
      <c r="C49" s="16" t="s">
        <v>78</v>
      </c>
      <c r="D49" s="72">
        <v>3835.5938000000001</v>
      </c>
      <c r="E49" s="72">
        <v>3732.6961930000002</v>
      </c>
      <c r="F49" s="166">
        <f t="shared" si="0"/>
        <v>-2.6827034447703957E-2</v>
      </c>
      <c r="G49" s="72">
        <v>4777.9947110000021</v>
      </c>
      <c r="H49" s="72">
        <v>5660.3915449999995</v>
      </c>
      <c r="I49" s="166">
        <f t="shared" si="16"/>
        <v>0.18467932414586485</v>
      </c>
      <c r="J49" s="166">
        <f t="shared" si="17"/>
        <v>5.4376836992221539E-2</v>
      </c>
    </row>
    <row r="50" spans="1:10" s="3" customFormat="1" ht="9.9499999999999993" customHeight="1" x14ac:dyDescent="0.25">
      <c r="A50" s="153"/>
      <c r="B50" s="29"/>
      <c r="C50" s="16" t="s">
        <v>71</v>
      </c>
      <c r="D50" s="72">
        <v>890.55015700000013</v>
      </c>
      <c r="E50" s="72">
        <v>1394.670805</v>
      </c>
      <c r="F50" s="166">
        <f t="shared" si="0"/>
        <v>0.56607777118161784</v>
      </c>
      <c r="G50" s="72">
        <v>2794.0817599999996</v>
      </c>
      <c r="H50" s="72">
        <v>3966.9899349999996</v>
      </c>
      <c r="I50" s="166">
        <f t="shared" ref="I50:I54" si="18">IF(G50="","",IF(H50="","",(H50/G50-1)))</f>
        <v>0.41978305423675222</v>
      </c>
      <c r="J50" s="166">
        <f t="shared" si="17"/>
        <v>3.8109088979157976E-2</v>
      </c>
    </row>
    <row r="51" spans="1:10" s="3" customFormat="1" ht="9.9499999999999993" customHeight="1" x14ac:dyDescent="0.25">
      <c r="A51" s="153"/>
      <c r="B51" s="29"/>
      <c r="C51" s="16" t="s">
        <v>221</v>
      </c>
      <c r="D51" s="72">
        <v>1081.2880920000002</v>
      </c>
      <c r="E51" s="72">
        <v>2081.4127979999998</v>
      </c>
      <c r="F51" s="166">
        <f t="shared" si="0"/>
        <v>0.92493824115839729</v>
      </c>
      <c r="G51" s="72">
        <v>1835.2788949999999</v>
      </c>
      <c r="H51" s="72">
        <v>3266.3792700000004</v>
      </c>
      <c r="I51" s="166">
        <f t="shared" si="18"/>
        <v>0.77977269770761493</v>
      </c>
      <c r="J51" s="166">
        <f t="shared" ref="J51:J54" si="19">(H51/$H$43)</f>
        <v>3.1378637274033595E-2</v>
      </c>
    </row>
    <row r="52" spans="1:10" s="3" customFormat="1" ht="9.9499999999999993" customHeight="1" x14ac:dyDescent="0.25">
      <c r="A52" s="153"/>
      <c r="B52" s="29"/>
      <c r="C52" s="16" t="s">
        <v>121</v>
      </c>
      <c r="D52" s="72">
        <v>216.78284000000002</v>
      </c>
      <c r="E52" s="72">
        <v>240.50069500000001</v>
      </c>
      <c r="F52" s="166">
        <f t="shared" si="0"/>
        <v>0.10940835999749798</v>
      </c>
      <c r="G52" s="72">
        <v>2769.9973779999987</v>
      </c>
      <c r="H52" s="72">
        <v>2620.3243689999999</v>
      </c>
      <c r="I52" s="166">
        <f t="shared" si="18"/>
        <v>-5.403362840295034E-2</v>
      </c>
      <c r="J52" s="166">
        <f t="shared" si="19"/>
        <v>2.517227826858023E-2</v>
      </c>
    </row>
    <row r="53" spans="1:10" s="3" customFormat="1" ht="9.9499999999999993" customHeight="1" x14ac:dyDescent="0.25">
      <c r="A53" s="153"/>
      <c r="B53" s="29"/>
      <c r="C53" s="16" t="s">
        <v>76</v>
      </c>
      <c r="D53" s="72">
        <v>610.50499200000002</v>
      </c>
      <c r="E53" s="72">
        <v>743.91564599999992</v>
      </c>
      <c r="F53" s="166">
        <f t="shared" si="0"/>
        <v>0.21852508292020634</v>
      </c>
      <c r="G53" s="72">
        <v>2039.6238989999999</v>
      </c>
      <c r="H53" s="72">
        <v>2363.7516799999999</v>
      </c>
      <c r="I53" s="166">
        <f t="shared" si="18"/>
        <v>0.15891546532618861</v>
      </c>
      <c r="J53" s="166">
        <f t="shared" si="19"/>
        <v>2.2707499785414545E-2</v>
      </c>
    </row>
    <row r="54" spans="1:10" s="3" customFormat="1" ht="9.9499999999999993" customHeight="1" x14ac:dyDescent="0.25">
      <c r="A54" s="153"/>
      <c r="B54" s="29"/>
      <c r="C54" s="72" t="s">
        <v>18</v>
      </c>
      <c r="D54" s="72">
        <f>D43-SUM(D44:D53)</f>
        <v>3536.8236949999919</v>
      </c>
      <c r="E54" s="72">
        <f>E43-SUM(E44:E53)</f>
        <v>4124.6187839999911</v>
      </c>
      <c r="F54" s="166">
        <f t="shared" si="0"/>
        <v>0.16619292893535098</v>
      </c>
      <c r="G54" s="72">
        <f>G43-SUM(G44:G53)</f>
        <v>10261.594786999965</v>
      </c>
      <c r="H54" s="72">
        <f>H43-SUM(H44:H53)</f>
        <v>11114.268189999988</v>
      </c>
      <c r="I54" s="166">
        <f t="shared" si="18"/>
        <v>8.309365363756549E-2</v>
      </c>
      <c r="J54" s="166">
        <f t="shared" si="19"/>
        <v>0.1067697781771495</v>
      </c>
    </row>
    <row r="55" spans="1:10" s="3" customFormat="1" ht="42" customHeight="1" x14ac:dyDescent="0.25">
      <c r="A55" s="208" t="s">
        <v>152</v>
      </c>
      <c r="B55" s="291" t="s">
        <v>385</v>
      </c>
      <c r="C55" s="292"/>
      <c r="D55" s="209">
        <v>23021.468999999997</v>
      </c>
      <c r="E55" s="209">
        <v>23390.007999999998</v>
      </c>
      <c r="F55" s="185">
        <f>(E55/D55-1)</f>
        <v>1.6008491899452748E-2</v>
      </c>
      <c r="G55" s="209">
        <v>85189.601865000004</v>
      </c>
      <c r="H55" s="209">
        <v>97273.777506000013</v>
      </c>
      <c r="I55" s="185">
        <f>(H55/G55-1)</f>
        <v>0.14185035939186341</v>
      </c>
      <c r="J55" s="185">
        <f>SUM(J56:J61)</f>
        <v>1</v>
      </c>
    </row>
    <row r="56" spans="1:10" s="3" customFormat="1" ht="9.9499999999999993" customHeight="1" x14ac:dyDescent="0.25">
      <c r="A56" s="153"/>
      <c r="B56" s="15"/>
      <c r="C56" s="29" t="s">
        <v>80</v>
      </c>
      <c r="D56" s="72">
        <v>8299.4520000000011</v>
      </c>
      <c r="E56" s="72">
        <v>12806.918</v>
      </c>
      <c r="F56" s="166">
        <f t="shared" si="0"/>
        <v>0.54310405072527645</v>
      </c>
      <c r="G56" s="72">
        <v>28103.696935000004</v>
      </c>
      <c r="H56" s="72">
        <v>52053.692411000004</v>
      </c>
      <c r="I56" s="166">
        <f>IF(G56="","",IF(H56="","",(H56/G56-1)))</f>
        <v>0.85220088771214164</v>
      </c>
      <c r="J56" s="166">
        <f>(H56/$H$55)</f>
        <v>0.5351256396698405</v>
      </c>
    </row>
    <row r="57" spans="1:10" s="3" customFormat="1" ht="9.9499999999999993" customHeight="1" x14ac:dyDescent="0.25">
      <c r="A57" s="153"/>
      <c r="B57" s="15"/>
      <c r="C57" s="29" t="s">
        <v>70</v>
      </c>
      <c r="D57" s="72">
        <v>9033.1820000000007</v>
      </c>
      <c r="E57" s="72">
        <v>7392.89</v>
      </c>
      <c r="F57" s="166">
        <f t="shared" si="0"/>
        <v>-0.18158518227574738</v>
      </c>
      <c r="G57" s="72">
        <v>34049.077127999997</v>
      </c>
      <c r="H57" s="72">
        <v>32036.629681000002</v>
      </c>
      <c r="I57" s="166">
        <f>IF(G57="","",IF(H57="","",(H57/G57-1)))</f>
        <v>-5.9104316966790083E-2</v>
      </c>
      <c r="J57" s="166">
        <f t="shared" ref="J57:J61" si="20">(H57/$H$55)</f>
        <v>0.32934497356210851</v>
      </c>
    </row>
    <row r="58" spans="1:10" s="3" customFormat="1" ht="9.9499999999999993" customHeight="1" x14ac:dyDescent="0.25">
      <c r="A58" s="153"/>
      <c r="B58" s="15"/>
      <c r="C58" s="29" t="s">
        <v>87</v>
      </c>
      <c r="D58" s="72">
        <v>1075</v>
      </c>
      <c r="E58" s="72">
        <v>1325</v>
      </c>
      <c r="F58" s="166">
        <f t="shared" si="0"/>
        <v>0.23255813953488369</v>
      </c>
      <c r="G58" s="72">
        <v>4362.5171800000007</v>
      </c>
      <c r="H58" s="72">
        <v>5672.5781399999996</v>
      </c>
      <c r="I58" s="166">
        <f>IF(G58="","",IF(H58="","",(H58/G58-1)))</f>
        <v>0.30029932397882231</v>
      </c>
      <c r="J58" s="166">
        <f t="shared" si="20"/>
        <v>5.8315594247895897E-2</v>
      </c>
    </row>
    <row r="59" spans="1:10" s="3" customFormat="1" ht="9.9499999999999993" customHeight="1" x14ac:dyDescent="0.25">
      <c r="A59" s="153"/>
      <c r="B59" s="15"/>
      <c r="C59" s="29" t="s">
        <v>86</v>
      </c>
      <c r="D59" s="72">
        <v>450</v>
      </c>
      <c r="E59" s="72">
        <v>1150</v>
      </c>
      <c r="F59" s="166">
        <f t="shared" si="0"/>
        <v>1.5555555555555554</v>
      </c>
      <c r="G59" s="72">
        <v>1847.8170000000005</v>
      </c>
      <c r="H59" s="72">
        <v>4734.8666199999998</v>
      </c>
      <c r="I59" s="166">
        <f t="shared" ref="I59:I61" si="21">IF(G59="","",IF(H59="","",(H59/G59-1)))</f>
        <v>1.5624110071505992</v>
      </c>
      <c r="J59" s="166">
        <f t="shared" si="20"/>
        <v>4.8675673356141078E-2</v>
      </c>
    </row>
    <row r="60" spans="1:10" s="3" customFormat="1" ht="9.9499999999999993" customHeight="1" x14ac:dyDescent="0.25">
      <c r="A60" s="153"/>
      <c r="B60" s="15"/>
      <c r="C60" s="29" t="s">
        <v>81</v>
      </c>
      <c r="D60" s="72">
        <v>72.875</v>
      </c>
      <c r="E60" s="72">
        <v>648</v>
      </c>
      <c r="F60" s="166">
        <f t="shared" si="0"/>
        <v>7.8919382504288169</v>
      </c>
      <c r="G60" s="72">
        <v>280.72458999999998</v>
      </c>
      <c r="H60" s="72">
        <v>2513.4415600000002</v>
      </c>
      <c r="I60" s="166">
        <f t="shared" si="21"/>
        <v>7.9534071810381857</v>
      </c>
      <c r="J60" s="166">
        <f t="shared" si="20"/>
        <v>2.5838839864576729E-2</v>
      </c>
    </row>
    <row r="61" spans="1:10" s="3" customFormat="1" ht="9.9499999999999993" customHeight="1" x14ac:dyDescent="0.25">
      <c r="A61" s="153"/>
      <c r="B61" s="15"/>
      <c r="C61" s="72" t="s">
        <v>18</v>
      </c>
      <c r="D61" s="72">
        <f>D55-SUM(D56:D60)</f>
        <v>4090.9599999999955</v>
      </c>
      <c r="E61" s="72">
        <f>E55-SUM(E56:E60)</f>
        <v>67.19999999999709</v>
      </c>
      <c r="F61" s="166">
        <f t="shared" si="0"/>
        <v>-0.98357353775153089</v>
      </c>
      <c r="G61" s="72">
        <f>G55-SUM(G56:G60)</f>
        <v>16545.769032000011</v>
      </c>
      <c r="H61" s="72">
        <f>H55-SUM(H56:H60)</f>
        <v>262.56909400000586</v>
      </c>
      <c r="I61" s="166">
        <f t="shared" si="21"/>
        <v>-0.98413074100743281</v>
      </c>
      <c r="J61" s="166">
        <f t="shared" si="20"/>
        <v>2.6992792994372009E-3</v>
      </c>
    </row>
    <row r="62" spans="1:10" s="3" customFormat="1" ht="24" customHeight="1" x14ac:dyDescent="0.25">
      <c r="A62" s="208" t="s">
        <v>34</v>
      </c>
      <c r="B62" s="291" t="s">
        <v>283</v>
      </c>
      <c r="C62" s="292"/>
      <c r="D62" s="209">
        <v>110026.78461399999</v>
      </c>
      <c r="E62" s="209">
        <v>134864.77356200002</v>
      </c>
      <c r="F62" s="185">
        <f>(E62/D62-1)</f>
        <v>0.22574493142862972</v>
      </c>
      <c r="G62" s="209">
        <v>93243.376841000005</v>
      </c>
      <c r="H62" s="209">
        <v>97023.502348999988</v>
      </c>
      <c r="I62" s="185">
        <f>(H62/G62-1)</f>
        <v>4.0540418376802334E-2</v>
      </c>
      <c r="J62" s="185">
        <f>SUM(J63:J68)</f>
        <v>1</v>
      </c>
    </row>
    <row r="63" spans="1:10" s="3" customFormat="1" ht="9.9499999999999993" customHeight="1" x14ac:dyDescent="0.25">
      <c r="A63" s="153"/>
      <c r="B63" s="15"/>
      <c r="C63" s="29" t="s">
        <v>82</v>
      </c>
      <c r="D63" s="72">
        <v>58501.299999999996</v>
      </c>
      <c r="E63" s="72">
        <v>59818.875</v>
      </c>
      <c r="F63" s="166">
        <f t="shared" si="0"/>
        <v>2.2522149080447917E-2</v>
      </c>
      <c r="G63" s="72">
        <v>49270.057150000008</v>
      </c>
      <c r="H63" s="72">
        <v>44332.738090999999</v>
      </c>
      <c r="I63" s="166">
        <f>IF(G63="","",IF(H63="","",(H63/G63-1)))</f>
        <v>-0.10020932275293715</v>
      </c>
      <c r="J63" s="166">
        <f>(H63/$H$62)</f>
        <v>0.45692782694580736</v>
      </c>
    </row>
    <row r="64" spans="1:10" s="3" customFormat="1" ht="9.9499999999999993" customHeight="1" x14ac:dyDescent="0.25">
      <c r="A64" s="153"/>
      <c r="B64" s="15"/>
      <c r="C64" s="29" t="s">
        <v>84</v>
      </c>
      <c r="D64" s="72">
        <v>44182.072699999997</v>
      </c>
      <c r="E64" s="72">
        <v>55204.400600000001</v>
      </c>
      <c r="F64" s="166">
        <f t="shared" si="0"/>
        <v>0.2494751202561849</v>
      </c>
      <c r="G64" s="72">
        <v>38054.019934000004</v>
      </c>
      <c r="H64" s="72">
        <v>39952.681712999998</v>
      </c>
      <c r="I64" s="166">
        <f t="shared" ref="I64:I67" si="22">IF(G64="","",IF(H64="","",(H64/G64-1)))</f>
        <v>4.9893855689700839E-2</v>
      </c>
      <c r="J64" s="166">
        <f t="shared" ref="J64:J67" si="23">(H64/$H$62)</f>
        <v>0.41178354466413247</v>
      </c>
    </row>
    <row r="65" spans="1:10" s="3" customFormat="1" ht="9.9499999999999993" customHeight="1" x14ac:dyDescent="0.25">
      <c r="A65" s="153"/>
      <c r="B65" s="15"/>
      <c r="C65" s="29" t="s">
        <v>130</v>
      </c>
      <c r="D65" s="72">
        <v>3137.9539999999997</v>
      </c>
      <c r="E65" s="72">
        <v>15617.540493</v>
      </c>
      <c r="F65" s="166">
        <f t="shared" si="0"/>
        <v>3.9769819739231362</v>
      </c>
      <c r="G65" s="72">
        <v>2347.6228659999997</v>
      </c>
      <c r="H65" s="72">
        <v>9200.8950270000005</v>
      </c>
      <c r="I65" s="166">
        <f t="shared" si="22"/>
        <v>2.9192389715801998</v>
      </c>
      <c r="J65" s="166">
        <f t="shared" si="23"/>
        <v>9.4831610942096994E-2</v>
      </c>
    </row>
    <row r="66" spans="1:10" s="3" customFormat="1" ht="9.9499999999999993" customHeight="1" x14ac:dyDescent="0.25">
      <c r="A66" s="153"/>
      <c r="B66" s="15"/>
      <c r="C66" s="29" t="s">
        <v>83</v>
      </c>
      <c r="D66" s="72">
        <v>4017.38</v>
      </c>
      <c r="E66" s="72">
        <v>2357.7039999999997</v>
      </c>
      <c r="F66" s="166">
        <f t="shared" si="0"/>
        <v>-0.41312397632287723</v>
      </c>
      <c r="G66" s="72">
        <v>3302.1863799999996</v>
      </c>
      <c r="H66" s="72">
        <v>2126.37113</v>
      </c>
      <c r="I66" s="166">
        <f t="shared" si="22"/>
        <v>-0.35607173996035912</v>
      </c>
      <c r="J66" s="166">
        <f t="shared" si="23"/>
        <v>2.1916041768429484E-2</v>
      </c>
    </row>
    <row r="67" spans="1:10" s="3" customFormat="1" ht="9.9499999999999993" customHeight="1" x14ac:dyDescent="0.25">
      <c r="A67" s="155"/>
      <c r="B67" s="137"/>
      <c r="C67" s="119" t="s">
        <v>18</v>
      </c>
      <c r="D67" s="118">
        <f>D62-SUM(D63:D66)</f>
        <v>188.07791399999405</v>
      </c>
      <c r="E67" s="118">
        <f>E62-SUM(E63:E66)</f>
        <v>1866.2534690000175</v>
      </c>
      <c r="F67" s="167">
        <f t="shared" ref="F67" si="24">IFERROR(((E67/D67-1)),"")</f>
        <v>8.9227678003706306</v>
      </c>
      <c r="G67" s="118">
        <f>G62-SUM(G63:G66)</f>
        <v>269.49051099998178</v>
      </c>
      <c r="H67" s="118">
        <f>H62-SUM(H63:H66)</f>
        <v>1410.8163879999775</v>
      </c>
      <c r="I67" s="167">
        <f t="shared" si="22"/>
        <v>4.2351245421033505</v>
      </c>
      <c r="J67" s="167">
        <f t="shared" si="23"/>
        <v>1.4540975679533575E-2</v>
      </c>
    </row>
    <row r="68" spans="1:10" ht="8.1" customHeight="1" x14ac:dyDescent="0.25">
      <c r="A68" s="8" t="s">
        <v>44</v>
      </c>
      <c r="B68" s="32"/>
      <c r="C68" s="9"/>
      <c r="D68" s="35"/>
      <c r="E68" s="9"/>
      <c r="F68" s="9"/>
      <c r="G68" s="35"/>
      <c r="H68" s="10"/>
      <c r="I68" s="9"/>
      <c r="J68" s="33"/>
    </row>
    <row r="69" spans="1:10" ht="8.1" customHeight="1" x14ac:dyDescent="0.25">
      <c r="A69" s="11" t="s">
        <v>20</v>
      </c>
      <c r="B69" s="32"/>
      <c r="C69" s="9"/>
      <c r="D69" s="35"/>
      <c r="E69" s="9"/>
      <c r="F69" s="9"/>
      <c r="G69" s="35"/>
      <c r="H69" s="10"/>
      <c r="I69" s="9"/>
      <c r="J69" s="33"/>
    </row>
    <row r="70" spans="1:10" ht="8.1" customHeight="1" x14ac:dyDescent="0.25">
      <c r="A70" s="214" t="s">
        <v>348</v>
      </c>
      <c r="B70" s="11"/>
      <c r="C70" s="11"/>
      <c r="D70" s="11"/>
      <c r="E70" s="11"/>
      <c r="F70" s="11"/>
      <c r="G70" s="11"/>
      <c r="H70" s="10"/>
      <c r="I70" s="9"/>
      <c r="J70" s="10"/>
    </row>
    <row r="71" spans="1:10" ht="8.1" customHeight="1" x14ac:dyDescent="0.25">
      <c r="A71" s="214" t="s">
        <v>349</v>
      </c>
      <c r="B71" s="214"/>
      <c r="C71" s="214"/>
      <c r="F71" s="28"/>
      <c r="I71" s="28"/>
    </row>
    <row r="72" spans="1:10" x14ac:dyDescent="0.25">
      <c r="C72" s="34" t="s">
        <v>30</v>
      </c>
      <c r="F72" s="28"/>
      <c r="I72" s="28"/>
    </row>
    <row r="73" spans="1:10" x14ac:dyDescent="0.25">
      <c r="C73" s="34" t="s">
        <v>30</v>
      </c>
      <c r="F73" s="28"/>
      <c r="I73" s="28"/>
    </row>
    <row r="74" spans="1:10" x14ac:dyDescent="0.25">
      <c r="C74" s="34" t="s">
        <v>30</v>
      </c>
      <c r="F74" s="28"/>
      <c r="I74" s="28"/>
    </row>
    <row r="75" spans="1:10" x14ac:dyDescent="0.25">
      <c r="C75" s="34" t="s">
        <v>30</v>
      </c>
      <c r="F75" s="28"/>
      <c r="I75" s="28"/>
    </row>
    <row r="76" spans="1:10" x14ac:dyDescent="0.25">
      <c r="C76" s="34" t="s">
        <v>30</v>
      </c>
      <c r="F76" s="28"/>
      <c r="I76" s="28"/>
    </row>
    <row r="77" spans="1:10" x14ac:dyDescent="0.25">
      <c r="C77" s="34" t="s">
        <v>30</v>
      </c>
      <c r="F77" s="28"/>
      <c r="I77" s="28"/>
    </row>
    <row r="78" spans="1:10" x14ac:dyDescent="0.25">
      <c r="C78" s="34" t="s">
        <v>30</v>
      </c>
      <c r="F78" s="28"/>
      <c r="I78" s="28"/>
    </row>
    <row r="79" spans="1:10" x14ac:dyDescent="0.25">
      <c r="C79" s="34" t="s">
        <v>30</v>
      </c>
      <c r="F79" s="28"/>
      <c r="I79" s="28"/>
    </row>
    <row r="80" spans="1:10" x14ac:dyDescent="0.25">
      <c r="C80" s="34" t="s">
        <v>30</v>
      </c>
      <c r="F80" s="28"/>
      <c r="I80" s="28"/>
    </row>
    <row r="81" spans="3:9" x14ac:dyDescent="0.25">
      <c r="C81" s="34" t="s">
        <v>30</v>
      </c>
      <c r="F81" s="28"/>
      <c r="I81" s="28"/>
    </row>
    <row r="82" spans="3:9" x14ac:dyDescent="0.25">
      <c r="C82" s="34" t="s">
        <v>30</v>
      </c>
      <c r="F82" s="28"/>
      <c r="I82" s="28"/>
    </row>
    <row r="83" spans="3:9" x14ac:dyDescent="0.25">
      <c r="C83" s="34" t="s">
        <v>30</v>
      </c>
      <c r="F83" s="28"/>
      <c r="I83" s="28"/>
    </row>
    <row r="84" spans="3:9" x14ac:dyDescent="0.25">
      <c r="C84" s="34" t="s">
        <v>30</v>
      </c>
      <c r="F84" s="28"/>
      <c r="I84" s="28"/>
    </row>
    <row r="85" spans="3:9" x14ac:dyDescent="0.25">
      <c r="C85" s="34" t="s">
        <v>30</v>
      </c>
      <c r="F85" s="28"/>
      <c r="I85" s="28"/>
    </row>
    <row r="86" spans="3:9" x14ac:dyDescent="0.25">
      <c r="C86" s="34" t="s">
        <v>30</v>
      </c>
      <c r="F86" s="28"/>
      <c r="I86" s="28"/>
    </row>
    <row r="87" spans="3:9" x14ac:dyDescent="0.25">
      <c r="C87" s="34" t="s">
        <v>30</v>
      </c>
      <c r="F87" s="28"/>
      <c r="I87" s="28"/>
    </row>
    <row r="88" spans="3:9" x14ac:dyDescent="0.25">
      <c r="C88" s="34" t="s">
        <v>30</v>
      </c>
      <c r="F88" s="28"/>
      <c r="I88" s="28"/>
    </row>
    <row r="89" spans="3:9" x14ac:dyDescent="0.25">
      <c r="C89" s="34" t="s">
        <v>30</v>
      </c>
      <c r="F89" s="28"/>
      <c r="I89" s="28"/>
    </row>
    <row r="90" spans="3:9" x14ac:dyDescent="0.25">
      <c r="C90" s="34" t="s">
        <v>30</v>
      </c>
      <c r="F90" s="28"/>
      <c r="I90" s="28"/>
    </row>
    <row r="91" spans="3:9" x14ac:dyDescent="0.25">
      <c r="C91" s="34" t="s">
        <v>30</v>
      </c>
      <c r="F91" s="28"/>
      <c r="I91" s="28"/>
    </row>
    <row r="92" spans="3:9" x14ac:dyDescent="0.25">
      <c r="C92" s="34" t="s">
        <v>30</v>
      </c>
      <c r="F92" s="28"/>
      <c r="I92" s="28"/>
    </row>
    <row r="93" spans="3:9" x14ac:dyDescent="0.25">
      <c r="C93" s="34" t="s">
        <v>30</v>
      </c>
      <c r="F93" s="28"/>
      <c r="I93" s="28"/>
    </row>
    <row r="94" spans="3:9" x14ac:dyDescent="0.25">
      <c r="C94" s="34" t="s">
        <v>30</v>
      </c>
      <c r="F94" s="28"/>
      <c r="I94" s="28"/>
    </row>
    <row r="95" spans="3:9" x14ac:dyDescent="0.25">
      <c r="C95" s="34" t="s">
        <v>30</v>
      </c>
      <c r="F95" s="28"/>
      <c r="I95" s="28"/>
    </row>
    <row r="96" spans="3:9" x14ac:dyDescent="0.25">
      <c r="C96" s="34" t="s">
        <v>30</v>
      </c>
      <c r="F96" s="28"/>
      <c r="I96" s="28"/>
    </row>
    <row r="97" spans="3:9" x14ac:dyDescent="0.25">
      <c r="C97" s="34" t="s">
        <v>30</v>
      </c>
      <c r="F97" s="28"/>
      <c r="I97" s="28"/>
    </row>
    <row r="98" spans="3:9" x14ac:dyDescent="0.25">
      <c r="C98" s="34" t="s">
        <v>30</v>
      </c>
      <c r="F98" s="28"/>
      <c r="I98" s="28"/>
    </row>
    <row r="99" spans="3:9" x14ac:dyDescent="0.25">
      <c r="C99" s="34" t="s">
        <v>30</v>
      </c>
      <c r="F99" s="28"/>
      <c r="I99" s="28"/>
    </row>
    <row r="100" spans="3:9" x14ac:dyDescent="0.25">
      <c r="C100" s="34" t="s">
        <v>30</v>
      </c>
      <c r="F100" s="28"/>
      <c r="I100" s="28"/>
    </row>
    <row r="101" spans="3:9" x14ac:dyDescent="0.25">
      <c r="C101" s="34" t="s">
        <v>30</v>
      </c>
      <c r="F101" s="28"/>
      <c r="I101" s="28"/>
    </row>
    <row r="102" spans="3:9" x14ac:dyDescent="0.25">
      <c r="C102" s="34" t="s">
        <v>30</v>
      </c>
      <c r="F102" s="28"/>
      <c r="I102" s="28"/>
    </row>
    <row r="103" spans="3:9" x14ac:dyDescent="0.25">
      <c r="C103" s="34" t="s">
        <v>30</v>
      </c>
      <c r="F103" s="28"/>
      <c r="I103" s="28"/>
    </row>
    <row r="104" spans="3:9" x14ac:dyDescent="0.25">
      <c r="C104" s="34" t="s">
        <v>30</v>
      </c>
      <c r="F104" s="28"/>
      <c r="I104" s="28"/>
    </row>
    <row r="105" spans="3:9" x14ac:dyDescent="0.25">
      <c r="C105" s="34" t="s">
        <v>30</v>
      </c>
      <c r="F105" s="28"/>
      <c r="I105" s="28"/>
    </row>
    <row r="106" spans="3:9" x14ac:dyDescent="0.25">
      <c r="C106" s="34" t="s">
        <v>30</v>
      </c>
      <c r="F106" s="28"/>
      <c r="I106" s="28"/>
    </row>
    <row r="107" spans="3:9" x14ac:dyDescent="0.25">
      <c r="C107" s="34" t="s">
        <v>30</v>
      </c>
      <c r="F107" s="28"/>
      <c r="I107" s="28"/>
    </row>
    <row r="108" spans="3:9" x14ac:dyDescent="0.25">
      <c r="C108" s="34" t="s">
        <v>30</v>
      </c>
      <c r="F108" s="28"/>
      <c r="I108" s="28"/>
    </row>
    <row r="109" spans="3:9" x14ac:dyDescent="0.25">
      <c r="C109" s="34" t="s">
        <v>30</v>
      </c>
      <c r="F109" s="28"/>
      <c r="I109" s="28"/>
    </row>
    <row r="110" spans="3:9" x14ac:dyDescent="0.25">
      <c r="C110" s="34" t="s">
        <v>30</v>
      </c>
      <c r="F110" s="28"/>
      <c r="I110" s="28"/>
    </row>
    <row r="111" spans="3:9" x14ac:dyDescent="0.25">
      <c r="C111" s="34" t="s">
        <v>30</v>
      </c>
      <c r="F111" s="28"/>
      <c r="I111" s="28"/>
    </row>
    <row r="112" spans="3:9" x14ac:dyDescent="0.25">
      <c r="C112" s="34" t="s">
        <v>30</v>
      </c>
      <c r="F112" s="28"/>
      <c r="I112" s="28"/>
    </row>
    <row r="113" spans="3:9" x14ac:dyDescent="0.25">
      <c r="C113" s="34" t="s">
        <v>30</v>
      </c>
      <c r="F113" s="28"/>
      <c r="I113" s="28"/>
    </row>
    <row r="114" spans="3:9" x14ac:dyDescent="0.25">
      <c r="C114" s="34" t="s">
        <v>30</v>
      </c>
      <c r="F114" s="28"/>
      <c r="I114" s="28"/>
    </row>
    <row r="115" spans="3:9" x14ac:dyDescent="0.25">
      <c r="C115" s="34" t="s">
        <v>30</v>
      </c>
      <c r="F115" s="28"/>
      <c r="I115" s="28"/>
    </row>
    <row r="116" spans="3:9" x14ac:dyDescent="0.25">
      <c r="C116" s="34" t="s">
        <v>30</v>
      </c>
      <c r="F116" s="28"/>
      <c r="I116" s="28"/>
    </row>
    <row r="117" spans="3:9" x14ac:dyDescent="0.25">
      <c r="C117" s="34" t="s">
        <v>30</v>
      </c>
      <c r="F117" s="28"/>
      <c r="I117" s="28"/>
    </row>
    <row r="118" spans="3:9" x14ac:dyDescent="0.25">
      <c r="C118" s="34" t="s">
        <v>30</v>
      </c>
      <c r="F118" s="28"/>
      <c r="I118" s="28"/>
    </row>
    <row r="119" spans="3:9" x14ac:dyDescent="0.25">
      <c r="C119" s="34" t="s">
        <v>30</v>
      </c>
      <c r="F119" s="28"/>
      <c r="I119" s="28"/>
    </row>
    <row r="120" spans="3:9" x14ac:dyDescent="0.25">
      <c r="C120" s="34" t="s">
        <v>30</v>
      </c>
      <c r="F120" s="28"/>
      <c r="I120" s="28"/>
    </row>
    <row r="121" spans="3:9" x14ac:dyDescent="0.25">
      <c r="C121" s="34" t="s">
        <v>30</v>
      </c>
      <c r="F121" s="28"/>
      <c r="I121" s="28"/>
    </row>
    <row r="122" spans="3:9" x14ac:dyDescent="0.25">
      <c r="C122" s="34" t="s">
        <v>30</v>
      </c>
      <c r="F122" s="28"/>
      <c r="I122" s="28"/>
    </row>
    <row r="123" spans="3:9" x14ac:dyDescent="0.25">
      <c r="C123" s="34" t="s">
        <v>30</v>
      </c>
      <c r="F123" s="28"/>
      <c r="I123" s="28"/>
    </row>
    <row r="124" spans="3:9" x14ac:dyDescent="0.25">
      <c r="C124" s="34" t="s">
        <v>30</v>
      </c>
      <c r="F124" s="28"/>
      <c r="I124" s="28"/>
    </row>
    <row r="125" spans="3:9" x14ac:dyDescent="0.25">
      <c r="C125" s="34" t="s">
        <v>30</v>
      </c>
      <c r="F125" s="28"/>
      <c r="I125" s="28"/>
    </row>
    <row r="126" spans="3:9" x14ac:dyDescent="0.25">
      <c r="C126" s="34" t="s">
        <v>30</v>
      </c>
      <c r="F126" s="28"/>
      <c r="I126" s="28"/>
    </row>
    <row r="127" spans="3:9" x14ac:dyDescent="0.25">
      <c r="C127" s="34" t="s">
        <v>30</v>
      </c>
      <c r="F127" s="28"/>
      <c r="I127" s="28"/>
    </row>
    <row r="128" spans="3:9" x14ac:dyDescent="0.25">
      <c r="C128" s="34" t="s">
        <v>30</v>
      </c>
      <c r="F128" s="28"/>
      <c r="I128" s="28"/>
    </row>
    <row r="129" spans="3:9" x14ac:dyDescent="0.25">
      <c r="C129" s="34" t="s">
        <v>30</v>
      </c>
      <c r="F129" s="28"/>
      <c r="I129" s="28"/>
    </row>
    <row r="130" spans="3:9" x14ac:dyDescent="0.25">
      <c r="C130" s="34" t="s">
        <v>30</v>
      </c>
      <c r="F130" s="28"/>
      <c r="I130" s="28"/>
    </row>
    <row r="131" spans="3:9" x14ac:dyDescent="0.25">
      <c r="C131" s="34" t="s">
        <v>30</v>
      </c>
      <c r="F131" s="28"/>
      <c r="I131" s="28"/>
    </row>
    <row r="132" spans="3:9" x14ac:dyDescent="0.25">
      <c r="C132" s="34" t="s">
        <v>30</v>
      </c>
      <c r="F132" s="28"/>
      <c r="I132" s="28"/>
    </row>
    <row r="133" spans="3:9" x14ac:dyDescent="0.25">
      <c r="C133" s="34" t="s">
        <v>30</v>
      </c>
      <c r="F133" s="28"/>
      <c r="I133" s="28"/>
    </row>
    <row r="134" spans="3:9" x14ac:dyDescent="0.25">
      <c r="C134" s="34" t="s">
        <v>30</v>
      </c>
      <c r="F134" s="28"/>
      <c r="I134" s="28"/>
    </row>
    <row r="135" spans="3:9" x14ac:dyDescent="0.25">
      <c r="C135" s="34" t="s">
        <v>30</v>
      </c>
      <c r="F135" s="28"/>
      <c r="I135" s="28"/>
    </row>
    <row r="136" spans="3:9" x14ac:dyDescent="0.25">
      <c r="C136" s="34" t="s">
        <v>30</v>
      </c>
      <c r="F136" s="28"/>
      <c r="I136" s="28"/>
    </row>
    <row r="137" spans="3:9" x14ac:dyDescent="0.25">
      <c r="C137" s="34" t="s">
        <v>30</v>
      </c>
      <c r="F137" s="28"/>
      <c r="I137" s="28"/>
    </row>
    <row r="138" spans="3:9" x14ac:dyDescent="0.25">
      <c r="C138" s="34" t="s">
        <v>30</v>
      </c>
      <c r="F138" s="28"/>
      <c r="I138" s="28"/>
    </row>
    <row r="139" spans="3:9" x14ac:dyDescent="0.25">
      <c r="C139" s="34" t="s">
        <v>30</v>
      </c>
      <c r="F139" s="28"/>
      <c r="I139" s="28"/>
    </row>
    <row r="140" spans="3:9" x14ac:dyDescent="0.25">
      <c r="C140" s="34" t="s">
        <v>30</v>
      </c>
      <c r="F140" s="28"/>
      <c r="I140" s="28"/>
    </row>
    <row r="141" spans="3:9" x14ac:dyDescent="0.25">
      <c r="C141" s="34" t="s">
        <v>30</v>
      </c>
      <c r="F141" s="28"/>
      <c r="I141" s="28"/>
    </row>
    <row r="142" spans="3:9" x14ac:dyDescent="0.25">
      <c r="C142" s="34" t="s">
        <v>30</v>
      </c>
      <c r="F142" s="28"/>
      <c r="I142" s="28"/>
    </row>
    <row r="143" spans="3:9" x14ac:dyDescent="0.25">
      <c r="C143" s="34" t="s">
        <v>30</v>
      </c>
      <c r="F143" s="28"/>
      <c r="I143" s="28"/>
    </row>
    <row r="144" spans="3:9" x14ac:dyDescent="0.25">
      <c r="C144" s="34" t="s">
        <v>30</v>
      </c>
      <c r="F144" s="28"/>
      <c r="I144" s="28"/>
    </row>
    <row r="145" spans="3:9" x14ac:dyDescent="0.25">
      <c r="C145" s="34" t="s">
        <v>30</v>
      </c>
      <c r="F145" s="28"/>
      <c r="I145" s="28"/>
    </row>
    <row r="146" spans="3:9" x14ac:dyDescent="0.25">
      <c r="C146" s="34" t="s">
        <v>30</v>
      </c>
      <c r="F146" s="28"/>
      <c r="I146" s="28"/>
    </row>
    <row r="147" spans="3:9" x14ac:dyDescent="0.25">
      <c r="C147" s="34" t="s">
        <v>30</v>
      </c>
      <c r="F147" s="28"/>
      <c r="I147" s="28"/>
    </row>
    <row r="148" spans="3:9" x14ac:dyDescent="0.25">
      <c r="C148" s="34" t="s">
        <v>30</v>
      </c>
      <c r="F148" s="28"/>
      <c r="I148" s="28"/>
    </row>
    <row r="149" spans="3:9" x14ac:dyDescent="0.25">
      <c r="C149" s="34" t="s">
        <v>30</v>
      </c>
      <c r="F149" s="28"/>
      <c r="I149" s="28"/>
    </row>
    <row r="150" spans="3:9" x14ac:dyDescent="0.25">
      <c r="C150" s="34" t="s">
        <v>30</v>
      </c>
      <c r="F150" s="28"/>
      <c r="I150" s="28"/>
    </row>
    <row r="151" spans="3:9" x14ac:dyDescent="0.25">
      <c r="C151" s="34" t="s">
        <v>30</v>
      </c>
      <c r="F151" s="28"/>
      <c r="I151" s="28"/>
    </row>
    <row r="152" spans="3:9" x14ac:dyDescent="0.25">
      <c r="C152" s="34" t="s">
        <v>30</v>
      </c>
      <c r="F152" s="28"/>
      <c r="I152" s="28"/>
    </row>
    <row r="153" spans="3:9" x14ac:dyDescent="0.25">
      <c r="C153" s="34" t="s">
        <v>30</v>
      </c>
      <c r="F153" s="28"/>
      <c r="I153" s="28"/>
    </row>
    <row r="154" spans="3:9" x14ac:dyDescent="0.25">
      <c r="C154" s="34" t="s">
        <v>30</v>
      </c>
      <c r="F154" s="28"/>
      <c r="I154" s="28"/>
    </row>
    <row r="155" spans="3:9" x14ac:dyDescent="0.25">
      <c r="C155" s="34" t="s">
        <v>30</v>
      </c>
      <c r="F155" s="28"/>
      <c r="I155" s="28"/>
    </row>
    <row r="156" spans="3:9" x14ac:dyDescent="0.25">
      <c r="C156" s="34" t="s">
        <v>30</v>
      </c>
      <c r="F156" s="28"/>
      <c r="I156" s="28"/>
    </row>
    <row r="157" spans="3:9" x14ac:dyDescent="0.25">
      <c r="C157" s="34" t="s">
        <v>30</v>
      </c>
      <c r="F157" s="28"/>
      <c r="I157" s="28"/>
    </row>
    <row r="158" spans="3:9" x14ac:dyDescent="0.25">
      <c r="C158" s="34" t="s">
        <v>30</v>
      </c>
      <c r="F158" s="28"/>
      <c r="I158" s="28"/>
    </row>
    <row r="159" spans="3:9" x14ac:dyDescent="0.25">
      <c r="C159" s="34" t="s">
        <v>30</v>
      </c>
      <c r="F159" s="28"/>
      <c r="I159" s="28"/>
    </row>
    <row r="160" spans="3:9" x14ac:dyDescent="0.25">
      <c r="C160" s="34" t="s">
        <v>30</v>
      </c>
      <c r="F160" s="28"/>
      <c r="I160" s="28"/>
    </row>
    <row r="161" spans="3:9" x14ac:dyDescent="0.25">
      <c r="C161" s="34" t="s">
        <v>30</v>
      </c>
      <c r="F161" s="28"/>
      <c r="I161" s="28"/>
    </row>
    <row r="162" spans="3:9" x14ac:dyDescent="0.25">
      <c r="C162" s="34" t="s">
        <v>30</v>
      </c>
      <c r="F162" s="28"/>
      <c r="I162" s="28"/>
    </row>
    <row r="163" spans="3:9" x14ac:dyDescent="0.25">
      <c r="C163" s="34" t="s">
        <v>30</v>
      </c>
      <c r="F163" s="28"/>
      <c r="I163" s="28"/>
    </row>
    <row r="164" spans="3:9" x14ac:dyDescent="0.25">
      <c r="C164" s="34" t="s">
        <v>30</v>
      </c>
      <c r="F164" s="28"/>
      <c r="I164" s="28"/>
    </row>
    <row r="165" spans="3:9" x14ac:dyDescent="0.25">
      <c r="C165" s="34" t="s">
        <v>30</v>
      </c>
      <c r="F165" s="28"/>
      <c r="I165" s="28"/>
    </row>
    <row r="166" spans="3:9" x14ac:dyDescent="0.25">
      <c r="C166" s="34" t="s">
        <v>30</v>
      </c>
      <c r="F166" s="28"/>
      <c r="I166" s="28"/>
    </row>
    <row r="167" spans="3:9" x14ac:dyDescent="0.25">
      <c r="C167" s="34" t="s">
        <v>30</v>
      </c>
      <c r="F167" s="28"/>
      <c r="I167" s="28"/>
    </row>
    <row r="168" spans="3:9" x14ac:dyDescent="0.25">
      <c r="C168" s="34" t="s">
        <v>30</v>
      </c>
      <c r="F168" s="28"/>
      <c r="I168" s="28"/>
    </row>
    <row r="169" spans="3:9" x14ac:dyDescent="0.25">
      <c r="C169" s="34" t="s">
        <v>30</v>
      </c>
      <c r="F169" s="28"/>
      <c r="I169" s="28"/>
    </row>
    <row r="170" spans="3:9" x14ac:dyDescent="0.25">
      <c r="C170" s="34" t="s">
        <v>30</v>
      </c>
      <c r="F170" s="28"/>
      <c r="I170" s="28"/>
    </row>
    <row r="171" spans="3:9" x14ac:dyDescent="0.25">
      <c r="C171" s="34" t="s">
        <v>30</v>
      </c>
      <c r="F171" s="28"/>
      <c r="I171" s="28"/>
    </row>
    <row r="172" spans="3:9" x14ac:dyDescent="0.25">
      <c r="C172" s="34" t="s">
        <v>30</v>
      </c>
      <c r="F172" s="28"/>
      <c r="I172" s="28"/>
    </row>
    <row r="173" spans="3:9" x14ac:dyDescent="0.25">
      <c r="C173" s="34" t="s">
        <v>30</v>
      </c>
      <c r="F173" s="28"/>
      <c r="I173" s="28"/>
    </row>
    <row r="174" spans="3:9" x14ac:dyDescent="0.25">
      <c r="C174" s="34" t="s">
        <v>30</v>
      </c>
      <c r="F174" s="28"/>
      <c r="I174" s="28"/>
    </row>
    <row r="175" spans="3:9" x14ac:dyDescent="0.25">
      <c r="C175" s="34" t="s">
        <v>30</v>
      </c>
      <c r="F175" s="28"/>
      <c r="I175" s="28"/>
    </row>
    <row r="176" spans="3:9" x14ac:dyDescent="0.25">
      <c r="C176" s="34" t="s">
        <v>30</v>
      </c>
      <c r="F176" s="28"/>
      <c r="I176" s="28"/>
    </row>
    <row r="177" spans="3:9" x14ac:dyDescent="0.25">
      <c r="C177" s="34" t="s">
        <v>30</v>
      </c>
      <c r="F177" s="28"/>
      <c r="I177" s="28"/>
    </row>
    <row r="178" spans="3:9" x14ac:dyDescent="0.25">
      <c r="C178" s="34" t="s">
        <v>30</v>
      </c>
      <c r="F178" s="28"/>
      <c r="I178" s="28"/>
    </row>
    <row r="179" spans="3:9" x14ac:dyDescent="0.25">
      <c r="C179" s="34" t="s">
        <v>30</v>
      </c>
      <c r="F179" s="28"/>
      <c r="I179" s="28"/>
    </row>
    <row r="180" spans="3:9" x14ac:dyDescent="0.25">
      <c r="C180" s="34" t="s">
        <v>30</v>
      </c>
      <c r="F180" s="28"/>
      <c r="I180" s="28"/>
    </row>
    <row r="181" spans="3:9" x14ac:dyDescent="0.25">
      <c r="C181" s="34" t="s">
        <v>30</v>
      </c>
      <c r="F181" s="28"/>
      <c r="I181" s="28"/>
    </row>
    <row r="182" spans="3:9" x14ac:dyDescent="0.25">
      <c r="C182" s="34" t="s">
        <v>30</v>
      </c>
      <c r="F182" s="28"/>
      <c r="I182" s="28"/>
    </row>
    <row r="183" spans="3:9" x14ac:dyDescent="0.25">
      <c r="C183" s="34" t="s">
        <v>30</v>
      </c>
      <c r="F183" s="28"/>
      <c r="I183" s="28"/>
    </row>
    <row r="184" spans="3:9" x14ac:dyDescent="0.25">
      <c r="C184" s="34" t="s">
        <v>30</v>
      </c>
      <c r="F184" s="28"/>
      <c r="I184" s="28"/>
    </row>
    <row r="185" spans="3:9" x14ac:dyDescent="0.25">
      <c r="C185" s="34" t="s">
        <v>30</v>
      </c>
      <c r="F185" s="28"/>
      <c r="I185" s="28"/>
    </row>
    <row r="186" spans="3:9" x14ac:dyDescent="0.25">
      <c r="C186" s="34" t="s">
        <v>30</v>
      </c>
      <c r="F186" s="28"/>
      <c r="I186" s="28"/>
    </row>
    <row r="187" spans="3:9" x14ac:dyDescent="0.25">
      <c r="C187" s="34" t="s">
        <v>30</v>
      </c>
      <c r="F187" s="28"/>
      <c r="I187" s="28"/>
    </row>
    <row r="188" spans="3:9" x14ac:dyDescent="0.25">
      <c r="C188" s="34" t="s">
        <v>30</v>
      </c>
      <c r="F188" s="28"/>
      <c r="I188" s="28"/>
    </row>
    <row r="189" spans="3:9" x14ac:dyDescent="0.25">
      <c r="C189" s="34" t="s">
        <v>30</v>
      </c>
      <c r="F189" s="28"/>
      <c r="I189" s="28"/>
    </row>
    <row r="190" spans="3:9" x14ac:dyDescent="0.25">
      <c r="C190" s="34" t="s">
        <v>30</v>
      </c>
      <c r="F190" s="28"/>
      <c r="I190" s="28"/>
    </row>
    <row r="191" spans="3:9" x14ac:dyDescent="0.25">
      <c r="C191" s="34" t="s">
        <v>30</v>
      </c>
      <c r="F191" s="28"/>
      <c r="I191" s="28"/>
    </row>
    <row r="192" spans="3:9" x14ac:dyDescent="0.25">
      <c r="C192" s="34" t="s">
        <v>30</v>
      </c>
      <c r="F192" s="28"/>
      <c r="I192" s="28"/>
    </row>
    <row r="193" spans="3:9" x14ac:dyDescent="0.25">
      <c r="C193" s="34" t="s">
        <v>30</v>
      </c>
      <c r="F193" s="28"/>
      <c r="I193" s="28"/>
    </row>
    <row r="194" spans="3:9" x14ac:dyDescent="0.25">
      <c r="C194" s="34" t="s">
        <v>30</v>
      </c>
      <c r="F194" s="28"/>
      <c r="I194" s="28"/>
    </row>
    <row r="195" spans="3:9" x14ac:dyDescent="0.25">
      <c r="C195" s="34" t="s">
        <v>30</v>
      </c>
      <c r="F195" s="28"/>
      <c r="I195" s="28"/>
    </row>
    <row r="196" spans="3:9" x14ac:dyDescent="0.25">
      <c r="C196" s="34" t="s">
        <v>30</v>
      </c>
      <c r="F196" s="28"/>
      <c r="I196" s="28"/>
    </row>
    <row r="197" spans="3:9" x14ac:dyDescent="0.25">
      <c r="C197" s="23" t="s">
        <v>30</v>
      </c>
      <c r="F197" s="28"/>
      <c r="I197" s="28"/>
    </row>
    <row r="198" spans="3:9" x14ac:dyDescent="0.25">
      <c r="C198" s="23" t="s">
        <v>30</v>
      </c>
      <c r="F198" s="28"/>
      <c r="I198" s="28"/>
    </row>
    <row r="199" spans="3:9" x14ac:dyDescent="0.25">
      <c r="C199" s="23" t="s">
        <v>30</v>
      </c>
      <c r="F199" s="28"/>
      <c r="I199" s="28"/>
    </row>
    <row r="200" spans="3:9" x14ac:dyDescent="0.25">
      <c r="C200" s="23" t="s">
        <v>30</v>
      </c>
      <c r="F200" s="28"/>
      <c r="I200" s="28"/>
    </row>
    <row r="201" spans="3:9" x14ac:dyDescent="0.25">
      <c r="C201" s="23" t="s">
        <v>30</v>
      </c>
      <c r="F201" s="28"/>
      <c r="I201" s="28"/>
    </row>
    <row r="202" spans="3:9" x14ac:dyDescent="0.25">
      <c r="C202" s="23" t="s">
        <v>30</v>
      </c>
      <c r="F202" s="28"/>
      <c r="I202" s="28"/>
    </row>
    <row r="203" spans="3:9" x14ac:dyDescent="0.25">
      <c r="C203" s="23" t="s">
        <v>30</v>
      </c>
      <c r="F203" s="28"/>
      <c r="I203" s="28"/>
    </row>
    <row r="204" spans="3:9" x14ac:dyDescent="0.25">
      <c r="C204" s="23" t="s">
        <v>30</v>
      </c>
      <c r="F204" s="28"/>
      <c r="I204" s="28"/>
    </row>
    <row r="205" spans="3:9" x14ac:dyDescent="0.25">
      <c r="C205" s="23" t="s">
        <v>30</v>
      </c>
      <c r="F205" s="28"/>
      <c r="I205" s="28"/>
    </row>
    <row r="206" spans="3:9" x14ac:dyDescent="0.25">
      <c r="C206" s="23" t="s">
        <v>30</v>
      </c>
      <c r="F206" s="28"/>
      <c r="I206" s="28"/>
    </row>
    <row r="207" spans="3:9" x14ac:dyDescent="0.25">
      <c r="C207" s="23" t="s">
        <v>30</v>
      </c>
      <c r="F207" s="28"/>
      <c r="I207" s="28"/>
    </row>
    <row r="208" spans="3:9" x14ac:dyDescent="0.25">
      <c r="C208" s="23" t="s">
        <v>30</v>
      </c>
      <c r="F208" s="28"/>
      <c r="I208" s="28"/>
    </row>
    <row r="209" spans="3:9" x14ac:dyDescent="0.25">
      <c r="C209" s="23" t="s">
        <v>30</v>
      </c>
      <c r="F209" s="28"/>
      <c r="I209" s="28"/>
    </row>
    <row r="210" spans="3:9" x14ac:dyDescent="0.25">
      <c r="F210" s="28"/>
      <c r="I210" s="28"/>
    </row>
    <row r="211" spans="3:9" x14ac:dyDescent="0.25">
      <c r="F211" s="28"/>
      <c r="I211" s="28"/>
    </row>
    <row r="212" spans="3:9" x14ac:dyDescent="0.25">
      <c r="F212" s="28"/>
      <c r="I212" s="28"/>
    </row>
    <row r="213" spans="3:9" x14ac:dyDescent="0.25">
      <c r="F213" s="28"/>
      <c r="I213" s="28"/>
    </row>
    <row r="214" spans="3:9" x14ac:dyDescent="0.25">
      <c r="F214" s="28"/>
      <c r="I214" s="28"/>
    </row>
    <row r="215" spans="3:9" x14ac:dyDescent="0.25">
      <c r="F215" s="28"/>
      <c r="I215" s="28"/>
    </row>
    <row r="216" spans="3:9" x14ac:dyDescent="0.25">
      <c r="F216" s="28"/>
      <c r="I216" s="28"/>
    </row>
    <row r="217" spans="3:9" x14ac:dyDescent="0.25">
      <c r="F217" s="28"/>
      <c r="I217" s="28"/>
    </row>
    <row r="218" spans="3:9" x14ac:dyDescent="0.25">
      <c r="F218" s="28"/>
      <c r="I218" s="28"/>
    </row>
    <row r="219" spans="3:9" x14ac:dyDescent="0.25">
      <c r="F219" s="28"/>
      <c r="I219" s="28"/>
    </row>
    <row r="220" spans="3:9" x14ac:dyDescent="0.25">
      <c r="F220" s="28"/>
      <c r="I220" s="28"/>
    </row>
    <row r="221" spans="3:9" x14ac:dyDescent="0.25">
      <c r="F221" s="28"/>
      <c r="I221" s="28"/>
    </row>
    <row r="222" spans="3:9" x14ac:dyDescent="0.25">
      <c r="F222" s="28"/>
      <c r="I222" s="28"/>
    </row>
    <row r="223" spans="3:9" x14ac:dyDescent="0.25">
      <c r="F223" s="28"/>
      <c r="I223" s="28"/>
    </row>
    <row r="224" spans="3:9" x14ac:dyDescent="0.25">
      <c r="F224" s="28"/>
      <c r="I224" s="28"/>
    </row>
    <row r="225" spans="6:9" x14ac:dyDescent="0.25">
      <c r="F225" s="28"/>
      <c r="I225" s="28"/>
    </row>
    <row r="226" spans="6:9" x14ac:dyDescent="0.25">
      <c r="F226" s="28"/>
      <c r="I226" s="28"/>
    </row>
    <row r="227" spans="6:9" x14ac:dyDescent="0.25">
      <c r="F227" s="28"/>
      <c r="I227" s="28"/>
    </row>
    <row r="228" spans="6:9" x14ac:dyDescent="0.25">
      <c r="F228" s="28"/>
      <c r="I228" s="28"/>
    </row>
    <row r="229" spans="6:9" x14ac:dyDescent="0.25">
      <c r="F229" s="28"/>
      <c r="I229" s="28"/>
    </row>
    <row r="230" spans="6:9" x14ac:dyDescent="0.25">
      <c r="F230" s="28"/>
      <c r="I230" s="28"/>
    </row>
    <row r="231" spans="6:9" x14ac:dyDescent="0.25">
      <c r="F231" s="28"/>
      <c r="I231" s="28"/>
    </row>
    <row r="232" spans="6:9" x14ac:dyDescent="0.25">
      <c r="F232" s="28"/>
      <c r="I232" s="28"/>
    </row>
    <row r="233" spans="6:9" x14ac:dyDescent="0.25">
      <c r="F233" s="28"/>
      <c r="I233" s="28"/>
    </row>
    <row r="234" spans="6:9" x14ac:dyDescent="0.25">
      <c r="F234" s="28"/>
      <c r="I234" s="28"/>
    </row>
    <row r="235" spans="6:9" x14ac:dyDescent="0.25">
      <c r="F235" s="28"/>
      <c r="I235" s="28"/>
    </row>
    <row r="236" spans="6:9" x14ac:dyDescent="0.25">
      <c r="F236" s="28"/>
      <c r="I236" s="28"/>
    </row>
    <row r="237" spans="6:9" x14ac:dyDescent="0.25">
      <c r="F237" s="28"/>
      <c r="I237" s="28"/>
    </row>
    <row r="238" spans="6:9" x14ac:dyDescent="0.25">
      <c r="F238" s="28"/>
      <c r="I238" s="28"/>
    </row>
    <row r="239" spans="6:9" x14ac:dyDescent="0.25">
      <c r="F239" s="28"/>
      <c r="I239" s="28"/>
    </row>
    <row r="240" spans="6:9" x14ac:dyDescent="0.25">
      <c r="F240" s="28"/>
      <c r="I240" s="28"/>
    </row>
    <row r="241" spans="6:9" x14ac:dyDescent="0.25">
      <c r="F241" s="28"/>
      <c r="I241" s="28"/>
    </row>
    <row r="242" spans="6:9" x14ac:dyDescent="0.25">
      <c r="F242" s="28"/>
      <c r="I242" s="28"/>
    </row>
    <row r="243" spans="6:9" x14ac:dyDescent="0.25">
      <c r="F243" s="28"/>
      <c r="I243" s="28"/>
    </row>
    <row r="244" spans="6:9" x14ac:dyDescent="0.25">
      <c r="F244" s="28"/>
      <c r="I244" s="28"/>
    </row>
    <row r="245" spans="6:9" x14ac:dyDescent="0.25">
      <c r="F245" s="28"/>
      <c r="I245" s="28"/>
    </row>
    <row r="246" spans="6:9" x14ac:dyDescent="0.25">
      <c r="F246" s="28"/>
      <c r="I246" s="28"/>
    </row>
    <row r="247" spans="6:9" x14ac:dyDescent="0.25">
      <c r="F247" s="28"/>
      <c r="I247" s="28"/>
    </row>
    <row r="248" spans="6:9" x14ac:dyDescent="0.25">
      <c r="F248" s="28"/>
      <c r="I248" s="28"/>
    </row>
    <row r="249" spans="6:9" x14ac:dyDescent="0.25">
      <c r="F249" s="28"/>
      <c r="I249" s="28"/>
    </row>
    <row r="250" spans="6:9" x14ac:dyDescent="0.25">
      <c r="F250" s="28"/>
      <c r="I250" s="28"/>
    </row>
    <row r="251" spans="6:9" x14ac:dyDescent="0.25">
      <c r="F251" s="28"/>
      <c r="I251" s="28"/>
    </row>
    <row r="252" spans="6:9" x14ac:dyDescent="0.25">
      <c r="F252" s="28"/>
      <c r="I252" s="28"/>
    </row>
    <row r="253" spans="6:9" x14ac:dyDescent="0.25">
      <c r="F253" s="28"/>
      <c r="I253" s="28"/>
    </row>
    <row r="254" spans="6:9" x14ac:dyDescent="0.25">
      <c r="F254" s="28"/>
      <c r="I254" s="28"/>
    </row>
    <row r="255" spans="6:9" x14ac:dyDescent="0.25">
      <c r="F255" s="28"/>
      <c r="I255" s="28"/>
    </row>
    <row r="256" spans="6:9" x14ac:dyDescent="0.25">
      <c r="F256" s="28"/>
      <c r="I256" s="28"/>
    </row>
    <row r="257" spans="6:9" x14ac:dyDescent="0.25">
      <c r="F257" s="28"/>
      <c r="I257" s="28"/>
    </row>
    <row r="258" spans="6:9" x14ac:dyDescent="0.25">
      <c r="F258" s="28"/>
      <c r="I258" s="28"/>
    </row>
    <row r="259" spans="6:9" x14ac:dyDescent="0.25">
      <c r="F259" s="28"/>
      <c r="I259" s="28"/>
    </row>
    <row r="260" spans="6:9" x14ac:dyDescent="0.25">
      <c r="F260" s="28"/>
      <c r="I260" s="28"/>
    </row>
    <row r="261" spans="6:9" x14ac:dyDescent="0.25">
      <c r="F261" s="28"/>
      <c r="I261" s="28"/>
    </row>
    <row r="262" spans="6:9" x14ac:dyDescent="0.25">
      <c r="F262" s="28"/>
      <c r="I262" s="28"/>
    </row>
    <row r="263" spans="6:9" x14ac:dyDescent="0.25">
      <c r="F263" s="28"/>
      <c r="I263" s="28"/>
    </row>
    <row r="264" spans="6:9" x14ac:dyDescent="0.25">
      <c r="F264" s="28"/>
      <c r="I264" s="28"/>
    </row>
    <row r="265" spans="6:9" x14ac:dyDescent="0.25">
      <c r="F265" s="28"/>
      <c r="I265" s="28"/>
    </row>
    <row r="266" spans="6:9" x14ac:dyDescent="0.25">
      <c r="F266" s="28"/>
      <c r="I266" s="28"/>
    </row>
    <row r="267" spans="6:9" x14ac:dyDescent="0.25">
      <c r="F267" s="28"/>
      <c r="I267" s="28"/>
    </row>
    <row r="268" spans="6:9" x14ac:dyDescent="0.25">
      <c r="F268" s="28"/>
      <c r="I268" s="28"/>
    </row>
    <row r="269" spans="6:9" x14ac:dyDescent="0.25">
      <c r="F269" s="28"/>
      <c r="I269" s="28"/>
    </row>
    <row r="270" spans="6:9" x14ac:dyDescent="0.25">
      <c r="F270" s="28"/>
      <c r="I270" s="28"/>
    </row>
    <row r="271" spans="6:9" x14ac:dyDescent="0.25">
      <c r="F271" s="28"/>
      <c r="I271" s="28"/>
    </row>
    <row r="272" spans="6:9" x14ac:dyDescent="0.25">
      <c r="F272" s="28"/>
      <c r="I272" s="28"/>
    </row>
    <row r="273" spans="6:9" x14ac:dyDescent="0.25">
      <c r="F273" s="28"/>
      <c r="I273" s="28"/>
    </row>
    <row r="274" spans="6:9" x14ac:dyDescent="0.25">
      <c r="F274" s="28"/>
      <c r="I274" s="28"/>
    </row>
    <row r="275" spans="6:9" x14ac:dyDescent="0.25">
      <c r="F275" s="28"/>
      <c r="I275" s="28"/>
    </row>
    <row r="276" spans="6:9" x14ac:dyDescent="0.25">
      <c r="F276" s="28"/>
      <c r="I276" s="28"/>
    </row>
    <row r="277" spans="6:9" x14ac:dyDescent="0.25">
      <c r="F277" s="28"/>
      <c r="I277" s="28"/>
    </row>
    <row r="278" spans="6:9" x14ac:dyDescent="0.25">
      <c r="F278" s="28"/>
      <c r="I278" s="28"/>
    </row>
    <row r="279" spans="6:9" x14ac:dyDescent="0.25">
      <c r="F279" s="28"/>
      <c r="I279" s="28"/>
    </row>
    <row r="280" spans="6:9" x14ac:dyDescent="0.25">
      <c r="F280" s="28"/>
      <c r="I280" s="28"/>
    </row>
    <row r="281" spans="6:9" x14ac:dyDescent="0.25">
      <c r="F281" s="28"/>
      <c r="I281" s="28"/>
    </row>
    <row r="282" spans="6:9" x14ac:dyDescent="0.25">
      <c r="F282" s="28"/>
      <c r="I282" s="28"/>
    </row>
    <row r="283" spans="6:9" x14ac:dyDescent="0.25">
      <c r="F283" s="28"/>
      <c r="I283" s="28"/>
    </row>
    <row r="284" spans="6:9" x14ac:dyDescent="0.25">
      <c r="F284" s="28"/>
      <c r="I284" s="28"/>
    </row>
    <row r="285" spans="6:9" x14ac:dyDescent="0.25">
      <c r="F285" s="28"/>
      <c r="I285" s="28"/>
    </row>
    <row r="286" spans="6:9" x14ac:dyDescent="0.25">
      <c r="F286" s="28"/>
      <c r="I286" s="28"/>
    </row>
    <row r="287" spans="6:9" x14ac:dyDescent="0.25">
      <c r="F287" s="28"/>
      <c r="I287" s="28"/>
    </row>
    <row r="288" spans="6:9" x14ac:dyDescent="0.25">
      <c r="F288" s="28"/>
      <c r="I288" s="28"/>
    </row>
    <row r="289" spans="6:9" x14ac:dyDescent="0.25">
      <c r="F289" s="28"/>
      <c r="I289" s="28"/>
    </row>
    <row r="290" spans="6:9" x14ac:dyDescent="0.25">
      <c r="F290" s="28"/>
      <c r="I290" s="28"/>
    </row>
    <row r="291" spans="6:9" x14ac:dyDescent="0.25">
      <c r="F291" s="28"/>
      <c r="I291" s="28"/>
    </row>
    <row r="292" spans="6:9" x14ac:dyDescent="0.25">
      <c r="F292" s="28"/>
      <c r="I292" s="28"/>
    </row>
    <row r="293" spans="6:9" x14ac:dyDescent="0.25">
      <c r="F293" s="28"/>
      <c r="I293" s="28"/>
    </row>
    <row r="294" spans="6:9" x14ac:dyDescent="0.25">
      <c r="F294" s="28"/>
      <c r="I294" s="28"/>
    </row>
    <row r="295" spans="6:9" x14ac:dyDescent="0.25">
      <c r="F295" s="28"/>
      <c r="I295" s="28"/>
    </row>
    <row r="296" spans="6:9" x14ac:dyDescent="0.25">
      <c r="F296" s="28"/>
      <c r="I296" s="28"/>
    </row>
    <row r="297" spans="6:9" x14ac:dyDescent="0.25">
      <c r="F297" s="28"/>
      <c r="I297" s="28"/>
    </row>
    <row r="298" spans="6:9" x14ac:dyDescent="0.25">
      <c r="F298" s="28"/>
      <c r="I298" s="28"/>
    </row>
    <row r="299" spans="6:9" x14ac:dyDescent="0.25">
      <c r="F299" s="28"/>
      <c r="I299" s="28"/>
    </row>
    <row r="300" spans="6:9" x14ac:dyDescent="0.25">
      <c r="F300" s="28"/>
      <c r="I300" s="28"/>
    </row>
    <row r="301" spans="6:9" x14ac:dyDescent="0.25">
      <c r="F301" s="28"/>
      <c r="I301" s="28"/>
    </row>
    <row r="302" spans="6:9" x14ac:dyDescent="0.25">
      <c r="F302" s="28"/>
      <c r="I302" s="28"/>
    </row>
    <row r="303" spans="6:9" x14ac:dyDescent="0.25">
      <c r="F303" s="28"/>
      <c r="I303" s="28"/>
    </row>
    <row r="304" spans="6:9" x14ac:dyDescent="0.25">
      <c r="F304" s="28"/>
      <c r="I304" s="28"/>
    </row>
    <row r="305" spans="6:9" x14ac:dyDescent="0.25">
      <c r="F305" s="28"/>
      <c r="I305" s="28"/>
    </row>
    <row r="306" spans="6:9" x14ac:dyDescent="0.25">
      <c r="F306" s="28"/>
      <c r="I306" s="28"/>
    </row>
    <row r="307" spans="6:9" x14ac:dyDescent="0.25">
      <c r="F307" s="28"/>
      <c r="I307" s="28"/>
    </row>
    <row r="308" spans="6:9" x14ac:dyDescent="0.25">
      <c r="F308" s="28"/>
      <c r="I308" s="28"/>
    </row>
    <row r="309" spans="6:9" x14ac:dyDescent="0.25">
      <c r="F309" s="28"/>
      <c r="I309" s="28"/>
    </row>
    <row r="310" spans="6:9" x14ac:dyDescent="0.25">
      <c r="F310" s="28"/>
      <c r="I310" s="28"/>
    </row>
    <row r="311" spans="6:9" x14ac:dyDescent="0.25">
      <c r="F311" s="28"/>
      <c r="I311" s="28"/>
    </row>
    <row r="312" spans="6:9" x14ac:dyDescent="0.25">
      <c r="F312" s="28"/>
      <c r="I312" s="28"/>
    </row>
    <row r="313" spans="6:9" x14ac:dyDescent="0.25">
      <c r="F313" s="28"/>
      <c r="I313" s="28"/>
    </row>
    <row r="314" spans="6:9" x14ac:dyDescent="0.25">
      <c r="F314" s="28"/>
      <c r="I314" s="28"/>
    </row>
    <row r="315" spans="6:9" x14ac:dyDescent="0.25">
      <c r="F315" s="28"/>
      <c r="I315" s="28"/>
    </row>
    <row r="316" spans="6:9" x14ac:dyDescent="0.25">
      <c r="F316" s="28"/>
      <c r="I316" s="28"/>
    </row>
    <row r="317" spans="6:9" x14ac:dyDescent="0.25">
      <c r="F317" s="28"/>
      <c r="I317" s="28"/>
    </row>
    <row r="318" spans="6:9" x14ac:dyDescent="0.25">
      <c r="F318" s="28"/>
      <c r="I318" s="28"/>
    </row>
    <row r="319" spans="6:9" x14ac:dyDescent="0.25">
      <c r="F319" s="28"/>
      <c r="I319" s="28"/>
    </row>
    <row r="320" spans="6:9" x14ac:dyDescent="0.25">
      <c r="F320" s="28"/>
      <c r="I320" s="28"/>
    </row>
    <row r="321" spans="6:9" x14ac:dyDescent="0.25">
      <c r="F321" s="28"/>
      <c r="I321" s="28"/>
    </row>
    <row r="322" spans="6:9" x14ac:dyDescent="0.25">
      <c r="F322" s="28"/>
      <c r="I322" s="28"/>
    </row>
    <row r="323" spans="6:9" x14ac:dyDescent="0.25">
      <c r="F323" s="28"/>
      <c r="I323" s="28"/>
    </row>
    <row r="324" spans="6:9" x14ac:dyDescent="0.25">
      <c r="F324" s="28"/>
      <c r="I324" s="28"/>
    </row>
    <row r="325" spans="6:9" x14ac:dyDescent="0.25">
      <c r="F325" s="28"/>
      <c r="I325" s="28"/>
    </row>
    <row r="326" spans="6:9" x14ac:dyDescent="0.25">
      <c r="F326" s="28"/>
      <c r="I326" s="28"/>
    </row>
    <row r="327" spans="6:9" x14ac:dyDescent="0.25">
      <c r="F327" s="28"/>
      <c r="I327" s="28"/>
    </row>
    <row r="328" spans="6:9" x14ac:dyDescent="0.25">
      <c r="F328" s="28"/>
      <c r="I328" s="28"/>
    </row>
    <row r="329" spans="6:9" x14ac:dyDescent="0.25">
      <c r="F329" s="28"/>
      <c r="I329" s="28"/>
    </row>
    <row r="330" spans="6:9" x14ac:dyDescent="0.25">
      <c r="F330" s="28"/>
      <c r="I330" s="28"/>
    </row>
    <row r="331" spans="6:9" x14ac:dyDescent="0.25">
      <c r="F331" s="28"/>
      <c r="I331" s="28"/>
    </row>
    <row r="332" spans="6:9" x14ac:dyDescent="0.25">
      <c r="F332" s="28"/>
      <c r="I332" s="28"/>
    </row>
    <row r="333" spans="6:9" x14ac:dyDescent="0.25">
      <c r="F333" s="28"/>
      <c r="I333" s="28"/>
    </row>
    <row r="334" spans="6:9" x14ac:dyDescent="0.25">
      <c r="F334" s="28"/>
      <c r="I334" s="28"/>
    </row>
    <row r="335" spans="6:9" x14ac:dyDescent="0.25">
      <c r="F335" s="28"/>
      <c r="I335" s="28"/>
    </row>
    <row r="336" spans="6:9" x14ac:dyDescent="0.25">
      <c r="F336" s="28"/>
      <c r="I336" s="28"/>
    </row>
    <row r="337" spans="6:9" x14ac:dyDescent="0.25">
      <c r="F337" s="28"/>
      <c r="I337" s="28"/>
    </row>
    <row r="338" spans="6:9" x14ac:dyDescent="0.25">
      <c r="F338" s="28"/>
      <c r="I338" s="28"/>
    </row>
    <row r="339" spans="6:9" x14ac:dyDescent="0.25">
      <c r="F339" s="28"/>
      <c r="I339" s="28"/>
    </row>
    <row r="340" spans="6:9" x14ac:dyDescent="0.25">
      <c r="F340" s="28"/>
      <c r="I340" s="28"/>
    </row>
    <row r="341" spans="6:9" x14ac:dyDescent="0.25">
      <c r="F341" s="28"/>
      <c r="I341" s="28"/>
    </row>
    <row r="342" spans="6:9" x14ac:dyDescent="0.25">
      <c r="F342" s="28"/>
      <c r="I342" s="28"/>
    </row>
    <row r="343" spans="6:9" x14ac:dyDescent="0.25">
      <c r="F343" s="28"/>
      <c r="I343" s="28"/>
    </row>
    <row r="344" spans="6:9" x14ac:dyDescent="0.25">
      <c r="F344" s="28"/>
      <c r="I344" s="28"/>
    </row>
    <row r="345" spans="6:9" x14ac:dyDescent="0.25">
      <c r="F345" s="28"/>
      <c r="I345" s="28"/>
    </row>
    <row r="346" spans="6:9" x14ac:dyDescent="0.25">
      <c r="F346" s="28"/>
      <c r="I346" s="28"/>
    </row>
    <row r="347" spans="6:9" x14ac:dyDescent="0.25">
      <c r="F347" s="28"/>
      <c r="I347" s="28"/>
    </row>
    <row r="348" spans="6:9" x14ac:dyDescent="0.25">
      <c r="F348" s="28"/>
      <c r="I348" s="28"/>
    </row>
    <row r="349" spans="6:9" x14ac:dyDescent="0.25">
      <c r="F349" s="28"/>
      <c r="I349" s="28"/>
    </row>
    <row r="350" spans="6:9" x14ac:dyDescent="0.25">
      <c r="F350" s="28"/>
      <c r="I350" s="28"/>
    </row>
    <row r="351" spans="6:9" x14ac:dyDescent="0.25">
      <c r="F351" s="28"/>
      <c r="I351" s="28"/>
    </row>
    <row r="352" spans="6:9" x14ac:dyDescent="0.25">
      <c r="F352" s="28"/>
      <c r="I352" s="28"/>
    </row>
    <row r="353" spans="6:9" x14ac:dyDescent="0.25">
      <c r="F353" s="28"/>
      <c r="I353" s="28"/>
    </row>
    <row r="354" spans="6:9" x14ac:dyDescent="0.25">
      <c r="F354" s="28"/>
      <c r="I354" s="28"/>
    </row>
    <row r="355" spans="6:9" x14ac:dyDescent="0.25">
      <c r="F355" s="28"/>
      <c r="I355" s="28"/>
    </row>
    <row r="356" spans="6:9" x14ac:dyDescent="0.25">
      <c r="F356" s="28"/>
      <c r="I356" s="28"/>
    </row>
    <row r="357" spans="6:9" x14ac:dyDescent="0.25">
      <c r="F357" s="28"/>
      <c r="I357" s="28"/>
    </row>
    <row r="358" spans="6:9" x14ac:dyDescent="0.25">
      <c r="F358" s="28"/>
      <c r="I358" s="28"/>
    </row>
    <row r="359" spans="6:9" x14ac:dyDescent="0.25">
      <c r="F359" s="28"/>
      <c r="I359" s="28"/>
    </row>
    <row r="360" spans="6:9" x14ac:dyDescent="0.25">
      <c r="F360" s="28"/>
      <c r="I360" s="28"/>
    </row>
    <row r="361" spans="6:9" x14ac:dyDescent="0.25">
      <c r="F361" s="28"/>
      <c r="I361" s="28"/>
    </row>
    <row r="362" spans="6:9" x14ac:dyDescent="0.25">
      <c r="F362" s="28"/>
      <c r="I362" s="28"/>
    </row>
    <row r="363" spans="6:9" x14ac:dyDescent="0.25">
      <c r="F363" s="28"/>
      <c r="I363" s="28"/>
    </row>
    <row r="364" spans="6:9" x14ac:dyDescent="0.25">
      <c r="F364" s="28"/>
      <c r="I364" s="28"/>
    </row>
    <row r="365" spans="6:9" x14ac:dyDescent="0.25">
      <c r="F365" s="28"/>
      <c r="I365" s="28"/>
    </row>
    <row r="366" spans="6:9" x14ac:dyDescent="0.25">
      <c r="F366" s="28"/>
      <c r="I366" s="28"/>
    </row>
    <row r="367" spans="6:9" x14ac:dyDescent="0.25">
      <c r="F367" s="28"/>
      <c r="I367" s="28"/>
    </row>
    <row r="368" spans="6:9" x14ac:dyDescent="0.25">
      <c r="F368" s="28"/>
      <c r="I368" s="28"/>
    </row>
    <row r="369" spans="6:9" x14ac:dyDescent="0.25">
      <c r="F369" s="28"/>
      <c r="I369" s="28"/>
    </row>
    <row r="370" spans="6:9" x14ac:dyDescent="0.25">
      <c r="F370" s="28"/>
      <c r="I370" s="28"/>
    </row>
    <row r="371" spans="6:9" x14ac:dyDescent="0.25">
      <c r="F371" s="28"/>
      <c r="I371" s="28"/>
    </row>
    <row r="372" spans="6:9" x14ac:dyDescent="0.25">
      <c r="F372" s="28"/>
      <c r="I372" s="28"/>
    </row>
    <row r="373" spans="6:9" x14ac:dyDescent="0.25">
      <c r="F373" s="28"/>
      <c r="I373" s="28"/>
    </row>
    <row r="374" spans="6:9" x14ac:dyDescent="0.25">
      <c r="F374" s="28"/>
      <c r="I374" s="28"/>
    </row>
    <row r="375" spans="6:9" x14ac:dyDescent="0.25">
      <c r="F375" s="28"/>
      <c r="I375" s="28"/>
    </row>
    <row r="376" spans="6:9" x14ac:dyDescent="0.25">
      <c r="F376" s="28"/>
      <c r="I376" s="28"/>
    </row>
    <row r="377" spans="6:9" x14ac:dyDescent="0.25">
      <c r="F377" s="28"/>
      <c r="I377" s="28"/>
    </row>
    <row r="378" spans="6:9" x14ac:dyDescent="0.25">
      <c r="F378" s="28"/>
      <c r="I378" s="28"/>
    </row>
    <row r="379" spans="6:9" x14ac:dyDescent="0.25">
      <c r="F379" s="28"/>
      <c r="I379" s="28"/>
    </row>
    <row r="380" spans="6:9" x14ac:dyDescent="0.25">
      <c r="F380" s="28"/>
      <c r="I380" s="28"/>
    </row>
    <row r="381" spans="6:9" x14ac:dyDescent="0.25">
      <c r="F381" s="28"/>
      <c r="I381" s="28"/>
    </row>
    <row r="382" spans="6:9" x14ac:dyDescent="0.25">
      <c r="F382" s="28"/>
      <c r="I382" s="28"/>
    </row>
    <row r="383" spans="6:9" x14ac:dyDescent="0.25">
      <c r="F383" s="28"/>
      <c r="I383" s="28"/>
    </row>
    <row r="384" spans="6:9" x14ac:dyDescent="0.25">
      <c r="F384" s="28"/>
      <c r="I384" s="28"/>
    </row>
    <row r="385" spans="6:9" x14ac:dyDescent="0.25">
      <c r="F385" s="28"/>
      <c r="I385" s="28"/>
    </row>
    <row r="386" spans="6:9" x14ac:dyDescent="0.25">
      <c r="F386" s="28"/>
      <c r="I386" s="28"/>
    </row>
    <row r="387" spans="6:9" x14ac:dyDescent="0.25">
      <c r="F387" s="28"/>
      <c r="I387" s="28"/>
    </row>
    <row r="388" spans="6:9" x14ac:dyDescent="0.25">
      <c r="F388" s="28"/>
      <c r="I388" s="28"/>
    </row>
    <row r="389" spans="6:9" x14ac:dyDescent="0.25">
      <c r="F389" s="28"/>
      <c r="I389" s="28"/>
    </row>
    <row r="390" spans="6:9" x14ac:dyDescent="0.25">
      <c r="F390" s="28"/>
      <c r="I390" s="28"/>
    </row>
    <row r="391" spans="6:9" x14ac:dyDescent="0.25">
      <c r="F391" s="28"/>
      <c r="I391" s="28"/>
    </row>
    <row r="392" spans="6:9" x14ac:dyDescent="0.25">
      <c r="F392" s="28"/>
      <c r="I392" s="28"/>
    </row>
    <row r="393" spans="6:9" x14ac:dyDescent="0.25">
      <c r="F393" s="28"/>
      <c r="I393" s="28"/>
    </row>
    <row r="394" spans="6:9" x14ac:dyDescent="0.25">
      <c r="F394" s="28"/>
      <c r="I394" s="28"/>
    </row>
    <row r="395" spans="6:9" x14ac:dyDescent="0.25">
      <c r="F395" s="28"/>
      <c r="I395" s="28"/>
    </row>
    <row r="396" spans="6:9" x14ac:dyDescent="0.25">
      <c r="F396" s="28"/>
      <c r="I396" s="28"/>
    </row>
    <row r="397" spans="6:9" x14ac:dyDescent="0.25">
      <c r="F397" s="28"/>
      <c r="I397" s="28"/>
    </row>
    <row r="398" spans="6:9" x14ac:dyDescent="0.25">
      <c r="F398" s="28"/>
      <c r="I398" s="28"/>
    </row>
    <row r="399" spans="6:9" x14ac:dyDescent="0.25">
      <c r="F399" s="28"/>
      <c r="I399" s="28"/>
    </row>
    <row r="400" spans="6:9" x14ac:dyDescent="0.25">
      <c r="F400" s="28"/>
      <c r="I400" s="28"/>
    </row>
    <row r="401" spans="6:9" x14ac:dyDescent="0.25">
      <c r="F401" s="28"/>
      <c r="I401" s="28"/>
    </row>
    <row r="402" spans="6:9" x14ac:dyDescent="0.25">
      <c r="F402" s="28"/>
      <c r="I402" s="28"/>
    </row>
    <row r="403" spans="6:9" x14ac:dyDescent="0.25">
      <c r="F403" s="28"/>
      <c r="I403" s="28"/>
    </row>
    <row r="404" spans="6:9" x14ac:dyDescent="0.25">
      <c r="F404" s="28"/>
      <c r="I404" s="28"/>
    </row>
    <row r="405" spans="6:9" x14ac:dyDescent="0.25">
      <c r="F405" s="28"/>
      <c r="I405" s="28"/>
    </row>
    <row r="406" spans="6:9" x14ac:dyDescent="0.25">
      <c r="F406" s="28"/>
      <c r="I406" s="28"/>
    </row>
    <row r="407" spans="6:9" x14ac:dyDescent="0.25">
      <c r="F407" s="28"/>
      <c r="I407" s="28"/>
    </row>
    <row r="408" spans="6:9" x14ac:dyDescent="0.25">
      <c r="F408" s="28"/>
      <c r="I408" s="28"/>
    </row>
    <row r="409" spans="6:9" x14ac:dyDescent="0.25">
      <c r="F409" s="28"/>
      <c r="I409" s="28"/>
    </row>
    <row r="410" spans="6:9" x14ac:dyDescent="0.25">
      <c r="F410" s="28"/>
      <c r="I410" s="28"/>
    </row>
    <row r="411" spans="6:9" x14ac:dyDescent="0.25">
      <c r="F411" s="28"/>
      <c r="I411" s="28"/>
    </row>
    <row r="412" spans="6:9" x14ac:dyDescent="0.25">
      <c r="F412" s="28"/>
      <c r="I412" s="28"/>
    </row>
    <row r="413" spans="6:9" x14ac:dyDescent="0.25">
      <c r="F413" s="28"/>
      <c r="I413" s="28"/>
    </row>
    <row r="414" spans="6:9" x14ac:dyDescent="0.25">
      <c r="F414" s="28"/>
      <c r="I414" s="28"/>
    </row>
    <row r="415" spans="6:9" x14ac:dyDescent="0.25">
      <c r="F415" s="28"/>
      <c r="I415" s="28"/>
    </row>
    <row r="416" spans="6:9" x14ac:dyDescent="0.25">
      <c r="F416" s="28"/>
      <c r="I416" s="28"/>
    </row>
    <row r="417" spans="6:9" x14ac:dyDescent="0.25">
      <c r="F417" s="28"/>
      <c r="I417" s="28"/>
    </row>
    <row r="418" spans="6:9" x14ac:dyDescent="0.25">
      <c r="F418" s="28"/>
      <c r="I418" s="28"/>
    </row>
    <row r="419" spans="6:9" x14ac:dyDescent="0.25">
      <c r="F419" s="28"/>
      <c r="I419" s="28"/>
    </row>
    <row r="420" spans="6:9" x14ac:dyDescent="0.25">
      <c r="F420" s="28"/>
      <c r="I420" s="28"/>
    </row>
    <row r="421" spans="6:9" x14ac:dyDescent="0.25">
      <c r="F421" s="28"/>
      <c r="I421" s="28"/>
    </row>
    <row r="422" spans="6:9" x14ac:dyDescent="0.25">
      <c r="F422" s="28"/>
      <c r="I422" s="28"/>
    </row>
    <row r="423" spans="6:9" x14ac:dyDescent="0.25">
      <c r="F423" s="28"/>
      <c r="I423" s="28"/>
    </row>
    <row r="424" spans="6:9" x14ac:dyDescent="0.25">
      <c r="F424" s="28"/>
      <c r="I424" s="28"/>
    </row>
    <row r="425" spans="6:9" x14ac:dyDescent="0.25">
      <c r="F425" s="28"/>
      <c r="I425" s="28"/>
    </row>
    <row r="426" spans="6:9" x14ac:dyDescent="0.25">
      <c r="F426" s="28"/>
      <c r="I426" s="28"/>
    </row>
    <row r="427" spans="6:9" x14ac:dyDescent="0.25">
      <c r="F427" s="28"/>
      <c r="I427" s="28"/>
    </row>
    <row r="428" spans="6:9" x14ac:dyDescent="0.25">
      <c r="F428" s="28"/>
      <c r="I428" s="28"/>
    </row>
    <row r="429" spans="6:9" x14ac:dyDescent="0.25">
      <c r="F429" s="28"/>
      <c r="I429" s="28"/>
    </row>
    <row r="430" spans="6:9" x14ac:dyDescent="0.25">
      <c r="F430" s="28"/>
      <c r="I430" s="28"/>
    </row>
    <row r="431" spans="6:9" x14ac:dyDescent="0.25">
      <c r="F431" s="28"/>
      <c r="I431" s="28"/>
    </row>
    <row r="432" spans="6:9" x14ac:dyDescent="0.25">
      <c r="F432" s="28"/>
      <c r="I432" s="28"/>
    </row>
    <row r="433" spans="6:9" x14ac:dyDescent="0.25">
      <c r="F433" s="28"/>
      <c r="I433" s="28"/>
    </row>
    <row r="434" spans="6:9" x14ac:dyDescent="0.25">
      <c r="F434" s="28"/>
      <c r="I434" s="28"/>
    </row>
    <row r="435" spans="6:9" x14ac:dyDescent="0.25">
      <c r="F435" s="28"/>
      <c r="I435" s="28"/>
    </row>
    <row r="436" spans="6:9" x14ac:dyDescent="0.25">
      <c r="F436" s="28"/>
      <c r="I436" s="28"/>
    </row>
    <row r="437" spans="6:9" x14ac:dyDescent="0.25">
      <c r="F437" s="28"/>
      <c r="I437" s="28"/>
    </row>
    <row r="438" spans="6:9" x14ac:dyDescent="0.25">
      <c r="F438" s="28"/>
      <c r="I438" s="28"/>
    </row>
    <row r="439" spans="6:9" x14ac:dyDescent="0.25">
      <c r="F439" s="28"/>
      <c r="I439" s="28"/>
    </row>
    <row r="440" spans="6:9" x14ac:dyDescent="0.25">
      <c r="F440" s="28"/>
      <c r="I440" s="28"/>
    </row>
    <row r="441" spans="6:9" x14ac:dyDescent="0.25">
      <c r="F441" s="28"/>
      <c r="I441" s="28"/>
    </row>
    <row r="442" spans="6:9" x14ac:dyDescent="0.25">
      <c r="F442" s="28"/>
      <c r="I442" s="28"/>
    </row>
    <row r="443" spans="6:9" x14ac:dyDescent="0.25">
      <c r="F443" s="28"/>
      <c r="I443" s="28"/>
    </row>
    <row r="444" spans="6:9" x14ac:dyDescent="0.25">
      <c r="F444" s="28"/>
      <c r="I444" s="28"/>
    </row>
    <row r="445" spans="6:9" x14ac:dyDescent="0.25">
      <c r="F445" s="28"/>
      <c r="I445" s="28"/>
    </row>
    <row r="446" spans="6:9" x14ac:dyDescent="0.25">
      <c r="F446" s="28"/>
      <c r="I446" s="28"/>
    </row>
    <row r="447" spans="6:9" x14ac:dyDescent="0.25">
      <c r="F447" s="28"/>
      <c r="I447" s="28"/>
    </row>
    <row r="448" spans="6:9" x14ac:dyDescent="0.25">
      <c r="F448" s="28"/>
      <c r="I448" s="28"/>
    </row>
    <row r="449" spans="6:9" x14ac:dyDescent="0.25">
      <c r="F449" s="28"/>
      <c r="I449" s="28"/>
    </row>
    <row r="450" spans="6:9" x14ac:dyDescent="0.25">
      <c r="F450" s="28"/>
      <c r="I450" s="28"/>
    </row>
    <row r="451" spans="6:9" x14ac:dyDescent="0.25">
      <c r="F451" s="28"/>
      <c r="I451" s="28"/>
    </row>
    <row r="452" spans="6:9" x14ac:dyDescent="0.25">
      <c r="F452" s="28"/>
      <c r="I452" s="28"/>
    </row>
    <row r="453" spans="6:9" x14ac:dyDescent="0.25">
      <c r="F453" s="28"/>
      <c r="I453" s="28"/>
    </row>
    <row r="454" spans="6:9" x14ac:dyDescent="0.25">
      <c r="F454" s="28"/>
      <c r="I454" s="28"/>
    </row>
    <row r="455" spans="6:9" x14ac:dyDescent="0.25">
      <c r="F455" s="28"/>
      <c r="I455" s="28"/>
    </row>
    <row r="456" spans="6:9" x14ac:dyDescent="0.25">
      <c r="F456" s="28"/>
      <c r="I456" s="28"/>
    </row>
    <row r="457" spans="6:9" x14ac:dyDescent="0.25">
      <c r="F457" s="28"/>
      <c r="I457" s="28"/>
    </row>
    <row r="458" spans="6:9" x14ac:dyDescent="0.25">
      <c r="F458" s="28"/>
      <c r="I458" s="28"/>
    </row>
    <row r="459" spans="6:9" x14ac:dyDescent="0.25">
      <c r="F459" s="28"/>
      <c r="I459" s="28"/>
    </row>
    <row r="460" spans="6:9" x14ac:dyDescent="0.25">
      <c r="F460" s="28"/>
      <c r="I460" s="28"/>
    </row>
    <row r="461" spans="6:9" x14ac:dyDescent="0.25">
      <c r="F461" s="28"/>
      <c r="I461" s="28"/>
    </row>
    <row r="462" spans="6:9" x14ac:dyDescent="0.25">
      <c r="F462" s="28"/>
      <c r="I462" s="28"/>
    </row>
    <row r="463" spans="6:9" x14ac:dyDescent="0.25">
      <c r="F463" s="28"/>
      <c r="I463" s="28"/>
    </row>
    <row r="464" spans="6:9" x14ac:dyDescent="0.25">
      <c r="F464" s="28"/>
      <c r="I464" s="28"/>
    </row>
    <row r="465" spans="6:9" x14ac:dyDescent="0.25">
      <c r="F465" s="28"/>
      <c r="I465" s="28"/>
    </row>
    <row r="466" spans="6:9" x14ac:dyDescent="0.25">
      <c r="F466" s="28"/>
      <c r="I466" s="28"/>
    </row>
    <row r="467" spans="6:9" x14ac:dyDescent="0.25">
      <c r="F467" s="28"/>
      <c r="I467" s="28"/>
    </row>
    <row r="468" spans="6:9" x14ac:dyDescent="0.25">
      <c r="F468" s="28"/>
      <c r="I468" s="28"/>
    </row>
    <row r="469" spans="6:9" x14ac:dyDescent="0.25">
      <c r="F469" s="28"/>
      <c r="I469" s="28"/>
    </row>
    <row r="470" spans="6:9" x14ac:dyDescent="0.25">
      <c r="F470" s="28"/>
      <c r="I470" s="28"/>
    </row>
    <row r="471" spans="6:9" x14ac:dyDescent="0.25">
      <c r="F471" s="28"/>
      <c r="I471" s="28"/>
    </row>
    <row r="472" spans="6:9" x14ac:dyDescent="0.25">
      <c r="F472" s="28"/>
      <c r="I472" s="28"/>
    </row>
    <row r="473" spans="6:9" x14ac:dyDescent="0.25">
      <c r="F473" s="28"/>
      <c r="I473" s="28"/>
    </row>
    <row r="474" spans="6:9" x14ac:dyDescent="0.25">
      <c r="F474" s="28"/>
      <c r="I474" s="28"/>
    </row>
    <row r="475" spans="6:9" x14ac:dyDescent="0.25">
      <c r="F475" s="28"/>
      <c r="I475" s="28"/>
    </row>
    <row r="476" spans="6:9" x14ac:dyDescent="0.25">
      <c r="F476" s="28"/>
      <c r="I476" s="28"/>
    </row>
    <row r="477" spans="6:9" x14ac:dyDescent="0.25">
      <c r="F477" s="28"/>
      <c r="I477" s="28"/>
    </row>
    <row r="478" spans="6:9" x14ac:dyDescent="0.25">
      <c r="F478" s="28"/>
      <c r="I478" s="28"/>
    </row>
    <row r="479" spans="6:9" x14ac:dyDescent="0.25">
      <c r="F479" s="28"/>
      <c r="I479" s="28"/>
    </row>
    <row r="480" spans="6:9" x14ac:dyDescent="0.25">
      <c r="F480" s="28"/>
      <c r="I480" s="28"/>
    </row>
    <row r="481" spans="6:9" x14ac:dyDescent="0.25">
      <c r="F481" s="28"/>
      <c r="I481" s="28"/>
    </row>
    <row r="482" spans="6:9" x14ac:dyDescent="0.25">
      <c r="F482" s="28"/>
      <c r="I482" s="28"/>
    </row>
    <row r="483" spans="6:9" x14ac:dyDescent="0.25">
      <c r="F483" s="28"/>
      <c r="I483" s="28"/>
    </row>
    <row r="484" spans="6:9" x14ac:dyDescent="0.25">
      <c r="F484" s="28"/>
      <c r="I484" s="28"/>
    </row>
    <row r="485" spans="6:9" x14ac:dyDescent="0.25">
      <c r="F485" s="28"/>
      <c r="I485" s="28"/>
    </row>
    <row r="486" spans="6:9" x14ac:dyDescent="0.25">
      <c r="F486" s="28"/>
      <c r="I486" s="28"/>
    </row>
    <row r="487" spans="6:9" x14ac:dyDescent="0.25">
      <c r="F487" s="28"/>
      <c r="I487" s="28"/>
    </row>
    <row r="488" spans="6:9" x14ac:dyDescent="0.25">
      <c r="F488" s="28"/>
      <c r="I488" s="28"/>
    </row>
    <row r="489" spans="6:9" x14ac:dyDescent="0.25">
      <c r="F489" s="28"/>
      <c r="I489" s="28"/>
    </row>
    <row r="490" spans="6:9" x14ac:dyDescent="0.25">
      <c r="F490" s="28"/>
      <c r="I490" s="28"/>
    </row>
    <row r="491" spans="6:9" x14ac:dyDescent="0.25">
      <c r="F491" s="28"/>
      <c r="I491" s="28"/>
    </row>
    <row r="492" spans="6:9" x14ac:dyDescent="0.25">
      <c r="F492" s="28"/>
      <c r="I492" s="28"/>
    </row>
    <row r="493" spans="6:9" x14ac:dyDescent="0.25">
      <c r="F493" s="28"/>
      <c r="I493" s="28"/>
    </row>
    <row r="494" spans="6:9" x14ac:dyDescent="0.25">
      <c r="F494" s="28"/>
      <c r="I494" s="28"/>
    </row>
    <row r="495" spans="6:9" x14ac:dyDescent="0.25">
      <c r="F495" s="28"/>
      <c r="I495" s="28"/>
    </row>
    <row r="496" spans="6:9" x14ac:dyDescent="0.25">
      <c r="F496" s="28"/>
      <c r="I496" s="28"/>
    </row>
    <row r="497" spans="6:9" x14ac:dyDescent="0.25">
      <c r="F497" s="28"/>
      <c r="I497" s="28"/>
    </row>
    <row r="498" spans="6:9" x14ac:dyDescent="0.25">
      <c r="F498" s="28"/>
      <c r="I498" s="28"/>
    </row>
    <row r="499" spans="6:9" x14ac:dyDescent="0.25">
      <c r="F499" s="28"/>
      <c r="I499" s="28"/>
    </row>
    <row r="500" spans="6:9" x14ac:dyDescent="0.25">
      <c r="F500" s="28"/>
      <c r="I500" s="28"/>
    </row>
    <row r="501" spans="6:9" x14ac:dyDescent="0.25">
      <c r="F501" s="28"/>
      <c r="I501" s="28"/>
    </row>
    <row r="502" spans="6:9" x14ac:dyDescent="0.25">
      <c r="F502" s="28"/>
      <c r="I502" s="28"/>
    </row>
    <row r="503" spans="6:9" x14ac:dyDescent="0.25">
      <c r="F503" s="28"/>
      <c r="I503" s="28"/>
    </row>
    <row r="504" spans="6:9" x14ac:dyDescent="0.25">
      <c r="F504" s="28"/>
      <c r="I504" s="28"/>
    </row>
    <row r="505" spans="6:9" x14ac:dyDescent="0.25">
      <c r="F505" s="28"/>
      <c r="I505" s="28"/>
    </row>
    <row r="506" spans="6:9" x14ac:dyDescent="0.25">
      <c r="F506" s="28"/>
      <c r="I506" s="28"/>
    </row>
    <row r="507" spans="6:9" x14ac:dyDescent="0.25">
      <c r="F507" s="28"/>
      <c r="I507" s="28"/>
    </row>
    <row r="508" spans="6:9" x14ac:dyDescent="0.25">
      <c r="F508" s="28"/>
      <c r="I508" s="28"/>
    </row>
    <row r="509" spans="6:9" x14ac:dyDescent="0.25">
      <c r="F509" s="28"/>
      <c r="I509" s="28"/>
    </row>
    <row r="510" spans="6:9" x14ac:dyDescent="0.25">
      <c r="F510" s="28"/>
      <c r="I510" s="28"/>
    </row>
    <row r="511" spans="6:9" x14ac:dyDescent="0.25">
      <c r="F511" s="28"/>
      <c r="I511" s="28"/>
    </row>
    <row r="512" spans="6:9" x14ac:dyDescent="0.25">
      <c r="F512" s="28"/>
      <c r="I512" s="28"/>
    </row>
    <row r="513" spans="6:9" x14ac:dyDescent="0.25">
      <c r="F513" s="28"/>
      <c r="I513" s="28"/>
    </row>
    <row r="514" spans="6:9" x14ac:dyDescent="0.25">
      <c r="F514" s="28"/>
      <c r="I514" s="28"/>
    </row>
    <row r="515" spans="6:9" x14ac:dyDescent="0.25">
      <c r="F515" s="28"/>
      <c r="I515" s="28"/>
    </row>
    <row r="516" spans="6:9" x14ac:dyDescent="0.25">
      <c r="F516" s="28"/>
      <c r="I516" s="28"/>
    </row>
    <row r="517" spans="6:9" x14ac:dyDescent="0.25">
      <c r="F517" s="28"/>
      <c r="I517" s="28"/>
    </row>
    <row r="518" spans="6:9" x14ac:dyDescent="0.25">
      <c r="F518" s="28"/>
      <c r="I518" s="28"/>
    </row>
    <row r="519" spans="6:9" x14ac:dyDescent="0.25">
      <c r="F519" s="28"/>
      <c r="I519" s="28"/>
    </row>
    <row r="520" spans="6:9" x14ac:dyDescent="0.25">
      <c r="F520" s="28"/>
      <c r="I520" s="28"/>
    </row>
    <row r="521" spans="6:9" x14ac:dyDescent="0.25">
      <c r="F521" s="28"/>
      <c r="I521" s="28"/>
    </row>
    <row r="522" spans="6:9" x14ac:dyDescent="0.25">
      <c r="F522" s="28"/>
      <c r="I522" s="28"/>
    </row>
    <row r="523" spans="6:9" x14ac:dyDescent="0.25">
      <c r="F523" s="28"/>
      <c r="I523" s="28"/>
    </row>
    <row r="524" spans="6:9" x14ac:dyDescent="0.25">
      <c r="F524" s="28"/>
      <c r="I524" s="28"/>
    </row>
    <row r="525" spans="6:9" x14ac:dyDescent="0.25">
      <c r="F525" s="28"/>
      <c r="I525" s="28"/>
    </row>
    <row r="526" spans="6:9" x14ac:dyDescent="0.25">
      <c r="F526" s="28"/>
      <c r="I526" s="28"/>
    </row>
    <row r="527" spans="6:9" x14ac:dyDescent="0.25">
      <c r="F527" s="28"/>
      <c r="I527" s="28"/>
    </row>
    <row r="528" spans="6:9" x14ac:dyDescent="0.25">
      <c r="F528" s="28"/>
      <c r="I528" s="28"/>
    </row>
    <row r="529" spans="6:9" x14ac:dyDescent="0.25">
      <c r="F529" s="28"/>
      <c r="I529" s="28"/>
    </row>
    <row r="530" spans="6:9" x14ac:dyDescent="0.25">
      <c r="F530" s="28"/>
      <c r="I530" s="28"/>
    </row>
    <row r="531" spans="6:9" x14ac:dyDescent="0.25">
      <c r="F531" s="28"/>
      <c r="I531" s="28"/>
    </row>
    <row r="532" spans="6:9" x14ac:dyDescent="0.25">
      <c r="F532" s="28"/>
      <c r="I532" s="28"/>
    </row>
    <row r="533" spans="6:9" x14ac:dyDescent="0.25">
      <c r="F533" s="28"/>
      <c r="I533" s="28"/>
    </row>
    <row r="534" spans="6:9" x14ac:dyDescent="0.25">
      <c r="F534" s="28"/>
      <c r="I534" s="28"/>
    </row>
    <row r="535" spans="6:9" x14ac:dyDescent="0.25">
      <c r="F535" s="28"/>
      <c r="I535" s="28"/>
    </row>
    <row r="536" spans="6:9" x14ac:dyDescent="0.25">
      <c r="F536" s="28"/>
      <c r="I536" s="28"/>
    </row>
    <row r="537" spans="6:9" x14ac:dyDescent="0.25">
      <c r="F537" s="28"/>
      <c r="I537" s="28"/>
    </row>
    <row r="538" spans="6:9" x14ac:dyDescent="0.25">
      <c r="F538" s="28"/>
      <c r="I538" s="28"/>
    </row>
    <row r="539" spans="6:9" x14ac:dyDescent="0.25">
      <c r="F539" s="28"/>
      <c r="I539" s="28"/>
    </row>
    <row r="540" spans="6:9" x14ac:dyDescent="0.25">
      <c r="F540" s="28"/>
      <c r="I540" s="28"/>
    </row>
    <row r="541" spans="6:9" x14ac:dyDescent="0.25">
      <c r="F541" s="28"/>
      <c r="I541" s="28"/>
    </row>
    <row r="542" spans="6:9" x14ac:dyDescent="0.25">
      <c r="F542" s="28"/>
      <c r="I542" s="28"/>
    </row>
    <row r="543" spans="6:9" x14ac:dyDescent="0.25">
      <c r="F543" s="28"/>
      <c r="I543" s="28"/>
    </row>
    <row r="544" spans="6:9" x14ac:dyDescent="0.25">
      <c r="F544" s="28"/>
      <c r="I544" s="28"/>
    </row>
    <row r="545" spans="6:9" x14ac:dyDescent="0.25">
      <c r="F545" s="28"/>
      <c r="I545" s="28"/>
    </row>
    <row r="546" spans="6:9" x14ac:dyDescent="0.25">
      <c r="F546" s="28"/>
      <c r="I546" s="28"/>
    </row>
    <row r="547" spans="6:9" x14ac:dyDescent="0.25">
      <c r="F547" s="28"/>
      <c r="I547" s="28"/>
    </row>
    <row r="548" spans="6:9" x14ac:dyDescent="0.25">
      <c r="F548" s="28"/>
      <c r="I548" s="28"/>
    </row>
    <row r="549" spans="6:9" x14ac:dyDescent="0.25">
      <c r="F549" s="28"/>
      <c r="I549" s="28"/>
    </row>
    <row r="550" spans="6:9" x14ac:dyDescent="0.25">
      <c r="F550" s="28"/>
      <c r="I550" s="28"/>
    </row>
    <row r="551" spans="6:9" x14ac:dyDescent="0.25">
      <c r="F551" s="28"/>
      <c r="I551" s="28"/>
    </row>
    <row r="552" spans="6:9" x14ac:dyDescent="0.25">
      <c r="F552" s="28"/>
      <c r="I552" s="28"/>
    </row>
    <row r="553" spans="6:9" x14ac:dyDescent="0.25">
      <c r="F553" s="28"/>
      <c r="I553" s="28"/>
    </row>
    <row r="554" spans="6:9" x14ac:dyDescent="0.25">
      <c r="F554" s="28"/>
      <c r="I554" s="28"/>
    </row>
    <row r="555" spans="6:9" x14ac:dyDescent="0.25">
      <c r="F555" s="28"/>
      <c r="I555" s="28"/>
    </row>
    <row r="556" spans="6:9" x14ac:dyDescent="0.25">
      <c r="F556" s="28"/>
      <c r="I556" s="28"/>
    </row>
    <row r="557" spans="6:9" x14ac:dyDescent="0.25">
      <c r="F557" s="28"/>
      <c r="I557" s="28"/>
    </row>
    <row r="558" spans="6:9" x14ac:dyDescent="0.25">
      <c r="F558" s="28"/>
      <c r="I558" s="28"/>
    </row>
    <row r="559" spans="6:9" x14ac:dyDescent="0.25">
      <c r="F559" s="28"/>
      <c r="I559" s="28"/>
    </row>
    <row r="560" spans="6:9" x14ac:dyDescent="0.25">
      <c r="F560" s="28"/>
      <c r="I560" s="28"/>
    </row>
    <row r="561" spans="6:9" x14ac:dyDescent="0.25">
      <c r="F561" s="28"/>
      <c r="I561" s="28"/>
    </row>
    <row r="562" spans="6:9" x14ac:dyDescent="0.25">
      <c r="F562" s="28"/>
      <c r="I562" s="28"/>
    </row>
    <row r="563" spans="6:9" x14ac:dyDescent="0.25">
      <c r="F563" s="28"/>
      <c r="I563" s="28"/>
    </row>
    <row r="564" spans="6:9" x14ac:dyDescent="0.25">
      <c r="F564" s="28"/>
      <c r="I564" s="28"/>
    </row>
    <row r="565" spans="6:9" x14ac:dyDescent="0.25">
      <c r="F565" s="28"/>
      <c r="I565" s="28"/>
    </row>
    <row r="566" spans="6:9" x14ac:dyDescent="0.25">
      <c r="F566" s="28"/>
      <c r="I566" s="28"/>
    </row>
    <row r="567" spans="6:9" x14ac:dyDescent="0.25">
      <c r="F567" s="28"/>
      <c r="I567" s="28"/>
    </row>
    <row r="568" spans="6:9" x14ac:dyDescent="0.25">
      <c r="F568" s="28"/>
      <c r="I568" s="28"/>
    </row>
    <row r="569" spans="6:9" x14ac:dyDescent="0.25">
      <c r="F569" s="28"/>
      <c r="I569" s="28"/>
    </row>
    <row r="570" spans="6:9" x14ac:dyDescent="0.25">
      <c r="F570" s="28"/>
      <c r="I570" s="28"/>
    </row>
    <row r="571" spans="6:9" x14ac:dyDescent="0.25">
      <c r="F571" s="28"/>
      <c r="I571" s="28"/>
    </row>
    <row r="572" spans="6:9" x14ac:dyDescent="0.25">
      <c r="F572" s="28"/>
      <c r="I572" s="28"/>
    </row>
    <row r="573" spans="6:9" x14ac:dyDescent="0.25">
      <c r="F573" s="28"/>
      <c r="I573" s="28"/>
    </row>
    <row r="574" spans="6:9" x14ac:dyDescent="0.25">
      <c r="F574" s="28"/>
      <c r="I574" s="28"/>
    </row>
    <row r="575" spans="6:9" x14ac:dyDescent="0.25">
      <c r="F575" s="28"/>
      <c r="I575" s="28"/>
    </row>
    <row r="576" spans="6:9" x14ac:dyDescent="0.25">
      <c r="F576" s="28"/>
      <c r="I576" s="28"/>
    </row>
    <row r="577" spans="6:9" x14ac:dyDescent="0.25">
      <c r="F577" s="28"/>
      <c r="I577" s="28"/>
    </row>
    <row r="578" spans="6:9" x14ac:dyDescent="0.25">
      <c r="F578" s="28"/>
      <c r="I578" s="28"/>
    </row>
    <row r="579" spans="6:9" x14ac:dyDescent="0.25">
      <c r="F579" s="28"/>
      <c r="I579" s="28"/>
    </row>
    <row r="580" spans="6:9" x14ac:dyDescent="0.25">
      <c r="F580" s="28"/>
      <c r="I580" s="28"/>
    </row>
    <row r="581" spans="6:9" x14ac:dyDescent="0.25">
      <c r="F581" s="28"/>
      <c r="I581" s="28"/>
    </row>
    <row r="582" spans="6:9" x14ac:dyDescent="0.25">
      <c r="F582" s="28"/>
      <c r="I582" s="28"/>
    </row>
    <row r="583" spans="6:9" x14ac:dyDescent="0.25">
      <c r="F583" s="28"/>
      <c r="I583" s="28"/>
    </row>
    <row r="584" spans="6:9" x14ac:dyDescent="0.25">
      <c r="F584" s="28"/>
      <c r="I584" s="28"/>
    </row>
    <row r="585" spans="6:9" x14ac:dyDescent="0.25">
      <c r="F585" s="28"/>
      <c r="I585" s="28"/>
    </row>
    <row r="586" spans="6:9" x14ac:dyDescent="0.25">
      <c r="F586" s="28"/>
      <c r="I586" s="28"/>
    </row>
    <row r="587" spans="6:9" x14ac:dyDescent="0.25">
      <c r="F587" s="28"/>
      <c r="I587" s="28"/>
    </row>
    <row r="588" spans="6:9" x14ac:dyDescent="0.25">
      <c r="F588" s="28"/>
      <c r="I588" s="28"/>
    </row>
    <row r="589" spans="6:9" x14ac:dyDescent="0.25">
      <c r="F589" s="28"/>
      <c r="I589" s="28"/>
    </row>
    <row r="590" spans="6:9" x14ac:dyDescent="0.25">
      <c r="F590" s="28"/>
      <c r="I590" s="28"/>
    </row>
    <row r="591" spans="6:9" x14ac:dyDescent="0.25">
      <c r="F591" s="28"/>
      <c r="I591" s="28"/>
    </row>
    <row r="592" spans="6:9" x14ac:dyDescent="0.25">
      <c r="F592" s="28"/>
      <c r="I592" s="28"/>
    </row>
    <row r="593" spans="6:9" x14ac:dyDescent="0.25">
      <c r="F593" s="28"/>
      <c r="I593" s="28"/>
    </row>
    <row r="594" spans="6:9" x14ac:dyDescent="0.25">
      <c r="F594" s="28"/>
      <c r="I594" s="28"/>
    </row>
    <row r="595" spans="6:9" x14ac:dyDescent="0.25">
      <c r="F595" s="28"/>
      <c r="I595" s="28"/>
    </row>
    <row r="596" spans="6:9" x14ac:dyDescent="0.25">
      <c r="F596" s="28"/>
      <c r="I596" s="28"/>
    </row>
    <row r="597" spans="6:9" x14ac:dyDescent="0.25">
      <c r="F597" s="28"/>
      <c r="I597" s="28"/>
    </row>
    <row r="598" spans="6:9" x14ac:dyDescent="0.25">
      <c r="F598" s="28"/>
      <c r="I598" s="28"/>
    </row>
    <row r="599" spans="6:9" x14ac:dyDescent="0.25">
      <c r="F599" s="28"/>
      <c r="I599" s="28"/>
    </row>
    <row r="600" spans="6:9" x14ac:dyDescent="0.25">
      <c r="F600" s="28"/>
      <c r="I600" s="28"/>
    </row>
    <row r="601" spans="6:9" x14ac:dyDescent="0.25">
      <c r="F601" s="28"/>
      <c r="I601" s="28"/>
    </row>
    <row r="602" spans="6:9" x14ac:dyDescent="0.25">
      <c r="F602" s="28"/>
      <c r="I602" s="28"/>
    </row>
    <row r="603" spans="6:9" x14ac:dyDescent="0.25">
      <c r="F603" s="28"/>
      <c r="I603" s="28"/>
    </row>
    <row r="604" spans="6:9" x14ac:dyDescent="0.25">
      <c r="F604" s="28"/>
      <c r="I604" s="28"/>
    </row>
    <row r="605" spans="6:9" x14ac:dyDescent="0.25">
      <c r="F605" s="28"/>
      <c r="I605" s="28"/>
    </row>
    <row r="606" spans="6:9" x14ac:dyDescent="0.25">
      <c r="F606" s="28"/>
      <c r="I606" s="28"/>
    </row>
    <row r="607" spans="6:9" x14ac:dyDescent="0.25">
      <c r="F607" s="28"/>
      <c r="I607" s="28"/>
    </row>
    <row r="608" spans="6:9" x14ac:dyDescent="0.25">
      <c r="F608" s="28"/>
      <c r="I608" s="28"/>
    </row>
    <row r="609" spans="6:9" x14ac:dyDescent="0.25">
      <c r="F609" s="28"/>
      <c r="I609" s="28"/>
    </row>
    <row r="610" spans="6:9" x14ac:dyDescent="0.25">
      <c r="F610" s="28"/>
      <c r="I610" s="28"/>
    </row>
    <row r="611" spans="6:9" x14ac:dyDescent="0.25">
      <c r="F611" s="28"/>
      <c r="I611" s="28"/>
    </row>
    <row r="612" spans="6:9" x14ac:dyDescent="0.25">
      <c r="F612" s="28"/>
      <c r="I612" s="28"/>
    </row>
    <row r="613" spans="6:9" x14ac:dyDescent="0.25">
      <c r="F613" s="28"/>
      <c r="I613" s="28"/>
    </row>
    <row r="614" spans="6:9" x14ac:dyDescent="0.25">
      <c r="F614" s="28"/>
      <c r="I614" s="28"/>
    </row>
    <row r="615" spans="6:9" x14ac:dyDescent="0.25">
      <c r="F615" s="28"/>
      <c r="I615" s="28"/>
    </row>
    <row r="616" spans="6:9" x14ac:dyDescent="0.25">
      <c r="F616" s="28"/>
      <c r="I616" s="28"/>
    </row>
    <row r="617" spans="6:9" x14ac:dyDescent="0.25">
      <c r="F617" s="28"/>
      <c r="I617" s="28"/>
    </row>
    <row r="618" spans="6:9" x14ac:dyDescent="0.25">
      <c r="F618" s="28"/>
      <c r="I618" s="28"/>
    </row>
    <row r="619" spans="6:9" x14ac:dyDescent="0.25">
      <c r="F619" s="28"/>
      <c r="I619" s="28"/>
    </row>
    <row r="620" spans="6:9" x14ac:dyDescent="0.25">
      <c r="F620" s="28"/>
      <c r="I620" s="28"/>
    </row>
    <row r="621" spans="6:9" x14ac:dyDescent="0.25">
      <c r="F621" s="28"/>
      <c r="I621" s="28"/>
    </row>
    <row r="622" spans="6:9" x14ac:dyDescent="0.25">
      <c r="F622" s="28"/>
      <c r="I622" s="28"/>
    </row>
    <row r="623" spans="6:9" x14ac:dyDescent="0.25">
      <c r="F623" s="28"/>
      <c r="I623" s="28"/>
    </row>
    <row r="624" spans="6:9" x14ac:dyDescent="0.25">
      <c r="F624" s="28"/>
      <c r="I624" s="28"/>
    </row>
    <row r="625" spans="6:9" x14ac:dyDescent="0.25">
      <c r="F625" s="28"/>
      <c r="I625" s="28"/>
    </row>
    <row r="626" spans="6:9" x14ac:dyDescent="0.25">
      <c r="F626" s="28"/>
      <c r="I626" s="28"/>
    </row>
    <row r="627" spans="6:9" x14ac:dyDescent="0.25">
      <c r="F627" s="28"/>
      <c r="I627" s="28"/>
    </row>
    <row r="628" spans="6:9" x14ac:dyDescent="0.25">
      <c r="F628" s="28"/>
      <c r="I628" s="28"/>
    </row>
    <row r="629" spans="6:9" x14ac:dyDescent="0.25">
      <c r="F629" s="28"/>
      <c r="I629" s="28"/>
    </row>
    <row r="630" spans="6:9" x14ac:dyDescent="0.25">
      <c r="F630" s="28"/>
      <c r="I630" s="28"/>
    </row>
    <row r="631" spans="6:9" x14ac:dyDescent="0.25">
      <c r="F631" s="28"/>
      <c r="I631" s="28"/>
    </row>
    <row r="632" spans="6:9" x14ac:dyDescent="0.25">
      <c r="F632" s="28"/>
      <c r="I632" s="28"/>
    </row>
    <row r="633" spans="6:9" x14ac:dyDescent="0.25">
      <c r="F633" s="28"/>
      <c r="I633" s="28"/>
    </row>
    <row r="634" spans="6:9" x14ac:dyDescent="0.25">
      <c r="F634" s="28"/>
      <c r="I634" s="28"/>
    </row>
    <row r="635" spans="6:9" x14ac:dyDescent="0.25">
      <c r="F635" s="28"/>
      <c r="I635" s="28"/>
    </row>
    <row r="636" spans="6:9" x14ac:dyDescent="0.25">
      <c r="F636" s="28"/>
      <c r="I636" s="28"/>
    </row>
    <row r="637" spans="6:9" x14ac:dyDescent="0.25">
      <c r="F637" s="28"/>
      <c r="I637" s="28"/>
    </row>
    <row r="638" spans="6:9" x14ac:dyDescent="0.25">
      <c r="F638" s="28"/>
      <c r="I638" s="28"/>
    </row>
    <row r="639" spans="6:9" x14ac:dyDescent="0.25">
      <c r="F639" s="28"/>
      <c r="I639" s="28"/>
    </row>
    <row r="640" spans="6:9" x14ac:dyDescent="0.25">
      <c r="F640" s="28"/>
      <c r="I640" s="28"/>
    </row>
    <row r="641" spans="6:9" x14ac:dyDescent="0.25">
      <c r="F641" s="28"/>
      <c r="I641" s="28"/>
    </row>
    <row r="642" spans="6:9" x14ac:dyDescent="0.25">
      <c r="F642" s="28"/>
      <c r="I642" s="28"/>
    </row>
    <row r="643" spans="6:9" x14ac:dyDescent="0.25">
      <c r="F643" s="28"/>
      <c r="I643" s="28"/>
    </row>
    <row r="644" spans="6:9" x14ac:dyDescent="0.25">
      <c r="F644" s="28"/>
      <c r="I644" s="28"/>
    </row>
    <row r="645" spans="6:9" x14ac:dyDescent="0.25">
      <c r="F645" s="28"/>
      <c r="I645" s="28"/>
    </row>
    <row r="646" spans="6:9" x14ac:dyDescent="0.25">
      <c r="F646" s="28"/>
      <c r="I646" s="28"/>
    </row>
    <row r="647" spans="6:9" x14ac:dyDescent="0.25">
      <c r="F647" s="28"/>
      <c r="I647" s="28"/>
    </row>
    <row r="648" spans="6:9" x14ac:dyDescent="0.25">
      <c r="F648" s="28"/>
      <c r="I648" s="28"/>
    </row>
    <row r="649" spans="6:9" x14ac:dyDescent="0.25">
      <c r="F649" s="28"/>
      <c r="I649" s="28"/>
    </row>
    <row r="650" spans="6:9" x14ac:dyDescent="0.25">
      <c r="F650" s="28"/>
      <c r="I650" s="28"/>
    </row>
    <row r="651" spans="6:9" x14ac:dyDescent="0.25">
      <c r="F651" s="28"/>
      <c r="I651" s="28"/>
    </row>
    <row r="652" spans="6:9" x14ac:dyDescent="0.25">
      <c r="F652" s="28"/>
      <c r="I652" s="28"/>
    </row>
    <row r="653" spans="6:9" x14ac:dyDescent="0.25">
      <c r="F653" s="28"/>
      <c r="I653" s="28"/>
    </row>
    <row r="654" spans="6:9" x14ac:dyDescent="0.25">
      <c r="F654" s="28"/>
      <c r="I654" s="28"/>
    </row>
    <row r="655" spans="6:9" x14ac:dyDescent="0.25">
      <c r="F655" s="28"/>
      <c r="I655" s="28"/>
    </row>
    <row r="656" spans="6:9" x14ac:dyDescent="0.25">
      <c r="F656" s="28"/>
      <c r="I656" s="28"/>
    </row>
    <row r="657" spans="6:9" x14ac:dyDescent="0.25">
      <c r="F657" s="28"/>
      <c r="I657" s="28"/>
    </row>
    <row r="658" spans="6:9" x14ac:dyDescent="0.25">
      <c r="F658" s="28"/>
      <c r="I658" s="28"/>
    </row>
    <row r="659" spans="6:9" x14ac:dyDescent="0.25">
      <c r="F659" s="28"/>
      <c r="I659" s="28"/>
    </row>
    <row r="660" spans="6:9" x14ac:dyDescent="0.25">
      <c r="F660" s="28"/>
      <c r="I660" s="28"/>
    </row>
    <row r="661" spans="6:9" x14ac:dyDescent="0.25">
      <c r="F661" s="28"/>
      <c r="I661" s="28"/>
    </row>
    <row r="662" spans="6:9" x14ac:dyDescent="0.25">
      <c r="F662" s="28"/>
      <c r="I662" s="28"/>
    </row>
    <row r="663" spans="6:9" x14ac:dyDescent="0.25">
      <c r="F663" s="28"/>
      <c r="I663" s="28"/>
    </row>
    <row r="664" spans="6:9" x14ac:dyDescent="0.25">
      <c r="F664" s="28"/>
      <c r="I664" s="28"/>
    </row>
    <row r="665" spans="6:9" x14ac:dyDescent="0.25">
      <c r="F665" s="28"/>
      <c r="I665" s="28"/>
    </row>
    <row r="666" spans="6:9" x14ac:dyDescent="0.25">
      <c r="F666" s="28"/>
      <c r="I666" s="28"/>
    </row>
    <row r="667" spans="6:9" x14ac:dyDescent="0.25">
      <c r="F667" s="28"/>
      <c r="I667" s="28"/>
    </row>
    <row r="668" spans="6:9" x14ac:dyDescent="0.25">
      <c r="F668" s="28"/>
      <c r="I668" s="28"/>
    </row>
    <row r="669" spans="6:9" x14ac:dyDescent="0.25">
      <c r="F669" s="28"/>
      <c r="I669" s="28"/>
    </row>
    <row r="670" spans="6:9" x14ac:dyDescent="0.25">
      <c r="F670" s="28"/>
      <c r="I670" s="28"/>
    </row>
    <row r="671" spans="6:9" x14ac:dyDescent="0.25">
      <c r="F671" s="28"/>
      <c r="I671" s="28"/>
    </row>
    <row r="672" spans="6:9" x14ac:dyDescent="0.25">
      <c r="F672" s="28"/>
      <c r="I672" s="28"/>
    </row>
    <row r="673" spans="6:9" x14ac:dyDescent="0.25">
      <c r="F673" s="28"/>
      <c r="I673" s="28"/>
    </row>
    <row r="674" spans="6:9" x14ac:dyDescent="0.25">
      <c r="F674" s="28"/>
      <c r="I674" s="28"/>
    </row>
    <row r="675" spans="6:9" x14ac:dyDescent="0.25">
      <c r="F675" s="28"/>
      <c r="I675" s="28"/>
    </row>
    <row r="676" spans="6:9" x14ac:dyDescent="0.25">
      <c r="F676" s="28"/>
      <c r="I676" s="28"/>
    </row>
    <row r="677" spans="6:9" x14ac:dyDescent="0.25">
      <c r="F677" s="28"/>
      <c r="I677" s="28"/>
    </row>
    <row r="678" spans="6:9" x14ac:dyDescent="0.25">
      <c r="F678" s="28"/>
      <c r="I678" s="28"/>
    </row>
    <row r="679" spans="6:9" x14ac:dyDescent="0.25">
      <c r="F679" s="28"/>
      <c r="I679" s="28"/>
    </row>
    <row r="680" spans="6:9" x14ac:dyDescent="0.25">
      <c r="F680" s="28"/>
      <c r="I680" s="28"/>
    </row>
    <row r="681" spans="6:9" x14ac:dyDescent="0.25">
      <c r="F681" s="28"/>
      <c r="I681" s="28"/>
    </row>
    <row r="682" spans="6:9" x14ac:dyDescent="0.25">
      <c r="F682" s="28"/>
      <c r="I682" s="28"/>
    </row>
    <row r="683" spans="6:9" x14ac:dyDescent="0.25">
      <c r="F683" s="28"/>
      <c r="I683" s="28"/>
    </row>
    <row r="684" spans="6:9" x14ac:dyDescent="0.25">
      <c r="F684" s="28"/>
      <c r="I684" s="28"/>
    </row>
    <row r="685" spans="6:9" x14ac:dyDescent="0.25">
      <c r="F685" s="28"/>
      <c r="I685" s="28"/>
    </row>
    <row r="686" spans="6:9" x14ac:dyDescent="0.25">
      <c r="F686" s="28"/>
      <c r="I686" s="28"/>
    </row>
    <row r="687" spans="6:9" x14ac:dyDescent="0.25">
      <c r="F687" s="28"/>
      <c r="I687" s="28"/>
    </row>
    <row r="688" spans="6:9" x14ac:dyDescent="0.25">
      <c r="F688" s="28"/>
      <c r="I688" s="28"/>
    </row>
    <row r="689" spans="6:9" x14ac:dyDescent="0.25">
      <c r="F689" s="28"/>
      <c r="I689" s="28"/>
    </row>
    <row r="690" spans="6:9" x14ac:dyDescent="0.25">
      <c r="F690" s="28"/>
      <c r="I690" s="28"/>
    </row>
    <row r="691" spans="6:9" x14ac:dyDescent="0.25">
      <c r="F691" s="28"/>
      <c r="I691" s="28"/>
    </row>
    <row r="692" spans="6:9" x14ac:dyDescent="0.25">
      <c r="F692" s="28"/>
      <c r="I692" s="28"/>
    </row>
    <row r="693" spans="6:9" x14ac:dyDescent="0.25">
      <c r="F693" s="28"/>
      <c r="I693" s="28"/>
    </row>
    <row r="694" spans="6:9" x14ac:dyDescent="0.25">
      <c r="F694" s="28"/>
      <c r="I694" s="28"/>
    </row>
    <row r="695" spans="6:9" x14ac:dyDescent="0.25">
      <c r="F695" s="28"/>
      <c r="I695" s="28"/>
    </row>
    <row r="696" spans="6:9" x14ac:dyDescent="0.25">
      <c r="F696" s="28"/>
      <c r="I696" s="28"/>
    </row>
    <row r="697" spans="6:9" x14ac:dyDescent="0.25">
      <c r="F697" s="28"/>
      <c r="I697" s="28"/>
    </row>
    <row r="698" spans="6:9" x14ac:dyDescent="0.25">
      <c r="F698" s="28"/>
      <c r="I698" s="28"/>
    </row>
    <row r="699" spans="6:9" x14ac:dyDescent="0.25">
      <c r="F699" s="28"/>
      <c r="I699" s="28"/>
    </row>
    <row r="700" spans="6:9" x14ac:dyDescent="0.25">
      <c r="F700" s="28"/>
      <c r="I700" s="28"/>
    </row>
    <row r="701" spans="6:9" x14ac:dyDescent="0.25">
      <c r="F701" s="28"/>
      <c r="I701" s="28"/>
    </row>
    <row r="702" spans="6:9" x14ac:dyDescent="0.25">
      <c r="F702" s="28"/>
      <c r="I702" s="28"/>
    </row>
    <row r="703" spans="6:9" x14ac:dyDescent="0.25">
      <c r="F703" s="28"/>
      <c r="I703" s="28"/>
    </row>
    <row r="704" spans="6:9" x14ac:dyDescent="0.25">
      <c r="F704" s="28"/>
      <c r="I704" s="28"/>
    </row>
    <row r="705" spans="6:9" x14ac:dyDescent="0.25">
      <c r="F705" s="28"/>
      <c r="I705" s="28"/>
    </row>
    <row r="706" spans="6:9" x14ac:dyDescent="0.25">
      <c r="F706" s="28"/>
      <c r="I706" s="28"/>
    </row>
    <row r="707" spans="6:9" x14ac:dyDescent="0.25">
      <c r="F707" s="28"/>
      <c r="I707" s="28"/>
    </row>
    <row r="708" spans="6:9" x14ac:dyDescent="0.25">
      <c r="F708" s="28"/>
      <c r="I708" s="28"/>
    </row>
    <row r="709" spans="6:9" x14ac:dyDescent="0.25">
      <c r="F709" s="28"/>
      <c r="I709" s="28"/>
    </row>
    <row r="710" spans="6:9" x14ac:dyDescent="0.25">
      <c r="F710" s="28"/>
      <c r="I710" s="28"/>
    </row>
    <row r="711" spans="6:9" x14ac:dyDescent="0.25">
      <c r="F711" s="28"/>
      <c r="I711" s="28"/>
    </row>
    <row r="712" spans="6:9" x14ac:dyDescent="0.25">
      <c r="F712" s="28"/>
      <c r="I712" s="28"/>
    </row>
    <row r="713" spans="6:9" x14ac:dyDescent="0.25">
      <c r="F713" s="28"/>
      <c r="I713" s="28"/>
    </row>
    <row r="714" spans="6:9" x14ac:dyDescent="0.25">
      <c r="F714" s="28"/>
      <c r="I714" s="28"/>
    </row>
    <row r="715" spans="6:9" x14ac:dyDescent="0.25">
      <c r="F715" s="28"/>
      <c r="I715" s="28"/>
    </row>
    <row r="716" spans="6:9" x14ac:dyDescent="0.25">
      <c r="F716" s="28"/>
      <c r="I716" s="28"/>
    </row>
    <row r="717" spans="6:9" x14ac:dyDescent="0.25">
      <c r="F717" s="28"/>
      <c r="I717" s="28"/>
    </row>
    <row r="718" spans="6:9" x14ac:dyDescent="0.25">
      <c r="F718" s="28"/>
      <c r="I718" s="28"/>
    </row>
    <row r="719" spans="6:9" x14ac:dyDescent="0.25">
      <c r="F719" s="28"/>
      <c r="I719" s="28"/>
    </row>
    <row r="720" spans="6:9" x14ac:dyDescent="0.25">
      <c r="F720" s="28"/>
      <c r="I720" s="28"/>
    </row>
    <row r="721" spans="6:9" x14ac:dyDescent="0.25">
      <c r="F721" s="28"/>
      <c r="I721" s="28"/>
    </row>
    <row r="722" spans="6:9" x14ac:dyDescent="0.25">
      <c r="F722" s="28"/>
      <c r="I722" s="28"/>
    </row>
    <row r="723" spans="6:9" x14ac:dyDescent="0.25">
      <c r="F723" s="28"/>
      <c r="I723" s="28"/>
    </row>
    <row r="724" spans="6:9" x14ac:dyDescent="0.25">
      <c r="F724" s="28"/>
      <c r="I724" s="28"/>
    </row>
    <row r="725" spans="6:9" x14ac:dyDescent="0.25">
      <c r="F725" s="28"/>
      <c r="I725" s="28"/>
    </row>
    <row r="726" spans="6:9" x14ac:dyDescent="0.25">
      <c r="F726" s="28"/>
      <c r="I726" s="28"/>
    </row>
    <row r="727" spans="6:9" x14ac:dyDescent="0.25">
      <c r="F727" s="28"/>
      <c r="I727" s="28"/>
    </row>
    <row r="728" spans="6:9" x14ac:dyDescent="0.25">
      <c r="F728" s="28"/>
      <c r="I728" s="28"/>
    </row>
    <row r="729" spans="6:9" x14ac:dyDescent="0.25">
      <c r="F729" s="28"/>
      <c r="I729" s="28"/>
    </row>
    <row r="730" spans="6:9" x14ac:dyDescent="0.25">
      <c r="F730" s="28"/>
      <c r="I730" s="28"/>
    </row>
    <row r="731" spans="6:9" x14ac:dyDescent="0.25">
      <c r="F731" s="28"/>
      <c r="I731" s="28"/>
    </row>
    <row r="732" spans="6:9" x14ac:dyDescent="0.25">
      <c r="F732" s="28"/>
      <c r="I732" s="28"/>
    </row>
    <row r="733" spans="6:9" x14ac:dyDescent="0.25">
      <c r="F733" s="28"/>
      <c r="I733" s="28"/>
    </row>
    <row r="734" spans="6:9" x14ac:dyDescent="0.25">
      <c r="F734" s="28"/>
      <c r="I734" s="28"/>
    </row>
    <row r="735" spans="6:9" x14ac:dyDescent="0.25">
      <c r="F735" s="28"/>
      <c r="I735" s="28"/>
    </row>
    <row r="736" spans="6:9" x14ac:dyDescent="0.25">
      <c r="F736" s="28"/>
      <c r="I736" s="28"/>
    </row>
    <row r="737" spans="6:9" x14ac:dyDescent="0.25">
      <c r="F737" s="28"/>
      <c r="I737" s="28"/>
    </row>
    <row r="738" spans="6:9" x14ac:dyDescent="0.25">
      <c r="F738" s="28"/>
      <c r="I738" s="28"/>
    </row>
    <row r="739" spans="6:9" x14ac:dyDescent="0.25">
      <c r="F739" s="28"/>
      <c r="I739" s="28"/>
    </row>
    <row r="740" spans="6:9" x14ac:dyDescent="0.25">
      <c r="F740" s="28"/>
      <c r="I740" s="28"/>
    </row>
    <row r="741" spans="6:9" x14ac:dyDescent="0.25">
      <c r="F741" s="28"/>
      <c r="I741" s="28"/>
    </row>
    <row r="742" spans="6:9" x14ac:dyDescent="0.25">
      <c r="F742" s="28"/>
      <c r="I742" s="28"/>
    </row>
    <row r="743" spans="6:9" x14ac:dyDescent="0.25">
      <c r="F743" s="28"/>
      <c r="I743" s="28"/>
    </row>
    <row r="744" spans="6:9" x14ac:dyDescent="0.25">
      <c r="F744" s="28"/>
      <c r="I744" s="28"/>
    </row>
    <row r="745" spans="6:9" x14ac:dyDescent="0.25">
      <c r="F745" s="28"/>
      <c r="I745" s="28"/>
    </row>
    <row r="746" spans="6:9" x14ac:dyDescent="0.25">
      <c r="F746" s="28"/>
      <c r="I746" s="28"/>
    </row>
    <row r="747" spans="6:9" x14ac:dyDescent="0.25">
      <c r="F747" s="28"/>
      <c r="I747" s="28"/>
    </row>
    <row r="748" spans="6:9" x14ac:dyDescent="0.25">
      <c r="F748" s="28"/>
      <c r="I748" s="28"/>
    </row>
    <row r="749" spans="6:9" x14ac:dyDescent="0.25">
      <c r="F749" s="28"/>
      <c r="I749" s="28"/>
    </row>
    <row r="750" spans="6:9" x14ac:dyDescent="0.25">
      <c r="F750" s="28"/>
      <c r="I750" s="28"/>
    </row>
    <row r="751" spans="6:9" x14ac:dyDescent="0.25">
      <c r="F751" s="28"/>
      <c r="I751" s="28"/>
    </row>
    <row r="752" spans="6:9" x14ac:dyDescent="0.25">
      <c r="F752" s="28"/>
      <c r="I752" s="28"/>
    </row>
    <row r="753" spans="6:9" x14ac:dyDescent="0.25">
      <c r="F753" s="28"/>
      <c r="I753" s="28"/>
    </row>
    <row r="754" spans="6:9" x14ac:dyDescent="0.25">
      <c r="F754" s="28"/>
      <c r="I754" s="28"/>
    </row>
    <row r="755" spans="6:9" x14ac:dyDescent="0.25">
      <c r="F755" s="28"/>
      <c r="I755" s="28"/>
    </row>
    <row r="756" spans="6:9" x14ac:dyDescent="0.25">
      <c r="F756" s="28"/>
      <c r="I756" s="28"/>
    </row>
    <row r="757" spans="6:9" x14ac:dyDescent="0.25">
      <c r="F757" s="28"/>
      <c r="I757" s="28"/>
    </row>
    <row r="758" spans="6:9" x14ac:dyDescent="0.25">
      <c r="F758" s="28"/>
      <c r="I758" s="28"/>
    </row>
    <row r="759" spans="6:9" x14ac:dyDescent="0.25">
      <c r="F759" s="28"/>
      <c r="I759" s="28"/>
    </row>
    <row r="760" spans="6:9" x14ac:dyDescent="0.25">
      <c r="F760" s="28"/>
      <c r="I760" s="28"/>
    </row>
    <row r="761" spans="6:9" x14ac:dyDescent="0.25">
      <c r="F761" s="28"/>
      <c r="I761" s="28"/>
    </row>
    <row r="762" spans="6:9" x14ac:dyDescent="0.25">
      <c r="F762" s="28"/>
      <c r="I762" s="28"/>
    </row>
    <row r="763" spans="6:9" x14ac:dyDescent="0.25">
      <c r="F763" s="28"/>
      <c r="I763" s="28"/>
    </row>
    <row r="764" spans="6:9" x14ac:dyDescent="0.25">
      <c r="F764" s="28"/>
      <c r="I764" s="28"/>
    </row>
    <row r="765" spans="6:9" x14ac:dyDescent="0.25">
      <c r="F765" s="28"/>
      <c r="I765" s="28"/>
    </row>
    <row r="766" spans="6:9" x14ac:dyDescent="0.25">
      <c r="F766" s="28"/>
      <c r="I766" s="28"/>
    </row>
    <row r="767" spans="6:9" x14ac:dyDescent="0.25">
      <c r="F767" s="28"/>
      <c r="I767" s="28"/>
    </row>
    <row r="768" spans="6:9" x14ac:dyDescent="0.25">
      <c r="F768" s="28"/>
      <c r="I768" s="28"/>
    </row>
    <row r="769" spans="6:9" x14ac:dyDescent="0.25">
      <c r="F769" s="28"/>
      <c r="I769" s="28"/>
    </row>
    <row r="770" spans="6:9" x14ac:dyDescent="0.25">
      <c r="F770" s="28"/>
      <c r="I770" s="28"/>
    </row>
    <row r="771" spans="6:9" x14ac:dyDescent="0.25">
      <c r="F771" s="28"/>
      <c r="I771" s="28"/>
    </row>
    <row r="772" spans="6:9" x14ac:dyDescent="0.25">
      <c r="F772" s="28"/>
      <c r="I772" s="28"/>
    </row>
    <row r="773" spans="6:9" x14ac:dyDescent="0.25">
      <c r="F773" s="28"/>
      <c r="I773" s="28"/>
    </row>
    <row r="774" spans="6:9" x14ac:dyDescent="0.25">
      <c r="F774" s="28"/>
      <c r="I774" s="28"/>
    </row>
    <row r="775" spans="6:9" x14ac:dyDescent="0.25">
      <c r="F775" s="28"/>
      <c r="I775" s="28"/>
    </row>
    <row r="776" spans="6:9" x14ac:dyDescent="0.25">
      <c r="F776" s="28"/>
      <c r="I776" s="28"/>
    </row>
    <row r="777" spans="6:9" x14ac:dyDescent="0.25">
      <c r="F777" s="28"/>
      <c r="I777" s="28"/>
    </row>
    <row r="778" spans="6:9" x14ac:dyDescent="0.25">
      <c r="F778" s="28"/>
      <c r="I778" s="28"/>
    </row>
    <row r="779" spans="6:9" x14ac:dyDescent="0.25">
      <c r="F779" s="28"/>
      <c r="I779" s="28"/>
    </row>
    <row r="780" spans="6:9" x14ac:dyDescent="0.25">
      <c r="F780" s="28"/>
      <c r="I780" s="28"/>
    </row>
    <row r="781" spans="6:9" x14ac:dyDescent="0.25">
      <c r="F781" s="28"/>
      <c r="I781" s="28"/>
    </row>
    <row r="782" spans="6:9" x14ac:dyDescent="0.25">
      <c r="F782" s="28"/>
      <c r="I782" s="28"/>
    </row>
    <row r="783" spans="6:9" x14ac:dyDescent="0.25">
      <c r="F783" s="28"/>
      <c r="I783" s="28"/>
    </row>
    <row r="784" spans="6:9" x14ac:dyDescent="0.25">
      <c r="F784" s="28"/>
      <c r="I784" s="28"/>
    </row>
    <row r="785" spans="6:9" x14ac:dyDescent="0.25">
      <c r="F785" s="28"/>
      <c r="I785" s="28"/>
    </row>
    <row r="786" spans="6:9" x14ac:dyDescent="0.25">
      <c r="F786" s="28"/>
      <c r="I786" s="28"/>
    </row>
    <row r="787" spans="6:9" x14ac:dyDescent="0.25">
      <c r="F787" s="28"/>
      <c r="I787" s="28"/>
    </row>
    <row r="788" spans="6:9" x14ac:dyDescent="0.25">
      <c r="F788" s="28"/>
      <c r="I788" s="28"/>
    </row>
    <row r="789" spans="6:9" x14ac:dyDescent="0.25">
      <c r="F789" s="28"/>
      <c r="I789" s="28"/>
    </row>
    <row r="790" spans="6:9" x14ac:dyDescent="0.25">
      <c r="F790" s="28"/>
      <c r="I790" s="28"/>
    </row>
    <row r="791" spans="6:9" x14ac:dyDescent="0.25">
      <c r="F791" s="28"/>
      <c r="I791" s="28"/>
    </row>
    <row r="792" spans="6:9" x14ac:dyDescent="0.25">
      <c r="F792" s="28"/>
      <c r="I792" s="28"/>
    </row>
    <row r="793" spans="6:9" x14ac:dyDescent="0.25">
      <c r="F793" s="28"/>
      <c r="I793" s="28"/>
    </row>
    <row r="794" spans="6:9" x14ac:dyDescent="0.25">
      <c r="F794" s="28"/>
      <c r="I794" s="28"/>
    </row>
    <row r="795" spans="6:9" x14ac:dyDescent="0.25">
      <c r="F795" s="28"/>
      <c r="I795" s="28"/>
    </row>
    <row r="796" spans="6:9" x14ac:dyDescent="0.25">
      <c r="F796" s="28"/>
      <c r="I796" s="28"/>
    </row>
    <row r="797" spans="6:9" x14ac:dyDescent="0.25">
      <c r="F797" s="28"/>
      <c r="I797" s="28"/>
    </row>
    <row r="798" spans="6:9" x14ac:dyDescent="0.25">
      <c r="F798" s="28"/>
      <c r="I798" s="28"/>
    </row>
    <row r="799" spans="6:9" x14ac:dyDescent="0.25">
      <c r="F799" s="28"/>
      <c r="I799" s="28"/>
    </row>
    <row r="800" spans="6:9" x14ac:dyDescent="0.25">
      <c r="F800" s="28"/>
      <c r="I800" s="28"/>
    </row>
    <row r="801" spans="6:9" x14ac:dyDescent="0.25">
      <c r="F801" s="28"/>
      <c r="I801" s="28"/>
    </row>
    <row r="802" spans="6:9" x14ac:dyDescent="0.25">
      <c r="F802" s="28"/>
      <c r="I802" s="28"/>
    </row>
    <row r="803" spans="6:9" x14ac:dyDescent="0.25">
      <c r="F803" s="28"/>
      <c r="I803" s="28"/>
    </row>
    <row r="804" spans="6:9" x14ac:dyDescent="0.25">
      <c r="F804" s="28"/>
      <c r="I804" s="28"/>
    </row>
    <row r="805" spans="6:9" x14ac:dyDescent="0.25">
      <c r="F805" s="28"/>
      <c r="I805" s="28"/>
    </row>
    <row r="806" spans="6:9" x14ac:dyDescent="0.25">
      <c r="F806" s="28"/>
      <c r="I806" s="28"/>
    </row>
    <row r="807" spans="6:9" x14ac:dyDescent="0.25">
      <c r="F807" s="28"/>
      <c r="I807" s="28"/>
    </row>
    <row r="808" spans="6:9" x14ac:dyDescent="0.25">
      <c r="F808" s="28"/>
      <c r="I808" s="28"/>
    </row>
    <row r="809" spans="6:9" x14ac:dyDescent="0.25">
      <c r="F809" s="28"/>
      <c r="I809" s="28"/>
    </row>
    <row r="810" spans="6:9" x14ac:dyDescent="0.25">
      <c r="F810" s="28"/>
      <c r="I810" s="28"/>
    </row>
    <row r="811" spans="6:9" x14ac:dyDescent="0.25">
      <c r="F811" s="28"/>
      <c r="I811" s="28"/>
    </row>
    <row r="812" spans="6:9" x14ac:dyDescent="0.25">
      <c r="F812" s="28"/>
      <c r="I812" s="28"/>
    </row>
    <row r="813" spans="6:9" x14ac:dyDescent="0.25">
      <c r="F813" s="28"/>
      <c r="I813" s="28"/>
    </row>
    <row r="814" spans="6:9" x14ac:dyDescent="0.25">
      <c r="F814" s="28"/>
      <c r="I814" s="28"/>
    </row>
    <row r="815" spans="6:9" x14ac:dyDescent="0.25">
      <c r="F815" s="28"/>
      <c r="I815" s="28"/>
    </row>
    <row r="816" spans="6:9" x14ac:dyDescent="0.25">
      <c r="F816" s="28"/>
      <c r="I816" s="28"/>
    </row>
    <row r="817" spans="6:9" x14ac:dyDescent="0.25">
      <c r="F817" s="28"/>
      <c r="I817" s="28"/>
    </row>
    <row r="818" spans="6:9" x14ac:dyDescent="0.25">
      <c r="F818" s="28"/>
      <c r="I818" s="28"/>
    </row>
    <row r="819" spans="6:9" x14ac:dyDescent="0.25">
      <c r="F819" s="28"/>
      <c r="I819" s="28"/>
    </row>
    <row r="820" spans="6:9" x14ac:dyDescent="0.25">
      <c r="F820" s="28"/>
      <c r="I820" s="28"/>
    </row>
    <row r="821" spans="6:9" x14ac:dyDescent="0.25">
      <c r="F821" s="28"/>
      <c r="I821" s="28"/>
    </row>
    <row r="822" spans="6:9" x14ac:dyDescent="0.25">
      <c r="F822" s="28"/>
      <c r="I822" s="28"/>
    </row>
    <row r="823" spans="6:9" x14ac:dyDescent="0.25">
      <c r="F823" s="28"/>
      <c r="I823" s="28"/>
    </row>
    <row r="824" spans="6:9" x14ac:dyDescent="0.25">
      <c r="F824" s="28"/>
      <c r="I824" s="28"/>
    </row>
    <row r="825" spans="6:9" x14ac:dyDescent="0.25">
      <c r="F825" s="28"/>
      <c r="I825" s="28"/>
    </row>
    <row r="826" spans="6:9" x14ac:dyDescent="0.25">
      <c r="F826" s="28"/>
      <c r="I826" s="28"/>
    </row>
    <row r="827" spans="6:9" x14ac:dyDescent="0.25">
      <c r="F827" s="28"/>
      <c r="I827" s="28"/>
    </row>
    <row r="828" spans="6:9" x14ac:dyDescent="0.25">
      <c r="F828" s="28"/>
      <c r="I828" s="28"/>
    </row>
    <row r="829" spans="6:9" x14ac:dyDescent="0.25">
      <c r="F829" s="28"/>
      <c r="I829" s="28"/>
    </row>
    <row r="830" spans="6:9" x14ac:dyDescent="0.25">
      <c r="F830" s="28"/>
      <c r="I830" s="28"/>
    </row>
    <row r="831" spans="6:9" x14ac:dyDescent="0.25">
      <c r="F831" s="28"/>
      <c r="I831" s="28"/>
    </row>
    <row r="832" spans="6:9" x14ac:dyDescent="0.25">
      <c r="F832" s="28"/>
      <c r="I832" s="28"/>
    </row>
    <row r="833" spans="6:9" x14ac:dyDescent="0.25">
      <c r="F833" s="28"/>
      <c r="I833" s="28"/>
    </row>
    <row r="834" spans="6:9" x14ac:dyDescent="0.25">
      <c r="F834" s="28"/>
      <c r="I834" s="28"/>
    </row>
    <row r="835" spans="6:9" x14ac:dyDescent="0.25">
      <c r="F835" s="28"/>
      <c r="I835" s="28"/>
    </row>
    <row r="836" spans="6:9" x14ac:dyDescent="0.25">
      <c r="F836" s="28"/>
      <c r="I836" s="28"/>
    </row>
    <row r="837" spans="6:9" x14ac:dyDescent="0.25">
      <c r="F837" s="28"/>
      <c r="I837" s="28"/>
    </row>
    <row r="838" spans="6:9" x14ac:dyDescent="0.25">
      <c r="F838" s="28"/>
      <c r="I838" s="28"/>
    </row>
    <row r="839" spans="6:9" x14ac:dyDescent="0.25">
      <c r="F839" s="28"/>
      <c r="I839" s="28"/>
    </row>
    <row r="840" spans="6:9" x14ac:dyDescent="0.25">
      <c r="F840" s="28"/>
      <c r="I840" s="28"/>
    </row>
    <row r="841" spans="6:9" x14ac:dyDescent="0.25">
      <c r="F841" s="28"/>
      <c r="I841" s="28"/>
    </row>
    <row r="842" spans="6:9" x14ac:dyDescent="0.25">
      <c r="F842" s="28"/>
      <c r="I842" s="28"/>
    </row>
    <row r="843" spans="6:9" x14ac:dyDescent="0.25">
      <c r="F843" s="28"/>
      <c r="I843" s="28"/>
    </row>
    <row r="844" spans="6:9" x14ac:dyDescent="0.25">
      <c r="F844" s="28"/>
      <c r="I844" s="28"/>
    </row>
    <row r="845" spans="6:9" x14ac:dyDescent="0.25">
      <c r="F845" s="28"/>
      <c r="I845" s="28"/>
    </row>
    <row r="846" spans="6:9" x14ac:dyDescent="0.25">
      <c r="F846" s="28"/>
      <c r="I846" s="28"/>
    </row>
    <row r="847" spans="6:9" x14ac:dyDescent="0.25">
      <c r="F847" s="28"/>
      <c r="I847" s="28"/>
    </row>
    <row r="848" spans="6:9" x14ac:dyDescent="0.25">
      <c r="F848" s="28"/>
      <c r="I848" s="28"/>
    </row>
    <row r="849" spans="6:9" x14ac:dyDescent="0.25">
      <c r="F849" s="28"/>
      <c r="I849" s="28"/>
    </row>
    <row r="850" spans="6:9" x14ac:dyDescent="0.25">
      <c r="F850" s="28"/>
      <c r="I850" s="28"/>
    </row>
    <row r="851" spans="6:9" x14ac:dyDescent="0.25">
      <c r="F851" s="28"/>
      <c r="I851" s="28"/>
    </row>
    <row r="852" spans="6:9" x14ac:dyDescent="0.25">
      <c r="F852" s="28"/>
      <c r="I852" s="28"/>
    </row>
    <row r="853" spans="6:9" x14ac:dyDescent="0.25">
      <c r="F853" s="28"/>
      <c r="I853" s="28"/>
    </row>
    <row r="854" spans="6:9" x14ac:dyDescent="0.25">
      <c r="F854" s="28"/>
      <c r="I854" s="28"/>
    </row>
    <row r="855" spans="6:9" x14ac:dyDescent="0.25">
      <c r="F855" s="28"/>
      <c r="I855" s="28"/>
    </row>
    <row r="856" spans="6:9" x14ac:dyDescent="0.25">
      <c r="F856" s="28"/>
      <c r="I856" s="28"/>
    </row>
    <row r="857" spans="6:9" x14ac:dyDescent="0.25">
      <c r="F857" s="28"/>
      <c r="I857" s="28"/>
    </row>
    <row r="858" spans="6:9" x14ac:dyDescent="0.25">
      <c r="F858" s="28"/>
      <c r="I858" s="28"/>
    </row>
    <row r="859" spans="6:9" x14ac:dyDescent="0.25">
      <c r="F859" s="28"/>
      <c r="I859" s="28"/>
    </row>
    <row r="860" spans="6:9" x14ac:dyDescent="0.25">
      <c r="F860" s="28"/>
      <c r="I860" s="28"/>
    </row>
    <row r="861" spans="6:9" x14ac:dyDescent="0.25">
      <c r="F861" s="28"/>
      <c r="I861" s="28"/>
    </row>
    <row r="862" spans="6:9" x14ac:dyDescent="0.25">
      <c r="F862" s="28"/>
      <c r="I862" s="28"/>
    </row>
    <row r="863" spans="6:9" x14ac:dyDescent="0.25">
      <c r="F863" s="28"/>
      <c r="I863" s="28"/>
    </row>
    <row r="864" spans="6:9" x14ac:dyDescent="0.25">
      <c r="F864" s="28"/>
      <c r="I864" s="28"/>
    </row>
    <row r="865" spans="6:9" x14ac:dyDescent="0.25">
      <c r="F865" s="28"/>
      <c r="I865" s="28"/>
    </row>
    <row r="866" spans="6:9" x14ac:dyDescent="0.25">
      <c r="F866" s="28"/>
      <c r="I866" s="28"/>
    </row>
    <row r="867" spans="6:9" x14ac:dyDescent="0.25">
      <c r="F867" s="28"/>
      <c r="I867" s="28"/>
    </row>
    <row r="868" spans="6:9" x14ac:dyDescent="0.25">
      <c r="F868" s="28"/>
      <c r="I868" s="28"/>
    </row>
    <row r="869" spans="6:9" x14ac:dyDescent="0.25">
      <c r="F869" s="28"/>
      <c r="I869" s="28"/>
    </row>
    <row r="870" spans="6:9" x14ac:dyDescent="0.25">
      <c r="F870" s="28"/>
      <c r="I870" s="28"/>
    </row>
    <row r="871" spans="6:9" x14ac:dyDescent="0.25">
      <c r="F871" s="28"/>
      <c r="I871" s="28"/>
    </row>
    <row r="872" spans="6:9" x14ac:dyDescent="0.25">
      <c r="F872" s="28"/>
      <c r="I872" s="28"/>
    </row>
    <row r="873" spans="6:9" x14ac:dyDescent="0.25">
      <c r="F873" s="28"/>
      <c r="I873" s="28"/>
    </row>
    <row r="874" spans="6:9" x14ac:dyDescent="0.25">
      <c r="F874" s="28"/>
      <c r="I874" s="28"/>
    </row>
    <row r="875" spans="6:9" x14ac:dyDescent="0.25">
      <c r="F875" s="28"/>
      <c r="I875" s="28"/>
    </row>
    <row r="876" spans="6:9" x14ac:dyDescent="0.25">
      <c r="F876" s="28"/>
      <c r="I876" s="28"/>
    </row>
    <row r="877" spans="6:9" x14ac:dyDescent="0.25">
      <c r="F877" s="28"/>
      <c r="I877" s="28"/>
    </row>
    <row r="878" spans="6:9" x14ac:dyDescent="0.25">
      <c r="F878" s="28"/>
      <c r="I878" s="28"/>
    </row>
    <row r="879" spans="6:9" x14ac:dyDescent="0.25">
      <c r="F879" s="28"/>
      <c r="I879" s="28"/>
    </row>
    <row r="880" spans="6:9" x14ac:dyDescent="0.25">
      <c r="F880" s="28"/>
      <c r="I880" s="28"/>
    </row>
    <row r="881" spans="6:9" x14ac:dyDescent="0.25">
      <c r="F881" s="28"/>
      <c r="I881" s="28"/>
    </row>
    <row r="882" spans="6:9" x14ac:dyDescent="0.25">
      <c r="F882" s="28"/>
      <c r="I882" s="28"/>
    </row>
    <row r="883" spans="6:9" x14ac:dyDescent="0.25">
      <c r="F883" s="28"/>
      <c r="I883" s="28"/>
    </row>
    <row r="884" spans="6:9" x14ac:dyDescent="0.25">
      <c r="F884" s="28"/>
      <c r="I884" s="28"/>
    </row>
    <row r="885" spans="6:9" x14ac:dyDescent="0.25">
      <c r="F885" s="28"/>
      <c r="I885" s="28"/>
    </row>
    <row r="886" spans="6:9" x14ac:dyDescent="0.25">
      <c r="F886" s="28"/>
      <c r="I886" s="28"/>
    </row>
    <row r="887" spans="6:9" x14ac:dyDescent="0.25">
      <c r="F887" s="28"/>
      <c r="I887" s="28"/>
    </row>
    <row r="888" spans="6:9" x14ac:dyDescent="0.25">
      <c r="F888" s="28"/>
      <c r="I888" s="28"/>
    </row>
    <row r="889" spans="6:9" x14ac:dyDescent="0.25">
      <c r="F889" s="28"/>
      <c r="I889" s="28"/>
    </row>
    <row r="890" spans="6:9" x14ac:dyDescent="0.25">
      <c r="F890" s="28"/>
      <c r="I890" s="28"/>
    </row>
    <row r="891" spans="6:9" x14ac:dyDescent="0.25">
      <c r="F891" s="28"/>
      <c r="I891" s="28"/>
    </row>
    <row r="892" spans="6:9" x14ac:dyDescent="0.25">
      <c r="F892" s="28"/>
      <c r="I892" s="28"/>
    </row>
    <row r="893" spans="6:9" x14ac:dyDescent="0.25">
      <c r="F893" s="28"/>
      <c r="I893" s="28"/>
    </row>
    <row r="894" spans="6:9" x14ac:dyDescent="0.25">
      <c r="F894" s="28"/>
      <c r="I894" s="28"/>
    </row>
    <row r="895" spans="6:9" x14ac:dyDescent="0.25">
      <c r="F895" s="28"/>
      <c r="I895" s="28"/>
    </row>
    <row r="896" spans="6:9" x14ac:dyDescent="0.25">
      <c r="F896" s="28"/>
      <c r="I896" s="28"/>
    </row>
    <row r="897" spans="6:9" x14ac:dyDescent="0.25">
      <c r="F897" s="28"/>
      <c r="I897" s="28"/>
    </row>
    <row r="898" spans="6:9" x14ac:dyDescent="0.25">
      <c r="F898" s="28"/>
      <c r="I898" s="28"/>
    </row>
    <row r="899" spans="6:9" x14ac:dyDescent="0.25">
      <c r="F899" s="28"/>
      <c r="I899" s="28"/>
    </row>
    <row r="900" spans="6:9" x14ac:dyDescent="0.25">
      <c r="F900" s="28"/>
      <c r="I900" s="28"/>
    </row>
    <row r="901" spans="6:9" x14ac:dyDescent="0.25">
      <c r="F901" s="28"/>
      <c r="I901" s="28"/>
    </row>
    <row r="902" spans="6:9" x14ac:dyDescent="0.25">
      <c r="F902" s="28"/>
      <c r="I902" s="28"/>
    </row>
    <row r="903" spans="6:9" x14ac:dyDescent="0.25">
      <c r="F903" s="28"/>
      <c r="I903" s="28"/>
    </row>
    <row r="904" spans="6:9" x14ac:dyDescent="0.25">
      <c r="F904" s="28"/>
      <c r="I904" s="28"/>
    </row>
    <row r="905" spans="6:9" x14ac:dyDescent="0.25">
      <c r="F905" s="28"/>
      <c r="I905" s="28"/>
    </row>
    <row r="906" spans="6:9" x14ac:dyDescent="0.25">
      <c r="F906" s="28"/>
      <c r="I906" s="28"/>
    </row>
    <row r="907" spans="6:9" x14ac:dyDescent="0.25">
      <c r="F907" s="28"/>
      <c r="I907" s="28"/>
    </row>
    <row r="908" spans="6:9" x14ac:dyDescent="0.25">
      <c r="F908" s="28"/>
      <c r="I908" s="28"/>
    </row>
    <row r="909" spans="6:9" x14ac:dyDescent="0.25">
      <c r="F909" s="28"/>
      <c r="I909" s="28"/>
    </row>
    <row r="910" spans="6:9" x14ac:dyDescent="0.25">
      <c r="F910" s="28"/>
      <c r="I910" s="28"/>
    </row>
    <row r="911" spans="6:9" x14ac:dyDescent="0.25">
      <c r="F911" s="28"/>
      <c r="I911" s="28"/>
    </row>
    <row r="912" spans="6:9" x14ac:dyDescent="0.25">
      <c r="F912" s="28"/>
      <c r="I912" s="28"/>
    </row>
    <row r="913" spans="6:9" x14ac:dyDescent="0.25">
      <c r="F913" s="28"/>
      <c r="I913" s="28"/>
    </row>
    <row r="914" spans="6:9" x14ac:dyDescent="0.25">
      <c r="F914" s="28"/>
      <c r="I914" s="28"/>
    </row>
    <row r="915" spans="6:9" x14ac:dyDescent="0.25">
      <c r="F915" s="28"/>
      <c r="I915" s="28"/>
    </row>
    <row r="916" spans="6:9" x14ac:dyDescent="0.25">
      <c r="F916" s="28"/>
      <c r="I916" s="28"/>
    </row>
    <row r="917" spans="6:9" x14ac:dyDescent="0.25">
      <c r="F917" s="28"/>
      <c r="I917" s="28"/>
    </row>
    <row r="918" spans="6:9" x14ac:dyDescent="0.25">
      <c r="F918" s="28"/>
      <c r="I918" s="28"/>
    </row>
    <row r="919" spans="6:9" x14ac:dyDescent="0.25">
      <c r="F919" s="28"/>
      <c r="I919" s="28"/>
    </row>
    <row r="920" spans="6:9" x14ac:dyDescent="0.25">
      <c r="F920" s="28"/>
      <c r="I920" s="28"/>
    </row>
    <row r="921" spans="6:9" x14ac:dyDescent="0.25">
      <c r="F921" s="28"/>
      <c r="I921" s="28"/>
    </row>
    <row r="922" spans="6:9" x14ac:dyDescent="0.25">
      <c r="F922" s="28"/>
      <c r="I922" s="28"/>
    </row>
    <row r="923" spans="6:9" x14ac:dyDescent="0.25">
      <c r="F923" s="28"/>
      <c r="I923" s="28"/>
    </row>
    <row r="924" spans="6:9" x14ac:dyDescent="0.25">
      <c r="F924" s="28"/>
      <c r="I924" s="28"/>
    </row>
    <row r="925" spans="6:9" x14ac:dyDescent="0.25">
      <c r="F925" s="28"/>
      <c r="I925" s="28"/>
    </row>
    <row r="926" spans="6:9" x14ac:dyDescent="0.25">
      <c r="F926" s="28"/>
      <c r="I926" s="28"/>
    </row>
    <row r="927" spans="6:9" x14ac:dyDescent="0.25">
      <c r="F927" s="28"/>
      <c r="I927" s="28"/>
    </row>
    <row r="928" spans="6:9" x14ac:dyDescent="0.25">
      <c r="F928" s="28"/>
      <c r="I928" s="28"/>
    </row>
    <row r="929" spans="6:9" x14ac:dyDescent="0.25">
      <c r="F929" s="28"/>
      <c r="I929" s="28"/>
    </row>
    <row r="930" spans="6:9" x14ac:dyDescent="0.25">
      <c r="F930" s="28"/>
      <c r="I930" s="28"/>
    </row>
    <row r="931" spans="6:9" x14ac:dyDescent="0.25">
      <c r="F931" s="28"/>
      <c r="I931" s="28"/>
    </row>
    <row r="932" spans="6:9" x14ac:dyDescent="0.25">
      <c r="F932" s="28"/>
      <c r="I932" s="28"/>
    </row>
    <row r="933" spans="6:9" x14ac:dyDescent="0.25">
      <c r="F933" s="28"/>
      <c r="I933" s="28"/>
    </row>
    <row r="934" spans="6:9" x14ac:dyDescent="0.25">
      <c r="F934" s="28"/>
      <c r="I934" s="28"/>
    </row>
    <row r="935" spans="6:9" x14ac:dyDescent="0.25">
      <c r="F935" s="28"/>
      <c r="I935" s="28"/>
    </row>
    <row r="936" spans="6:9" x14ac:dyDescent="0.25">
      <c r="F936" s="28"/>
      <c r="I936" s="28"/>
    </row>
    <row r="937" spans="6:9" x14ac:dyDescent="0.25">
      <c r="F937" s="28"/>
      <c r="I937" s="28"/>
    </row>
    <row r="938" spans="6:9" x14ac:dyDescent="0.25">
      <c r="F938" s="28"/>
      <c r="I938" s="28"/>
    </row>
    <row r="939" spans="6:9" x14ac:dyDescent="0.25">
      <c r="F939" s="28"/>
      <c r="I939" s="28"/>
    </row>
    <row r="940" spans="6:9" x14ac:dyDescent="0.25">
      <c r="F940" s="28"/>
      <c r="I940" s="28"/>
    </row>
    <row r="941" spans="6:9" x14ac:dyDescent="0.25">
      <c r="F941" s="28"/>
      <c r="I941" s="28"/>
    </row>
    <row r="942" spans="6:9" x14ac:dyDescent="0.25">
      <c r="F942" s="28"/>
      <c r="I942" s="28"/>
    </row>
    <row r="943" spans="6:9" x14ac:dyDescent="0.25">
      <c r="F943" s="28"/>
      <c r="I943" s="28"/>
    </row>
    <row r="944" spans="6:9" x14ac:dyDescent="0.25">
      <c r="F944" s="28"/>
      <c r="I944" s="28"/>
    </row>
    <row r="945" spans="6:9" x14ac:dyDescent="0.25">
      <c r="F945" s="28"/>
      <c r="I945" s="28"/>
    </row>
    <row r="946" spans="6:9" x14ac:dyDescent="0.25">
      <c r="F946" s="28"/>
      <c r="I946" s="28"/>
    </row>
    <row r="947" spans="6:9" x14ac:dyDescent="0.25">
      <c r="F947" s="28"/>
      <c r="I947" s="28"/>
    </row>
    <row r="948" spans="6:9" x14ac:dyDescent="0.25">
      <c r="F948" s="28"/>
      <c r="I948" s="28"/>
    </row>
    <row r="949" spans="6:9" x14ac:dyDescent="0.25">
      <c r="F949" s="28"/>
      <c r="I949" s="28"/>
    </row>
    <row r="950" spans="6:9" x14ac:dyDescent="0.25">
      <c r="F950" s="28"/>
      <c r="I950" s="28"/>
    </row>
    <row r="951" spans="6:9" x14ac:dyDescent="0.25">
      <c r="F951" s="28"/>
      <c r="I951" s="28"/>
    </row>
    <row r="952" spans="6:9" x14ac:dyDescent="0.25">
      <c r="F952" s="28"/>
      <c r="I952" s="28"/>
    </row>
    <row r="953" spans="6:9" x14ac:dyDescent="0.25">
      <c r="F953" s="28"/>
      <c r="I953" s="28"/>
    </row>
    <row r="954" spans="6:9" x14ac:dyDescent="0.25">
      <c r="F954" s="28"/>
      <c r="I954" s="28"/>
    </row>
    <row r="955" spans="6:9" x14ac:dyDescent="0.25">
      <c r="F955" s="28"/>
      <c r="I955" s="28"/>
    </row>
    <row r="956" spans="6:9" x14ac:dyDescent="0.25">
      <c r="F956" s="28"/>
      <c r="I956" s="28"/>
    </row>
    <row r="957" spans="6:9" x14ac:dyDescent="0.25">
      <c r="F957" s="28"/>
      <c r="I957" s="28"/>
    </row>
    <row r="958" spans="6:9" x14ac:dyDescent="0.25">
      <c r="F958" s="28"/>
      <c r="I958" s="28"/>
    </row>
    <row r="959" spans="6:9" x14ac:dyDescent="0.25">
      <c r="F959" s="28"/>
      <c r="I959" s="28"/>
    </row>
    <row r="960" spans="6:9" x14ac:dyDescent="0.25">
      <c r="F960" s="28"/>
      <c r="I960" s="28"/>
    </row>
    <row r="961" spans="6:9" x14ac:dyDescent="0.25">
      <c r="F961" s="28"/>
      <c r="I961" s="28"/>
    </row>
    <row r="962" spans="6:9" x14ac:dyDescent="0.25">
      <c r="F962" s="28"/>
      <c r="I962" s="28"/>
    </row>
    <row r="963" spans="6:9" x14ac:dyDescent="0.25">
      <c r="F963" s="28"/>
      <c r="I963" s="28"/>
    </row>
    <row r="964" spans="6:9" x14ac:dyDescent="0.25">
      <c r="F964" s="28"/>
      <c r="I964" s="28"/>
    </row>
    <row r="965" spans="6:9" x14ac:dyDescent="0.25">
      <c r="F965" s="28"/>
      <c r="I965" s="28"/>
    </row>
    <row r="966" spans="6:9" x14ac:dyDescent="0.25">
      <c r="F966" s="28"/>
      <c r="I966" s="28"/>
    </row>
    <row r="967" spans="6:9" x14ac:dyDescent="0.25">
      <c r="F967" s="28"/>
      <c r="I967" s="28"/>
    </row>
    <row r="968" spans="6:9" x14ac:dyDescent="0.25">
      <c r="F968" s="28"/>
      <c r="I968" s="28"/>
    </row>
    <row r="969" spans="6:9" x14ac:dyDescent="0.25">
      <c r="F969" s="28"/>
      <c r="I969" s="28"/>
    </row>
    <row r="970" spans="6:9" x14ac:dyDescent="0.25">
      <c r="F970" s="28"/>
      <c r="I970" s="28"/>
    </row>
    <row r="971" spans="6:9" x14ac:dyDescent="0.25">
      <c r="F971" s="28"/>
      <c r="I971" s="28"/>
    </row>
    <row r="972" spans="6:9" x14ac:dyDescent="0.25">
      <c r="F972" s="28"/>
      <c r="I972" s="28"/>
    </row>
    <row r="973" spans="6:9" x14ac:dyDescent="0.25">
      <c r="F973" s="28"/>
      <c r="I973" s="28"/>
    </row>
    <row r="974" spans="6:9" x14ac:dyDescent="0.25">
      <c r="F974" s="28"/>
      <c r="I974" s="28"/>
    </row>
    <row r="975" spans="6:9" x14ac:dyDescent="0.25">
      <c r="F975" s="28"/>
      <c r="I975" s="28"/>
    </row>
    <row r="976" spans="6:9" x14ac:dyDescent="0.25">
      <c r="F976" s="28"/>
      <c r="I976" s="28"/>
    </row>
    <row r="977" spans="6:9" x14ac:dyDescent="0.25">
      <c r="F977" s="28"/>
      <c r="I977" s="28"/>
    </row>
    <row r="978" spans="6:9" x14ac:dyDescent="0.25">
      <c r="F978" s="28"/>
      <c r="I978" s="28"/>
    </row>
    <row r="979" spans="6:9" x14ac:dyDescent="0.25">
      <c r="F979" s="28"/>
      <c r="I979" s="28"/>
    </row>
    <row r="980" spans="6:9" x14ac:dyDescent="0.25">
      <c r="F980" s="28"/>
      <c r="I980" s="28"/>
    </row>
    <row r="981" spans="6:9" x14ac:dyDescent="0.25">
      <c r="F981" s="28"/>
      <c r="I981" s="28"/>
    </row>
    <row r="982" spans="6:9" x14ac:dyDescent="0.25">
      <c r="F982" s="28"/>
      <c r="I982" s="28"/>
    </row>
    <row r="983" spans="6:9" x14ac:dyDescent="0.25">
      <c r="F983" s="28"/>
      <c r="I983" s="28"/>
    </row>
    <row r="984" spans="6:9" x14ac:dyDescent="0.25">
      <c r="F984" s="28"/>
      <c r="I984" s="28"/>
    </row>
    <row r="985" spans="6:9" x14ac:dyDescent="0.25">
      <c r="F985" s="28"/>
      <c r="I985" s="28"/>
    </row>
    <row r="986" spans="6:9" x14ac:dyDescent="0.25">
      <c r="F986" s="28"/>
      <c r="I986" s="28"/>
    </row>
    <row r="987" spans="6:9" x14ac:dyDescent="0.25">
      <c r="F987" s="28"/>
      <c r="I987" s="28"/>
    </row>
    <row r="988" spans="6:9" x14ac:dyDescent="0.25">
      <c r="F988" s="28"/>
      <c r="I988" s="28"/>
    </row>
    <row r="989" spans="6:9" x14ac:dyDescent="0.25">
      <c r="F989" s="28"/>
      <c r="I989" s="28"/>
    </row>
    <row r="990" spans="6:9" x14ac:dyDescent="0.25">
      <c r="F990" s="28"/>
      <c r="I990" s="28"/>
    </row>
    <row r="991" spans="6:9" x14ac:dyDescent="0.25">
      <c r="F991" s="28"/>
      <c r="I991" s="28"/>
    </row>
    <row r="992" spans="6:9" x14ac:dyDescent="0.25">
      <c r="F992" s="28"/>
      <c r="I992" s="28"/>
    </row>
    <row r="993" spans="6:9" x14ac:dyDescent="0.25">
      <c r="F993" s="28"/>
      <c r="I993" s="28"/>
    </row>
    <row r="994" spans="6:9" x14ac:dyDescent="0.25">
      <c r="F994" s="28"/>
      <c r="I994" s="28"/>
    </row>
    <row r="995" spans="6:9" x14ac:dyDescent="0.25">
      <c r="F995" s="28"/>
      <c r="I995" s="28"/>
    </row>
    <row r="996" spans="6:9" x14ac:dyDescent="0.25">
      <c r="F996" s="28"/>
      <c r="I996" s="28"/>
    </row>
    <row r="997" spans="6:9" x14ac:dyDescent="0.25">
      <c r="F997" s="28"/>
      <c r="I997" s="28"/>
    </row>
    <row r="998" spans="6:9" x14ac:dyDescent="0.25">
      <c r="F998" s="28"/>
      <c r="I998" s="28"/>
    </row>
    <row r="999" spans="6:9" x14ac:dyDescent="0.25">
      <c r="F999" s="28"/>
      <c r="I999" s="28"/>
    </row>
    <row r="1000" spans="6:9" x14ac:dyDescent="0.25">
      <c r="F1000" s="28"/>
      <c r="I1000" s="28"/>
    </row>
    <row r="1001" spans="6:9" x14ac:dyDescent="0.25">
      <c r="F1001" s="28"/>
      <c r="I1001" s="28"/>
    </row>
    <row r="1002" spans="6:9" x14ac:dyDescent="0.25">
      <c r="F1002" s="28"/>
      <c r="I1002" s="28"/>
    </row>
    <row r="1003" spans="6:9" x14ac:dyDescent="0.25">
      <c r="F1003" s="28"/>
      <c r="I1003" s="28"/>
    </row>
    <row r="1004" spans="6:9" x14ac:dyDescent="0.25">
      <c r="F1004" s="28"/>
      <c r="I1004" s="28"/>
    </row>
    <row r="1005" spans="6:9" x14ac:dyDescent="0.25">
      <c r="F1005" s="28"/>
      <c r="I1005" s="28"/>
    </row>
    <row r="1006" spans="6:9" x14ac:dyDescent="0.25">
      <c r="F1006" s="28"/>
      <c r="I1006" s="28"/>
    </row>
    <row r="1007" spans="6:9" x14ac:dyDescent="0.25">
      <c r="F1007" s="28"/>
      <c r="I1007" s="28"/>
    </row>
    <row r="1008" spans="6:9" x14ac:dyDescent="0.25">
      <c r="F1008" s="28"/>
      <c r="I1008" s="28"/>
    </row>
    <row r="1009" spans="6:9" x14ac:dyDescent="0.25">
      <c r="F1009" s="28"/>
      <c r="I1009" s="28"/>
    </row>
    <row r="1010" spans="6:9" x14ac:dyDescent="0.25">
      <c r="F1010" s="28"/>
      <c r="I1010" s="28"/>
    </row>
    <row r="1011" spans="6:9" x14ac:dyDescent="0.25">
      <c r="F1011" s="28"/>
      <c r="I1011" s="28"/>
    </row>
    <row r="1012" spans="6:9" x14ac:dyDescent="0.25">
      <c r="F1012" s="28"/>
      <c r="I1012" s="28"/>
    </row>
    <row r="1013" spans="6:9" x14ac:dyDescent="0.25">
      <c r="F1013" s="28"/>
      <c r="I1013" s="28"/>
    </row>
    <row r="1014" spans="6:9" x14ac:dyDescent="0.25">
      <c r="F1014" s="28"/>
      <c r="I1014" s="28"/>
    </row>
    <row r="1015" spans="6:9" x14ac:dyDescent="0.25">
      <c r="F1015" s="28"/>
      <c r="I1015" s="28"/>
    </row>
    <row r="1016" spans="6:9" x14ac:dyDescent="0.25">
      <c r="F1016" s="28"/>
      <c r="I1016" s="28"/>
    </row>
    <row r="1017" spans="6:9" x14ac:dyDescent="0.25">
      <c r="F1017" s="28"/>
      <c r="I1017" s="28"/>
    </row>
    <row r="1018" spans="6:9" x14ac:dyDescent="0.25">
      <c r="F1018" s="28"/>
      <c r="I1018" s="28"/>
    </row>
    <row r="1019" spans="6:9" x14ac:dyDescent="0.25">
      <c r="F1019" s="28"/>
      <c r="I1019" s="28"/>
    </row>
    <row r="1020" spans="6:9" x14ac:dyDescent="0.25">
      <c r="F1020" s="28"/>
      <c r="I1020" s="28"/>
    </row>
    <row r="1021" spans="6:9" x14ac:dyDescent="0.25">
      <c r="F1021" s="28"/>
      <c r="I1021" s="28"/>
    </row>
    <row r="1022" spans="6:9" x14ac:dyDescent="0.25">
      <c r="F1022" s="28"/>
      <c r="I1022" s="28"/>
    </row>
    <row r="1023" spans="6:9" x14ac:dyDescent="0.25">
      <c r="F1023" s="28"/>
      <c r="I1023" s="28"/>
    </row>
    <row r="1024" spans="6:9" x14ac:dyDescent="0.25">
      <c r="F1024" s="28"/>
      <c r="I1024" s="28"/>
    </row>
    <row r="1025" spans="6:9" x14ac:dyDescent="0.25">
      <c r="F1025" s="28"/>
      <c r="I1025" s="28"/>
    </row>
    <row r="1026" spans="6:9" x14ac:dyDescent="0.25">
      <c r="F1026" s="28"/>
      <c r="I1026" s="28"/>
    </row>
    <row r="1027" spans="6:9" x14ac:dyDescent="0.25">
      <c r="F1027" s="28"/>
      <c r="I1027" s="28"/>
    </row>
    <row r="1028" spans="6:9" x14ac:dyDescent="0.25">
      <c r="F1028" s="28"/>
      <c r="I1028" s="28"/>
    </row>
    <row r="1029" spans="6:9" x14ac:dyDescent="0.25">
      <c r="F1029" s="28"/>
      <c r="I1029" s="28"/>
    </row>
    <row r="1030" spans="6:9" x14ac:dyDescent="0.25">
      <c r="F1030" s="28"/>
      <c r="I1030" s="28"/>
    </row>
    <row r="1031" spans="6:9" x14ac:dyDescent="0.25">
      <c r="F1031" s="28"/>
      <c r="I1031" s="28"/>
    </row>
    <row r="1032" spans="6:9" x14ac:dyDescent="0.25">
      <c r="F1032" s="28"/>
      <c r="I1032" s="28"/>
    </row>
    <row r="1033" spans="6:9" x14ac:dyDescent="0.25">
      <c r="F1033" s="28"/>
      <c r="I1033" s="28"/>
    </row>
    <row r="1034" spans="6:9" x14ac:dyDescent="0.25">
      <c r="F1034" s="28"/>
      <c r="I1034" s="28"/>
    </row>
    <row r="1035" spans="6:9" x14ac:dyDescent="0.25">
      <c r="F1035" s="28"/>
      <c r="I1035" s="28"/>
    </row>
    <row r="1036" spans="6:9" x14ac:dyDescent="0.25">
      <c r="F1036" s="28"/>
      <c r="I1036" s="28"/>
    </row>
    <row r="1037" spans="6:9" x14ac:dyDescent="0.25">
      <c r="F1037" s="28"/>
      <c r="I1037" s="28"/>
    </row>
    <row r="1038" spans="6:9" x14ac:dyDescent="0.25">
      <c r="F1038" s="28"/>
      <c r="I1038" s="28"/>
    </row>
    <row r="1039" spans="6:9" x14ac:dyDescent="0.25">
      <c r="F1039" s="28"/>
      <c r="I1039" s="28"/>
    </row>
    <row r="1040" spans="6:9" x14ac:dyDescent="0.25">
      <c r="F1040" s="28"/>
      <c r="I1040" s="28"/>
    </row>
    <row r="1041" spans="6:9" x14ac:dyDescent="0.25">
      <c r="F1041" s="28"/>
      <c r="I1041" s="28"/>
    </row>
    <row r="1042" spans="6:9" x14ac:dyDescent="0.25">
      <c r="F1042" s="28"/>
      <c r="I1042" s="28"/>
    </row>
    <row r="1043" spans="6:9" x14ac:dyDescent="0.25">
      <c r="F1043" s="28"/>
      <c r="I1043" s="28"/>
    </row>
    <row r="1044" spans="6:9" x14ac:dyDescent="0.25">
      <c r="F1044" s="28"/>
      <c r="I1044" s="28"/>
    </row>
    <row r="1045" spans="6:9" x14ac:dyDescent="0.25">
      <c r="F1045" s="28"/>
      <c r="I1045" s="28"/>
    </row>
    <row r="1046" spans="6:9" x14ac:dyDescent="0.25">
      <c r="F1046" s="28"/>
      <c r="I1046" s="28"/>
    </row>
    <row r="1047" spans="6:9" x14ac:dyDescent="0.25">
      <c r="F1047" s="28"/>
      <c r="I1047" s="28"/>
    </row>
    <row r="1048" spans="6:9" x14ac:dyDescent="0.25">
      <c r="F1048" s="28"/>
      <c r="I1048" s="28"/>
    </row>
    <row r="1049" spans="6:9" x14ac:dyDescent="0.25">
      <c r="F1049" s="28"/>
      <c r="I1049" s="28"/>
    </row>
    <row r="1050" spans="6:9" x14ac:dyDescent="0.25">
      <c r="F1050" s="28"/>
      <c r="I1050" s="28"/>
    </row>
    <row r="1051" spans="6:9" x14ac:dyDescent="0.25">
      <c r="F1051" s="28"/>
      <c r="I1051" s="28"/>
    </row>
    <row r="1052" spans="6:9" x14ac:dyDescent="0.25">
      <c r="F1052" s="28"/>
      <c r="I1052" s="28"/>
    </row>
    <row r="1053" spans="6:9" x14ac:dyDescent="0.25">
      <c r="F1053" s="28"/>
      <c r="I1053" s="28"/>
    </row>
    <row r="1054" spans="6:9" x14ac:dyDescent="0.25">
      <c r="F1054" s="28"/>
      <c r="I1054" s="28"/>
    </row>
    <row r="1055" spans="6:9" x14ac:dyDescent="0.25">
      <c r="F1055" s="28"/>
      <c r="I1055" s="28"/>
    </row>
    <row r="1056" spans="6:9" x14ac:dyDescent="0.25">
      <c r="F1056" s="28"/>
      <c r="I1056" s="28"/>
    </row>
    <row r="1057" spans="6:9" x14ac:dyDescent="0.25">
      <c r="F1057" s="28"/>
      <c r="I1057" s="28"/>
    </row>
    <row r="1058" spans="6:9" x14ac:dyDescent="0.25">
      <c r="F1058" s="28"/>
      <c r="I1058" s="28"/>
    </row>
    <row r="1059" spans="6:9" x14ac:dyDescent="0.25">
      <c r="F1059" s="28"/>
      <c r="I1059" s="28"/>
    </row>
    <row r="1060" spans="6:9" x14ac:dyDescent="0.25">
      <c r="F1060" s="28"/>
      <c r="I1060" s="28"/>
    </row>
    <row r="1061" spans="6:9" x14ac:dyDescent="0.25">
      <c r="F1061" s="28"/>
      <c r="I1061" s="28"/>
    </row>
    <row r="1062" spans="6:9" x14ac:dyDescent="0.25">
      <c r="F1062" s="28"/>
      <c r="I1062" s="28"/>
    </row>
    <row r="1063" spans="6:9" x14ac:dyDescent="0.25">
      <c r="F1063" s="28"/>
      <c r="I1063" s="28"/>
    </row>
    <row r="1064" spans="6:9" x14ac:dyDescent="0.25">
      <c r="F1064" s="28"/>
      <c r="I1064" s="28"/>
    </row>
    <row r="1065" spans="6:9" x14ac:dyDescent="0.25">
      <c r="F1065" s="28"/>
      <c r="I1065" s="28"/>
    </row>
    <row r="1066" spans="6:9" x14ac:dyDescent="0.25">
      <c r="F1066" s="28"/>
      <c r="I1066" s="28"/>
    </row>
    <row r="1067" spans="6:9" x14ac:dyDescent="0.25">
      <c r="F1067" s="28"/>
      <c r="I1067" s="28"/>
    </row>
    <row r="1068" spans="6:9" x14ac:dyDescent="0.25">
      <c r="F1068" s="28"/>
      <c r="I1068" s="28"/>
    </row>
    <row r="1069" spans="6:9" x14ac:dyDescent="0.25">
      <c r="F1069" s="28"/>
      <c r="I1069" s="28"/>
    </row>
    <row r="1070" spans="6:9" x14ac:dyDescent="0.25">
      <c r="F1070" s="28"/>
      <c r="I1070" s="28"/>
    </row>
    <row r="1071" spans="6:9" x14ac:dyDescent="0.25">
      <c r="F1071" s="28"/>
      <c r="I1071" s="28"/>
    </row>
    <row r="1072" spans="6:9" x14ac:dyDescent="0.25">
      <c r="F1072" s="28"/>
      <c r="I1072" s="28"/>
    </row>
    <row r="1073" spans="6:9" x14ac:dyDescent="0.25">
      <c r="F1073" s="28"/>
      <c r="I1073" s="28"/>
    </row>
    <row r="1074" spans="6:9" x14ac:dyDescent="0.25">
      <c r="F1074" s="28"/>
      <c r="I1074" s="28"/>
    </row>
    <row r="1075" spans="6:9" x14ac:dyDescent="0.25">
      <c r="F1075" s="28"/>
      <c r="I1075" s="28"/>
    </row>
    <row r="1076" spans="6:9" x14ac:dyDescent="0.25">
      <c r="F1076" s="28"/>
      <c r="I1076" s="28"/>
    </row>
    <row r="1077" spans="6:9" x14ac:dyDescent="0.25">
      <c r="F1077" s="28"/>
      <c r="I1077" s="28"/>
    </row>
    <row r="1078" spans="6:9" x14ac:dyDescent="0.25">
      <c r="F1078" s="28"/>
      <c r="I1078" s="28"/>
    </row>
    <row r="1079" spans="6:9" x14ac:dyDescent="0.25">
      <c r="F1079" s="28"/>
      <c r="I1079" s="28"/>
    </row>
    <row r="1080" spans="6:9" x14ac:dyDescent="0.25">
      <c r="F1080" s="28"/>
      <c r="I1080" s="28"/>
    </row>
    <row r="1081" spans="6:9" x14ac:dyDescent="0.25">
      <c r="F1081" s="28"/>
      <c r="I1081" s="28"/>
    </row>
    <row r="1082" spans="6:9" x14ac:dyDescent="0.25">
      <c r="F1082" s="28"/>
      <c r="I1082" s="28"/>
    </row>
    <row r="1083" spans="6:9" x14ac:dyDescent="0.25">
      <c r="F1083" s="28"/>
      <c r="I1083" s="28"/>
    </row>
    <row r="1084" spans="6:9" x14ac:dyDescent="0.25">
      <c r="F1084" s="28"/>
      <c r="I1084" s="28"/>
    </row>
    <row r="1085" spans="6:9" x14ac:dyDescent="0.25">
      <c r="F1085" s="28"/>
      <c r="I1085" s="28"/>
    </row>
    <row r="1086" spans="6:9" x14ac:dyDescent="0.25">
      <c r="F1086" s="28"/>
      <c r="I1086" s="28"/>
    </row>
    <row r="1087" spans="6:9" x14ac:dyDescent="0.25">
      <c r="F1087" s="28"/>
      <c r="I1087" s="28"/>
    </row>
    <row r="1088" spans="6:9" x14ac:dyDescent="0.25">
      <c r="F1088" s="28"/>
      <c r="I1088" s="28"/>
    </row>
    <row r="1089" spans="6:9" x14ac:dyDescent="0.25">
      <c r="F1089" s="28"/>
      <c r="I1089" s="28"/>
    </row>
    <row r="1090" spans="6:9" x14ac:dyDescent="0.25">
      <c r="F1090" s="28"/>
      <c r="I1090" s="28"/>
    </row>
    <row r="1091" spans="6:9" x14ac:dyDescent="0.25">
      <c r="F1091" s="28"/>
      <c r="I1091" s="28"/>
    </row>
    <row r="1092" spans="6:9" x14ac:dyDescent="0.25">
      <c r="F1092" s="28"/>
      <c r="I1092" s="28"/>
    </row>
    <row r="1093" spans="6:9" x14ac:dyDescent="0.25">
      <c r="F1093" s="28"/>
      <c r="I1093" s="28"/>
    </row>
    <row r="1094" spans="6:9" x14ac:dyDescent="0.25">
      <c r="F1094" s="28"/>
      <c r="I1094" s="28"/>
    </row>
    <row r="1095" spans="6:9" x14ac:dyDescent="0.25">
      <c r="F1095" s="28"/>
      <c r="I1095" s="28"/>
    </row>
    <row r="1096" spans="6:9" x14ac:dyDescent="0.25">
      <c r="F1096" s="28"/>
      <c r="I1096" s="28"/>
    </row>
    <row r="1097" spans="6:9" x14ac:dyDescent="0.25">
      <c r="F1097" s="28"/>
      <c r="I1097" s="28"/>
    </row>
    <row r="1098" spans="6:9" x14ac:dyDescent="0.25">
      <c r="F1098" s="28"/>
      <c r="I1098" s="28"/>
    </row>
    <row r="1099" spans="6:9" x14ac:dyDescent="0.25">
      <c r="F1099" s="28"/>
      <c r="I1099" s="28"/>
    </row>
    <row r="1100" spans="6:9" x14ac:dyDescent="0.25">
      <c r="F1100" s="28"/>
      <c r="I1100" s="28"/>
    </row>
    <row r="1101" spans="6:9" x14ac:dyDescent="0.25">
      <c r="F1101" s="28"/>
      <c r="I1101" s="28"/>
    </row>
    <row r="1102" spans="6:9" x14ac:dyDescent="0.25">
      <c r="F1102" s="28"/>
      <c r="I1102" s="28"/>
    </row>
    <row r="1103" spans="6:9" x14ac:dyDescent="0.25">
      <c r="F1103" s="28"/>
      <c r="I1103" s="28"/>
    </row>
    <row r="1104" spans="6:9" x14ac:dyDescent="0.25">
      <c r="F1104" s="28"/>
      <c r="I1104" s="28"/>
    </row>
    <row r="1105" spans="6:9" x14ac:dyDescent="0.25">
      <c r="F1105" s="28"/>
      <c r="I1105" s="28"/>
    </row>
    <row r="1106" spans="6:9" x14ac:dyDescent="0.25">
      <c r="F1106" s="28"/>
      <c r="I1106" s="28"/>
    </row>
    <row r="1107" spans="6:9" x14ac:dyDescent="0.25">
      <c r="F1107" s="28"/>
      <c r="I1107" s="28"/>
    </row>
    <row r="1108" spans="6:9" x14ac:dyDescent="0.25">
      <c r="F1108" s="28"/>
      <c r="I1108" s="28"/>
    </row>
    <row r="1109" spans="6:9" x14ac:dyDescent="0.25">
      <c r="F1109" s="28"/>
      <c r="I1109" s="28"/>
    </row>
    <row r="1110" spans="6:9" x14ac:dyDescent="0.25">
      <c r="F1110" s="28"/>
      <c r="I1110" s="28"/>
    </row>
    <row r="1111" spans="6:9" x14ac:dyDescent="0.25">
      <c r="F1111" s="28"/>
      <c r="I1111" s="28"/>
    </row>
    <row r="1112" spans="6:9" x14ac:dyDescent="0.25">
      <c r="F1112" s="28"/>
      <c r="I1112" s="28"/>
    </row>
    <row r="1113" spans="6:9" x14ac:dyDescent="0.25">
      <c r="F1113" s="28"/>
      <c r="I1113" s="28"/>
    </row>
    <row r="1114" spans="6:9" x14ac:dyDescent="0.25">
      <c r="F1114" s="28"/>
      <c r="I1114" s="28"/>
    </row>
    <row r="1115" spans="6:9" x14ac:dyDescent="0.25">
      <c r="F1115" s="28"/>
      <c r="I1115" s="28"/>
    </row>
    <row r="1116" spans="6:9" x14ac:dyDescent="0.25">
      <c r="F1116" s="28"/>
      <c r="I1116" s="28"/>
    </row>
    <row r="1117" spans="6:9" x14ac:dyDescent="0.25">
      <c r="F1117" s="28"/>
      <c r="I1117" s="28"/>
    </row>
    <row r="1118" spans="6:9" x14ac:dyDescent="0.25">
      <c r="F1118" s="28"/>
      <c r="I1118" s="28"/>
    </row>
    <row r="1119" spans="6:9" x14ac:dyDescent="0.25">
      <c r="F1119" s="28"/>
      <c r="I1119" s="28"/>
    </row>
    <row r="1120" spans="6:9" x14ac:dyDescent="0.25">
      <c r="F1120" s="28"/>
      <c r="I1120" s="28"/>
    </row>
    <row r="1121" spans="6:9" x14ac:dyDescent="0.25">
      <c r="F1121" s="28"/>
      <c r="I1121" s="28"/>
    </row>
    <row r="1122" spans="6:9" x14ac:dyDescent="0.25">
      <c r="F1122" s="28"/>
      <c r="I1122" s="28"/>
    </row>
    <row r="1123" spans="6:9" x14ac:dyDescent="0.25">
      <c r="F1123" s="28"/>
      <c r="I1123" s="28"/>
    </row>
    <row r="1124" spans="6:9" x14ac:dyDescent="0.25">
      <c r="F1124" s="28"/>
      <c r="I1124" s="28"/>
    </row>
    <row r="1125" spans="6:9" x14ac:dyDescent="0.25">
      <c r="F1125" s="28"/>
      <c r="I1125" s="28"/>
    </row>
    <row r="1126" spans="6:9" x14ac:dyDescent="0.25">
      <c r="F1126" s="28"/>
      <c r="I1126" s="28"/>
    </row>
    <row r="1127" spans="6:9" x14ac:dyDescent="0.25">
      <c r="F1127" s="28"/>
      <c r="I1127" s="28"/>
    </row>
    <row r="1128" spans="6:9" x14ac:dyDescent="0.25">
      <c r="F1128" s="28"/>
      <c r="I1128" s="28"/>
    </row>
    <row r="1129" spans="6:9" x14ac:dyDescent="0.25">
      <c r="F1129" s="28"/>
      <c r="I1129" s="28"/>
    </row>
    <row r="1130" spans="6:9" x14ac:dyDescent="0.25">
      <c r="F1130" s="28"/>
      <c r="I1130" s="28"/>
    </row>
    <row r="1131" spans="6:9" x14ac:dyDescent="0.25">
      <c r="F1131" s="28"/>
      <c r="I1131" s="28"/>
    </row>
    <row r="1132" spans="6:9" x14ac:dyDescent="0.25">
      <c r="F1132" s="28"/>
      <c r="I1132" s="28"/>
    </row>
    <row r="1133" spans="6:9" x14ac:dyDescent="0.25">
      <c r="F1133" s="28"/>
      <c r="I1133" s="28"/>
    </row>
    <row r="1134" spans="6:9" x14ac:dyDescent="0.25">
      <c r="F1134" s="28"/>
      <c r="I1134" s="28"/>
    </row>
    <row r="1135" spans="6:9" x14ac:dyDescent="0.25">
      <c r="F1135" s="28"/>
      <c r="I1135" s="28"/>
    </row>
    <row r="1136" spans="6:9" x14ac:dyDescent="0.25">
      <c r="F1136" s="28"/>
      <c r="I1136" s="28"/>
    </row>
    <row r="1137" spans="6:9" x14ac:dyDescent="0.25">
      <c r="F1137" s="28"/>
      <c r="I1137" s="28"/>
    </row>
    <row r="1138" spans="6:9" x14ac:dyDescent="0.25">
      <c r="F1138" s="28"/>
      <c r="I1138" s="28"/>
    </row>
    <row r="1139" spans="6:9" x14ac:dyDescent="0.25">
      <c r="F1139" s="28"/>
      <c r="I1139" s="28"/>
    </row>
    <row r="1140" spans="6:9" x14ac:dyDescent="0.25">
      <c r="F1140" s="28"/>
      <c r="I1140" s="28"/>
    </row>
    <row r="1141" spans="6:9" x14ac:dyDescent="0.25">
      <c r="F1141" s="28"/>
      <c r="I1141" s="28"/>
    </row>
    <row r="1142" spans="6:9" x14ac:dyDescent="0.25">
      <c r="F1142" s="28"/>
      <c r="I1142" s="28"/>
    </row>
    <row r="1143" spans="6:9" x14ac:dyDescent="0.25">
      <c r="F1143" s="28"/>
      <c r="I1143" s="28"/>
    </row>
    <row r="1144" spans="6:9" x14ac:dyDescent="0.25">
      <c r="F1144" s="28"/>
      <c r="I1144" s="28"/>
    </row>
    <row r="1145" spans="6:9" x14ac:dyDescent="0.25">
      <c r="F1145" s="28"/>
      <c r="I1145" s="28"/>
    </row>
    <row r="1146" spans="6:9" x14ac:dyDescent="0.25">
      <c r="F1146" s="28"/>
      <c r="I1146" s="28"/>
    </row>
    <row r="1147" spans="6:9" x14ac:dyDescent="0.25">
      <c r="F1147" s="28"/>
      <c r="I1147" s="28"/>
    </row>
    <row r="1148" spans="6:9" x14ac:dyDescent="0.25">
      <c r="F1148" s="28"/>
      <c r="I1148" s="28"/>
    </row>
    <row r="1149" spans="6:9" x14ac:dyDescent="0.25">
      <c r="F1149" s="28"/>
      <c r="I1149" s="28"/>
    </row>
    <row r="1150" spans="6:9" x14ac:dyDescent="0.25">
      <c r="F1150" s="28"/>
      <c r="I1150" s="28"/>
    </row>
    <row r="1151" spans="6:9" x14ac:dyDescent="0.25">
      <c r="F1151" s="28"/>
      <c r="I1151" s="28"/>
    </row>
    <row r="1152" spans="6:9" x14ac:dyDescent="0.25">
      <c r="F1152" s="28"/>
      <c r="I1152" s="28"/>
    </row>
    <row r="1153" spans="6:9" x14ac:dyDescent="0.25">
      <c r="F1153" s="28"/>
      <c r="I1153" s="28"/>
    </row>
    <row r="1154" spans="6:9" x14ac:dyDescent="0.25">
      <c r="F1154" s="28"/>
      <c r="I1154" s="28"/>
    </row>
    <row r="1155" spans="6:9" x14ac:dyDescent="0.25">
      <c r="F1155" s="28"/>
      <c r="I1155" s="28"/>
    </row>
    <row r="1156" spans="6:9" x14ac:dyDescent="0.25">
      <c r="F1156" s="28"/>
      <c r="I1156" s="28"/>
    </row>
    <row r="1157" spans="6:9" x14ac:dyDescent="0.25">
      <c r="F1157" s="28"/>
      <c r="I1157" s="28"/>
    </row>
    <row r="1158" spans="6:9" x14ac:dyDescent="0.25">
      <c r="F1158" s="28"/>
      <c r="I1158" s="28"/>
    </row>
    <row r="1159" spans="6:9" x14ac:dyDescent="0.25">
      <c r="F1159" s="28"/>
      <c r="I1159" s="28"/>
    </row>
    <row r="1160" spans="6:9" x14ac:dyDescent="0.25">
      <c r="F1160" s="28"/>
      <c r="I1160" s="28"/>
    </row>
    <row r="1161" spans="6:9" x14ac:dyDescent="0.25">
      <c r="F1161" s="28"/>
      <c r="I1161" s="28"/>
    </row>
    <row r="1162" spans="6:9" x14ac:dyDescent="0.25">
      <c r="F1162" s="28"/>
      <c r="I1162" s="28"/>
    </row>
    <row r="1163" spans="6:9" x14ac:dyDescent="0.25">
      <c r="F1163" s="28"/>
      <c r="I1163" s="28"/>
    </row>
    <row r="1164" spans="6:9" x14ac:dyDescent="0.25">
      <c r="F1164" s="28"/>
      <c r="I1164" s="28"/>
    </row>
    <row r="1165" spans="6:9" x14ac:dyDescent="0.25">
      <c r="F1165" s="28"/>
      <c r="I1165" s="28"/>
    </row>
    <row r="1166" spans="6:9" x14ac:dyDescent="0.25">
      <c r="F1166" s="28"/>
      <c r="I1166" s="28"/>
    </row>
    <row r="1167" spans="6:9" x14ac:dyDescent="0.25">
      <c r="F1167" s="28"/>
      <c r="I1167" s="28"/>
    </row>
    <row r="1168" spans="6:9" x14ac:dyDescent="0.25">
      <c r="F1168" s="28"/>
      <c r="I1168" s="28"/>
    </row>
    <row r="1169" spans="6:9" x14ac:dyDescent="0.25">
      <c r="F1169" s="28"/>
      <c r="I1169" s="28"/>
    </row>
    <row r="1170" spans="6:9" x14ac:dyDescent="0.25">
      <c r="F1170" s="28"/>
      <c r="I1170" s="28"/>
    </row>
    <row r="1171" spans="6:9" x14ac:dyDescent="0.25">
      <c r="F1171" s="28"/>
      <c r="I1171" s="28"/>
    </row>
    <row r="1172" spans="6:9" x14ac:dyDescent="0.25">
      <c r="F1172" s="28"/>
      <c r="I1172" s="28"/>
    </row>
    <row r="1173" spans="6:9" x14ac:dyDescent="0.25">
      <c r="F1173" s="28"/>
      <c r="I1173" s="28"/>
    </row>
    <row r="1174" spans="6:9" x14ac:dyDescent="0.25">
      <c r="F1174" s="28"/>
      <c r="I1174" s="28"/>
    </row>
    <row r="1175" spans="6:9" x14ac:dyDescent="0.25">
      <c r="F1175" s="28"/>
      <c r="I1175" s="28"/>
    </row>
    <row r="1176" spans="6:9" x14ac:dyDescent="0.25">
      <c r="F1176" s="28"/>
      <c r="I1176" s="28"/>
    </row>
    <row r="1177" spans="6:9" x14ac:dyDescent="0.25">
      <c r="F1177" s="28"/>
      <c r="I1177" s="28"/>
    </row>
    <row r="1178" spans="6:9" x14ac:dyDescent="0.25">
      <c r="F1178" s="28"/>
      <c r="I1178" s="28"/>
    </row>
    <row r="1179" spans="6:9" x14ac:dyDescent="0.25">
      <c r="F1179" s="28"/>
      <c r="I1179" s="28"/>
    </row>
    <row r="1180" spans="6:9" x14ac:dyDescent="0.25">
      <c r="F1180" s="28"/>
      <c r="I1180" s="28"/>
    </row>
    <row r="1181" spans="6:9" x14ac:dyDescent="0.25">
      <c r="F1181" s="28"/>
      <c r="I1181" s="28"/>
    </row>
    <row r="1182" spans="6:9" x14ac:dyDescent="0.25">
      <c r="F1182" s="28"/>
      <c r="I1182" s="28"/>
    </row>
    <row r="1183" spans="6:9" x14ac:dyDescent="0.25">
      <c r="F1183" s="28"/>
      <c r="I1183" s="28"/>
    </row>
    <row r="1184" spans="6:9" x14ac:dyDescent="0.25">
      <c r="F1184" s="28"/>
      <c r="I1184" s="28"/>
    </row>
    <row r="1185" spans="6:9" x14ac:dyDescent="0.25">
      <c r="F1185" s="28"/>
      <c r="I1185" s="28"/>
    </row>
    <row r="1186" spans="6:9" x14ac:dyDescent="0.25">
      <c r="F1186" s="28"/>
      <c r="I1186" s="28"/>
    </row>
    <row r="1187" spans="6:9" x14ac:dyDescent="0.25">
      <c r="F1187" s="28"/>
      <c r="I1187" s="28"/>
    </row>
    <row r="1188" spans="6:9" x14ac:dyDescent="0.25">
      <c r="F1188" s="28"/>
      <c r="I1188" s="28"/>
    </row>
    <row r="1189" spans="6:9" x14ac:dyDescent="0.25">
      <c r="F1189" s="28"/>
      <c r="I1189" s="28"/>
    </row>
    <row r="1190" spans="6:9" x14ac:dyDescent="0.25">
      <c r="F1190" s="28"/>
      <c r="I1190" s="28"/>
    </row>
    <row r="1191" spans="6:9" x14ac:dyDescent="0.25">
      <c r="F1191" s="28"/>
      <c r="I1191" s="28"/>
    </row>
    <row r="1192" spans="6:9" x14ac:dyDescent="0.25">
      <c r="F1192" s="28"/>
      <c r="I1192" s="28"/>
    </row>
    <row r="1193" spans="6:9" x14ac:dyDescent="0.25">
      <c r="F1193" s="28"/>
      <c r="I1193" s="28"/>
    </row>
    <row r="1194" spans="6:9" x14ac:dyDescent="0.25">
      <c r="F1194" s="28"/>
      <c r="I1194" s="28"/>
    </row>
    <row r="1195" spans="6:9" x14ac:dyDescent="0.25">
      <c r="F1195" s="28"/>
      <c r="I1195" s="28"/>
    </row>
    <row r="1196" spans="6:9" x14ac:dyDescent="0.25">
      <c r="F1196" s="28"/>
      <c r="I1196" s="28"/>
    </row>
    <row r="1197" spans="6:9" x14ac:dyDescent="0.25">
      <c r="F1197" s="28"/>
      <c r="I1197" s="28"/>
    </row>
    <row r="1198" spans="6:9" x14ac:dyDescent="0.25">
      <c r="F1198" s="28"/>
      <c r="I1198" s="28"/>
    </row>
    <row r="1199" spans="6:9" x14ac:dyDescent="0.25">
      <c r="F1199" s="28"/>
      <c r="I1199" s="28"/>
    </row>
    <row r="1200" spans="6:9" x14ac:dyDescent="0.25">
      <c r="F1200" s="28"/>
      <c r="I1200" s="28"/>
    </row>
    <row r="1201" spans="6:9" x14ac:dyDescent="0.25">
      <c r="F1201" s="28"/>
      <c r="I1201" s="28"/>
    </row>
    <row r="1202" spans="6:9" x14ac:dyDescent="0.25">
      <c r="F1202" s="28"/>
      <c r="I1202" s="28"/>
    </row>
    <row r="1203" spans="6:9" x14ac:dyDescent="0.25">
      <c r="F1203" s="28"/>
      <c r="I1203" s="28"/>
    </row>
    <row r="1204" spans="6:9" x14ac:dyDescent="0.25">
      <c r="F1204" s="28"/>
      <c r="I1204" s="28"/>
    </row>
    <row r="1205" spans="6:9" x14ac:dyDescent="0.25">
      <c r="F1205" s="28"/>
      <c r="I1205" s="28"/>
    </row>
    <row r="1206" spans="6:9" x14ac:dyDescent="0.25">
      <c r="F1206" s="28"/>
      <c r="I1206" s="28"/>
    </row>
    <row r="1207" spans="6:9" x14ac:dyDescent="0.25">
      <c r="F1207" s="28"/>
      <c r="I1207" s="28"/>
    </row>
    <row r="1208" spans="6:9" x14ac:dyDescent="0.25">
      <c r="F1208" s="28"/>
      <c r="I1208" s="28"/>
    </row>
    <row r="1209" spans="6:9" x14ac:dyDescent="0.25">
      <c r="F1209" s="28"/>
      <c r="I1209" s="28"/>
    </row>
    <row r="1210" spans="6:9" x14ac:dyDescent="0.25">
      <c r="F1210" s="28"/>
      <c r="I1210" s="28"/>
    </row>
    <row r="1211" spans="6:9" x14ac:dyDescent="0.25">
      <c r="F1211" s="28"/>
      <c r="I1211" s="28"/>
    </row>
    <row r="1212" spans="6:9" x14ac:dyDescent="0.25">
      <c r="F1212" s="28"/>
      <c r="I1212" s="28"/>
    </row>
    <row r="1213" spans="6:9" x14ac:dyDescent="0.25">
      <c r="F1213" s="28"/>
      <c r="I1213" s="28"/>
    </row>
    <row r="1214" spans="6:9" x14ac:dyDescent="0.25">
      <c r="F1214" s="28"/>
      <c r="I1214" s="28"/>
    </row>
    <row r="1215" spans="6:9" x14ac:dyDescent="0.25">
      <c r="F1215" s="28"/>
      <c r="I1215" s="28"/>
    </row>
    <row r="1216" spans="6:9" x14ac:dyDescent="0.25">
      <c r="F1216" s="28"/>
      <c r="I1216" s="28"/>
    </row>
    <row r="1217" spans="6:9" x14ac:dyDescent="0.25">
      <c r="F1217" s="28"/>
      <c r="I1217" s="28"/>
    </row>
    <row r="1218" spans="6:9" x14ac:dyDescent="0.25">
      <c r="F1218" s="28"/>
      <c r="I1218" s="28"/>
    </row>
    <row r="1219" spans="6:9" x14ac:dyDescent="0.25">
      <c r="F1219" s="28"/>
      <c r="I1219" s="28"/>
    </row>
    <row r="1220" spans="6:9" x14ac:dyDescent="0.25">
      <c r="F1220" s="28"/>
      <c r="I1220" s="28"/>
    </row>
    <row r="1221" spans="6:9" x14ac:dyDescent="0.25">
      <c r="F1221" s="28"/>
      <c r="I1221" s="28"/>
    </row>
    <row r="1222" spans="6:9" x14ac:dyDescent="0.25">
      <c r="F1222" s="28"/>
      <c r="I1222" s="28"/>
    </row>
    <row r="1223" spans="6:9" x14ac:dyDescent="0.25">
      <c r="F1223" s="28"/>
      <c r="I1223" s="28"/>
    </row>
    <row r="1224" spans="6:9" x14ac:dyDescent="0.25">
      <c r="F1224" s="28"/>
      <c r="I1224" s="28"/>
    </row>
    <row r="1225" spans="6:9" x14ac:dyDescent="0.25">
      <c r="F1225" s="28"/>
      <c r="I1225" s="28"/>
    </row>
    <row r="1226" spans="6:9" x14ac:dyDescent="0.25">
      <c r="F1226" s="28"/>
      <c r="I1226" s="28"/>
    </row>
    <row r="1227" spans="6:9" x14ac:dyDescent="0.25">
      <c r="F1227" s="28"/>
      <c r="I1227" s="28"/>
    </row>
    <row r="1228" spans="6:9" x14ac:dyDescent="0.25">
      <c r="F1228" s="28"/>
      <c r="I1228" s="28"/>
    </row>
    <row r="1229" spans="6:9" x14ac:dyDescent="0.25">
      <c r="F1229" s="28"/>
      <c r="I1229" s="28"/>
    </row>
    <row r="1230" spans="6:9" x14ac:dyDescent="0.25">
      <c r="F1230" s="28"/>
      <c r="I1230" s="28"/>
    </row>
    <row r="1231" spans="6:9" x14ac:dyDescent="0.25">
      <c r="F1231" s="28"/>
      <c r="I1231" s="28"/>
    </row>
    <row r="1232" spans="6:9" x14ac:dyDescent="0.25">
      <c r="F1232" s="28"/>
      <c r="I1232" s="28"/>
    </row>
    <row r="1233" spans="6:9" x14ac:dyDescent="0.25">
      <c r="F1233" s="28"/>
      <c r="I1233" s="28"/>
    </row>
    <row r="1234" spans="6:9" x14ac:dyDescent="0.25">
      <c r="F1234" s="28"/>
      <c r="I1234" s="28"/>
    </row>
    <row r="1235" spans="6:9" x14ac:dyDescent="0.25">
      <c r="F1235" s="28"/>
      <c r="I1235" s="28"/>
    </row>
    <row r="1236" spans="6:9" x14ac:dyDescent="0.25">
      <c r="F1236" s="28"/>
      <c r="I1236" s="28"/>
    </row>
    <row r="1237" spans="6:9" x14ac:dyDescent="0.25">
      <c r="F1237" s="28"/>
      <c r="I1237" s="28"/>
    </row>
    <row r="1238" spans="6:9" x14ac:dyDescent="0.25">
      <c r="F1238" s="28"/>
      <c r="I1238" s="28"/>
    </row>
    <row r="1239" spans="6:9" x14ac:dyDescent="0.25">
      <c r="F1239" s="28"/>
      <c r="I1239" s="28"/>
    </row>
    <row r="1240" spans="6:9" x14ac:dyDescent="0.25">
      <c r="F1240" s="28"/>
      <c r="I1240" s="28"/>
    </row>
    <row r="1241" spans="6:9" x14ac:dyDescent="0.25">
      <c r="F1241" s="28"/>
      <c r="I1241" s="28"/>
    </row>
    <row r="1242" spans="6:9" x14ac:dyDescent="0.25">
      <c r="F1242" s="28"/>
      <c r="I1242" s="28"/>
    </row>
    <row r="1243" spans="6:9" x14ac:dyDescent="0.25">
      <c r="F1243" s="28"/>
      <c r="I1243" s="28"/>
    </row>
    <row r="1244" spans="6:9" x14ac:dyDescent="0.25">
      <c r="F1244" s="28"/>
      <c r="I1244" s="28"/>
    </row>
    <row r="1245" spans="6:9" x14ac:dyDescent="0.25">
      <c r="F1245" s="28"/>
      <c r="I1245" s="28"/>
    </row>
    <row r="1246" spans="6:9" x14ac:dyDescent="0.25">
      <c r="F1246" s="28"/>
      <c r="I1246" s="28"/>
    </row>
    <row r="1247" spans="6:9" x14ac:dyDescent="0.25">
      <c r="F1247" s="28"/>
      <c r="I1247" s="28"/>
    </row>
    <row r="1248" spans="6:9" x14ac:dyDescent="0.25">
      <c r="F1248" s="28"/>
      <c r="I1248" s="28"/>
    </row>
    <row r="1249" spans="6:9" x14ac:dyDescent="0.25">
      <c r="F1249" s="28"/>
      <c r="I1249" s="28"/>
    </row>
    <row r="1250" spans="6:9" x14ac:dyDescent="0.25">
      <c r="F1250" s="28"/>
      <c r="I1250" s="28"/>
    </row>
    <row r="1251" spans="6:9" x14ac:dyDescent="0.25">
      <c r="F1251" s="28"/>
      <c r="I1251" s="28"/>
    </row>
    <row r="1252" spans="6:9" x14ac:dyDescent="0.25">
      <c r="F1252" s="28"/>
      <c r="I1252" s="28"/>
    </row>
    <row r="1253" spans="6:9" x14ac:dyDescent="0.25">
      <c r="F1253" s="28"/>
      <c r="I1253" s="28"/>
    </row>
    <row r="1254" spans="6:9" x14ac:dyDescent="0.25">
      <c r="F1254" s="28"/>
      <c r="I1254" s="28"/>
    </row>
    <row r="1255" spans="6:9" x14ac:dyDescent="0.25">
      <c r="F1255" s="28"/>
      <c r="I1255" s="28"/>
    </row>
    <row r="1256" spans="6:9" x14ac:dyDescent="0.25">
      <c r="F1256" s="28"/>
      <c r="I1256" s="28"/>
    </row>
    <row r="1257" spans="6:9" x14ac:dyDescent="0.25">
      <c r="F1257" s="28"/>
      <c r="I1257" s="28"/>
    </row>
    <row r="1258" spans="6:9" x14ac:dyDescent="0.25">
      <c r="F1258" s="28"/>
      <c r="I1258" s="28"/>
    </row>
    <row r="1259" spans="6:9" x14ac:dyDescent="0.25">
      <c r="F1259" s="28"/>
      <c r="I1259" s="28"/>
    </row>
    <row r="1260" spans="6:9" x14ac:dyDescent="0.25">
      <c r="F1260" s="28"/>
      <c r="I1260" s="28"/>
    </row>
    <row r="1261" spans="6:9" x14ac:dyDescent="0.25">
      <c r="F1261" s="28"/>
      <c r="I1261" s="28"/>
    </row>
    <row r="1262" spans="6:9" x14ac:dyDescent="0.25">
      <c r="F1262" s="28"/>
      <c r="I1262" s="28"/>
    </row>
    <row r="1263" spans="6:9" x14ac:dyDescent="0.25">
      <c r="F1263" s="28"/>
      <c r="I1263" s="28"/>
    </row>
    <row r="1264" spans="6:9" x14ac:dyDescent="0.25">
      <c r="F1264" s="28"/>
      <c r="I1264" s="28"/>
    </row>
    <row r="1265" spans="6:9" x14ac:dyDescent="0.25">
      <c r="F1265" s="28"/>
      <c r="I1265" s="28"/>
    </row>
    <row r="1266" spans="6:9" x14ac:dyDescent="0.25">
      <c r="F1266" s="28"/>
      <c r="I1266" s="28"/>
    </row>
    <row r="1267" spans="6:9" x14ac:dyDescent="0.25">
      <c r="F1267" s="28"/>
      <c r="I1267" s="28"/>
    </row>
    <row r="1268" spans="6:9" x14ac:dyDescent="0.25">
      <c r="F1268" s="28"/>
      <c r="I1268" s="28"/>
    </row>
    <row r="1269" spans="6:9" x14ac:dyDescent="0.25">
      <c r="F1269" s="28"/>
      <c r="I1269" s="28"/>
    </row>
    <row r="1270" spans="6:9" x14ac:dyDescent="0.25">
      <c r="F1270" s="28"/>
      <c r="I1270" s="28"/>
    </row>
    <row r="1271" spans="6:9" x14ac:dyDescent="0.25">
      <c r="F1271" s="28"/>
      <c r="I1271" s="28"/>
    </row>
    <row r="1272" spans="6:9" x14ac:dyDescent="0.25">
      <c r="F1272" s="28"/>
      <c r="I1272" s="28"/>
    </row>
    <row r="1273" spans="6:9" x14ac:dyDescent="0.25">
      <c r="F1273" s="28"/>
      <c r="I1273" s="28"/>
    </row>
    <row r="1274" spans="6:9" x14ac:dyDescent="0.25">
      <c r="F1274" s="28"/>
      <c r="I1274" s="28"/>
    </row>
    <row r="1275" spans="6:9" x14ac:dyDescent="0.25">
      <c r="F1275" s="28"/>
      <c r="I1275" s="28"/>
    </row>
    <row r="1276" spans="6:9" x14ac:dyDescent="0.25">
      <c r="F1276" s="28"/>
      <c r="I1276" s="28"/>
    </row>
    <row r="1277" spans="6:9" x14ac:dyDescent="0.25">
      <c r="F1277" s="28"/>
      <c r="I1277" s="28"/>
    </row>
    <row r="1278" spans="6:9" x14ac:dyDescent="0.25">
      <c r="F1278" s="28"/>
      <c r="I1278" s="28"/>
    </row>
    <row r="1279" spans="6:9" x14ac:dyDescent="0.25">
      <c r="F1279" s="28"/>
      <c r="I1279" s="28"/>
    </row>
    <row r="1280" spans="6:9" x14ac:dyDescent="0.25">
      <c r="F1280" s="28"/>
      <c r="I1280" s="28"/>
    </row>
    <row r="1281" spans="6:9" x14ac:dyDescent="0.25">
      <c r="F1281" s="28"/>
      <c r="I1281" s="28"/>
    </row>
    <row r="1282" spans="6:9" x14ac:dyDescent="0.25">
      <c r="F1282" s="28"/>
      <c r="I1282" s="28"/>
    </row>
    <row r="1283" spans="6:9" x14ac:dyDescent="0.25">
      <c r="F1283" s="28"/>
      <c r="I1283" s="28"/>
    </row>
    <row r="1284" spans="6:9" x14ac:dyDescent="0.25">
      <c r="F1284" s="28"/>
      <c r="I1284" s="28"/>
    </row>
    <row r="1285" spans="6:9" x14ac:dyDescent="0.25">
      <c r="F1285" s="28"/>
      <c r="I1285" s="28"/>
    </row>
    <row r="1286" spans="6:9" x14ac:dyDescent="0.25">
      <c r="F1286" s="28"/>
      <c r="I1286" s="28"/>
    </row>
    <row r="1287" spans="6:9" x14ac:dyDescent="0.25">
      <c r="F1287" s="28"/>
      <c r="I1287" s="28"/>
    </row>
    <row r="1288" spans="6:9" x14ac:dyDescent="0.25">
      <c r="F1288" s="28"/>
      <c r="I1288" s="28"/>
    </row>
    <row r="1289" spans="6:9" x14ac:dyDescent="0.25">
      <c r="F1289" s="28"/>
      <c r="I1289" s="28"/>
    </row>
    <row r="1290" spans="6:9" x14ac:dyDescent="0.25">
      <c r="F1290" s="28"/>
      <c r="I1290" s="28"/>
    </row>
    <row r="1291" spans="6:9" x14ac:dyDescent="0.25">
      <c r="F1291" s="28"/>
      <c r="I1291" s="28"/>
    </row>
    <row r="1292" spans="6:9" x14ac:dyDescent="0.25">
      <c r="F1292" s="28"/>
      <c r="I1292" s="28"/>
    </row>
    <row r="1293" spans="6:9" x14ac:dyDescent="0.25">
      <c r="F1293" s="28"/>
      <c r="I1293" s="28"/>
    </row>
    <row r="1294" spans="6:9" x14ac:dyDescent="0.25">
      <c r="F1294" s="28"/>
      <c r="I1294" s="28"/>
    </row>
    <row r="1295" spans="6:9" x14ac:dyDescent="0.25">
      <c r="F1295" s="28"/>
      <c r="I1295" s="28"/>
    </row>
    <row r="1296" spans="6:9" x14ac:dyDescent="0.25">
      <c r="F1296" s="28"/>
      <c r="I1296" s="28"/>
    </row>
    <row r="1297" spans="6:9" x14ac:dyDescent="0.25">
      <c r="F1297" s="28"/>
      <c r="I1297" s="28"/>
    </row>
    <row r="1298" spans="6:9" x14ac:dyDescent="0.25">
      <c r="F1298" s="28"/>
      <c r="I1298" s="28"/>
    </row>
    <row r="1299" spans="6:9" x14ac:dyDescent="0.25">
      <c r="F1299" s="28"/>
      <c r="I1299" s="28"/>
    </row>
    <row r="1300" spans="6:9" x14ac:dyDescent="0.25">
      <c r="F1300" s="28"/>
      <c r="I1300" s="28"/>
    </row>
    <row r="1301" spans="6:9" x14ac:dyDescent="0.25">
      <c r="F1301" s="28"/>
      <c r="I1301" s="28"/>
    </row>
    <row r="1302" spans="6:9" x14ac:dyDescent="0.25">
      <c r="F1302" s="28"/>
      <c r="I1302" s="28"/>
    </row>
    <row r="1303" spans="6:9" x14ac:dyDescent="0.25">
      <c r="F1303" s="28"/>
      <c r="I1303" s="28"/>
    </row>
    <row r="1304" spans="6:9" x14ac:dyDescent="0.25">
      <c r="F1304" s="28"/>
      <c r="I1304" s="28"/>
    </row>
    <row r="1305" spans="6:9" x14ac:dyDescent="0.25">
      <c r="F1305" s="28"/>
      <c r="I1305" s="28"/>
    </row>
    <row r="1306" spans="6:9" x14ac:dyDescent="0.25">
      <c r="F1306" s="28"/>
      <c r="I1306" s="28"/>
    </row>
    <row r="1307" spans="6:9" x14ac:dyDescent="0.25">
      <c r="F1307" s="28"/>
      <c r="I1307" s="28"/>
    </row>
    <row r="1308" spans="6:9" x14ac:dyDescent="0.25">
      <c r="F1308" s="28"/>
      <c r="I1308" s="28"/>
    </row>
    <row r="1309" spans="6:9" x14ac:dyDescent="0.25">
      <c r="F1309" s="28"/>
      <c r="I1309" s="28"/>
    </row>
    <row r="1310" spans="6:9" x14ac:dyDescent="0.25">
      <c r="F1310" s="28"/>
      <c r="I1310" s="28"/>
    </row>
    <row r="1311" spans="6:9" x14ac:dyDescent="0.25">
      <c r="F1311" s="28"/>
      <c r="I1311" s="28"/>
    </row>
    <row r="1312" spans="6:9" x14ac:dyDescent="0.25">
      <c r="F1312" s="28"/>
      <c r="I1312" s="28"/>
    </row>
    <row r="1313" spans="6:9" x14ac:dyDescent="0.25">
      <c r="F1313" s="28"/>
      <c r="I1313" s="28"/>
    </row>
    <row r="1314" spans="6:9" x14ac:dyDescent="0.25">
      <c r="F1314" s="28"/>
      <c r="I1314" s="28"/>
    </row>
    <row r="1315" spans="6:9" x14ac:dyDescent="0.25">
      <c r="F1315" s="28"/>
      <c r="I1315" s="28"/>
    </row>
    <row r="1316" spans="6:9" x14ac:dyDescent="0.25">
      <c r="F1316" s="28"/>
      <c r="I1316" s="28"/>
    </row>
    <row r="1317" spans="6:9" x14ac:dyDescent="0.25">
      <c r="F1317" s="28"/>
      <c r="I1317" s="28"/>
    </row>
    <row r="1318" spans="6:9" x14ac:dyDescent="0.25">
      <c r="F1318" s="28"/>
      <c r="I1318" s="28"/>
    </row>
    <row r="1319" spans="6:9" x14ac:dyDescent="0.25">
      <c r="F1319" s="28"/>
      <c r="I1319" s="28"/>
    </row>
    <row r="1320" spans="6:9" x14ac:dyDescent="0.25">
      <c r="F1320" s="28"/>
      <c r="I1320" s="28"/>
    </row>
    <row r="1321" spans="6:9" x14ac:dyDescent="0.25">
      <c r="F1321" s="28"/>
      <c r="I1321" s="28"/>
    </row>
    <row r="1322" spans="6:9" x14ac:dyDescent="0.25">
      <c r="F1322" s="28"/>
      <c r="I1322" s="28"/>
    </row>
    <row r="1323" spans="6:9" x14ac:dyDescent="0.25">
      <c r="F1323" s="28"/>
      <c r="I1323" s="28"/>
    </row>
    <row r="1324" spans="6:9" x14ac:dyDescent="0.25">
      <c r="F1324" s="28"/>
      <c r="I1324" s="28"/>
    </row>
    <row r="1325" spans="6:9" x14ac:dyDescent="0.25">
      <c r="F1325" s="28"/>
      <c r="I1325" s="28"/>
    </row>
    <row r="1326" spans="6:9" x14ac:dyDescent="0.25">
      <c r="F1326" s="28"/>
      <c r="I1326" s="28"/>
    </row>
    <row r="1327" spans="6:9" x14ac:dyDescent="0.25">
      <c r="F1327" s="28"/>
      <c r="I1327" s="28"/>
    </row>
    <row r="1328" spans="6:9" x14ac:dyDescent="0.25">
      <c r="F1328" s="28"/>
      <c r="I1328" s="28"/>
    </row>
    <row r="1329" spans="6:9" x14ac:dyDescent="0.25">
      <c r="F1329" s="28"/>
      <c r="I1329" s="28"/>
    </row>
    <row r="1330" spans="6:9" x14ac:dyDescent="0.25">
      <c r="F1330" s="28"/>
      <c r="I1330" s="28"/>
    </row>
    <row r="1331" spans="6:9" x14ac:dyDescent="0.25">
      <c r="F1331" s="28"/>
      <c r="I1331" s="28"/>
    </row>
    <row r="1332" spans="6:9" x14ac:dyDescent="0.25">
      <c r="F1332" s="28"/>
      <c r="I1332" s="28"/>
    </row>
    <row r="1333" spans="6:9" x14ac:dyDescent="0.25">
      <c r="F1333" s="28"/>
      <c r="I1333" s="28"/>
    </row>
    <row r="1334" spans="6:9" x14ac:dyDescent="0.25">
      <c r="F1334" s="28"/>
      <c r="I1334" s="28"/>
    </row>
    <row r="1335" spans="6:9" x14ac:dyDescent="0.25">
      <c r="F1335" s="28"/>
      <c r="I1335" s="28"/>
    </row>
    <row r="1336" spans="6:9" x14ac:dyDescent="0.25">
      <c r="F1336" s="28"/>
      <c r="I1336" s="28"/>
    </row>
    <row r="1337" spans="6:9" x14ac:dyDescent="0.25">
      <c r="F1337" s="28"/>
      <c r="I1337" s="28"/>
    </row>
    <row r="1338" spans="6:9" x14ac:dyDescent="0.25">
      <c r="F1338" s="28"/>
      <c r="I1338" s="28"/>
    </row>
    <row r="1339" spans="6:9" x14ac:dyDescent="0.25">
      <c r="F1339" s="28"/>
      <c r="I1339" s="28"/>
    </row>
    <row r="1340" spans="6:9" x14ac:dyDescent="0.25">
      <c r="F1340" s="28"/>
      <c r="I1340" s="28"/>
    </row>
    <row r="1341" spans="6:9" x14ac:dyDescent="0.25">
      <c r="F1341" s="28"/>
      <c r="I1341" s="28"/>
    </row>
    <row r="1342" spans="6:9" x14ac:dyDescent="0.25">
      <c r="F1342" s="28"/>
      <c r="I1342" s="28"/>
    </row>
    <row r="1343" spans="6:9" x14ac:dyDescent="0.25">
      <c r="F1343" s="28"/>
      <c r="I1343" s="28"/>
    </row>
    <row r="1344" spans="6:9" x14ac:dyDescent="0.25">
      <c r="F1344" s="28"/>
      <c r="I1344" s="28"/>
    </row>
    <row r="1345" spans="6:9" x14ac:dyDescent="0.25">
      <c r="F1345" s="28"/>
      <c r="I1345" s="28"/>
    </row>
    <row r="1346" spans="6:9" x14ac:dyDescent="0.25">
      <c r="F1346" s="28"/>
      <c r="I1346" s="28"/>
    </row>
    <row r="1347" spans="6:9" x14ac:dyDescent="0.25">
      <c r="F1347" s="28"/>
      <c r="I1347" s="28"/>
    </row>
    <row r="1348" spans="6:9" x14ac:dyDescent="0.25">
      <c r="F1348" s="28"/>
      <c r="I1348" s="28"/>
    </row>
    <row r="1349" spans="6:9" x14ac:dyDescent="0.25">
      <c r="F1349" s="28"/>
      <c r="I1349" s="28"/>
    </row>
    <row r="1350" spans="6:9" x14ac:dyDescent="0.25">
      <c r="F1350" s="28"/>
      <c r="I1350" s="28"/>
    </row>
    <row r="1351" spans="6:9" x14ac:dyDescent="0.25">
      <c r="F1351" s="28"/>
      <c r="I1351" s="28"/>
    </row>
    <row r="1352" spans="6:9" x14ac:dyDescent="0.25">
      <c r="F1352" s="28"/>
      <c r="I1352" s="28"/>
    </row>
    <row r="1353" spans="6:9" x14ac:dyDescent="0.25">
      <c r="F1353" s="28"/>
      <c r="I1353" s="28"/>
    </row>
    <row r="1354" spans="6:9" x14ac:dyDescent="0.25">
      <c r="F1354" s="28"/>
      <c r="I1354" s="28"/>
    </row>
    <row r="1355" spans="6:9" x14ac:dyDescent="0.25">
      <c r="F1355" s="28"/>
      <c r="I1355" s="28"/>
    </row>
    <row r="1356" spans="6:9" x14ac:dyDescent="0.25">
      <c r="F1356" s="28"/>
      <c r="I1356" s="28"/>
    </row>
    <row r="1357" spans="6:9" x14ac:dyDescent="0.25">
      <c r="F1357" s="28"/>
      <c r="I1357" s="28"/>
    </row>
    <row r="1358" spans="6:9" x14ac:dyDescent="0.25">
      <c r="F1358" s="28"/>
      <c r="I1358" s="28"/>
    </row>
    <row r="1359" spans="6:9" x14ac:dyDescent="0.25">
      <c r="F1359" s="28"/>
      <c r="I1359" s="28"/>
    </row>
    <row r="1360" spans="6:9" x14ac:dyDescent="0.25">
      <c r="F1360" s="28"/>
      <c r="I1360" s="28"/>
    </row>
    <row r="1361" spans="6:9" x14ac:dyDescent="0.25">
      <c r="F1361" s="28"/>
      <c r="I1361" s="28"/>
    </row>
    <row r="1362" spans="6:9" x14ac:dyDescent="0.25">
      <c r="F1362" s="28"/>
      <c r="I1362" s="28"/>
    </row>
    <row r="1363" spans="6:9" x14ac:dyDescent="0.25">
      <c r="F1363" s="28"/>
      <c r="I1363" s="28"/>
    </row>
    <row r="1364" spans="6:9" x14ac:dyDescent="0.25">
      <c r="F1364" s="28"/>
      <c r="I1364" s="28"/>
    </row>
    <row r="1365" spans="6:9" x14ac:dyDescent="0.25">
      <c r="F1365" s="28"/>
      <c r="I1365" s="28"/>
    </row>
    <row r="1366" spans="6:9" x14ac:dyDescent="0.25">
      <c r="F1366" s="28"/>
      <c r="I1366" s="28"/>
    </row>
    <row r="1367" spans="6:9" x14ac:dyDescent="0.25">
      <c r="F1367" s="28"/>
      <c r="I1367" s="28"/>
    </row>
    <row r="1368" spans="6:9" x14ac:dyDescent="0.25">
      <c r="F1368" s="28"/>
      <c r="I1368" s="28"/>
    </row>
    <row r="1369" spans="6:9" x14ac:dyDescent="0.25">
      <c r="F1369" s="28"/>
      <c r="I1369" s="28"/>
    </row>
    <row r="1370" spans="6:9" x14ac:dyDescent="0.25">
      <c r="F1370" s="28"/>
      <c r="I1370" s="28"/>
    </row>
    <row r="1371" spans="6:9" x14ac:dyDescent="0.25">
      <c r="F1371" s="28"/>
      <c r="I1371" s="28"/>
    </row>
    <row r="1372" spans="6:9" x14ac:dyDescent="0.25">
      <c r="F1372" s="28"/>
      <c r="I1372" s="28"/>
    </row>
    <row r="1373" spans="6:9" x14ac:dyDescent="0.25">
      <c r="F1373" s="28"/>
      <c r="I1373" s="28"/>
    </row>
    <row r="1374" spans="6:9" x14ac:dyDescent="0.25">
      <c r="F1374" s="28"/>
      <c r="I1374" s="28"/>
    </row>
    <row r="1375" spans="6:9" x14ac:dyDescent="0.25">
      <c r="F1375" s="28"/>
      <c r="I1375" s="28"/>
    </row>
    <row r="1376" spans="6:9" x14ac:dyDescent="0.25">
      <c r="F1376" s="28"/>
      <c r="I1376" s="28"/>
    </row>
    <row r="1377" spans="6:9" x14ac:dyDescent="0.25">
      <c r="F1377" s="28"/>
      <c r="I1377" s="28"/>
    </row>
    <row r="1378" spans="6:9" x14ac:dyDescent="0.25">
      <c r="F1378" s="28"/>
      <c r="I1378" s="28"/>
    </row>
    <row r="1379" spans="6:9" x14ac:dyDescent="0.25">
      <c r="F1379" s="28"/>
      <c r="I1379" s="28"/>
    </row>
    <row r="1380" spans="6:9" x14ac:dyDescent="0.25">
      <c r="F1380" s="28"/>
      <c r="I1380" s="28"/>
    </row>
    <row r="1381" spans="6:9" x14ac:dyDescent="0.25">
      <c r="F1381" s="28"/>
      <c r="I1381" s="28"/>
    </row>
    <row r="1382" spans="6:9" x14ac:dyDescent="0.25">
      <c r="F1382" s="28"/>
      <c r="I1382" s="28"/>
    </row>
    <row r="1383" spans="6:9" x14ac:dyDescent="0.25">
      <c r="F1383" s="28"/>
      <c r="I1383" s="28"/>
    </row>
    <row r="1384" spans="6:9" x14ac:dyDescent="0.25">
      <c r="F1384" s="28"/>
      <c r="I1384" s="28"/>
    </row>
    <row r="1385" spans="6:9" x14ac:dyDescent="0.25">
      <c r="F1385" s="28"/>
      <c r="I1385" s="28"/>
    </row>
    <row r="1386" spans="6:9" x14ac:dyDescent="0.25">
      <c r="F1386" s="28"/>
      <c r="I1386" s="28"/>
    </row>
    <row r="1387" spans="6:9" x14ac:dyDescent="0.25">
      <c r="F1387" s="28"/>
      <c r="I1387" s="28"/>
    </row>
    <row r="1388" spans="6:9" x14ac:dyDescent="0.25">
      <c r="F1388" s="28"/>
      <c r="I1388" s="28"/>
    </row>
    <row r="1389" spans="6:9" x14ac:dyDescent="0.25">
      <c r="F1389" s="28"/>
      <c r="I1389" s="28"/>
    </row>
    <row r="1390" spans="6:9" x14ac:dyDescent="0.25">
      <c r="F1390" s="28"/>
      <c r="I1390" s="28"/>
    </row>
    <row r="1391" spans="6:9" x14ac:dyDescent="0.25">
      <c r="F1391" s="28"/>
      <c r="I1391" s="28"/>
    </row>
    <row r="1392" spans="6:9" x14ac:dyDescent="0.25">
      <c r="F1392" s="28"/>
      <c r="I1392" s="28"/>
    </row>
    <row r="1393" spans="6:9" x14ac:dyDescent="0.25">
      <c r="F1393" s="28"/>
      <c r="I1393" s="28"/>
    </row>
    <row r="1394" spans="6:9" x14ac:dyDescent="0.25">
      <c r="F1394" s="28"/>
      <c r="I1394" s="28"/>
    </row>
    <row r="1395" spans="6:9" x14ac:dyDescent="0.25">
      <c r="F1395" s="28"/>
      <c r="I1395" s="28"/>
    </row>
    <row r="1396" spans="6:9" x14ac:dyDescent="0.25">
      <c r="F1396" s="28"/>
      <c r="I1396" s="28"/>
    </row>
    <row r="1397" spans="6:9" x14ac:dyDescent="0.25">
      <c r="F1397" s="28"/>
      <c r="I1397" s="28"/>
    </row>
    <row r="1398" spans="6:9" x14ac:dyDescent="0.25">
      <c r="F1398" s="28"/>
      <c r="I1398" s="28"/>
    </row>
    <row r="1399" spans="6:9" x14ac:dyDescent="0.25">
      <c r="F1399" s="28"/>
      <c r="I1399" s="28"/>
    </row>
    <row r="1400" spans="6:9" x14ac:dyDescent="0.25">
      <c r="F1400" s="28"/>
      <c r="I1400" s="28"/>
    </row>
    <row r="1401" spans="6:9" x14ac:dyDescent="0.25">
      <c r="F1401" s="28"/>
      <c r="I1401" s="28"/>
    </row>
    <row r="1402" spans="6:9" x14ac:dyDescent="0.25">
      <c r="F1402" s="28"/>
      <c r="I1402" s="28"/>
    </row>
    <row r="1403" spans="6:9" x14ac:dyDescent="0.25">
      <c r="F1403" s="28"/>
      <c r="I1403" s="28"/>
    </row>
    <row r="1404" spans="6:9" x14ac:dyDescent="0.25">
      <c r="F1404" s="28"/>
      <c r="I1404" s="28"/>
    </row>
    <row r="1405" spans="6:9" x14ac:dyDescent="0.25">
      <c r="F1405" s="28"/>
      <c r="I1405" s="28"/>
    </row>
    <row r="1406" spans="6:9" x14ac:dyDescent="0.25">
      <c r="F1406" s="28"/>
      <c r="I1406" s="28"/>
    </row>
    <row r="1407" spans="6:9" x14ac:dyDescent="0.25">
      <c r="F1407" s="28"/>
      <c r="I1407" s="28"/>
    </row>
    <row r="1408" spans="6:9" x14ac:dyDescent="0.25">
      <c r="F1408" s="28"/>
      <c r="I1408" s="28"/>
    </row>
    <row r="1409" spans="6:9" x14ac:dyDescent="0.25">
      <c r="F1409" s="28"/>
      <c r="I1409" s="28"/>
    </row>
    <row r="1410" spans="6:9" x14ac:dyDescent="0.25">
      <c r="F1410" s="28"/>
      <c r="I1410" s="28"/>
    </row>
    <row r="1411" spans="6:9" x14ac:dyDescent="0.25">
      <c r="F1411" s="28"/>
      <c r="I1411" s="28"/>
    </row>
    <row r="1412" spans="6:9" x14ac:dyDescent="0.25">
      <c r="F1412" s="28"/>
      <c r="I1412" s="28"/>
    </row>
    <row r="1413" spans="6:9" x14ac:dyDescent="0.25">
      <c r="F1413" s="28"/>
      <c r="I1413" s="28"/>
    </row>
    <row r="1414" spans="6:9" x14ac:dyDescent="0.25">
      <c r="F1414" s="28"/>
      <c r="I1414" s="28"/>
    </row>
    <row r="1415" spans="6:9" x14ac:dyDescent="0.25">
      <c r="F1415" s="28"/>
      <c r="I1415" s="28"/>
    </row>
    <row r="1416" spans="6:9" x14ac:dyDescent="0.25">
      <c r="F1416" s="28"/>
      <c r="I1416" s="28"/>
    </row>
    <row r="1417" spans="6:9" x14ac:dyDescent="0.25">
      <c r="F1417" s="28"/>
      <c r="I1417" s="28"/>
    </row>
    <row r="1418" spans="6:9" x14ac:dyDescent="0.25">
      <c r="F1418" s="28"/>
      <c r="I1418" s="28"/>
    </row>
    <row r="1419" spans="6:9" x14ac:dyDescent="0.25">
      <c r="F1419" s="28"/>
      <c r="I1419" s="28"/>
    </row>
    <row r="1420" spans="6:9" x14ac:dyDescent="0.25">
      <c r="F1420" s="28"/>
      <c r="I1420" s="28"/>
    </row>
    <row r="1421" spans="6:9" x14ac:dyDescent="0.25">
      <c r="F1421" s="28"/>
      <c r="I1421" s="28"/>
    </row>
    <row r="1422" spans="6:9" x14ac:dyDescent="0.25">
      <c r="F1422" s="28"/>
      <c r="I1422" s="28"/>
    </row>
    <row r="1423" spans="6:9" x14ac:dyDescent="0.25">
      <c r="F1423" s="28"/>
      <c r="I1423" s="28"/>
    </row>
    <row r="1424" spans="6:9" x14ac:dyDescent="0.25">
      <c r="F1424" s="28"/>
      <c r="I1424" s="28"/>
    </row>
    <row r="1425" spans="6:9" x14ac:dyDescent="0.25">
      <c r="F1425" s="28"/>
      <c r="I1425" s="28"/>
    </row>
    <row r="1426" spans="6:9" x14ac:dyDescent="0.25">
      <c r="F1426" s="28"/>
      <c r="I1426" s="28"/>
    </row>
    <row r="1427" spans="6:9" x14ac:dyDescent="0.25">
      <c r="F1427" s="28"/>
      <c r="I1427" s="28"/>
    </row>
    <row r="1428" spans="6:9" x14ac:dyDescent="0.25">
      <c r="F1428" s="28"/>
      <c r="I1428" s="28"/>
    </row>
    <row r="1429" spans="6:9" x14ac:dyDescent="0.25">
      <c r="F1429" s="28"/>
      <c r="I1429" s="28"/>
    </row>
    <row r="1430" spans="6:9" x14ac:dyDescent="0.25">
      <c r="F1430" s="28"/>
      <c r="I1430" s="28"/>
    </row>
    <row r="1431" spans="6:9" x14ac:dyDescent="0.25">
      <c r="F1431" s="28"/>
      <c r="I1431" s="28"/>
    </row>
    <row r="1432" spans="6:9" x14ac:dyDescent="0.25">
      <c r="F1432" s="28"/>
      <c r="I1432" s="28"/>
    </row>
    <row r="1433" spans="6:9" x14ac:dyDescent="0.25">
      <c r="F1433" s="28"/>
      <c r="I1433" s="28"/>
    </row>
    <row r="1434" spans="6:9" x14ac:dyDescent="0.25">
      <c r="F1434" s="28"/>
      <c r="I1434" s="28"/>
    </row>
    <row r="1435" spans="6:9" x14ac:dyDescent="0.25">
      <c r="F1435" s="28"/>
      <c r="I1435" s="28"/>
    </row>
    <row r="1436" spans="6:9" x14ac:dyDescent="0.25">
      <c r="F1436" s="28"/>
      <c r="I1436" s="28"/>
    </row>
    <row r="1437" spans="6:9" x14ac:dyDescent="0.25">
      <c r="F1437" s="28"/>
      <c r="I1437" s="28"/>
    </row>
    <row r="1438" spans="6:9" x14ac:dyDescent="0.25">
      <c r="F1438" s="28"/>
      <c r="I1438" s="28"/>
    </row>
    <row r="1439" spans="6:9" x14ac:dyDescent="0.25">
      <c r="F1439" s="28"/>
      <c r="I1439" s="28"/>
    </row>
    <row r="1440" spans="6:9" x14ac:dyDescent="0.25">
      <c r="F1440" s="28"/>
      <c r="I1440" s="28"/>
    </row>
    <row r="1441" spans="6:9" x14ac:dyDescent="0.25">
      <c r="F1441" s="28"/>
      <c r="I1441" s="28"/>
    </row>
    <row r="1442" spans="6:9" x14ac:dyDescent="0.25">
      <c r="F1442" s="28"/>
      <c r="I1442" s="28"/>
    </row>
    <row r="1443" spans="6:9" x14ac:dyDescent="0.25">
      <c r="F1443" s="28"/>
      <c r="I1443" s="28"/>
    </row>
    <row r="1444" spans="6:9" x14ac:dyDescent="0.25">
      <c r="F1444" s="28"/>
      <c r="I1444" s="28"/>
    </row>
    <row r="1445" spans="6:9" x14ac:dyDescent="0.25">
      <c r="F1445" s="28"/>
      <c r="I1445" s="28"/>
    </row>
    <row r="1446" spans="6:9" x14ac:dyDescent="0.25">
      <c r="F1446" s="28"/>
      <c r="I1446" s="28"/>
    </row>
    <row r="1447" spans="6:9" x14ac:dyDescent="0.25">
      <c r="F1447" s="28"/>
      <c r="I1447" s="28"/>
    </row>
    <row r="1448" spans="6:9" x14ac:dyDescent="0.25">
      <c r="F1448" s="28"/>
      <c r="I1448" s="28"/>
    </row>
    <row r="1449" spans="6:9" x14ac:dyDescent="0.25">
      <c r="F1449" s="28"/>
      <c r="I1449" s="28"/>
    </row>
    <row r="1450" spans="6:9" x14ac:dyDescent="0.25">
      <c r="F1450" s="28"/>
      <c r="I1450" s="28"/>
    </row>
    <row r="1451" spans="6:9" x14ac:dyDescent="0.25">
      <c r="F1451" s="28"/>
      <c r="I1451" s="28"/>
    </row>
    <row r="1452" spans="6:9" x14ac:dyDescent="0.25">
      <c r="F1452" s="28"/>
      <c r="I1452" s="28"/>
    </row>
    <row r="1453" spans="6:9" x14ac:dyDescent="0.25">
      <c r="F1453" s="28"/>
      <c r="I1453" s="28"/>
    </row>
    <row r="1454" spans="6:9" x14ac:dyDescent="0.25">
      <c r="F1454" s="28"/>
      <c r="I1454" s="28"/>
    </row>
    <row r="1455" spans="6:9" x14ac:dyDescent="0.25">
      <c r="F1455" s="28"/>
      <c r="I1455" s="28"/>
    </row>
    <row r="1456" spans="6:9" x14ac:dyDescent="0.25">
      <c r="F1456" s="28"/>
      <c r="I1456" s="28"/>
    </row>
    <row r="1457" spans="6:9" x14ac:dyDescent="0.25">
      <c r="F1457" s="28"/>
      <c r="I1457" s="28"/>
    </row>
    <row r="1458" spans="6:9" x14ac:dyDescent="0.25">
      <c r="F1458" s="28"/>
      <c r="I1458" s="28"/>
    </row>
    <row r="1459" spans="6:9" x14ac:dyDescent="0.25">
      <c r="F1459" s="28"/>
      <c r="I1459" s="28"/>
    </row>
    <row r="1460" spans="6:9" x14ac:dyDescent="0.25">
      <c r="F1460" s="28"/>
      <c r="I1460" s="28"/>
    </row>
    <row r="1461" spans="6:9" x14ac:dyDescent="0.25">
      <c r="F1461" s="28"/>
      <c r="I1461" s="28"/>
    </row>
    <row r="1462" spans="6:9" x14ac:dyDescent="0.25">
      <c r="F1462" s="28"/>
      <c r="I1462" s="28"/>
    </row>
    <row r="1463" spans="6:9" x14ac:dyDescent="0.25">
      <c r="F1463" s="28"/>
      <c r="I1463" s="28"/>
    </row>
    <row r="1464" spans="6:9" x14ac:dyDescent="0.25">
      <c r="F1464" s="28"/>
      <c r="I1464" s="28"/>
    </row>
    <row r="1465" spans="6:9" x14ac:dyDescent="0.25">
      <c r="F1465" s="28"/>
      <c r="I1465" s="28"/>
    </row>
    <row r="1466" spans="6:9" x14ac:dyDescent="0.25">
      <c r="F1466" s="28"/>
      <c r="I1466" s="28"/>
    </row>
    <row r="1467" spans="6:9" x14ac:dyDescent="0.25">
      <c r="F1467" s="28"/>
      <c r="I1467" s="28"/>
    </row>
    <row r="1468" spans="6:9" x14ac:dyDescent="0.25">
      <c r="F1468" s="28"/>
      <c r="I1468" s="28"/>
    </row>
    <row r="1469" spans="6:9" x14ac:dyDescent="0.25">
      <c r="F1469" s="28"/>
      <c r="I1469" s="28"/>
    </row>
    <row r="1470" spans="6:9" x14ac:dyDescent="0.25">
      <c r="F1470" s="28"/>
      <c r="I1470" s="28"/>
    </row>
    <row r="1471" spans="6:9" x14ac:dyDescent="0.25">
      <c r="F1471" s="28"/>
      <c r="I1471" s="28"/>
    </row>
    <row r="1472" spans="6:9" x14ac:dyDescent="0.25">
      <c r="F1472" s="28"/>
      <c r="I1472" s="28"/>
    </row>
    <row r="1473" spans="6:9" x14ac:dyDescent="0.25">
      <c r="F1473" s="28"/>
      <c r="I1473" s="28"/>
    </row>
    <row r="1474" spans="6:9" x14ac:dyDescent="0.25">
      <c r="F1474" s="28"/>
      <c r="I1474" s="28"/>
    </row>
    <row r="1475" spans="6:9" x14ac:dyDescent="0.25">
      <c r="F1475" s="28"/>
      <c r="I1475" s="28"/>
    </row>
    <row r="1476" spans="6:9" x14ac:dyDescent="0.25">
      <c r="F1476" s="28"/>
      <c r="I1476" s="28"/>
    </row>
    <row r="1477" spans="6:9" x14ac:dyDescent="0.25">
      <c r="F1477" s="28"/>
      <c r="I1477" s="28"/>
    </row>
    <row r="1478" spans="6:9" x14ac:dyDescent="0.25">
      <c r="F1478" s="28"/>
      <c r="I1478" s="28"/>
    </row>
    <row r="1479" spans="6:9" x14ac:dyDescent="0.25">
      <c r="F1479" s="28"/>
      <c r="I1479" s="28"/>
    </row>
    <row r="1480" spans="6:9" x14ac:dyDescent="0.25">
      <c r="F1480" s="28"/>
      <c r="I1480" s="28"/>
    </row>
    <row r="1481" spans="6:9" x14ac:dyDescent="0.25">
      <c r="F1481" s="28"/>
      <c r="I1481" s="28"/>
    </row>
    <row r="1482" spans="6:9" x14ac:dyDescent="0.25">
      <c r="F1482" s="28"/>
      <c r="I1482" s="28"/>
    </row>
    <row r="1483" spans="6:9" x14ac:dyDescent="0.25">
      <c r="F1483" s="28"/>
      <c r="I1483" s="28"/>
    </row>
    <row r="1484" spans="6:9" x14ac:dyDescent="0.25">
      <c r="F1484" s="28"/>
      <c r="I1484" s="28"/>
    </row>
    <row r="1485" spans="6:9" x14ac:dyDescent="0.25">
      <c r="F1485" s="28"/>
      <c r="I1485" s="28"/>
    </row>
    <row r="1486" spans="6:9" x14ac:dyDescent="0.25">
      <c r="F1486" s="28"/>
      <c r="I1486" s="28"/>
    </row>
    <row r="1487" spans="6:9" x14ac:dyDescent="0.25">
      <c r="F1487" s="28"/>
      <c r="I1487" s="28"/>
    </row>
    <row r="1488" spans="6:9" x14ac:dyDescent="0.25">
      <c r="F1488" s="28"/>
      <c r="I1488" s="28"/>
    </row>
    <row r="1489" spans="6:9" x14ac:dyDescent="0.25">
      <c r="F1489" s="28"/>
      <c r="I1489" s="28"/>
    </row>
    <row r="1490" spans="6:9" x14ac:dyDescent="0.25">
      <c r="F1490" s="28"/>
      <c r="I1490" s="28"/>
    </row>
    <row r="1491" spans="6:9" x14ac:dyDescent="0.25">
      <c r="F1491" s="28"/>
      <c r="I1491" s="28"/>
    </row>
    <row r="1492" spans="6:9" x14ac:dyDescent="0.25">
      <c r="F1492" s="28"/>
      <c r="I1492" s="28"/>
    </row>
    <row r="1493" spans="6:9" x14ac:dyDescent="0.25">
      <c r="F1493" s="28"/>
      <c r="I1493" s="28"/>
    </row>
    <row r="1494" spans="6:9" x14ac:dyDescent="0.25">
      <c r="F1494" s="28"/>
      <c r="I1494" s="28"/>
    </row>
    <row r="1495" spans="6:9" x14ac:dyDescent="0.25">
      <c r="F1495" s="28"/>
      <c r="I1495" s="28"/>
    </row>
    <row r="1496" spans="6:9" x14ac:dyDescent="0.25">
      <c r="F1496" s="28"/>
      <c r="I1496" s="28"/>
    </row>
    <row r="1497" spans="6:9" x14ac:dyDescent="0.25">
      <c r="F1497" s="28"/>
      <c r="I1497" s="28"/>
    </row>
    <row r="1498" spans="6:9" x14ac:dyDescent="0.25">
      <c r="F1498" s="28"/>
      <c r="I1498" s="28"/>
    </row>
    <row r="1499" spans="6:9" x14ac:dyDescent="0.25">
      <c r="F1499" s="28"/>
      <c r="I1499" s="28"/>
    </row>
    <row r="1500" spans="6:9" x14ac:dyDescent="0.25">
      <c r="F1500" s="28"/>
      <c r="I1500" s="28"/>
    </row>
    <row r="1501" spans="6:9" x14ac:dyDescent="0.25">
      <c r="F1501" s="28"/>
      <c r="I1501" s="28"/>
    </row>
    <row r="1502" spans="6:9" x14ac:dyDescent="0.25">
      <c r="F1502" s="28"/>
      <c r="I1502" s="28"/>
    </row>
    <row r="1503" spans="6:9" x14ac:dyDescent="0.25">
      <c r="F1503" s="28"/>
      <c r="I1503" s="28"/>
    </row>
    <row r="1504" spans="6:9" x14ac:dyDescent="0.25">
      <c r="F1504" s="28"/>
      <c r="I1504" s="28"/>
    </row>
    <row r="1505" spans="6:9" x14ac:dyDescent="0.25">
      <c r="F1505" s="28"/>
      <c r="I1505" s="28"/>
    </row>
    <row r="1506" spans="6:9" x14ac:dyDescent="0.25">
      <c r="F1506" s="28"/>
      <c r="I1506" s="28"/>
    </row>
    <row r="1507" spans="6:9" x14ac:dyDescent="0.25">
      <c r="F1507" s="28"/>
      <c r="I1507" s="28"/>
    </row>
    <row r="1508" spans="6:9" x14ac:dyDescent="0.25">
      <c r="F1508" s="28"/>
      <c r="I1508" s="28"/>
    </row>
    <row r="1509" spans="6:9" x14ac:dyDescent="0.25">
      <c r="F1509" s="28"/>
      <c r="I1509" s="28"/>
    </row>
    <row r="1510" spans="6:9" x14ac:dyDescent="0.25">
      <c r="F1510" s="28"/>
      <c r="I1510" s="28"/>
    </row>
    <row r="1511" spans="6:9" x14ac:dyDescent="0.25">
      <c r="F1511" s="28"/>
      <c r="I1511" s="28"/>
    </row>
    <row r="1512" spans="6:9" x14ac:dyDescent="0.25">
      <c r="F1512" s="28"/>
      <c r="I1512" s="28"/>
    </row>
    <row r="1513" spans="6:9" x14ac:dyDescent="0.25">
      <c r="F1513" s="28"/>
      <c r="I1513" s="28"/>
    </row>
    <row r="1514" spans="6:9" x14ac:dyDescent="0.25">
      <c r="F1514" s="28"/>
      <c r="I1514" s="28"/>
    </row>
    <row r="1515" spans="6:9" x14ac:dyDescent="0.25">
      <c r="F1515" s="28"/>
      <c r="I1515" s="28"/>
    </row>
    <row r="1516" spans="6:9" x14ac:dyDescent="0.25">
      <c r="F1516" s="28"/>
      <c r="I1516" s="28"/>
    </row>
    <row r="1517" spans="6:9" x14ac:dyDescent="0.25">
      <c r="F1517" s="28"/>
      <c r="I1517" s="28"/>
    </row>
    <row r="1518" spans="6:9" x14ac:dyDescent="0.25">
      <c r="F1518" s="28"/>
      <c r="I1518" s="28"/>
    </row>
    <row r="1519" spans="6:9" x14ac:dyDescent="0.25">
      <c r="F1519" s="28"/>
      <c r="I1519" s="28"/>
    </row>
    <row r="1520" spans="6:9" x14ac:dyDescent="0.25">
      <c r="F1520" s="28"/>
      <c r="I1520" s="28"/>
    </row>
    <row r="1521" spans="6:9" x14ac:dyDescent="0.25">
      <c r="F1521" s="28"/>
      <c r="I1521" s="28"/>
    </row>
    <row r="1522" spans="6:9" x14ac:dyDescent="0.25">
      <c r="F1522" s="28"/>
      <c r="I1522" s="28"/>
    </row>
    <row r="1523" spans="6:9" x14ac:dyDescent="0.25">
      <c r="F1523" s="28"/>
      <c r="I1523" s="28"/>
    </row>
    <row r="1524" spans="6:9" x14ac:dyDescent="0.25">
      <c r="F1524" s="28"/>
      <c r="I1524" s="28"/>
    </row>
    <row r="1525" spans="6:9" x14ac:dyDescent="0.25">
      <c r="F1525" s="28"/>
      <c r="I1525" s="28"/>
    </row>
    <row r="1526" spans="6:9" x14ac:dyDescent="0.25">
      <c r="F1526" s="28"/>
      <c r="I1526" s="28"/>
    </row>
    <row r="1527" spans="6:9" x14ac:dyDescent="0.25">
      <c r="F1527" s="28"/>
      <c r="I1527" s="28"/>
    </row>
    <row r="1528" spans="6:9" x14ac:dyDescent="0.25">
      <c r="F1528" s="28"/>
      <c r="I1528" s="28"/>
    </row>
    <row r="1529" spans="6:9" x14ac:dyDescent="0.25">
      <c r="F1529" s="28"/>
      <c r="I1529" s="28"/>
    </row>
    <row r="1530" spans="6:9" x14ac:dyDescent="0.25">
      <c r="F1530" s="28"/>
      <c r="I1530" s="28"/>
    </row>
    <row r="1531" spans="6:9" x14ac:dyDescent="0.25">
      <c r="F1531" s="28"/>
      <c r="I1531" s="28"/>
    </row>
    <row r="1532" spans="6:9" x14ac:dyDescent="0.25">
      <c r="F1532" s="28"/>
      <c r="I1532" s="28"/>
    </row>
    <row r="1533" spans="6:9" x14ac:dyDescent="0.25">
      <c r="F1533" s="28"/>
      <c r="I1533" s="28"/>
    </row>
    <row r="1534" spans="6:9" x14ac:dyDescent="0.25">
      <c r="F1534" s="28"/>
      <c r="I1534" s="28"/>
    </row>
    <row r="1535" spans="6:9" x14ac:dyDescent="0.25">
      <c r="F1535" s="28"/>
      <c r="I1535" s="28"/>
    </row>
    <row r="1536" spans="6:9" x14ac:dyDescent="0.25">
      <c r="F1536" s="28"/>
      <c r="I1536" s="28"/>
    </row>
    <row r="1537" spans="6:9" x14ac:dyDescent="0.25">
      <c r="F1537" s="28"/>
      <c r="I1537" s="28"/>
    </row>
    <row r="1538" spans="6:9" x14ac:dyDescent="0.25">
      <c r="F1538" s="28"/>
      <c r="I1538" s="28"/>
    </row>
    <row r="1539" spans="6:9" x14ac:dyDescent="0.25">
      <c r="F1539" s="28"/>
      <c r="I1539" s="28"/>
    </row>
    <row r="1540" spans="6:9" x14ac:dyDescent="0.25">
      <c r="F1540" s="28"/>
      <c r="I1540" s="28"/>
    </row>
    <row r="1541" spans="6:9" x14ac:dyDescent="0.25">
      <c r="F1541" s="28"/>
      <c r="I1541" s="28"/>
    </row>
    <row r="1542" spans="6:9" x14ac:dyDescent="0.25">
      <c r="F1542" s="28"/>
      <c r="I1542" s="28"/>
    </row>
    <row r="1543" spans="6:9" x14ac:dyDescent="0.25">
      <c r="F1543" s="28"/>
      <c r="I1543" s="28"/>
    </row>
    <row r="1544" spans="6:9" x14ac:dyDescent="0.25">
      <c r="F1544" s="28"/>
      <c r="I1544" s="28"/>
    </row>
    <row r="1545" spans="6:9" x14ac:dyDescent="0.25">
      <c r="F1545" s="28"/>
      <c r="I1545" s="28"/>
    </row>
    <row r="1546" spans="6:9" x14ac:dyDescent="0.25">
      <c r="F1546" s="28"/>
      <c r="I1546" s="28"/>
    </row>
    <row r="1547" spans="6:9" x14ac:dyDescent="0.25">
      <c r="F1547" s="28"/>
      <c r="I1547" s="28"/>
    </row>
    <row r="1548" spans="6:9" x14ac:dyDescent="0.25">
      <c r="F1548" s="28"/>
      <c r="I1548" s="28"/>
    </row>
    <row r="1549" spans="6:9" x14ac:dyDescent="0.25">
      <c r="F1549" s="28"/>
      <c r="I1549" s="28"/>
    </row>
    <row r="1550" spans="6:9" x14ac:dyDescent="0.25">
      <c r="F1550" s="28"/>
      <c r="I1550" s="28"/>
    </row>
    <row r="1551" spans="6:9" x14ac:dyDescent="0.25">
      <c r="F1551" s="28"/>
      <c r="I1551" s="28"/>
    </row>
    <row r="1552" spans="6:9" x14ac:dyDescent="0.25">
      <c r="F1552" s="28"/>
      <c r="I1552" s="28"/>
    </row>
    <row r="1553" spans="6:9" x14ac:dyDescent="0.25">
      <c r="F1553" s="28"/>
      <c r="I1553" s="28"/>
    </row>
    <row r="1554" spans="6:9" x14ac:dyDescent="0.25">
      <c r="F1554" s="28"/>
      <c r="I1554" s="28"/>
    </row>
    <row r="1555" spans="6:9" x14ac:dyDescent="0.25">
      <c r="F1555" s="28"/>
      <c r="I1555" s="28"/>
    </row>
    <row r="1556" spans="6:9" x14ac:dyDescent="0.25">
      <c r="F1556" s="28"/>
      <c r="I1556" s="28"/>
    </row>
    <row r="1557" spans="6:9" x14ac:dyDescent="0.25">
      <c r="F1557" s="28"/>
      <c r="I1557" s="28"/>
    </row>
    <row r="1558" spans="6:9" x14ac:dyDescent="0.25">
      <c r="F1558" s="28"/>
      <c r="I1558" s="28"/>
    </row>
    <row r="1559" spans="6:9" x14ac:dyDescent="0.25">
      <c r="F1559" s="28"/>
      <c r="I1559" s="28"/>
    </row>
    <row r="1560" spans="6:9" x14ac:dyDescent="0.25">
      <c r="F1560" s="28"/>
      <c r="I1560" s="28"/>
    </row>
    <row r="1561" spans="6:9" x14ac:dyDescent="0.25">
      <c r="F1561" s="28"/>
      <c r="I1561" s="28"/>
    </row>
    <row r="1562" spans="6:9" x14ac:dyDescent="0.25">
      <c r="F1562" s="28"/>
      <c r="I1562" s="28"/>
    </row>
    <row r="1563" spans="6:9" x14ac:dyDescent="0.25">
      <c r="F1563" s="28"/>
      <c r="I1563" s="28"/>
    </row>
    <row r="1564" spans="6:9" x14ac:dyDescent="0.25">
      <c r="F1564" s="28"/>
      <c r="I1564" s="28"/>
    </row>
    <row r="1565" spans="6:9" x14ac:dyDescent="0.25">
      <c r="F1565" s="28"/>
      <c r="I1565" s="28"/>
    </row>
    <row r="1566" spans="6:9" x14ac:dyDescent="0.25">
      <c r="F1566" s="28"/>
      <c r="I1566" s="28"/>
    </row>
    <row r="1567" spans="6:9" x14ac:dyDescent="0.25">
      <c r="F1567" s="28"/>
      <c r="I1567" s="28"/>
    </row>
    <row r="1568" spans="6:9" x14ac:dyDescent="0.25">
      <c r="F1568" s="28"/>
      <c r="I1568" s="28"/>
    </row>
    <row r="1569" spans="6:9" x14ac:dyDescent="0.25">
      <c r="F1569" s="28"/>
      <c r="I1569" s="28"/>
    </row>
    <row r="1570" spans="6:9" x14ac:dyDescent="0.25">
      <c r="F1570" s="28"/>
      <c r="I1570" s="28"/>
    </row>
    <row r="1571" spans="6:9" x14ac:dyDescent="0.25">
      <c r="F1571" s="28"/>
      <c r="I1571" s="28"/>
    </row>
    <row r="1572" spans="6:9" x14ac:dyDescent="0.25">
      <c r="F1572" s="28"/>
      <c r="I1572" s="28"/>
    </row>
    <row r="1573" spans="6:9" x14ac:dyDescent="0.25">
      <c r="F1573" s="28"/>
      <c r="I1573" s="28"/>
    </row>
    <row r="1574" spans="6:9" x14ac:dyDescent="0.25">
      <c r="F1574" s="28"/>
      <c r="I1574" s="28"/>
    </row>
    <row r="1575" spans="6:9" x14ac:dyDescent="0.25">
      <c r="F1575" s="28"/>
      <c r="I1575" s="28"/>
    </row>
    <row r="1576" spans="6:9" x14ac:dyDescent="0.25">
      <c r="F1576" s="28"/>
      <c r="I1576" s="28"/>
    </row>
    <row r="1577" spans="6:9" x14ac:dyDescent="0.25">
      <c r="F1577" s="28"/>
      <c r="I1577" s="28"/>
    </row>
    <row r="1578" spans="6:9" x14ac:dyDescent="0.25">
      <c r="F1578" s="28"/>
      <c r="I1578" s="28"/>
    </row>
    <row r="1579" spans="6:9" x14ac:dyDescent="0.25">
      <c r="F1579" s="28"/>
      <c r="I1579" s="28"/>
    </row>
    <row r="1580" spans="6:9" x14ac:dyDescent="0.25">
      <c r="F1580" s="28"/>
      <c r="I1580" s="28"/>
    </row>
    <row r="1581" spans="6:9" x14ac:dyDescent="0.25">
      <c r="F1581" s="28"/>
      <c r="I1581" s="28"/>
    </row>
    <row r="1582" spans="6:9" x14ac:dyDescent="0.25">
      <c r="F1582" s="28"/>
      <c r="I1582" s="28"/>
    </row>
    <row r="1583" spans="6:9" x14ac:dyDescent="0.25">
      <c r="F1583" s="28"/>
      <c r="I1583" s="28"/>
    </row>
    <row r="1584" spans="6:9" x14ac:dyDescent="0.25">
      <c r="F1584" s="28"/>
      <c r="I1584" s="28"/>
    </row>
    <row r="1585" spans="6:9" x14ac:dyDescent="0.25">
      <c r="F1585" s="28"/>
      <c r="I1585" s="28"/>
    </row>
    <row r="1586" spans="6:9" x14ac:dyDescent="0.25">
      <c r="F1586" s="28"/>
      <c r="I1586" s="28"/>
    </row>
    <row r="1587" spans="6:9" x14ac:dyDescent="0.25">
      <c r="F1587" s="28"/>
      <c r="I1587" s="28"/>
    </row>
    <row r="1588" spans="6:9" x14ac:dyDescent="0.25">
      <c r="F1588" s="28"/>
      <c r="I1588" s="28"/>
    </row>
    <row r="1589" spans="6:9" x14ac:dyDescent="0.25">
      <c r="F1589" s="28"/>
      <c r="I1589" s="28"/>
    </row>
    <row r="1590" spans="6:9" x14ac:dyDescent="0.25">
      <c r="F1590" s="28"/>
      <c r="I1590" s="28"/>
    </row>
    <row r="1591" spans="6:9" x14ac:dyDescent="0.25">
      <c r="F1591" s="28"/>
      <c r="I1591" s="28"/>
    </row>
    <row r="1592" spans="6:9" x14ac:dyDescent="0.25">
      <c r="F1592" s="28"/>
      <c r="I1592" s="28"/>
    </row>
    <row r="1593" spans="6:9" x14ac:dyDescent="0.25">
      <c r="F1593" s="28"/>
      <c r="I1593" s="28"/>
    </row>
    <row r="1594" spans="6:9" x14ac:dyDescent="0.25">
      <c r="F1594" s="28"/>
      <c r="I1594" s="28"/>
    </row>
    <row r="1595" spans="6:9" x14ac:dyDescent="0.25">
      <c r="F1595" s="28"/>
      <c r="I1595" s="28"/>
    </row>
    <row r="1596" spans="6:9" x14ac:dyDescent="0.25">
      <c r="F1596" s="28"/>
      <c r="I1596" s="28"/>
    </row>
    <row r="1597" spans="6:9" x14ac:dyDescent="0.25">
      <c r="F1597" s="28"/>
      <c r="I1597" s="28"/>
    </row>
    <row r="1598" spans="6:9" x14ac:dyDescent="0.25">
      <c r="F1598" s="28"/>
      <c r="I1598" s="28"/>
    </row>
    <row r="1599" spans="6:9" x14ac:dyDescent="0.25">
      <c r="F1599" s="28"/>
      <c r="I1599" s="28"/>
    </row>
    <row r="1600" spans="6:9" x14ac:dyDescent="0.25">
      <c r="F1600" s="28"/>
      <c r="I1600" s="28"/>
    </row>
    <row r="1601" spans="6:9" x14ac:dyDescent="0.25">
      <c r="F1601" s="28"/>
      <c r="I1601" s="28"/>
    </row>
    <row r="1602" spans="6:9" x14ac:dyDescent="0.25">
      <c r="F1602" s="28"/>
      <c r="I1602" s="28"/>
    </row>
    <row r="1603" spans="6:9" x14ac:dyDescent="0.25">
      <c r="F1603" s="28"/>
      <c r="I1603" s="28"/>
    </row>
    <row r="1604" spans="6:9" x14ac:dyDescent="0.25">
      <c r="F1604" s="28"/>
      <c r="I1604" s="28"/>
    </row>
    <row r="1605" spans="6:9" x14ac:dyDescent="0.25">
      <c r="F1605" s="28"/>
      <c r="I1605" s="28"/>
    </row>
    <row r="1606" spans="6:9" x14ac:dyDescent="0.25">
      <c r="F1606" s="28"/>
      <c r="I1606" s="28"/>
    </row>
    <row r="1607" spans="6:9" x14ac:dyDescent="0.25">
      <c r="F1607" s="28"/>
      <c r="I1607" s="28"/>
    </row>
    <row r="1608" spans="6:9" x14ac:dyDescent="0.25">
      <c r="F1608" s="28"/>
      <c r="I1608" s="28"/>
    </row>
    <row r="1609" spans="6:9" x14ac:dyDescent="0.25">
      <c r="F1609" s="28"/>
      <c r="I1609" s="28"/>
    </row>
    <row r="1610" spans="6:9" x14ac:dyDescent="0.25">
      <c r="F1610" s="28"/>
      <c r="I1610" s="28"/>
    </row>
    <row r="1611" spans="6:9" x14ac:dyDescent="0.25">
      <c r="F1611" s="28"/>
      <c r="I1611" s="28"/>
    </row>
    <row r="1612" spans="6:9" x14ac:dyDescent="0.25">
      <c r="F1612" s="28"/>
      <c r="I1612" s="28"/>
    </row>
    <row r="1613" spans="6:9" x14ac:dyDescent="0.25">
      <c r="F1613" s="28"/>
      <c r="I1613" s="28"/>
    </row>
    <row r="1614" spans="6:9" x14ac:dyDescent="0.25">
      <c r="F1614" s="28"/>
      <c r="I1614" s="28"/>
    </row>
    <row r="1615" spans="6:9" x14ac:dyDescent="0.25">
      <c r="F1615" s="28"/>
      <c r="I1615" s="28"/>
    </row>
    <row r="1616" spans="6:9" x14ac:dyDescent="0.25">
      <c r="F1616" s="28"/>
      <c r="I1616" s="28"/>
    </row>
    <row r="1617" spans="6:9" x14ac:dyDescent="0.25">
      <c r="F1617" s="28"/>
      <c r="I1617" s="28"/>
    </row>
    <row r="1618" spans="6:9" x14ac:dyDescent="0.25">
      <c r="F1618" s="28"/>
      <c r="I1618" s="28"/>
    </row>
    <row r="1619" spans="6:9" x14ac:dyDescent="0.25">
      <c r="F1619" s="28"/>
      <c r="I1619" s="28"/>
    </row>
    <row r="1620" spans="6:9" x14ac:dyDescent="0.25">
      <c r="F1620" s="28"/>
      <c r="I1620" s="28"/>
    </row>
    <row r="1621" spans="6:9" x14ac:dyDescent="0.25">
      <c r="F1621" s="28"/>
      <c r="I1621" s="28"/>
    </row>
    <row r="1622" spans="6:9" x14ac:dyDescent="0.25">
      <c r="F1622" s="28"/>
      <c r="I1622" s="28"/>
    </row>
    <row r="1623" spans="6:9" x14ac:dyDescent="0.25">
      <c r="F1623" s="28"/>
      <c r="I1623" s="28"/>
    </row>
    <row r="1624" spans="6:9" x14ac:dyDescent="0.25">
      <c r="F1624" s="28"/>
      <c r="I1624" s="28"/>
    </row>
    <row r="1625" spans="6:9" x14ac:dyDescent="0.25">
      <c r="F1625" s="28"/>
      <c r="I1625" s="28"/>
    </row>
    <row r="1626" spans="6:9" x14ac:dyDescent="0.25">
      <c r="F1626" s="28"/>
      <c r="I1626" s="28"/>
    </row>
    <row r="1627" spans="6:9" x14ac:dyDescent="0.25">
      <c r="F1627" s="28"/>
      <c r="I1627" s="28"/>
    </row>
    <row r="1628" spans="6:9" x14ac:dyDescent="0.25">
      <c r="F1628" s="28"/>
      <c r="I1628" s="28"/>
    </row>
    <row r="1629" spans="6:9" x14ac:dyDescent="0.25">
      <c r="F1629" s="28"/>
      <c r="I1629" s="28"/>
    </row>
    <row r="1630" spans="6:9" x14ac:dyDescent="0.25">
      <c r="F1630" s="28"/>
      <c r="I1630" s="28"/>
    </row>
    <row r="1631" spans="6:9" x14ac:dyDescent="0.25">
      <c r="F1631" s="28"/>
      <c r="I1631" s="28"/>
    </row>
    <row r="1632" spans="6:9" x14ac:dyDescent="0.25">
      <c r="F1632" s="28"/>
      <c r="I1632" s="28"/>
    </row>
    <row r="1633" spans="6:9" x14ac:dyDescent="0.25">
      <c r="F1633" s="28"/>
      <c r="I1633" s="28"/>
    </row>
    <row r="1634" spans="6:9" x14ac:dyDescent="0.25">
      <c r="F1634" s="28"/>
      <c r="I1634" s="28"/>
    </row>
    <row r="1635" spans="6:9" x14ac:dyDescent="0.25">
      <c r="F1635" s="28"/>
      <c r="I1635" s="28"/>
    </row>
    <row r="1636" spans="6:9" x14ac:dyDescent="0.25">
      <c r="F1636" s="28"/>
      <c r="I1636" s="28"/>
    </row>
    <row r="1637" spans="6:9" x14ac:dyDescent="0.25">
      <c r="F1637" s="28"/>
      <c r="I1637" s="28"/>
    </row>
    <row r="1638" spans="6:9" x14ac:dyDescent="0.25">
      <c r="F1638" s="28"/>
      <c r="I1638" s="28"/>
    </row>
    <row r="1639" spans="6:9" x14ac:dyDescent="0.25">
      <c r="F1639" s="28"/>
      <c r="I1639" s="28"/>
    </row>
    <row r="1640" spans="6:9" x14ac:dyDescent="0.25">
      <c r="F1640" s="28"/>
      <c r="I1640" s="28"/>
    </row>
    <row r="1641" spans="6:9" x14ac:dyDescent="0.25">
      <c r="F1641" s="28"/>
      <c r="I1641" s="28"/>
    </row>
    <row r="1642" spans="6:9" x14ac:dyDescent="0.25">
      <c r="F1642" s="28"/>
      <c r="I1642" s="28"/>
    </row>
    <row r="1643" spans="6:9" x14ac:dyDescent="0.25">
      <c r="F1643" s="28"/>
      <c r="I1643" s="28"/>
    </row>
    <row r="1644" spans="6:9" x14ac:dyDescent="0.25">
      <c r="F1644" s="28"/>
      <c r="I1644" s="28"/>
    </row>
    <row r="1645" spans="6:9" x14ac:dyDescent="0.25">
      <c r="F1645" s="28"/>
      <c r="I1645" s="28"/>
    </row>
    <row r="1646" spans="6:9" x14ac:dyDescent="0.25">
      <c r="F1646" s="28"/>
      <c r="I1646" s="28"/>
    </row>
    <row r="1647" spans="6:9" x14ac:dyDescent="0.25">
      <c r="F1647" s="28"/>
      <c r="I1647" s="28"/>
    </row>
    <row r="1648" spans="6:9" x14ac:dyDescent="0.25">
      <c r="F1648" s="28"/>
      <c r="I1648" s="28"/>
    </row>
    <row r="1649" spans="6:9" x14ac:dyDescent="0.25">
      <c r="F1649" s="28"/>
      <c r="I1649" s="28"/>
    </row>
    <row r="1650" spans="6:9" x14ac:dyDescent="0.25">
      <c r="F1650" s="28"/>
      <c r="I1650" s="28"/>
    </row>
    <row r="1651" spans="6:9" x14ac:dyDescent="0.25">
      <c r="F1651" s="28"/>
      <c r="I1651" s="28"/>
    </row>
    <row r="1652" spans="6:9" x14ac:dyDescent="0.25">
      <c r="F1652" s="28"/>
      <c r="I1652" s="28"/>
    </row>
    <row r="1653" spans="6:9" x14ac:dyDescent="0.25">
      <c r="F1653" s="28"/>
      <c r="I1653" s="28"/>
    </row>
    <row r="1654" spans="6:9" x14ac:dyDescent="0.25">
      <c r="F1654" s="28"/>
      <c r="I1654" s="28"/>
    </row>
    <row r="1655" spans="6:9" x14ac:dyDescent="0.25">
      <c r="F1655" s="28"/>
      <c r="I1655" s="28"/>
    </row>
    <row r="1656" spans="6:9" x14ac:dyDescent="0.25">
      <c r="F1656" s="28"/>
      <c r="I1656" s="28"/>
    </row>
    <row r="1657" spans="6:9" x14ac:dyDescent="0.25">
      <c r="F1657" s="28"/>
      <c r="I1657" s="28"/>
    </row>
    <row r="1658" spans="6:9" x14ac:dyDescent="0.25">
      <c r="F1658" s="28"/>
      <c r="I1658" s="28"/>
    </row>
    <row r="1659" spans="6:9" x14ac:dyDescent="0.25">
      <c r="F1659" s="28"/>
      <c r="I1659" s="28"/>
    </row>
    <row r="1660" spans="6:9" x14ac:dyDescent="0.25">
      <c r="F1660" s="28"/>
      <c r="I1660" s="28"/>
    </row>
    <row r="1661" spans="6:9" x14ac:dyDescent="0.25">
      <c r="F1661" s="28"/>
      <c r="I1661" s="28"/>
    </row>
    <row r="1662" spans="6:9" x14ac:dyDescent="0.25">
      <c r="F1662" s="28"/>
      <c r="I1662" s="28"/>
    </row>
    <row r="1663" spans="6:9" x14ac:dyDescent="0.25">
      <c r="F1663" s="28"/>
      <c r="I1663" s="28"/>
    </row>
    <row r="1664" spans="6:9" x14ac:dyDescent="0.25">
      <c r="F1664" s="28"/>
      <c r="I1664" s="28"/>
    </row>
    <row r="1665" spans="6:9" x14ac:dyDescent="0.25">
      <c r="F1665" s="28"/>
      <c r="I1665" s="28"/>
    </row>
    <row r="1666" spans="6:9" x14ac:dyDescent="0.25">
      <c r="F1666" s="28"/>
      <c r="I1666" s="28"/>
    </row>
    <row r="1667" spans="6:9" x14ac:dyDescent="0.25">
      <c r="F1667" s="28"/>
      <c r="I1667" s="28"/>
    </row>
    <row r="1668" spans="6:9" x14ac:dyDescent="0.25">
      <c r="F1668" s="28"/>
      <c r="I1668" s="28"/>
    </row>
    <row r="1669" spans="6:9" x14ac:dyDescent="0.25">
      <c r="F1669" s="28"/>
      <c r="I1669" s="28"/>
    </row>
    <row r="1670" spans="6:9" x14ac:dyDescent="0.25">
      <c r="F1670" s="28"/>
      <c r="I1670" s="28"/>
    </row>
    <row r="1671" spans="6:9" x14ac:dyDescent="0.25">
      <c r="F1671" s="28"/>
      <c r="I1671" s="28"/>
    </row>
    <row r="1672" spans="6:9" x14ac:dyDescent="0.25">
      <c r="F1672" s="28"/>
      <c r="I1672" s="28"/>
    </row>
    <row r="1673" spans="6:9" x14ac:dyDescent="0.25">
      <c r="F1673" s="28"/>
      <c r="I1673" s="28"/>
    </row>
    <row r="1674" spans="6:9" x14ac:dyDescent="0.25">
      <c r="F1674" s="28"/>
      <c r="I1674" s="28"/>
    </row>
    <row r="1675" spans="6:9" x14ac:dyDescent="0.25">
      <c r="F1675" s="28"/>
      <c r="I1675" s="28"/>
    </row>
    <row r="1676" spans="6:9" x14ac:dyDescent="0.25">
      <c r="F1676" s="28"/>
      <c r="I1676" s="28"/>
    </row>
    <row r="1677" spans="6:9" x14ac:dyDescent="0.25">
      <c r="F1677" s="28"/>
      <c r="I1677" s="28"/>
    </row>
    <row r="1678" spans="6:9" x14ac:dyDescent="0.25">
      <c r="F1678" s="28"/>
      <c r="I1678" s="28"/>
    </row>
    <row r="1679" spans="6:9" x14ac:dyDescent="0.25">
      <c r="F1679" s="28"/>
      <c r="I1679" s="28"/>
    </row>
    <row r="1680" spans="6:9" x14ac:dyDescent="0.25">
      <c r="F1680" s="28"/>
      <c r="I1680" s="28"/>
    </row>
    <row r="1681" spans="6:9" x14ac:dyDescent="0.25">
      <c r="F1681" s="28"/>
      <c r="I1681" s="28"/>
    </row>
    <row r="1682" spans="6:9" x14ac:dyDescent="0.25">
      <c r="F1682" s="28"/>
      <c r="I1682" s="28"/>
    </row>
    <row r="1683" spans="6:9" x14ac:dyDescent="0.25">
      <c r="F1683" s="28"/>
      <c r="I1683" s="28"/>
    </row>
    <row r="1684" spans="6:9" x14ac:dyDescent="0.25">
      <c r="F1684" s="28"/>
      <c r="I1684" s="28"/>
    </row>
    <row r="1685" spans="6:9" x14ac:dyDescent="0.25">
      <c r="F1685" s="28"/>
      <c r="I1685" s="28"/>
    </row>
    <row r="1686" spans="6:9" x14ac:dyDescent="0.25">
      <c r="F1686" s="28"/>
      <c r="I1686" s="28"/>
    </row>
    <row r="1687" spans="6:9" x14ac:dyDescent="0.25">
      <c r="F1687" s="28"/>
      <c r="I1687" s="28"/>
    </row>
    <row r="1688" spans="6:9" x14ac:dyDescent="0.25">
      <c r="F1688" s="28"/>
      <c r="I1688" s="28"/>
    </row>
    <row r="1689" spans="6:9" x14ac:dyDescent="0.25">
      <c r="F1689" s="28"/>
      <c r="I1689" s="28"/>
    </row>
    <row r="1690" spans="6:9" x14ac:dyDescent="0.25">
      <c r="F1690" s="28"/>
      <c r="I1690" s="28"/>
    </row>
    <row r="1691" spans="6:9" x14ac:dyDescent="0.25">
      <c r="F1691" s="28"/>
      <c r="I1691" s="28"/>
    </row>
    <row r="1692" spans="6:9" x14ac:dyDescent="0.25">
      <c r="F1692" s="28"/>
      <c r="I1692" s="28"/>
    </row>
    <row r="1693" spans="6:9" x14ac:dyDescent="0.25">
      <c r="F1693" s="28"/>
      <c r="I1693" s="28"/>
    </row>
    <row r="1694" spans="6:9" x14ac:dyDescent="0.25">
      <c r="F1694" s="28"/>
      <c r="I1694" s="28"/>
    </row>
    <row r="1695" spans="6:9" x14ac:dyDescent="0.25">
      <c r="F1695" s="28"/>
      <c r="I1695" s="28"/>
    </row>
    <row r="1696" spans="6:9" x14ac:dyDescent="0.25">
      <c r="F1696" s="28"/>
      <c r="I1696" s="28"/>
    </row>
    <row r="1697" spans="6:9" x14ac:dyDescent="0.25">
      <c r="F1697" s="28"/>
      <c r="I1697" s="28"/>
    </row>
    <row r="1698" spans="6:9" x14ac:dyDescent="0.25">
      <c r="F1698" s="28"/>
      <c r="I1698" s="28"/>
    </row>
    <row r="1699" spans="6:9" x14ac:dyDescent="0.25">
      <c r="F1699" s="28"/>
      <c r="I1699" s="28"/>
    </row>
    <row r="1700" spans="6:9" x14ac:dyDescent="0.25">
      <c r="F1700" s="28"/>
      <c r="I1700" s="28"/>
    </row>
    <row r="1701" spans="6:9" x14ac:dyDescent="0.25">
      <c r="F1701" s="28"/>
      <c r="I1701" s="28"/>
    </row>
    <row r="1702" spans="6:9" x14ac:dyDescent="0.25">
      <c r="F1702" s="28"/>
      <c r="I1702" s="28"/>
    </row>
    <row r="1703" spans="6:9" x14ac:dyDescent="0.25">
      <c r="F1703" s="28"/>
      <c r="I1703" s="28"/>
    </row>
    <row r="1704" spans="6:9" x14ac:dyDescent="0.25">
      <c r="F1704" s="28"/>
      <c r="I1704" s="28"/>
    </row>
    <row r="1705" spans="6:9" x14ac:dyDescent="0.25">
      <c r="F1705" s="28"/>
      <c r="I1705" s="28"/>
    </row>
    <row r="1706" spans="6:9" x14ac:dyDescent="0.25">
      <c r="F1706" s="28"/>
      <c r="I1706" s="28"/>
    </row>
    <row r="1707" spans="6:9" x14ac:dyDescent="0.25">
      <c r="F1707" s="28"/>
      <c r="I1707" s="28"/>
    </row>
    <row r="1708" spans="6:9" x14ac:dyDescent="0.25">
      <c r="F1708" s="28"/>
      <c r="I1708" s="28"/>
    </row>
    <row r="1709" spans="6:9" x14ac:dyDescent="0.25">
      <c r="F1709" s="28"/>
      <c r="I1709" s="28"/>
    </row>
    <row r="1710" spans="6:9" x14ac:dyDescent="0.25">
      <c r="F1710" s="28"/>
      <c r="I1710" s="28"/>
    </row>
    <row r="1711" spans="6:9" x14ac:dyDescent="0.25">
      <c r="F1711" s="28"/>
      <c r="I1711" s="28"/>
    </row>
    <row r="1712" spans="6:9" x14ac:dyDescent="0.25">
      <c r="F1712" s="28"/>
      <c r="I1712" s="28"/>
    </row>
    <row r="1713" spans="6:9" x14ac:dyDescent="0.25">
      <c r="F1713" s="28"/>
      <c r="I1713" s="28"/>
    </row>
    <row r="1714" spans="6:9" x14ac:dyDescent="0.25">
      <c r="F1714" s="28"/>
      <c r="I1714" s="28"/>
    </row>
    <row r="1715" spans="6:9" x14ac:dyDescent="0.25">
      <c r="F1715" s="28"/>
      <c r="I1715" s="28"/>
    </row>
    <row r="1716" spans="6:9" x14ac:dyDescent="0.25">
      <c r="F1716" s="28"/>
      <c r="I1716" s="28"/>
    </row>
    <row r="1717" spans="6:9" x14ac:dyDescent="0.25">
      <c r="F1717" s="28"/>
      <c r="I1717" s="28"/>
    </row>
    <row r="1718" spans="6:9" x14ac:dyDescent="0.25">
      <c r="F1718" s="28"/>
      <c r="I1718" s="28"/>
    </row>
    <row r="1719" spans="6:9" x14ac:dyDescent="0.25">
      <c r="F1719" s="28"/>
      <c r="I1719" s="28"/>
    </row>
    <row r="1720" spans="6:9" x14ac:dyDescent="0.25">
      <c r="F1720" s="28"/>
      <c r="I1720" s="28"/>
    </row>
    <row r="1721" spans="6:9" x14ac:dyDescent="0.25">
      <c r="F1721" s="28"/>
      <c r="I1721" s="28"/>
    </row>
    <row r="1722" spans="6:9" x14ac:dyDescent="0.25">
      <c r="F1722" s="28"/>
      <c r="I1722" s="28"/>
    </row>
    <row r="1723" spans="6:9" x14ac:dyDescent="0.25">
      <c r="F1723" s="28"/>
      <c r="I1723" s="28"/>
    </row>
    <row r="1724" spans="6:9" x14ac:dyDescent="0.25">
      <c r="F1724" s="28"/>
      <c r="I1724" s="28"/>
    </row>
    <row r="1725" spans="6:9" x14ac:dyDescent="0.25">
      <c r="F1725" s="28"/>
      <c r="I1725" s="28"/>
    </row>
    <row r="1726" spans="6:9" x14ac:dyDescent="0.25">
      <c r="F1726" s="28"/>
      <c r="I1726" s="28"/>
    </row>
    <row r="1727" spans="6:9" x14ac:dyDescent="0.25">
      <c r="F1727" s="28"/>
      <c r="I1727" s="28"/>
    </row>
    <row r="1728" spans="6:9" x14ac:dyDescent="0.25">
      <c r="F1728" s="28"/>
      <c r="I1728" s="28"/>
    </row>
    <row r="1729" spans="6:9" x14ac:dyDescent="0.25">
      <c r="F1729" s="28"/>
      <c r="I1729" s="28"/>
    </row>
    <row r="1730" spans="6:9" x14ac:dyDescent="0.25">
      <c r="F1730" s="28"/>
      <c r="I1730" s="28"/>
    </row>
    <row r="1731" spans="6:9" x14ac:dyDescent="0.25">
      <c r="F1731" s="28"/>
      <c r="I1731" s="28"/>
    </row>
    <row r="1732" spans="6:9" x14ac:dyDescent="0.25">
      <c r="F1732" s="28"/>
      <c r="I1732" s="28"/>
    </row>
    <row r="1733" spans="6:9" x14ac:dyDescent="0.25">
      <c r="F1733" s="28"/>
      <c r="I1733" s="28"/>
    </row>
    <row r="1734" spans="6:9" x14ac:dyDescent="0.25">
      <c r="F1734" s="28"/>
      <c r="I1734" s="28"/>
    </row>
    <row r="1735" spans="6:9" x14ac:dyDescent="0.25">
      <c r="F1735" s="28"/>
      <c r="I1735" s="28"/>
    </row>
    <row r="1736" spans="6:9" x14ac:dyDescent="0.25">
      <c r="F1736" s="28"/>
      <c r="I1736" s="28"/>
    </row>
    <row r="1737" spans="6:9" x14ac:dyDescent="0.25">
      <c r="F1737" s="28"/>
      <c r="I1737" s="28"/>
    </row>
    <row r="1738" spans="6:9" x14ac:dyDescent="0.25">
      <c r="F1738" s="28"/>
      <c r="I1738" s="28"/>
    </row>
    <row r="1739" spans="6:9" x14ac:dyDescent="0.25">
      <c r="F1739" s="28"/>
      <c r="I1739" s="28"/>
    </row>
    <row r="1740" spans="6:9" x14ac:dyDescent="0.25">
      <c r="F1740" s="28"/>
      <c r="I1740" s="28"/>
    </row>
    <row r="1741" spans="6:9" x14ac:dyDescent="0.25">
      <c r="F1741" s="28"/>
      <c r="I1741" s="28"/>
    </row>
    <row r="1742" spans="6:9" x14ac:dyDescent="0.25">
      <c r="F1742" s="28"/>
      <c r="I1742" s="28"/>
    </row>
    <row r="1743" spans="6:9" x14ac:dyDescent="0.25">
      <c r="F1743" s="28"/>
      <c r="I1743" s="28"/>
    </row>
    <row r="1744" spans="6:9" x14ac:dyDescent="0.25">
      <c r="F1744" s="28"/>
      <c r="I1744" s="28"/>
    </row>
    <row r="1745" spans="6:9" x14ac:dyDescent="0.25">
      <c r="F1745" s="28"/>
      <c r="I1745" s="28"/>
    </row>
    <row r="1746" spans="6:9" x14ac:dyDescent="0.25">
      <c r="F1746" s="28"/>
      <c r="I1746" s="28"/>
    </row>
    <row r="1747" spans="6:9" x14ac:dyDescent="0.25">
      <c r="F1747" s="28"/>
      <c r="I1747" s="28"/>
    </row>
    <row r="1748" spans="6:9" x14ac:dyDescent="0.25">
      <c r="F1748" s="28"/>
      <c r="I1748" s="28"/>
    </row>
    <row r="1749" spans="6:9" x14ac:dyDescent="0.25">
      <c r="F1749" s="28"/>
      <c r="I1749" s="28"/>
    </row>
    <row r="1750" spans="6:9" x14ac:dyDescent="0.25">
      <c r="F1750" s="28"/>
      <c r="I1750" s="28"/>
    </row>
    <row r="1751" spans="6:9" x14ac:dyDescent="0.25">
      <c r="F1751" s="28"/>
      <c r="I1751" s="28"/>
    </row>
    <row r="1752" spans="6:9" x14ac:dyDescent="0.25">
      <c r="F1752" s="28"/>
      <c r="I1752" s="28"/>
    </row>
    <row r="1753" spans="6:9" x14ac:dyDescent="0.25">
      <c r="F1753" s="28"/>
      <c r="I1753" s="28"/>
    </row>
    <row r="1754" spans="6:9" x14ac:dyDescent="0.25">
      <c r="F1754" s="28"/>
      <c r="I1754" s="28"/>
    </row>
    <row r="1755" spans="6:9" x14ac:dyDescent="0.25">
      <c r="F1755" s="28"/>
      <c r="I1755" s="28"/>
    </row>
    <row r="1756" spans="6:9" x14ac:dyDescent="0.25">
      <c r="F1756" s="28"/>
      <c r="I1756" s="28"/>
    </row>
    <row r="1757" spans="6:9" x14ac:dyDescent="0.25">
      <c r="F1757" s="28"/>
      <c r="I1757" s="28"/>
    </row>
    <row r="1758" spans="6:9" x14ac:dyDescent="0.25">
      <c r="F1758" s="28"/>
      <c r="I1758" s="28"/>
    </row>
    <row r="1759" spans="6:9" x14ac:dyDescent="0.25">
      <c r="F1759" s="28"/>
      <c r="I1759" s="28"/>
    </row>
    <row r="1760" spans="6:9" x14ac:dyDescent="0.25">
      <c r="F1760" s="28"/>
      <c r="I1760" s="28"/>
    </row>
    <row r="1761" spans="6:9" x14ac:dyDescent="0.25">
      <c r="F1761" s="28"/>
      <c r="I1761" s="28"/>
    </row>
    <row r="1762" spans="6:9" x14ac:dyDescent="0.25">
      <c r="F1762" s="28"/>
      <c r="I1762" s="28"/>
    </row>
    <row r="1763" spans="6:9" x14ac:dyDescent="0.25">
      <c r="F1763" s="28"/>
      <c r="I1763" s="28"/>
    </row>
    <row r="1764" spans="6:9" x14ac:dyDescent="0.25">
      <c r="F1764" s="28"/>
      <c r="I1764" s="28"/>
    </row>
    <row r="1765" spans="6:9" x14ac:dyDescent="0.25">
      <c r="F1765" s="28"/>
      <c r="I1765" s="28"/>
    </row>
    <row r="1766" spans="6:9" x14ac:dyDescent="0.25">
      <c r="F1766" s="28"/>
      <c r="I1766" s="28"/>
    </row>
    <row r="1767" spans="6:9" x14ac:dyDescent="0.25">
      <c r="F1767" s="28"/>
      <c r="I1767" s="28"/>
    </row>
    <row r="1768" spans="6:9" x14ac:dyDescent="0.25">
      <c r="F1768" s="28"/>
      <c r="I1768" s="28"/>
    </row>
    <row r="1769" spans="6:9" x14ac:dyDescent="0.25">
      <c r="F1769" s="28"/>
      <c r="I1769" s="28"/>
    </row>
    <row r="1770" spans="6:9" x14ac:dyDescent="0.25">
      <c r="F1770" s="28"/>
      <c r="I1770" s="28"/>
    </row>
    <row r="1771" spans="6:9" x14ac:dyDescent="0.25">
      <c r="F1771" s="28"/>
      <c r="I1771" s="28"/>
    </row>
    <row r="1772" spans="6:9" x14ac:dyDescent="0.25">
      <c r="F1772" s="28"/>
      <c r="I1772" s="28"/>
    </row>
    <row r="1773" spans="6:9" x14ac:dyDescent="0.25">
      <c r="F1773" s="28"/>
      <c r="I1773" s="28"/>
    </row>
    <row r="1774" spans="6:9" x14ac:dyDescent="0.25">
      <c r="F1774" s="28"/>
      <c r="I1774" s="28"/>
    </row>
    <row r="1775" spans="6:9" x14ac:dyDescent="0.25">
      <c r="F1775" s="28"/>
      <c r="I1775" s="28"/>
    </row>
    <row r="1776" spans="6:9" x14ac:dyDescent="0.25">
      <c r="F1776" s="28"/>
      <c r="I1776" s="28"/>
    </row>
    <row r="1777" spans="6:9" x14ac:dyDescent="0.25">
      <c r="F1777" s="28"/>
      <c r="I1777" s="28"/>
    </row>
    <row r="1778" spans="6:9" x14ac:dyDescent="0.25">
      <c r="F1778" s="28"/>
      <c r="I1778" s="28"/>
    </row>
    <row r="1779" spans="6:9" x14ac:dyDescent="0.25">
      <c r="F1779" s="28"/>
      <c r="I1779" s="28"/>
    </row>
    <row r="1780" spans="6:9" x14ac:dyDescent="0.25">
      <c r="F1780" s="28"/>
      <c r="I1780" s="28"/>
    </row>
    <row r="1781" spans="6:9" x14ac:dyDescent="0.25">
      <c r="F1781" s="28"/>
      <c r="I1781" s="28"/>
    </row>
    <row r="1782" spans="6:9" x14ac:dyDescent="0.25">
      <c r="F1782" s="28"/>
      <c r="I1782" s="28"/>
    </row>
    <row r="1783" spans="6:9" x14ac:dyDescent="0.25">
      <c r="F1783" s="28"/>
      <c r="I1783" s="28"/>
    </row>
    <row r="1784" spans="6:9" x14ac:dyDescent="0.25">
      <c r="F1784" s="28"/>
      <c r="I1784" s="28"/>
    </row>
    <row r="1785" spans="6:9" x14ac:dyDescent="0.25">
      <c r="F1785" s="28"/>
      <c r="I1785" s="28"/>
    </row>
    <row r="1786" spans="6:9" x14ac:dyDescent="0.25">
      <c r="F1786" s="28"/>
      <c r="I1786" s="28"/>
    </row>
    <row r="1787" spans="6:9" x14ac:dyDescent="0.25">
      <c r="F1787" s="28"/>
      <c r="I1787" s="28"/>
    </row>
    <row r="1788" spans="6:9" x14ac:dyDescent="0.25">
      <c r="F1788" s="28"/>
      <c r="I1788" s="28"/>
    </row>
    <row r="1789" spans="6:9" x14ac:dyDescent="0.25">
      <c r="F1789" s="28"/>
      <c r="I1789" s="28"/>
    </row>
    <row r="1790" spans="6:9" x14ac:dyDescent="0.25">
      <c r="F1790" s="28"/>
      <c r="I1790" s="28"/>
    </row>
    <row r="1791" spans="6:9" x14ac:dyDescent="0.25">
      <c r="F1791" s="28"/>
      <c r="I1791" s="28"/>
    </row>
    <row r="1792" spans="6:9" x14ac:dyDescent="0.25">
      <c r="F1792" s="28"/>
      <c r="I1792" s="28"/>
    </row>
    <row r="1793" spans="6:9" x14ac:dyDescent="0.25">
      <c r="F1793" s="28"/>
      <c r="I1793" s="28"/>
    </row>
    <row r="1794" spans="6:9" x14ac:dyDescent="0.25">
      <c r="F1794" s="28"/>
      <c r="I1794" s="28"/>
    </row>
    <row r="1795" spans="6:9" x14ac:dyDescent="0.25">
      <c r="F1795" s="28"/>
      <c r="I1795" s="28"/>
    </row>
    <row r="1796" spans="6:9" x14ac:dyDescent="0.25">
      <c r="F1796" s="28"/>
      <c r="I1796" s="28"/>
    </row>
    <row r="1797" spans="6:9" x14ac:dyDescent="0.25">
      <c r="F1797" s="28"/>
      <c r="I1797" s="28"/>
    </row>
    <row r="1798" spans="6:9" x14ac:dyDescent="0.25">
      <c r="F1798" s="28"/>
      <c r="I1798" s="28"/>
    </row>
    <row r="1799" spans="6:9" x14ac:dyDescent="0.25">
      <c r="F1799" s="28"/>
      <c r="I1799" s="28"/>
    </row>
    <row r="1800" spans="6:9" x14ac:dyDescent="0.25">
      <c r="F1800" s="28"/>
      <c r="I1800" s="28"/>
    </row>
    <row r="1801" spans="6:9" x14ac:dyDescent="0.25">
      <c r="F1801" s="28"/>
      <c r="I1801" s="28"/>
    </row>
    <row r="1802" spans="6:9" x14ac:dyDescent="0.25">
      <c r="F1802" s="28"/>
      <c r="I1802" s="28"/>
    </row>
    <row r="1803" spans="6:9" x14ac:dyDescent="0.25">
      <c r="F1803" s="28"/>
      <c r="I1803" s="28"/>
    </row>
    <row r="1804" spans="6:9" x14ac:dyDescent="0.25">
      <c r="F1804" s="28"/>
      <c r="I1804" s="28"/>
    </row>
    <row r="1805" spans="6:9" x14ac:dyDescent="0.25">
      <c r="F1805" s="28"/>
      <c r="I1805" s="28"/>
    </row>
    <row r="1806" spans="6:9" x14ac:dyDescent="0.25">
      <c r="F1806" s="28"/>
      <c r="I1806" s="28"/>
    </row>
    <row r="1807" spans="6:9" x14ac:dyDescent="0.25">
      <c r="F1807" s="28"/>
      <c r="I1807" s="28"/>
    </row>
    <row r="1808" spans="6:9" x14ac:dyDescent="0.25">
      <c r="F1808" s="28"/>
      <c r="I1808" s="28"/>
    </row>
    <row r="1809" spans="6:9" x14ac:dyDescent="0.25">
      <c r="F1809" s="28"/>
      <c r="I1809" s="28"/>
    </row>
    <row r="1810" spans="6:9" x14ac:dyDescent="0.25">
      <c r="F1810" s="28"/>
      <c r="I1810" s="28"/>
    </row>
    <row r="1811" spans="6:9" x14ac:dyDescent="0.25">
      <c r="F1811" s="28"/>
      <c r="I1811" s="28"/>
    </row>
    <row r="1812" spans="6:9" x14ac:dyDescent="0.25">
      <c r="F1812" s="28"/>
      <c r="I1812" s="28"/>
    </row>
    <row r="1813" spans="6:9" x14ac:dyDescent="0.25">
      <c r="F1813" s="28"/>
      <c r="I1813" s="28"/>
    </row>
    <row r="1814" spans="6:9" x14ac:dyDescent="0.25">
      <c r="F1814" s="28"/>
      <c r="I1814" s="28"/>
    </row>
    <row r="1815" spans="6:9" x14ac:dyDescent="0.25">
      <c r="F1815" s="28"/>
      <c r="I1815" s="28"/>
    </row>
    <row r="1816" spans="6:9" x14ac:dyDescent="0.25">
      <c r="F1816" s="28"/>
      <c r="I1816" s="28"/>
    </row>
    <row r="1817" spans="6:9" x14ac:dyDescent="0.25">
      <c r="F1817" s="28"/>
      <c r="I1817" s="28"/>
    </row>
    <row r="1818" spans="6:9" x14ac:dyDescent="0.25">
      <c r="F1818" s="28"/>
      <c r="I1818" s="28"/>
    </row>
    <row r="1819" spans="6:9" x14ac:dyDescent="0.25">
      <c r="F1819" s="28"/>
      <c r="I1819" s="28"/>
    </row>
    <row r="1820" spans="6:9" x14ac:dyDescent="0.25">
      <c r="F1820" s="28"/>
      <c r="I1820" s="28"/>
    </row>
    <row r="1821" spans="6:9" x14ac:dyDescent="0.25">
      <c r="F1821" s="28"/>
      <c r="I1821" s="28"/>
    </row>
    <row r="1822" spans="6:9" x14ac:dyDescent="0.25">
      <c r="F1822" s="28"/>
      <c r="I1822" s="28"/>
    </row>
    <row r="1823" spans="6:9" x14ac:dyDescent="0.25">
      <c r="F1823" s="28"/>
      <c r="I1823" s="28"/>
    </row>
    <row r="1824" spans="6:9" x14ac:dyDescent="0.25">
      <c r="F1824" s="28"/>
      <c r="I1824" s="28"/>
    </row>
    <row r="1825" spans="6:9" x14ac:dyDescent="0.25">
      <c r="F1825" s="28"/>
      <c r="I1825" s="28"/>
    </row>
    <row r="1826" spans="6:9" x14ac:dyDescent="0.25">
      <c r="F1826" s="28"/>
      <c r="I1826" s="28"/>
    </row>
    <row r="1827" spans="6:9" x14ac:dyDescent="0.25">
      <c r="F1827" s="28"/>
      <c r="I1827" s="28"/>
    </row>
    <row r="1828" spans="6:9" x14ac:dyDescent="0.25">
      <c r="F1828" s="28"/>
      <c r="I1828" s="28"/>
    </row>
    <row r="1829" spans="6:9" x14ac:dyDescent="0.25">
      <c r="F1829" s="28"/>
      <c r="I1829" s="28"/>
    </row>
    <row r="1830" spans="6:9" x14ac:dyDescent="0.25">
      <c r="F1830" s="28"/>
      <c r="I1830" s="28"/>
    </row>
    <row r="1831" spans="6:9" x14ac:dyDescent="0.25">
      <c r="F1831" s="28"/>
      <c r="I1831" s="28"/>
    </row>
    <row r="1832" spans="6:9" x14ac:dyDescent="0.25">
      <c r="F1832" s="28"/>
      <c r="I1832" s="28"/>
    </row>
    <row r="1833" spans="6:9" x14ac:dyDescent="0.25">
      <c r="F1833" s="28"/>
      <c r="I1833" s="28"/>
    </row>
    <row r="1834" spans="6:9" x14ac:dyDescent="0.25">
      <c r="F1834" s="28"/>
      <c r="I1834" s="28"/>
    </row>
    <row r="1835" spans="6:9" x14ac:dyDescent="0.25">
      <c r="F1835" s="28"/>
      <c r="I1835" s="28"/>
    </row>
    <row r="1836" spans="6:9" x14ac:dyDescent="0.25">
      <c r="F1836" s="28"/>
      <c r="I1836" s="28"/>
    </row>
    <row r="1837" spans="6:9" x14ac:dyDescent="0.25">
      <c r="F1837" s="28"/>
      <c r="I1837" s="28"/>
    </row>
    <row r="1838" spans="6:9" x14ac:dyDescent="0.25">
      <c r="F1838" s="28"/>
      <c r="I1838" s="28"/>
    </row>
    <row r="1839" spans="6:9" x14ac:dyDescent="0.25">
      <c r="F1839" s="28"/>
      <c r="I1839" s="28"/>
    </row>
    <row r="1840" spans="6:9" x14ac:dyDescent="0.25">
      <c r="F1840" s="28"/>
      <c r="I1840" s="28"/>
    </row>
    <row r="1841" spans="6:9" x14ac:dyDescent="0.25">
      <c r="F1841" s="28"/>
      <c r="I1841" s="28"/>
    </row>
    <row r="1842" spans="6:9" x14ac:dyDescent="0.25">
      <c r="F1842" s="28"/>
      <c r="I1842" s="28"/>
    </row>
    <row r="1843" spans="6:9" x14ac:dyDescent="0.25">
      <c r="F1843" s="28"/>
      <c r="I1843" s="28"/>
    </row>
    <row r="1844" spans="6:9" x14ac:dyDescent="0.25">
      <c r="F1844" s="28"/>
      <c r="I1844" s="28"/>
    </row>
    <row r="1845" spans="6:9" x14ac:dyDescent="0.25">
      <c r="F1845" s="28"/>
      <c r="I1845" s="28"/>
    </row>
    <row r="1846" spans="6:9" x14ac:dyDescent="0.25">
      <c r="F1846" s="28"/>
      <c r="I1846" s="28"/>
    </row>
    <row r="1847" spans="6:9" x14ac:dyDescent="0.25">
      <c r="F1847" s="28"/>
      <c r="I1847" s="28"/>
    </row>
    <row r="1848" spans="6:9" x14ac:dyDescent="0.25">
      <c r="F1848" s="28"/>
      <c r="I1848" s="28"/>
    </row>
    <row r="1849" spans="6:9" x14ac:dyDescent="0.25">
      <c r="F1849" s="28"/>
      <c r="I1849" s="28"/>
    </row>
    <row r="1850" spans="6:9" x14ac:dyDescent="0.25">
      <c r="F1850" s="28"/>
      <c r="I1850" s="28"/>
    </row>
    <row r="1851" spans="6:9" x14ac:dyDescent="0.25">
      <c r="F1851" s="28"/>
      <c r="I1851" s="28"/>
    </row>
    <row r="1852" spans="6:9" x14ac:dyDescent="0.25">
      <c r="F1852" s="28"/>
      <c r="I1852" s="28"/>
    </row>
    <row r="1853" spans="6:9" x14ac:dyDescent="0.25">
      <c r="F1853" s="28"/>
      <c r="I1853" s="28"/>
    </row>
    <row r="1854" spans="6:9" x14ac:dyDescent="0.25">
      <c r="F1854" s="28"/>
      <c r="I1854" s="28"/>
    </row>
    <row r="1855" spans="6:9" x14ac:dyDescent="0.25">
      <c r="F1855" s="28"/>
      <c r="I1855" s="28"/>
    </row>
    <row r="1856" spans="6:9" x14ac:dyDescent="0.25">
      <c r="F1856" s="28"/>
      <c r="I1856" s="28"/>
    </row>
    <row r="1857" spans="6:9" x14ac:dyDescent="0.25">
      <c r="F1857" s="28"/>
      <c r="I1857" s="28"/>
    </row>
    <row r="1858" spans="6:9" x14ac:dyDescent="0.25">
      <c r="F1858" s="28"/>
      <c r="I1858" s="28"/>
    </row>
    <row r="1859" spans="6:9" x14ac:dyDescent="0.25">
      <c r="F1859" s="28"/>
      <c r="I1859" s="28"/>
    </row>
    <row r="1860" spans="6:9" x14ac:dyDescent="0.25">
      <c r="F1860" s="28"/>
      <c r="I1860" s="28"/>
    </row>
    <row r="1861" spans="6:9" x14ac:dyDescent="0.25">
      <c r="F1861" s="28"/>
      <c r="I1861" s="28"/>
    </row>
    <row r="1862" spans="6:9" x14ac:dyDescent="0.25">
      <c r="F1862" s="28"/>
      <c r="I1862" s="28"/>
    </row>
    <row r="1863" spans="6:9" x14ac:dyDescent="0.25">
      <c r="F1863" s="28"/>
      <c r="I1863" s="28"/>
    </row>
    <row r="1864" spans="6:9" x14ac:dyDescent="0.25">
      <c r="F1864" s="28"/>
      <c r="I1864" s="28"/>
    </row>
    <row r="1865" spans="6:9" x14ac:dyDescent="0.25">
      <c r="F1865" s="28"/>
      <c r="I1865" s="28"/>
    </row>
    <row r="1866" spans="6:9" x14ac:dyDescent="0.25">
      <c r="F1866" s="28"/>
      <c r="I1866" s="28"/>
    </row>
    <row r="1867" spans="6:9" x14ac:dyDescent="0.25">
      <c r="F1867" s="28"/>
      <c r="I1867" s="28"/>
    </row>
    <row r="1868" spans="6:9" x14ac:dyDescent="0.25">
      <c r="F1868" s="28"/>
      <c r="I1868" s="28"/>
    </row>
    <row r="1869" spans="6:9" x14ac:dyDescent="0.25">
      <c r="F1869" s="28"/>
      <c r="I1869" s="28"/>
    </row>
    <row r="1870" spans="6:9" x14ac:dyDescent="0.25">
      <c r="F1870" s="28"/>
      <c r="I1870" s="28"/>
    </row>
    <row r="1871" spans="6:9" x14ac:dyDescent="0.25">
      <c r="F1871" s="28"/>
      <c r="I1871" s="28"/>
    </row>
    <row r="1872" spans="6:9" x14ac:dyDescent="0.25">
      <c r="F1872" s="28"/>
      <c r="I1872" s="28"/>
    </row>
    <row r="1873" spans="6:9" x14ac:dyDescent="0.25">
      <c r="F1873" s="28"/>
      <c r="I1873" s="28"/>
    </row>
    <row r="1874" spans="6:9" x14ac:dyDescent="0.25">
      <c r="F1874" s="28"/>
      <c r="I1874" s="28"/>
    </row>
    <row r="1875" spans="6:9" x14ac:dyDescent="0.25">
      <c r="F1875" s="28"/>
      <c r="I1875" s="28"/>
    </row>
    <row r="1876" spans="6:9" x14ac:dyDescent="0.25">
      <c r="F1876" s="28"/>
      <c r="I1876" s="28"/>
    </row>
    <row r="1877" spans="6:9" x14ac:dyDescent="0.25">
      <c r="F1877" s="28"/>
      <c r="I1877" s="28"/>
    </row>
    <row r="1878" spans="6:9" x14ac:dyDescent="0.25">
      <c r="F1878" s="28"/>
      <c r="I1878" s="28"/>
    </row>
    <row r="1879" spans="6:9" x14ac:dyDescent="0.25">
      <c r="F1879" s="28"/>
      <c r="I1879" s="28"/>
    </row>
    <row r="1880" spans="6:9" x14ac:dyDescent="0.25">
      <c r="F1880" s="28"/>
      <c r="I1880" s="28"/>
    </row>
    <row r="1881" spans="6:9" x14ac:dyDescent="0.25">
      <c r="F1881" s="28"/>
      <c r="I1881" s="28"/>
    </row>
    <row r="1882" spans="6:9" x14ac:dyDescent="0.25">
      <c r="F1882" s="28"/>
      <c r="I1882" s="28"/>
    </row>
    <row r="1883" spans="6:9" x14ac:dyDescent="0.25">
      <c r="F1883" s="28"/>
      <c r="I1883" s="28"/>
    </row>
    <row r="1884" spans="6:9" x14ac:dyDescent="0.25">
      <c r="F1884" s="28"/>
      <c r="I1884" s="28"/>
    </row>
    <row r="1885" spans="6:9" x14ac:dyDescent="0.25">
      <c r="F1885" s="28"/>
      <c r="I1885" s="28"/>
    </row>
    <row r="1886" spans="6:9" x14ac:dyDescent="0.25">
      <c r="F1886" s="28"/>
      <c r="I1886" s="28"/>
    </row>
    <row r="1887" spans="6:9" x14ac:dyDescent="0.25">
      <c r="F1887" s="28"/>
      <c r="I1887" s="28"/>
    </row>
    <row r="1888" spans="6:9" x14ac:dyDescent="0.25">
      <c r="F1888" s="28"/>
      <c r="I1888" s="28"/>
    </row>
    <row r="1889" spans="6:9" x14ac:dyDescent="0.25">
      <c r="F1889" s="28"/>
      <c r="I1889" s="28"/>
    </row>
    <row r="1890" spans="6:9" x14ac:dyDescent="0.25">
      <c r="F1890" s="28"/>
      <c r="I1890" s="28"/>
    </row>
    <row r="1891" spans="6:9" x14ac:dyDescent="0.25">
      <c r="F1891" s="28"/>
      <c r="I1891" s="28"/>
    </row>
    <row r="1892" spans="6:9" x14ac:dyDescent="0.25">
      <c r="F1892" s="28"/>
      <c r="I1892" s="28"/>
    </row>
    <row r="1893" spans="6:9" x14ac:dyDescent="0.25">
      <c r="F1893" s="28"/>
      <c r="I1893" s="28"/>
    </row>
    <row r="1894" spans="6:9" x14ac:dyDescent="0.25">
      <c r="F1894" s="28"/>
      <c r="I1894" s="28"/>
    </row>
    <row r="1895" spans="6:9" x14ac:dyDescent="0.25">
      <c r="F1895" s="28"/>
      <c r="I1895" s="28"/>
    </row>
    <row r="1896" spans="6:9" x14ac:dyDescent="0.25">
      <c r="F1896" s="28"/>
      <c r="I1896" s="28"/>
    </row>
    <row r="1897" spans="6:9" x14ac:dyDescent="0.25">
      <c r="F1897" s="28"/>
      <c r="I1897" s="28"/>
    </row>
    <row r="1898" spans="6:9" x14ac:dyDescent="0.25">
      <c r="F1898" s="28"/>
      <c r="I1898" s="28"/>
    </row>
    <row r="1899" spans="6:9" x14ac:dyDescent="0.25">
      <c r="F1899" s="28"/>
      <c r="I1899" s="28"/>
    </row>
    <row r="1900" spans="6:9" x14ac:dyDescent="0.25">
      <c r="F1900" s="28"/>
      <c r="I1900" s="28"/>
    </row>
    <row r="1901" spans="6:9" x14ac:dyDescent="0.25">
      <c r="F1901" s="28"/>
      <c r="I1901" s="28"/>
    </row>
    <row r="1902" spans="6:9" x14ac:dyDescent="0.25">
      <c r="F1902" s="28"/>
      <c r="I1902" s="28"/>
    </row>
    <row r="1903" spans="6:9" x14ac:dyDescent="0.25">
      <c r="F1903" s="28"/>
      <c r="I1903" s="28"/>
    </row>
    <row r="1904" spans="6:9" x14ac:dyDescent="0.25">
      <c r="F1904" s="28"/>
      <c r="I1904" s="28"/>
    </row>
    <row r="1905" spans="6:9" x14ac:dyDescent="0.25">
      <c r="F1905" s="28"/>
      <c r="I1905" s="28"/>
    </row>
    <row r="1906" spans="6:9" x14ac:dyDescent="0.25">
      <c r="F1906" s="28"/>
      <c r="I1906" s="28"/>
    </row>
    <row r="1907" spans="6:9" x14ac:dyDescent="0.25">
      <c r="F1907" s="28"/>
      <c r="I1907" s="28"/>
    </row>
    <row r="1908" spans="6:9" x14ac:dyDescent="0.25">
      <c r="F1908" s="28"/>
      <c r="I1908" s="28"/>
    </row>
    <row r="1909" spans="6:9" x14ac:dyDescent="0.25">
      <c r="F1909" s="28"/>
      <c r="I1909" s="28"/>
    </row>
    <row r="1910" spans="6:9" x14ac:dyDescent="0.25">
      <c r="F1910" s="28"/>
      <c r="I1910" s="28"/>
    </row>
    <row r="1911" spans="6:9" x14ac:dyDescent="0.25">
      <c r="F1911" s="28"/>
      <c r="I1911" s="28"/>
    </row>
    <row r="1912" spans="6:9" x14ac:dyDescent="0.25">
      <c r="F1912" s="28"/>
      <c r="I1912" s="28"/>
    </row>
    <row r="1913" spans="6:9" x14ac:dyDescent="0.25">
      <c r="F1913" s="28"/>
      <c r="I1913" s="28"/>
    </row>
    <row r="1914" spans="6:9" x14ac:dyDescent="0.25">
      <c r="F1914" s="28"/>
      <c r="I1914" s="28"/>
    </row>
    <row r="1915" spans="6:9" x14ac:dyDescent="0.25">
      <c r="F1915" s="28"/>
      <c r="I1915" s="28"/>
    </row>
    <row r="1916" spans="6:9" x14ac:dyDescent="0.25">
      <c r="F1916" s="28"/>
      <c r="I1916" s="28"/>
    </row>
    <row r="1917" spans="6:9" x14ac:dyDescent="0.25">
      <c r="F1917" s="28"/>
      <c r="I1917" s="28"/>
    </row>
    <row r="1918" spans="6:9" x14ac:dyDescent="0.25">
      <c r="F1918" s="28"/>
      <c r="I1918" s="28"/>
    </row>
    <row r="1919" spans="6:9" x14ac:dyDescent="0.25">
      <c r="F1919" s="28"/>
      <c r="I1919" s="28"/>
    </row>
    <row r="1920" spans="6:9" x14ac:dyDescent="0.25">
      <c r="F1920" s="28"/>
      <c r="I1920" s="28"/>
    </row>
    <row r="1921" spans="6:9" x14ac:dyDescent="0.25">
      <c r="F1921" s="28"/>
      <c r="I1921" s="28"/>
    </row>
    <row r="1922" spans="6:9" x14ac:dyDescent="0.25">
      <c r="F1922" s="28"/>
      <c r="I1922" s="28"/>
    </row>
    <row r="1923" spans="6:9" x14ac:dyDescent="0.25">
      <c r="F1923" s="28"/>
      <c r="I1923" s="28"/>
    </row>
    <row r="1924" spans="6:9" x14ac:dyDescent="0.25">
      <c r="F1924" s="28"/>
      <c r="I1924" s="28"/>
    </row>
    <row r="1925" spans="6:9" x14ac:dyDescent="0.25">
      <c r="F1925" s="28"/>
      <c r="I1925" s="28"/>
    </row>
    <row r="1926" spans="6:9" x14ac:dyDescent="0.25">
      <c r="F1926" s="28"/>
      <c r="I1926" s="28"/>
    </row>
    <row r="1927" spans="6:9" x14ac:dyDescent="0.25">
      <c r="F1927" s="28"/>
      <c r="I1927" s="28"/>
    </row>
    <row r="1928" spans="6:9" x14ac:dyDescent="0.25">
      <c r="F1928" s="28"/>
      <c r="I1928" s="28"/>
    </row>
    <row r="1929" spans="6:9" x14ac:dyDescent="0.25">
      <c r="F1929" s="28"/>
      <c r="I1929" s="28"/>
    </row>
    <row r="1930" spans="6:9" x14ac:dyDescent="0.25">
      <c r="F1930" s="28"/>
      <c r="I1930" s="28"/>
    </row>
    <row r="1931" spans="6:9" x14ac:dyDescent="0.25">
      <c r="F1931" s="28"/>
      <c r="I1931" s="28"/>
    </row>
    <row r="1932" spans="6:9" x14ac:dyDescent="0.25">
      <c r="F1932" s="28"/>
      <c r="I1932" s="28"/>
    </row>
    <row r="1933" spans="6:9" x14ac:dyDescent="0.25">
      <c r="F1933" s="28"/>
      <c r="I1933" s="28"/>
    </row>
    <row r="1934" spans="6:9" x14ac:dyDescent="0.25">
      <c r="F1934" s="28"/>
      <c r="I1934" s="28"/>
    </row>
    <row r="1935" spans="6:9" x14ac:dyDescent="0.25">
      <c r="F1935" s="28"/>
      <c r="I1935" s="28"/>
    </row>
    <row r="1936" spans="6:9" x14ac:dyDescent="0.25">
      <c r="F1936" s="28"/>
      <c r="I1936" s="28"/>
    </row>
    <row r="1937" spans="6:9" x14ac:dyDescent="0.25">
      <c r="F1937" s="28"/>
      <c r="I1937" s="28"/>
    </row>
    <row r="1938" spans="6:9" x14ac:dyDescent="0.25">
      <c r="F1938" s="28"/>
      <c r="I1938" s="28"/>
    </row>
    <row r="1939" spans="6:9" x14ac:dyDescent="0.25">
      <c r="F1939" s="28"/>
      <c r="I1939" s="28"/>
    </row>
    <row r="1940" spans="6:9" x14ac:dyDescent="0.25">
      <c r="F1940" s="28"/>
      <c r="I1940" s="28"/>
    </row>
    <row r="1941" spans="6:9" x14ac:dyDescent="0.25">
      <c r="F1941" s="28"/>
      <c r="I1941" s="28"/>
    </row>
    <row r="1942" spans="6:9" x14ac:dyDescent="0.25">
      <c r="F1942" s="28"/>
      <c r="I1942" s="28"/>
    </row>
    <row r="1943" spans="6:9" x14ac:dyDescent="0.25">
      <c r="F1943" s="28"/>
      <c r="I1943" s="28"/>
    </row>
    <row r="1944" spans="6:9" x14ac:dyDescent="0.25">
      <c r="F1944" s="28"/>
      <c r="I1944" s="28"/>
    </row>
    <row r="1945" spans="6:9" x14ac:dyDescent="0.25">
      <c r="F1945" s="28"/>
      <c r="I1945" s="28"/>
    </row>
    <row r="1946" spans="6:9" x14ac:dyDescent="0.25">
      <c r="F1946" s="28"/>
      <c r="I1946" s="28"/>
    </row>
    <row r="1947" spans="6:9" x14ac:dyDescent="0.25">
      <c r="F1947" s="28"/>
      <c r="I1947" s="28"/>
    </row>
    <row r="1948" spans="6:9" x14ac:dyDescent="0.25">
      <c r="F1948" s="28"/>
      <c r="I1948" s="28"/>
    </row>
    <row r="1949" spans="6:9" x14ac:dyDescent="0.25">
      <c r="F1949" s="28"/>
      <c r="I1949" s="28"/>
    </row>
    <row r="1950" spans="6:9" x14ac:dyDescent="0.25">
      <c r="F1950" s="28"/>
      <c r="I1950" s="28"/>
    </row>
    <row r="1951" spans="6:9" x14ac:dyDescent="0.25">
      <c r="F1951" s="28"/>
      <c r="I1951" s="28"/>
    </row>
    <row r="1952" spans="6:9" x14ac:dyDescent="0.25">
      <c r="F1952" s="28"/>
      <c r="I1952" s="28"/>
    </row>
    <row r="1953" spans="6:9" x14ac:dyDescent="0.25">
      <c r="F1953" s="28"/>
      <c r="I1953" s="28"/>
    </row>
    <row r="1954" spans="6:9" x14ac:dyDescent="0.25">
      <c r="F1954" s="28"/>
      <c r="I1954" s="28"/>
    </row>
    <row r="1955" spans="6:9" x14ac:dyDescent="0.25">
      <c r="F1955" s="28"/>
      <c r="I1955" s="28"/>
    </row>
    <row r="1956" spans="6:9" x14ac:dyDescent="0.25">
      <c r="F1956" s="28"/>
      <c r="I1956" s="28"/>
    </row>
    <row r="1957" spans="6:9" x14ac:dyDescent="0.25">
      <c r="F1957" s="28"/>
      <c r="I1957" s="28"/>
    </row>
    <row r="1958" spans="6:9" x14ac:dyDescent="0.25">
      <c r="F1958" s="28"/>
      <c r="I1958" s="28"/>
    </row>
    <row r="1959" spans="6:9" x14ac:dyDescent="0.25">
      <c r="F1959" s="28"/>
      <c r="I1959" s="28"/>
    </row>
    <row r="1960" spans="6:9" x14ac:dyDescent="0.25">
      <c r="F1960" s="28"/>
      <c r="I1960" s="28"/>
    </row>
    <row r="1961" spans="6:9" x14ac:dyDescent="0.25">
      <c r="F1961" s="28"/>
      <c r="I1961" s="28"/>
    </row>
    <row r="1962" spans="6:9" x14ac:dyDescent="0.25">
      <c r="F1962" s="28"/>
      <c r="I1962" s="28"/>
    </row>
    <row r="1963" spans="6:9" x14ac:dyDescent="0.25">
      <c r="F1963" s="28"/>
      <c r="I1963" s="28"/>
    </row>
    <row r="1964" spans="6:9" x14ac:dyDescent="0.25">
      <c r="F1964" s="28"/>
      <c r="I1964" s="28"/>
    </row>
    <row r="1965" spans="6:9" x14ac:dyDescent="0.25">
      <c r="F1965" s="28"/>
      <c r="I1965" s="28"/>
    </row>
    <row r="1966" spans="6:9" x14ac:dyDescent="0.25">
      <c r="F1966" s="28"/>
      <c r="I1966" s="28"/>
    </row>
    <row r="1967" spans="6:9" x14ac:dyDescent="0.25">
      <c r="F1967" s="28"/>
      <c r="I1967" s="28"/>
    </row>
    <row r="1968" spans="6:9" x14ac:dyDescent="0.25">
      <c r="F1968" s="28"/>
      <c r="I1968" s="28"/>
    </row>
    <row r="1969" spans="6:9" x14ac:dyDescent="0.25">
      <c r="F1969" s="28"/>
      <c r="I1969" s="28"/>
    </row>
    <row r="1970" spans="6:9" x14ac:dyDescent="0.25">
      <c r="F1970" s="28"/>
      <c r="I1970" s="28"/>
    </row>
    <row r="1971" spans="6:9" x14ac:dyDescent="0.25">
      <c r="F1971" s="28"/>
      <c r="I1971" s="28"/>
    </row>
    <row r="1972" spans="6:9" x14ac:dyDescent="0.25">
      <c r="F1972" s="28"/>
      <c r="I1972" s="28"/>
    </row>
    <row r="1973" spans="6:9" x14ac:dyDescent="0.25">
      <c r="F1973" s="28"/>
      <c r="I1973" s="28"/>
    </row>
    <row r="1974" spans="6:9" x14ac:dyDescent="0.25">
      <c r="F1974" s="28"/>
      <c r="I1974" s="28"/>
    </row>
    <row r="1975" spans="6:9" x14ac:dyDescent="0.25">
      <c r="F1975" s="28"/>
      <c r="I1975" s="28"/>
    </row>
    <row r="1976" spans="6:9" x14ac:dyDescent="0.25">
      <c r="F1976" s="28"/>
      <c r="I1976" s="28"/>
    </row>
    <row r="1977" spans="6:9" x14ac:dyDescent="0.25">
      <c r="F1977" s="28"/>
      <c r="I1977" s="28"/>
    </row>
    <row r="1978" spans="6:9" x14ac:dyDescent="0.25">
      <c r="F1978" s="28"/>
      <c r="I1978" s="28"/>
    </row>
    <row r="1979" spans="6:9" x14ac:dyDescent="0.25">
      <c r="F1979" s="28"/>
      <c r="I1979" s="28"/>
    </row>
    <row r="1980" spans="6:9" x14ac:dyDescent="0.25">
      <c r="F1980" s="28"/>
      <c r="I1980" s="28"/>
    </row>
    <row r="1981" spans="6:9" x14ac:dyDescent="0.25">
      <c r="F1981" s="28"/>
      <c r="I1981" s="28"/>
    </row>
    <row r="1982" spans="6:9" x14ac:dyDescent="0.25">
      <c r="F1982" s="28"/>
      <c r="I1982" s="28"/>
    </row>
    <row r="1983" spans="6:9" x14ac:dyDescent="0.25">
      <c r="F1983" s="28"/>
      <c r="I1983" s="28"/>
    </row>
    <row r="1984" spans="6:9" x14ac:dyDescent="0.25">
      <c r="F1984" s="28"/>
      <c r="I1984" s="28"/>
    </row>
    <row r="1985" spans="6:9" x14ac:dyDescent="0.25">
      <c r="F1985" s="28"/>
      <c r="I1985" s="28"/>
    </row>
    <row r="1986" spans="6:9" x14ac:dyDescent="0.25">
      <c r="F1986" s="28"/>
      <c r="I1986" s="28"/>
    </row>
    <row r="1987" spans="6:9" x14ac:dyDescent="0.25">
      <c r="F1987" s="28"/>
      <c r="I1987" s="28"/>
    </row>
    <row r="1988" spans="6:9" x14ac:dyDescent="0.25">
      <c r="F1988" s="28"/>
      <c r="I1988" s="28"/>
    </row>
    <row r="1989" spans="6:9" x14ac:dyDescent="0.25">
      <c r="F1989" s="28"/>
      <c r="I1989" s="28"/>
    </row>
    <row r="1990" spans="6:9" x14ac:dyDescent="0.25">
      <c r="F1990" s="28"/>
      <c r="I1990" s="28"/>
    </row>
    <row r="1991" spans="6:9" x14ac:dyDescent="0.25">
      <c r="F1991" s="28"/>
      <c r="I1991" s="28"/>
    </row>
    <row r="1992" spans="6:9" x14ac:dyDescent="0.25">
      <c r="F1992" s="28"/>
      <c r="I1992" s="28"/>
    </row>
    <row r="1993" spans="6:9" x14ac:dyDescent="0.25">
      <c r="F1993" s="28"/>
      <c r="I1993" s="28"/>
    </row>
    <row r="1994" spans="6:9" x14ac:dyDescent="0.25">
      <c r="F1994" s="28"/>
      <c r="I1994" s="28"/>
    </row>
    <row r="1995" spans="6:9" x14ac:dyDescent="0.25">
      <c r="F1995" s="28"/>
      <c r="I1995" s="28"/>
    </row>
    <row r="1996" spans="6:9" x14ac:dyDescent="0.25">
      <c r="F1996" s="28"/>
      <c r="I1996" s="28"/>
    </row>
    <row r="1997" spans="6:9" x14ac:dyDescent="0.25">
      <c r="F1997" s="28"/>
      <c r="I1997" s="28"/>
    </row>
    <row r="1998" spans="6:9" x14ac:dyDescent="0.25">
      <c r="F1998" s="28"/>
      <c r="I1998" s="28"/>
    </row>
    <row r="1999" spans="6:9" x14ac:dyDescent="0.25">
      <c r="F1999" s="28"/>
      <c r="I1999" s="28"/>
    </row>
    <row r="2000" spans="6:9" x14ac:dyDescent="0.25">
      <c r="F2000" s="28"/>
      <c r="I2000" s="28"/>
    </row>
    <row r="2001" spans="6:9" x14ac:dyDescent="0.25">
      <c r="F2001" s="28"/>
      <c r="I2001" s="28"/>
    </row>
    <row r="2002" spans="6:9" x14ac:dyDescent="0.25">
      <c r="F2002" s="28"/>
      <c r="I2002" s="28"/>
    </row>
    <row r="2003" spans="6:9" x14ac:dyDescent="0.25">
      <c r="F2003" s="28"/>
      <c r="I2003" s="28"/>
    </row>
    <row r="2004" spans="6:9" x14ac:dyDescent="0.25">
      <c r="F2004" s="28"/>
      <c r="I2004" s="28"/>
    </row>
    <row r="2005" spans="6:9" x14ac:dyDescent="0.25">
      <c r="F2005" s="28"/>
      <c r="I2005" s="28"/>
    </row>
    <row r="2006" spans="6:9" x14ac:dyDescent="0.25">
      <c r="F2006" s="28"/>
      <c r="I2006" s="28"/>
    </row>
    <row r="2007" spans="6:9" x14ac:dyDescent="0.25">
      <c r="F2007" s="28"/>
      <c r="I2007" s="28"/>
    </row>
    <row r="2008" spans="6:9" x14ac:dyDescent="0.25">
      <c r="F2008" s="28"/>
      <c r="I2008" s="28"/>
    </row>
    <row r="2009" spans="6:9" x14ac:dyDescent="0.25">
      <c r="F2009" s="28"/>
      <c r="I2009" s="28"/>
    </row>
    <row r="2010" spans="6:9" x14ac:dyDescent="0.25">
      <c r="F2010" s="28"/>
      <c r="I2010" s="28"/>
    </row>
    <row r="2011" spans="6:9" x14ac:dyDescent="0.25">
      <c r="F2011" s="28"/>
      <c r="I2011" s="28"/>
    </row>
    <row r="2012" spans="6:9" x14ac:dyDescent="0.25">
      <c r="F2012" s="28"/>
      <c r="I2012" s="28"/>
    </row>
    <row r="2013" spans="6:9" x14ac:dyDescent="0.25">
      <c r="F2013" s="28"/>
      <c r="I2013" s="28"/>
    </row>
    <row r="2014" spans="6:9" x14ac:dyDescent="0.25">
      <c r="F2014" s="28"/>
      <c r="I2014" s="28"/>
    </row>
    <row r="2015" spans="6:9" x14ac:dyDescent="0.25">
      <c r="F2015" s="28"/>
      <c r="I2015" s="28"/>
    </row>
    <row r="2016" spans="6:9" x14ac:dyDescent="0.25">
      <c r="F2016" s="28"/>
      <c r="I2016" s="28"/>
    </row>
    <row r="2017" spans="6:9" x14ac:dyDescent="0.25">
      <c r="F2017" s="28"/>
      <c r="I2017" s="28"/>
    </row>
    <row r="2018" spans="6:9" x14ac:dyDescent="0.25">
      <c r="F2018" s="28"/>
      <c r="I2018" s="28"/>
    </row>
    <row r="2019" spans="6:9" x14ac:dyDescent="0.25">
      <c r="F2019" s="28"/>
      <c r="I2019" s="28"/>
    </row>
    <row r="2020" spans="6:9" x14ac:dyDescent="0.25">
      <c r="F2020" s="28"/>
      <c r="I2020" s="28"/>
    </row>
    <row r="2021" spans="6:9" x14ac:dyDescent="0.25">
      <c r="F2021" s="28"/>
      <c r="I2021" s="28"/>
    </row>
    <row r="2022" spans="6:9" x14ac:dyDescent="0.25">
      <c r="F2022" s="28"/>
      <c r="I2022" s="28"/>
    </row>
    <row r="2023" spans="6:9" x14ac:dyDescent="0.25">
      <c r="F2023" s="28"/>
      <c r="I2023" s="28"/>
    </row>
    <row r="2024" spans="6:9" x14ac:dyDescent="0.25">
      <c r="F2024" s="28"/>
      <c r="I2024" s="28"/>
    </row>
    <row r="2025" spans="6:9" x14ac:dyDescent="0.25">
      <c r="F2025" s="28"/>
      <c r="I2025" s="28"/>
    </row>
    <row r="2026" spans="6:9" x14ac:dyDescent="0.25">
      <c r="F2026" s="28"/>
      <c r="I2026" s="28"/>
    </row>
    <row r="2027" spans="6:9" x14ac:dyDescent="0.25">
      <c r="F2027" s="28"/>
      <c r="I2027" s="28"/>
    </row>
    <row r="2028" spans="6:9" x14ac:dyDescent="0.25">
      <c r="F2028" s="28"/>
      <c r="I2028" s="28"/>
    </row>
    <row r="2029" spans="6:9" x14ac:dyDescent="0.25">
      <c r="F2029" s="28"/>
      <c r="I2029" s="28"/>
    </row>
    <row r="2030" spans="6:9" x14ac:dyDescent="0.25">
      <c r="F2030" s="28"/>
      <c r="I2030" s="28"/>
    </row>
    <row r="2031" spans="6:9" x14ac:dyDescent="0.25">
      <c r="F2031" s="28"/>
      <c r="I2031" s="28"/>
    </row>
    <row r="2032" spans="6:9" x14ac:dyDescent="0.25">
      <c r="F2032" s="28"/>
      <c r="I2032" s="28"/>
    </row>
    <row r="2033" spans="6:9" x14ac:dyDescent="0.25">
      <c r="F2033" s="28"/>
      <c r="I2033" s="28"/>
    </row>
    <row r="2034" spans="6:9" x14ac:dyDescent="0.25">
      <c r="F2034" s="28"/>
      <c r="I2034" s="28"/>
    </row>
    <row r="2035" spans="6:9" x14ac:dyDescent="0.25">
      <c r="F2035" s="28"/>
      <c r="I2035" s="28"/>
    </row>
    <row r="2036" spans="6:9" x14ac:dyDescent="0.25">
      <c r="F2036" s="28"/>
      <c r="I2036" s="28"/>
    </row>
    <row r="2037" spans="6:9" x14ac:dyDescent="0.25">
      <c r="F2037" s="28"/>
      <c r="I2037" s="28"/>
    </row>
    <row r="2038" spans="6:9" x14ac:dyDescent="0.25">
      <c r="F2038" s="28"/>
      <c r="I2038" s="28"/>
    </row>
    <row r="2039" spans="6:9" x14ac:dyDescent="0.25">
      <c r="F2039" s="28"/>
      <c r="I2039" s="28"/>
    </row>
    <row r="2040" spans="6:9" x14ac:dyDescent="0.25">
      <c r="F2040" s="28"/>
      <c r="I2040" s="28"/>
    </row>
    <row r="2041" spans="6:9" x14ac:dyDescent="0.25">
      <c r="F2041" s="28"/>
      <c r="I2041" s="28"/>
    </row>
    <row r="2042" spans="6:9" x14ac:dyDescent="0.25">
      <c r="F2042" s="28"/>
      <c r="I2042" s="28"/>
    </row>
    <row r="2043" spans="6:9" x14ac:dyDescent="0.25">
      <c r="F2043" s="28"/>
      <c r="I2043" s="28"/>
    </row>
    <row r="2044" spans="6:9" x14ac:dyDescent="0.25">
      <c r="F2044" s="28"/>
      <c r="I2044" s="28"/>
    </row>
    <row r="2045" spans="6:9" x14ac:dyDescent="0.25">
      <c r="F2045" s="28"/>
      <c r="I2045" s="28"/>
    </row>
    <row r="2046" spans="6:9" x14ac:dyDescent="0.25">
      <c r="F2046" s="28"/>
      <c r="I2046" s="28"/>
    </row>
    <row r="2047" spans="6:9" x14ac:dyDescent="0.25">
      <c r="F2047" s="28"/>
      <c r="I2047" s="28"/>
    </row>
    <row r="2048" spans="6:9" x14ac:dyDescent="0.25">
      <c r="F2048" s="28"/>
      <c r="I2048" s="28"/>
    </row>
    <row r="2049" spans="6:9" x14ac:dyDescent="0.25">
      <c r="F2049" s="28"/>
      <c r="I2049" s="28"/>
    </row>
    <row r="2050" spans="6:9" x14ac:dyDescent="0.25">
      <c r="F2050" s="28"/>
      <c r="I2050" s="28"/>
    </row>
    <row r="2051" spans="6:9" x14ac:dyDescent="0.25">
      <c r="F2051" s="28"/>
      <c r="I2051" s="28"/>
    </row>
    <row r="2052" spans="6:9" x14ac:dyDescent="0.25">
      <c r="F2052" s="28"/>
      <c r="I2052" s="28"/>
    </row>
    <row r="2053" spans="6:9" x14ac:dyDescent="0.25">
      <c r="F2053" s="28"/>
      <c r="I2053" s="28"/>
    </row>
    <row r="2054" spans="6:9" x14ac:dyDescent="0.25">
      <c r="F2054" s="28"/>
      <c r="I2054" s="28"/>
    </row>
    <row r="2055" spans="6:9" x14ac:dyDescent="0.25">
      <c r="F2055" s="28"/>
      <c r="I2055" s="28"/>
    </row>
    <row r="2056" spans="6:9" x14ac:dyDescent="0.25">
      <c r="F2056" s="28"/>
      <c r="I2056" s="28"/>
    </row>
    <row r="2057" spans="6:9" x14ac:dyDescent="0.25">
      <c r="F2057" s="28"/>
      <c r="I2057" s="28"/>
    </row>
    <row r="2058" spans="6:9" x14ac:dyDescent="0.25">
      <c r="F2058" s="28"/>
      <c r="I2058" s="28"/>
    </row>
    <row r="2059" spans="6:9" x14ac:dyDescent="0.25">
      <c r="F2059" s="28"/>
      <c r="I2059" s="28"/>
    </row>
    <row r="2060" spans="6:9" x14ac:dyDescent="0.25">
      <c r="F2060" s="28"/>
      <c r="I2060" s="28"/>
    </row>
    <row r="2061" spans="6:9" x14ac:dyDescent="0.25">
      <c r="F2061" s="28"/>
      <c r="I2061" s="28"/>
    </row>
    <row r="2062" spans="6:9" x14ac:dyDescent="0.25">
      <c r="F2062" s="28"/>
      <c r="I2062" s="28"/>
    </row>
    <row r="2063" spans="6:9" x14ac:dyDescent="0.25">
      <c r="F2063" s="28"/>
      <c r="I2063" s="28"/>
    </row>
    <row r="2064" spans="6:9" x14ac:dyDescent="0.25">
      <c r="F2064" s="28"/>
      <c r="I2064" s="28"/>
    </row>
    <row r="2065" spans="6:9" x14ac:dyDescent="0.25">
      <c r="F2065" s="28"/>
      <c r="I2065" s="28"/>
    </row>
    <row r="2066" spans="6:9" x14ac:dyDescent="0.25">
      <c r="F2066" s="28"/>
      <c r="I2066" s="28"/>
    </row>
    <row r="2067" spans="6:9" x14ac:dyDescent="0.25">
      <c r="F2067" s="28"/>
      <c r="I2067" s="28"/>
    </row>
    <row r="2068" spans="6:9" x14ac:dyDescent="0.25">
      <c r="F2068" s="28"/>
      <c r="I2068" s="28"/>
    </row>
    <row r="2069" spans="6:9" x14ac:dyDescent="0.25">
      <c r="F2069" s="28"/>
      <c r="I2069" s="28"/>
    </row>
    <row r="2070" spans="6:9" x14ac:dyDescent="0.25">
      <c r="F2070" s="28"/>
      <c r="I2070" s="28"/>
    </row>
    <row r="2071" spans="6:9" x14ac:dyDescent="0.25">
      <c r="F2071" s="28"/>
      <c r="I2071" s="28"/>
    </row>
    <row r="2072" spans="6:9" x14ac:dyDescent="0.25">
      <c r="F2072" s="28"/>
      <c r="I2072" s="28"/>
    </row>
    <row r="2073" spans="6:9" x14ac:dyDescent="0.25">
      <c r="F2073" s="28"/>
      <c r="I2073" s="28"/>
    </row>
    <row r="2074" spans="6:9" x14ac:dyDescent="0.25">
      <c r="F2074" s="28"/>
      <c r="I2074" s="28"/>
    </row>
    <row r="2075" spans="6:9" x14ac:dyDescent="0.25">
      <c r="F2075" s="28"/>
      <c r="I2075" s="28"/>
    </row>
    <row r="2076" spans="6:9" x14ac:dyDescent="0.25">
      <c r="F2076" s="28"/>
      <c r="I2076" s="28"/>
    </row>
    <row r="2077" spans="6:9" x14ac:dyDescent="0.25">
      <c r="F2077" s="28"/>
      <c r="I2077" s="28"/>
    </row>
    <row r="2078" spans="6:9" x14ac:dyDescent="0.25">
      <c r="F2078" s="28"/>
      <c r="I2078" s="28"/>
    </row>
    <row r="2079" spans="6:9" x14ac:dyDescent="0.25">
      <c r="F2079" s="28"/>
      <c r="I2079" s="28"/>
    </row>
    <row r="2080" spans="6:9" x14ac:dyDescent="0.25">
      <c r="F2080" s="28"/>
      <c r="I2080" s="28"/>
    </row>
    <row r="2081" spans="6:9" x14ac:dyDescent="0.25">
      <c r="F2081" s="28"/>
      <c r="I2081" s="28"/>
    </row>
    <row r="2082" spans="6:9" x14ac:dyDescent="0.25">
      <c r="F2082" s="28"/>
      <c r="I2082" s="28"/>
    </row>
    <row r="2083" spans="6:9" x14ac:dyDescent="0.25">
      <c r="F2083" s="28"/>
      <c r="I2083" s="28"/>
    </row>
    <row r="2084" spans="6:9" x14ac:dyDescent="0.25">
      <c r="F2084" s="28"/>
      <c r="I2084" s="28"/>
    </row>
    <row r="2085" spans="6:9" x14ac:dyDescent="0.25">
      <c r="F2085" s="28"/>
      <c r="I2085" s="28"/>
    </row>
    <row r="2086" spans="6:9" x14ac:dyDescent="0.25">
      <c r="F2086" s="28"/>
      <c r="I2086" s="28"/>
    </row>
    <row r="2087" spans="6:9" x14ac:dyDescent="0.25">
      <c r="F2087" s="28"/>
      <c r="I2087" s="28"/>
    </row>
    <row r="2088" spans="6:9" x14ac:dyDescent="0.25">
      <c r="F2088" s="28"/>
      <c r="I2088" s="28"/>
    </row>
    <row r="2089" spans="6:9" x14ac:dyDescent="0.25">
      <c r="F2089" s="28"/>
      <c r="I2089" s="28"/>
    </row>
    <row r="2090" spans="6:9" x14ac:dyDescent="0.25">
      <c r="F2090" s="28"/>
      <c r="I2090" s="28"/>
    </row>
    <row r="2091" spans="6:9" x14ac:dyDescent="0.25">
      <c r="F2091" s="28"/>
      <c r="I2091" s="28"/>
    </row>
    <row r="2092" spans="6:9" x14ac:dyDescent="0.25">
      <c r="F2092" s="28"/>
      <c r="I2092" s="28"/>
    </row>
    <row r="2093" spans="6:9" x14ac:dyDescent="0.25">
      <c r="F2093" s="28"/>
      <c r="I2093" s="28"/>
    </row>
    <row r="2094" spans="6:9" x14ac:dyDescent="0.25">
      <c r="F2094" s="28"/>
      <c r="I2094" s="28"/>
    </row>
    <row r="2095" spans="6:9" x14ac:dyDescent="0.25">
      <c r="F2095" s="28"/>
      <c r="I2095" s="28"/>
    </row>
    <row r="2096" spans="6:9" x14ac:dyDescent="0.25">
      <c r="F2096" s="28"/>
      <c r="I2096" s="28"/>
    </row>
    <row r="2097" spans="6:9" x14ac:dyDescent="0.25">
      <c r="F2097" s="28"/>
      <c r="I2097" s="28"/>
    </row>
    <row r="2098" spans="6:9" x14ac:dyDescent="0.25">
      <c r="F2098" s="28"/>
      <c r="I2098" s="28"/>
    </row>
    <row r="2099" spans="6:9" x14ac:dyDescent="0.25">
      <c r="F2099" s="28"/>
      <c r="I2099" s="28"/>
    </row>
    <row r="2100" spans="6:9" x14ac:dyDescent="0.25">
      <c r="F2100" s="28"/>
      <c r="I2100" s="28"/>
    </row>
    <row r="2101" spans="6:9" x14ac:dyDescent="0.25">
      <c r="F2101" s="28"/>
      <c r="I2101" s="28"/>
    </row>
    <row r="2102" spans="6:9" x14ac:dyDescent="0.25">
      <c r="F2102" s="28"/>
      <c r="I2102" s="28"/>
    </row>
    <row r="2103" spans="6:9" x14ac:dyDescent="0.25">
      <c r="F2103" s="28"/>
      <c r="I2103" s="28"/>
    </row>
    <row r="2104" spans="6:9" x14ac:dyDescent="0.25">
      <c r="F2104" s="28"/>
      <c r="I2104" s="28"/>
    </row>
    <row r="2105" spans="6:9" x14ac:dyDescent="0.25">
      <c r="F2105" s="28"/>
      <c r="I2105" s="28"/>
    </row>
    <row r="2106" spans="6:9" x14ac:dyDescent="0.25">
      <c r="F2106" s="28"/>
      <c r="I2106" s="28"/>
    </row>
    <row r="2107" spans="6:9" x14ac:dyDescent="0.25">
      <c r="F2107" s="28"/>
      <c r="I2107" s="28"/>
    </row>
    <row r="2108" spans="6:9" x14ac:dyDescent="0.25">
      <c r="F2108" s="28"/>
      <c r="I2108" s="28"/>
    </row>
    <row r="2109" spans="6:9" x14ac:dyDescent="0.25">
      <c r="F2109" s="28"/>
      <c r="I2109" s="28"/>
    </row>
    <row r="2110" spans="6:9" x14ac:dyDescent="0.25">
      <c r="F2110" s="28"/>
      <c r="I2110" s="28"/>
    </row>
    <row r="2111" spans="6:9" x14ac:dyDescent="0.25">
      <c r="F2111" s="28"/>
      <c r="I2111" s="28"/>
    </row>
    <row r="2112" spans="6:9" x14ac:dyDescent="0.25">
      <c r="F2112" s="28"/>
      <c r="I2112" s="28"/>
    </row>
    <row r="2113" spans="6:9" x14ac:dyDescent="0.25">
      <c r="F2113" s="28"/>
      <c r="I2113" s="28"/>
    </row>
    <row r="2114" spans="6:9" x14ac:dyDescent="0.25">
      <c r="F2114" s="28"/>
      <c r="I2114" s="28"/>
    </row>
    <row r="2115" spans="6:9" x14ac:dyDescent="0.25">
      <c r="F2115" s="28"/>
      <c r="I2115" s="28"/>
    </row>
    <row r="2116" spans="6:9" x14ac:dyDescent="0.25">
      <c r="F2116" s="28"/>
      <c r="I2116" s="28"/>
    </row>
    <row r="2117" spans="6:9" x14ac:dyDescent="0.25">
      <c r="F2117" s="28"/>
      <c r="I2117" s="28"/>
    </row>
    <row r="2118" spans="6:9" x14ac:dyDescent="0.25">
      <c r="F2118" s="28"/>
      <c r="I2118" s="28"/>
    </row>
    <row r="2119" spans="6:9" x14ac:dyDescent="0.25">
      <c r="F2119" s="28"/>
      <c r="I2119" s="28"/>
    </row>
    <row r="2120" spans="6:9" x14ac:dyDescent="0.25">
      <c r="F2120" s="28"/>
      <c r="I2120" s="28"/>
    </row>
    <row r="2121" spans="6:9" x14ac:dyDescent="0.25">
      <c r="F2121" s="28"/>
      <c r="I2121" s="28"/>
    </row>
    <row r="2122" spans="6:9" x14ac:dyDescent="0.25">
      <c r="F2122" s="28"/>
      <c r="I2122" s="28"/>
    </row>
    <row r="2123" spans="6:9" x14ac:dyDescent="0.25">
      <c r="F2123" s="28"/>
      <c r="I2123" s="28"/>
    </row>
    <row r="2124" spans="6:9" x14ac:dyDescent="0.25">
      <c r="F2124" s="28"/>
      <c r="I2124" s="28"/>
    </row>
    <row r="2125" spans="6:9" x14ac:dyDescent="0.25">
      <c r="F2125" s="28"/>
      <c r="I2125" s="28"/>
    </row>
    <row r="2126" spans="6:9" x14ac:dyDescent="0.25">
      <c r="F2126" s="28"/>
      <c r="I2126" s="28"/>
    </row>
    <row r="2127" spans="6:9" x14ac:dyDescent="0.25">
      <c r="F2127" s="28"/>
      <c r="I2127" s="28"/>
    </row>
    <row r="2128" spans="6:9" x14ac:dyDescent="0.25">
      <c r="F2128" s="28"/>
      <c r="I2128" s="28"/>
    </row>
    <row r="2129" spans="6:9" x14ac:dyDescent="0.25">
      <c r="F2129" s="28"/>
      <c r="I2129" s="28"/>
    </row>
    <row r="2130" spans="6:9" x14ac:dyDescent="0.25">
      <c r="F2130" s="28"/>
      <c r="I2130" s="28"/>
    </row>
    <row r="2131" spans="6:9" x14ac:dyDescent="0.25">
      <c r="F2131" s="28"/>
      <c r="I2131" s="28"/>
    </row>
    <row r="2132" spans="6:9" x14ac:dyDescent="0.25">
      <c r="F2132" s="28"/>
      <c r="I2132" s="28"/>
    </row>
    <row r="2133" spans="6:9" x14ac:dyDescent="0.25">
      <c r="F2133" s="28"/>
      <c r="I2133" s="28"/>
    </row>
    <row r="2134" spans="6:9" x14ac:dyDescent="0.25">
      <c r="F2134" s="28"/>
      <c r="I2134" s="28"/>
    </row>
    <row r="2135" spans="6:9" x14ac:dyDescent="0.25">
      <c r="F2135" s="28"/>
      <c r="I2135" s="28"/>
    </row>
    <row r="2136" spans="6:9" x14ac:dyDescent="0.25">
      <c r="F2136" s="28"/>
      <c r="I2136" s="28"/>
    </row>
    <row r="2137" spans="6:9" x14ac:dyDescent="0.25">
      <c r="F2137" s="28"/>
      <c r="I2137" s="28"/>
    </row>
    <row r="2138" spans="6:9" x14ac:dyDescent="0.25">
      <c r="F2138" s="28"/>
      <c r="I2138" s="28"/>
    </row>
    <row r="2139" spans="6:9" x14ac:dyDescent="0.25">
      <c r="F2139" s="28"/>
      <c r="I2139" s="28"/>
    </row>
    <row r="2140" spans="6:9" x14ac:dyDescent="0.25">
      <c r="F2140" s="28"/>
      <c r="I2140" s="28"/>
    </row>
    <row r="2141" spans="6:9" x14ac:dyDescent="0.25">
      <c r="F2141" s="28"/>
      <c r="I2141" s="28"/>
    </row>
    <row r="2142" spans="6:9" x14ac:dyDescent="0.25">
      <c r="F2142" s="28"/>
      <c r="I2142" s="28"/>
    </row>
    <row r="2143" spans="6:9" x14ac:dyDescent="0.25">
      <c r="F2143" s="28"/>
      <c r="I2143" s="28"/>
    </row>
    <row r="2144" spans="6:9" x14ac:dyDescent="0.25">
      <c r="F2144" s="28"/>
      <c r="I2144" s="28"/>
    </row>
    <row r="2145" spans="6:9" x14ac:dyDescent="0.25">
      <c r="F2145" s="28"/>
      <c r="I2145" s="28"/>
    </row>
    <row r="2146" spans="6:9" x14ac:dyDescent="0.25">
      <c r="F2146" s="28"/>
      <c r="I2146" s="28"/>
    </row>
    <row r="2147" spans="6:9" x14ac:dyDescent="0.25">
      <c r="F2147" s="28"/>
      <c r="I2147" s="28"/>
    </row>
    <row r="2148" spans="6:9" x14ac:dyDescent="0.25">
      <c r="F2148" s="28"/>
      <c r="I2148" s="28"/>
    </row>
    <row r="2149" spans="6:9" x14ac:dyDescent="0.25">
      <c r="F2149" s="28"/>
      <c r="I2149" s="28"/>
    </row>
    <row r="2150" spans="6:9" x14ac:dyDescent="0.25">
      <c r="F2150" s="28"/>
      <c r="I2150" s="28"/>
    </row>
    <row r="2151" spans="6:9" x14ac:dyDescent="0.25">
      <c r="F2151" s="28"/>
      <c r="I2151" s="28"/>
    </row>
    <row r="2152" spans="6:9" x14ac:dyDescent="0.25">
      <c r="F2152" s="28"/>
      <c r="I2152" s="28"/>
    </row>
    <row r="2153" spans="6:9" x14ac:dyDescent="0.25">
      <c r="F2153" s="28"/>
      <c r="I2153" s="28"/>
    </row>
    <row r="2154" spans="6:9" x14ac:dyDescent="0.25">
      <c r="F2154" s="28"/>
      <c r="I2154" s="28"/>
    </row>
    <row r="2155" spans="6:9" x14ac:dyDescent="0.25">
      <c r="F2155" s="28"/>
      <c r="I2155" s="28"/>
    </row>
    <row r="2156" spans="6:9" x14ac:dyDescent="0.25">
      <c r="F2156" s="28"/>
      <c r="I2156" s="28"/>
    </row>
    <row r="2157" spans="6:9" x14ac:dyDescent="0.25">
      <c r="F2157" s="28"/>
      <c r="I2157" s="28"/>
    </row>
    <row r="2158" spans="6:9" x14ac:dyDescent="0.25">
      <c r="F2158" s="28"/>
      <c r="I2158" s="28"/>
    </row>
    <row r="2159" spans="6:9" x14ac:dyDescent="0.25">
      <c r="F2159" s="28"/>
      <c r="I2159" s="28"/>
    </row>
    <row r="2160" spans="6:9" x14ac:dyDescent="0.25">
      <c r="F2160" s="28"/>
      <c r="I2160" s="28"/>
    </row>
    <row r="2161" spans="6:9" x14ac:dyDescent="0.25">
      <c r="F2161" s="28"/>
      <c r="I2161" s="28"/>
    </row>
    <row r="2162" spans="6:9" x14ac:dyDescent="0.25">
      <c r="F2162" s="28"/>
      <c r="I2162" s="28"/>
    </row>
    <row r="2163" spans="6:9" x14ac:dyDescent="0.25">
      <c r="F2163" s="28"/>
      <c r="I2163" s="28"/>
    </row>
    <row r="2164" spans="6:9" x14ac:dyDescent="0.25">
      <c r="F2164" s="28"/>
      <c r="I2164" s="28"/>
    </row>
    <row r="2165" spans="6:9" x14ac:dyDescent="0.25">
      <c r="F2165" s="28"/>
      <c r="I2165" s="28"/>
    </row>
    <row r="2166" spans="6:9" x14ac:dyDescent="0.25">
      <c r="F2166" s="28"/>
      <c r="I2166" s="28"/>
    </row>
    <row r="2167" spans="6:9" x14ac:dyDescent="0.25">
      <c r="F2167" s="28"/>
      <c r="I2167" s="28"/>
    </row>
    <row r="2168" spans="6:9" x14ac:dyDescent="0.25">
      <c r="F2168" s="28"/>
      <c r="I2168" s="28"/>
    </row>
    <row r="2169" spans="6:9" x14ac:dyDescent="0.25">
      <c r="F2169" s="28"/>
      <c r="I2169" s="28"/>
    </row>
    <row r="2170" spans="6:9" x14ac:dyDescent="0.25">
      <c r="F2170" s="28"/>
      <c r="I2170" s="28"/>
    </row>
    <row r="2171" spans="6:9" x14ac:dyDescent="0.25">
      <c r="F2171" s="28"/>
      <c r="I2171" s="28"/>
    </row>
    <row r="2172" spans="6:9" x14ac:dyDescent="0.25">
      <c r="F2172" s="28"/>
      <c r="I2172" s="28"/>
    </row>
    <row r="2173" spans="6:9" x14ac:dyDescent="0.25">
      <c r="F2173" s="28"/>
      <c r="I2173" s="28"/>
    </row>
    <row r="2174" spans="6:9" x14ac:dyDescent="0.25">
      <c r="F2174" s="28"/>
      <c r="I2174" s="28"/>
    </row>
    <row r="2175" spans="6:9" x14ac:dyDescent="0.25">
      <c r="F2175" s="28"/>
      <c r="I2175" s="28"/>
    </row>
    <row r="2176" spans="6:9" x14ac:dyDescent="0.25">
      <c r="F2176" s="28"/>
      <c r="I2176" s="28"/>
    </row>
    <row r="2177" spans="6:9" x14ac:dyDescent="0.25">
      <c r="F2177" s="28"/>
      <c r="I2177" s="28"/>
    </row>
    <row r="2178" spans="6:9" x14ac:dyDescent="0.25">
      <c r="F2178" s="28"/>
      <c r="I2178" s="28"/>
    </row>
    <row r="2179" spans="6:9" x14ac:dyDescent="0.25">
      <c r="F2179" s="28"/>
      <c r="I2179" s="28"/>
    </row>
    <row r="2180" spans="6:9" x14ac:dyDescent="0.25">
      <c r="F2180" s="28"/>
      <c r="I2180" s="28"/>
    </row>
    <row r="2181" spans="6:9" x14ac:dyDescent="0.25">
      <c r="F2181" s="28"/>
      <c r="I2181" s="28"/>
    </row>
    <row r="2182" spans="6:9" x14ac:dyDescent="0.25">
      <c r="F2182" s="28"/>
      <c r="I2182" s="28"/>
    </row>
    <row r="2183" spans="6:9" x14ac:dyDescent="0.25">
      <c r="F2183" s="28"/>
      <c r="I2183" s="28"/>
    </row>
    <row r="2184" spans="6:9" x14ac:dyDescent="0.25">
      <c r="F2184" s="28"/>
      <c r="I2184" s="28"/>
    </row>
    <row r="2185" spans="6:9" x14ac:dyDescent="0.25">
      <c r="F2185" s="28"/>
      <c r="I2185" s="28"/>
    </row>
    <row r="2186" spans="6:9" x14ac:dyDescent="0.25">
      <c r="F2186" s="28"/>
      <c r="I2186" s="28"/>
    </row>
    <row r="2187" spans="6:9" x14ac:dyDescent="0.25">
      <c r="F2187" s="28"/>
      <c r="I2187" s="28"/>
    </row>
    <row r="2188" spans="6:9" x14ac:dyDescent="0.25">
      <c r="F2188" s="28"/>
      <c r="I2188" s="28"/>
    </row>
    <row r="2189" spans="6:9" x14ac:dyDescent="0.25">
      <c r="F2189" s="28"/>
      <c r="I2189" s="28"/>
    </row>
    <row r="2190" spans="6:9" x14ac:dyDescent="0.25">
      <c r="F2190" s="28"/>
      <c r="I2190" s="28"/>
    </row>
    <row r="2191" spans="6:9" x14ac:dyDescent="0.25">
      <c r="F2191" s="28"/>
      <c r="I2191" s="28"/>
    </row>
    <row r="2192" spans="6:9" x14ac:dyDescent="0.25">
      <c r="F2192" s="28"/>
      <c r="I2192" s="28"/>
    </row>
    <row r="2193" spans="6:9" x14ac:dyDescent="0.25">
      <c r="F2193" s="28"/>
      <c r="I2193" s="28"/>
    </row>
    <row r="2194" spans="6:9" x14ac:dyDescent="0.25">
      <c r="F2194" s="28"/>
      <c r="I2194" s="28"/>
    </row>
    <row r="2195" spans="6:9" x14ac:dyDescent="0.25">
      <c r="F2195" s="28"/>
      <c r="I2195" s="28"/>
    </row>
    <row r="2196" spans="6:9" x14ac:dyDescent="0.25">
      <c r="F2196" s="28"/>
      <c r="I2196" s="28"/>
    </row>
    <row r="2197" spans="6:9" x14ac:dyDescent="0.25">
      <c r="F2197" s="28"/>
      <c r="I2197" s="28"/>
    </row>
    <row r="2198" spans="6:9" x14ac:dyDescent="0.25">
      <c r="F2198" s="28"/>
      <c r="I2198" s="28"/>
    </row>
    <row r="2199" spans="6:9" x14ac:dyDescent="0.25">
      <c r="F2199" s="28"/>
      <c r="I2199" s="28"/>
    </row>
    <row r="2200" spans="6:9" x14ac:dyDescent="0.25">
      <c r="F2200" s="28"/>
      <c r="I2200" s="28"/>
    </row>
    <row r="2201" spans="6:9" x14ac:dyDescent="0.25">
      <c r="F2201" s="28"/>
      <c r="I2201" s="28"/>
    </row>
    <row r="2202" spans="6:9" x14ac:dyDescent="0.25">
      <c r="F2202" s="28"/>
      <c r="I2202" s="28"/>
    </row>
    <row r="2203" spans="6:9" x14ac:dyDescent="0.25">
      <c r="F2203" s="28"/>
      <c r="I2203" s="28"/>
    </row>
    <row r="2204" spans="6:9" x14ac:dyDescent="0.25">
      <c r="F2204" s="28"/>
      <c r="I2204" s="28"/>
    </row>
    <row r="2205" spans="6:9" x14ac:dyDescent="0.25">
      <c r="F2205" s="28"/>
      <c r="I2205" s="28"/>
    </row>
    <row r="2206" spans="6:9" x14ac:dyDescent="0.25">
      <c r="F2206" s="28"/>
      <c r="I2206" s="28"/>
    </row>
    <row r="2207" spans="6:9" x14ac:dyDescent="0.25">
      <c r="F2207" s="28"/>
      <c r="I2207" s="28"/>
    </row>
    <row r="2208" spans="6:9" x14ac:dyDescent="0.25">
      <c r="F2208" s="28"/>
      <c r="I2208" s="28"/>
    </row>
    <row r="2209" spans="6:9" x14ac:dyDescent="0.25">
      <c r="F2209" s="28"/>
      <c r="I2209" s="28"/>
    </row>
    <row r="2210" spans="6:9" x14ac:dyDescent="0.25">
      <c r="F2210" s="28"/>
      <c r="I2210" s="28"/>
    </row>
    <row r="2211" spans="6:9" x14ac:dyDescent="0.25">
      <c r="F2211" s="28"/>
      <c r="I2211" s="28"/>
    </row>
    <row r="2212" spans="6:9" x14ac:dyDescent="0.25">
      <c r="F2212" s="28"/>
      <c r="I2212" s="28"/>
    </row>
    <row r="2213" spans="6:9" x14ac:dyDescent="0.25">
      <c r="F2213" s="28"/>
      <c r="I2213" s="28"/>
    </row>
    <row r="2214" spans="6:9" x14ac:dyDescent="0.25">
      <c r="F2214" s="28"/>
      <c r="I2214" s="28"/>
    </row>
    <row r="2215" spans="6:9" x14ac:dyDescent="0.25">
      <c r="F2215" s="28"/>
      <c r="I2215" s="28"/>
    </row>
    <row r="2216" spans="6:9" x14ac:dyDescent="0.25">
      <c r="F2216" s="28"/>
      <c r="I2216" s="28"/>
    </row>
    <row r="2217" spans="6:9" x14ac:dyDescent="0.25">
      <c r="F2217" s="28"/>
      <c r="I2217" s="28"/>
    </row>
    <row r="2218" spans="6:9" x14ac:dyDescent="0.25">
      <c r="F2218" s="28"/>
      <c r="I2218" s="28"/>
    </row>
    <row r="2219" spans="6:9" x14ac:dyDescent="0.25">
      <c r="F2219" s="28"/>
      <c r="I2219" s="28"/>
    </row>
    <row r="2220" spans="6:9" x14ac:dyDescent="0.25">
      <c r="F2220" s="28"/>
      <c r="I2220" s="28"/>
    </row>
    <row r="2221" spans="6:9" x14ac:dyDescent="0.25">
      <c r="F2221" s="28"/>
      <c r="I2221" s="28"/>
    </row>
    <row r="2222" spans="6:9" x14ac:dyDescent="0.25">
      <c r="F2222" s="28"/>
      <c r="I2222" s="28"/>
    </row>
    <row r="2223" spans="6:9" x14ac:dyDescent="0.25">
      <c r="F2223" s="28"/>
      <c r="I2223" s="28"/>
    </row>
    <row r="2224" spans="6:9" x14ac:dyDescent="0.25">
      <c r="F2224" s="28"/>
      <c r="I2224" s="28"/>
    </row>
    <row r="2225" spans="6:9" x14ac:dyDescent="0.25">
      <c r="F2225" s="28"/>
      <c r="I2225" s="28"/>
    </row>
    <row r="2226" spans="6:9" x14ac:dyDescent="0.25">
      <c r="F2226" s="28"/>
      <c r="I2226" s="28"/>
    </row>
    <row r="2227" spans="6:9" x14ac:dyDescent="0.25">
      <c r="F2227" s="28"/>
      <c r="I2227" s="28"/>
    </row>
    <row r="2228" spans="6:9" x14ac:dyDescent="0.25">
      <c r="F2228" s="28"/>
      <c r="I2228" s="28"/>
    </row>
    <row r="2229" spans="6:9" x14ac:dyDescent="0.25">
      <c r="F2229" s="28"/>
      <c r="I2229" s="28"/>
    </row>
    <row r="2230" spans="6:9" x14ac:dyDescent="0.25">
      <c r="F2230" s="28"/>
      <c r="I2230" s="28"/>
    </row>
    <row r="2231" spans="6:9" x14ac:dyDescent="0.25">
      <c r="F2231" s="28"/>
      <c r="I2231" s="28"/>
    </row>
    <row r="2232" spans="6:9" x14ac:dyDescent="0.25">
      <c r="F2232" s="28"/>
      <c r="I2232" s="28"/>
    </row>
    <row r="2233" spans="6:9" x14ac:dyDescent="0.25">
      <c r="F2233" s="28"/>
      <c r="I2233" s="28"/>
    </row>
    <row r="2234" spans="6:9" x14ac:dyDescent="0.25">
      <c r="F2234" s="28"/>
      <c r="I2234" s="28"/>
    </row>
    <row r="2235" spans="6:9" x14ac:dyDescent="0.25">
      <c r="F2235" s="28"/>
      <c r="I2235" s="28"/>
    </row>
    <row r="2236" spans="6:9" x14ac:dyDescent="0.25">
      <c r="F2236" s="28"/>
      <c r="I2236" s="28"/>
    </row>
    <row r="2237" spans="6:9" x14ac:dyDescent="0.25">
      <c r="F2237" s="28"/>
      <c r="I2237" s="28"/>
    </row>
    <row r="2238" spans="6:9" x14ac:dyDescent="0.25">
      <c r="F2238" s="28"/>
      <c r="I2238" s="28"/>
    </row>
    <row r="2239" spans="6:9" x14ac:dyDescent="0.25">
      <c r="F2239" s="28"/>
      <c r="I2239" s="28"/>
    </row>
    <row r="2240" spans="6:9" x14ac:dyDescent="0.25">
      <c r="F2240" s="28"/>
      <c r="I2240" s="28"/>
    </row>
    <row r="2241" spans="6:9" x14ac:dyDescent="0.25">
      <c r="F2241" s="28"/>
      <c r="I2241" s="28"/>
    </row>
    <row r="2242" spans="6:9" x14ac:dyDescent="0.25">
      <c r="F2242" s="28"/>
      <c r="I2242" s="28"/>
    </row>
    <row r="2243" spans="6:9" x14ac:dyDescent="0.25">
      <c r="F2243" s="28"/>
      <c r="I2243" s="28"/>
    </row>
    <row r="2244" spans="6:9" x14ac:dyDescent="0.25">
      <c r="F2244" s="28"/>
      <c r="I2244" s="28"/>
    </row>
    <row r="2245" spans="6:9" x14ac:dyDescent="0.25">
      <c r="F2245" s="28"/>
      <c r="I2245" s="28"/>
    </row>
    <row r="2246" spans="6:9" x14ac:dyDescent="0.25">
      <c r="F2246" s="28"/>
      <c r="I2246" s="28"/>
    </row>
    <row r="2247" spans="6:9" x14ac:dyDescent="0.25">
      <c r="F2247" s="28"/>
      <c r="I2247" s="28"/>
    </row>
    <row r="2248" spans="6:9" x14ac:dyDescent="0.25">
      <c r="F2248" s="28"/>
      <c r="I2248" s="28"/>
    </row>
    <row r="2249" spans="6:9" x14ac:dyDescent="0.25">
      <c r="F2249" s="28"/>
      <c r="I2249" s="28"/>
    </row>
    <row r="2250" spans="6:9" x14ac:dyDescent="0.25">
      <c r="F2250" s="28"/>
      <c r="I2250" s="28"/>
    </row>
    <row r="2251" spans="6:9" x14ac:dyDescent="0.25">
      <c r="F2251" s="28"/>
      <c r="I2251" s="28"/>
    </row>
    <row r="2252" spans="6:9" x14ac:dyDescent="0.25">
      <c r="F2252" s="28"/>
      <c r="I2252" s="28"/>
    </row>
    <row r="2253" spans="6:9" x14ac:dyDescent="0.25">
      <c r="F2253" s="28"/>
      <c r="I2253" s="28"/>
    </row>
    <row r="2254" spans="6:9" x14ac:dyDescent="0.25">
      <c r="F2254" s="28"/>
      <c r="I2254" s="28"/>
    </row>
    <row r="2255" spans="6:9" x14ac:dyDescent="0.25">
      <c r="F2255" s="28"/>
      <c r="I2255" s="28"/>
    </row>
    <row r="2256" spans="6:9" x14ac:dyDescent="0.25">
      <c r="F2256" s="28"/>
      <c r="I2256" s="28"/>
    </row>
    <row r="2257" spans="6:9" x14ac:dyDescent="0.25">
      <c r="F2257" s="28"/>
      <c r="I2257" s="28"/>
    </row>
    <row r="2258" spans="6:9" x14ac:dyDescent="0.25">
      <c r="F2258" s="28"/>
      <c r="I2258" s="28"/>
    </row>
    <row r="2259" spans="6:9" x14ac:dyDescent="0.25">
      <c r="F2259" s="28"/>
      <c r="I2259" s="28"/>
    </row>
    <row r="2260" spans="6:9" x14ac:dyDescent="0.25">
      <c r="F2260" s="28"/>
      <c r="I2260" s="28"/>
    </row>
    <row r="2261" spans="6:9" x14ac:dyDescent="0.25">
      <c r="F2261" s="28"/>
      <c r="I2261" s="28"/>
    </row>
    <row r="2262" spans="6:9" x14ac:dyDescent="0.25">
      <c r="F2262" s="28"/>
      <c r="I2262" s="28"/>
    </row>
    <row r="2263" spans="6:9" x14ac:dyDescent="0.25">
      <c r="F2263" s="28"/>
      <c r="I2263" s="28"/>
    </row>
    <row r="2264" spans="6:9" x14ac:dyDescent="0.25">
      <c r="F2264" s="28"/>
      <c r="I2264" s="28"/>
    </row>
    <row r="2265" spans="6:9" x14ac:dyDescent="0.25">
      <c r="F2265" s="28"/>
      <c r="I2265" s="28"/>
    </row>
    <row r="2266" spans="6:9" x14ac:dyDescent="0.25">
      <c r="F2266" s="28"/>
      <c r="I2266" s="28"/>
    </row>
    <row r="2267" spans="6:9" x14ac:dyDescent="0.25">
      <c r="F2267" s="28"/>
      <c r="I2267" s="28"/>
    </row>
    <row r="2268" spans="6:9" x14ac:dyDescent="0.25">
      <c r="F2268" s="28"/>
      <c r="I2268" s="28"/>
    </row>
    <row r="2269" spans="6:9" x14ac:dyDescent="0.25">
      <c r="F2269" s="28"/>
      <c r="I2269" s="28"/>
    </row>
    <row r="2270" spans="6:9" x14ac:dyDescent="0.25">
      <c r="F2270" s="28"/>
      <c r="I2270" s="28"/>
    </row>
    <row r="2271" spans="6:9" x14ac:dyDescent="0.25">
      <c r="F2271" s="28"/>
      <c r="I2271" s="28"/>
    </row>
    <row r="2272" spans="6:9" x14ac:dyDescent="0.25">
      <c r="F2272" s="28"/>
      <c r="I2272" s="28"/>
    </row>
    <row r="2273" spans="6:9" x14ac:dyDescent="0.25">
      <c r="F2273" s="28"/>
      <c r="I2273" s="28"/>
    </row>
    <row r="2274" spans="6:9" x14ac:dyDescent="0.25">
      <c r="F2274" s="28"/>
      <c r="I2274" s="28"/>
    </row>
    <row r="2275" spans="6:9" x14ac:dyDescent="0.25">
      <c r="F2275" s="28"/>
      <c r="I2275" s="28"/>
    </row>
    <row r="2276" spans="6:9" x14ac:dyDescent="0.25">
      <c r="F2276" s="28"/>
      <c r="I2276" s="28"/>
    </row>
    <row r="2277" spans="6:9" x14ac:dyDescent="0.25">
      <c r="F2277" s="28"/>
      <c r="I2277" s="28"/>
    </row>
    <row r="2278" spans="6:9" x14ac:dyDescent="0.25">
      <c r="F2278" s="28"/>
      <c r="I2278" s="28"/>
    </row>
    <row r="2279" spans="6:9" x14ac:dyDescent="0.25">
      <c r="F2279" s="28"/>
      <c r="I2279" s="28"/>
    </row>
    <row r="2280" spans="6:9" x14ac:dyDescent="0.25">
      <c r="F2280" s="28"/>
      <c r="I2280" s="28"/>
    </row>
    <row r="2281" spans="6:9" x14ac:dyDescent="0.25">
      <c r="F2281" s="28"/>
      <c r="I2281" s="28"/>
    </row>
    <row r="2282" spans="6:9" x14ac:dyDescent="0.25">
      <c r="F2282" s="28"/>
      <c r="I2282" s="28"/>
    </row>
    <row r="2283" spans="6:9" x14ac:dyDescent="0.25">
      <c r="F2283" s="28"/>
      <c r="I2283" s="28"/>
    </row>
    <row r="2284" spans="6:9" x14ac:dyDescent="0.25">
      <c r="F2284" s="28"/>
      <c r="I2284" s="28"/>
    </row>
    <row r="2285" spans="6:9" x14ac:dyDescent="0.25">
      <c r="F2285" s="28"/>
      <c r="I2285" s="28"/>
    </row>
    <row r="2286" spans="6:9" x14ac:dyDescent="0.25">
      <c r="F2286" s="28"/>
      <c r="I2286" s="28"/>
    </row>
    <row r="2287" spans="6:9" x14ac:dyDescent="0.25">
      <c r="F2287" s="28"/>
      <c r="I2287" s="28"/>
    </row>
    <row r="2288" spans="6:9" x14ac:dyDescent="0.25">
      <c r="F2288" s="28"/>
      <c r="I2288" s="28"/>
    </row>
    <row r="2289" spans="6:9" x14ac:dyDescent="0.25">
      <c r="F2289" s="28"/>
      <c r="I2289" s="28"/>
    </row>
    <row r="2290" spans="6:9" x14ac:dyDescent="0.25">
      <c r="F2290" s="28"/>
      <c r="I2290" s="28"/>
    </row>
    <row r="2291" spans="6:9" x14ac:dyDescent="0.25">
      <c r="F2291" s="28"/>
      <c r="I2291" s="28"/>
    </row>
    <row r="2292" spans="6:9" x14ac:dyDescent="0.25">
      <c r="F2292" s="28"/>
      <c r="I2292" s="28"/>
    </row>
    <row r="2293" spans="6:9" x14ac:dyDescent="0.25">
      <c r="F2293" s="28"/>
      <c r="I2293" s="28"/>
    </row>
    <row r="2294" spans="6:9" x14ac:dyDescent="0.25">
      <c r="F2294" s="28"/>
      <c r="I2294" s="28"/>
    </row>
    <row r="2295" spans="6:9" x14ac:dyDescent="0.25">
      <c r="F2295" s="28"/>
      <c r="I2295" s="28"/>
    </row>
    <row r="2296" spans="6:9" x14ac:dyDescent="0.25">
      <c r="F2296" s="28"/>
      <c r="I2296" s="28"/>
    </row>
    <row r="2297" spans="6:9" x14ac:dyDescent="0.25">
      <c r="F2297" s="28"/>
      <c r="I2297" s="28"/>
    </row>
    <row r="2298" spans="6:9" x14ac:dyDescent="0.25">
      <c r="F2298" s="28"/>
      <c r="I2298" s="28"/>
    </row>
    <row r="2299" spans="6:9" x14ac:dyDescent="0.25">
      <c r="F2299" s="28"/>
      <c r="I2299" s="28"/>
    </row>
    <row r="2300" spans="6:9" x14ac:dyDescent="0.25">
      <c r="F2300" s="28"/>
      <c r="I2300" s="28"/>
    </row>
    <row r="2301" spans="6:9" x14ac:dyDescent="0.25">
      <c r="F2301" s="28"/>
      <c r="I2301" s="28"/>
    </row>
    <row r="2302" spans="6:9" x14ac:dyDescent="0.25">
      <c r="F2302" s="28"/>
      <c r="I2302" s="28"/>
    </row>
    <row r="2303" spans="6:9" x14ac:dyDescent="0.25">
      <c r="F2303" s="28"/>
      <c r="I2303" s="28"/>
    </row>
    <row r="2304" spans="6:9" x14ac:dyDescent="0.25">
      <c r="F2304" s="28"/>
      <c r="I2304" s="28"/>
    </row>
    <row r="2305" spans="6:9" x14ac:dyDescent="0.25">
      <c r="F2305" s="28"/>
      <c r="I2305" s="28"/>
    </row>
    <row r="2306" spans="6:9" x14ac:dyDescent="0.25">
      <c r="F2306" s="28"/>
      <c r="I2306" s="28"/>
    </row>
    <row r="2307" spans="6:9" x14ac:dyDescent="0.25">
      <c r="F2307" s="28"/>
      <c r="I2307" s="28"/>
    </row>
    <row r="2308" spans="6:9" x14ac:dyDescent="0.25">
      <c r="F2308" s="28"/>
      <c r="I2308" s="28"/>
    </row>
    <row r="2309" spans="6:9" x14ac:dyDescent="0.25">
      <c r="F2309" s="28"/>
      <c r="I2309" s="28"/>
    </row>
    <row r="2310" spans="6:9" x14ac:dyDescent="0.25">
      <c r="F2310" s="28"/>
      <c r="I2310" s="28"/>
    </row>
    <row r="2311" spans="6:9" x14ac:dyDescent="0.25">
      <c r="F2311" s="28"/>
      <c r="I2311" s="28"/>
    </row>
    <row r="2312" spans="6:9" x14ac:dyDescent="0.25">
      <c r="F2312" s="28"/>
      <c r="I2312" s="28"/>
    </row>
    <row r="2313" spans="6:9" x14ac:dyDescent="0.25">
      <c r="F2313" s="28"/>
      <c r="I2313" s="28"/>
    </row>
    <row r="2314" spans="6:9" x14ac:dyDescent="0.25">
      <c r="F2314" s="28"/>
      <c r="I2314" s="28"/>
    </row>
    <row r="2315" spans="6:9" x14ac:dyDescent="0.25">
      <c r="F2315" s="28"/>
      <c r="I2315" s="28"/>
    </row>
    <row r="2316" spans="6:9" x14ac:dyDescent="0.25">
      <c r="F2316" s="28"/>
      <c r="I2316" s="28"/>
    </row>
    <row r="2317" spans="6:9" x14ac:dyDescent="0.25">
      <c r="F2317" s="28"/>
      <c r="I2317" s="28"/>
    </row>
    <row r="2318" spans="6:9" x14ac:dyDescent="0.25">
      <c r="F2318" s="28"/>
      <c r="I2318" s="28"/>
    </row>
    <row r="2319" spans="6:9" x14ac:dyDescent="0.25">
      <c r="F2319" s="28"/>
      <c r="I2319" s="28"/>
    </row>
    <row r="2320" spans="6:9" x14ac:dyDescent="0.25">
      <c r="F2320" s="28"/>
      <c r="I2320" s="28"/>
    </row>
    <row r="2321" spans="6:9" x14ac:dyDescent="0.25">
      <c r="F2321" s="28"/>
      <c r="I2321" s="28"/>
    </row>
    <row r="2322" spans="6:9" x14ac:dyDescent="0.25">
      <c r="F2322" s="28"/>
      <c r="I2322" s="28"/>
    </row>
    <row r="2323" spans="6:9" x14ac:dyDescent="0.25">
      <c r="F2323" s="28"/>
      <c r="I2323" s="28"/>
    </row>
    <row r="2324" spans="6:9" x14ac:dyDescent="0.25">
      <c r="F2324" s="28"/>
      <c r="I2324" s="28"/>
    </row>
    <row r="2325" spans="6:9" x14ac:dyDescent="0.25">
      <c r="F2325" s="28"/>
      <c r="I2325" s="28"/>
    </row>
    <row r="2326" spans="6:9" x14ac:dyDescent="0.25">
      <c r="F2326" s="28"/>
      <c r="I2326" s="28"/>
    </row>
    <row r="2327" spans="6:9" x14ac:dyDescent="0.25">
      <c r="F2327" s="28"/>
      <c r="I2327" s="28"/>
    </row>
    <row r="2328" spans="6:9" x14ac:dyDescent="0.25">
      <c r="F2328" s="28"/>
      <c r="I2328" s="28"/>
    </row>
    <row r="2329" spans="6:9" x14ac:dyDescent="0.25">
      <c r="F2329" s="28"/>
      <c r="I2329" s="28"/>
    </row>
    <row r="2330" spans="6:9" x14ac:dyDescent="0.25">
      <c r="F2330" s="28"/>
      <c r="I2330" s="28"/>
    </row>
    <row r="2331" spans="6:9" x14ac:dyDescent="0.25">
      <c r="F2331" s="28"/>
      <c r="I2331" s="28"/>
    </row>
    <row r="2332" spans="6:9" x14ac:dyDescent="0.25">
      <c r="F2332" s="28"/>
      <c r="I2332" s="28"/>
    </row>
    <row r="2333" spans="6:9" x14ac:dyDescent="0.25">
      <c r="F2333" s="28"/>
      <c r="I2333" s="28"/>
    </row>
    <row r="2334" spans="6:9" x14ac:dyDescent="0.25">
      <c r="F2334" s="28"/>
      <c r="I2334" s="28"/>
    </row>
    <row r="2335" spans="6:9" x14ac:dyDescent="0.25">
      <c r="F2335" s="28"/>
      <c r="I2335" s="28"/>
    </row>
    <row r="2336" spans="6:9" x14ac:dyDescent="0.25">
      <c r="F2336" s="28"/>
      <c r="I2336" s="28"/>
    </row>
    <row r="2337" spans="6:9" x14ac:dyDescent="0.25">
      <c r="F2337" s="28"/>
      <c r="I2337" s="28"/>
    </row>
    <row r="2338" spans="6:9" x14ac:dyDescent="0.25">
      <c r="F2338" s="28"/>
      <c r="I2338" s="28"/>
    </row>
    <row r="2339" spans="6:9" x14ac:dyDescent="0.25">
      <c r="F2339" s="28"/>
      <c r="I2339" s="28"/>
    </row>
    <row r="2340" spans="6:9" x14ac:dyDescent="0.25">
      <c r="F2340" s="28"/>
      <c r="I2340" s="28"/>
    </row>
    <row r="2341" spans="6:9" x14ac:dyDescent="0.25">
      <c r="F2341" s="28"/>
      <c r="I2341" s="28"/>
    </row>
    <row r="2342" spans="6:9" x14ac:dyDescent="0.25">
      <c r="F2342" s="28"/>
      <c r="I2342" s="28"/>
    </row>
    <row r="2343" spans="6:9" x14ac:dyDescent="0.25">
      <c r="F2343" s="28"/>
      <c r="I2343" s="28"/>
    </row>
    <row r="2344" spans="6:9" x14ac:dyDescent="0.25">
      <c r="F2344" s="28"/>
      <c r="I2344" s="28"/>
    </row>
    <row r="2345" spans="6:9" x14ac:dyDescent="0.25">
      <c r="F2345" s="28"/>
      <c r="I2345" s="28"/>
    </row>
    <row r="2346" spans="6:9" x14ac:dyDescent="0.25">
      <c r="F2346" s="28"/>
      <c r="I2346" s="28"/>
    </row>
    <row r="2347" spans="6:9" x14ac:dyDescent="0.25">
      <c r="F2347" s="28"/>
      <c r="I2347" s="28"/>
    </row>
    <row r="2348" spans="6:9" x14ac:dyDescent="0.25">
      <c r="F2348" s="28"/>
      <c r="I2348" s="28"/>
    </row>
    <row r="2349" spans="6:9" x14ac:dyDescent="0.25">
      <c r="F2349" s="28"/>
      <c r="I2349" s="28"/>
    </row>
    <row r="2350" spans="6:9" x14ac:dyDescent="0.25">
      <c r="F2350" s="28"/>
      <c r="I2350" s="28"/>
    </row>
    <row r="2351" spans="6:9" x14ac:dyDescent="0.25">
      <c r="F2351" s="28"/>
      <c r="I2351" s="28"/>
    </row>
    <row r="2352" spans="6:9" x14ac:dyDescent="0.25">
      <c r="F2352" s="28"/>
      <c r="I2352" s="28"/>
    </row>
    <row r="2353" spans="6:9" x14ac:dyDescent="0.25">
      <c r="F2353" s="28"/>
      <c r="I2353" s="28"/>
    </row>
    <row r="2354" spans="6:9" x14ac:dyDescent="0.25">
      <c r="F2354" s="28"/>
      <c r="I2354" s="28"/>
    </row>
    <row r="2355" spans="6:9" x14ac:dyDescent="0.25">
      <c r="F2355" s="28"/>
      <c r="I2355" s="28"/>
    </row>
    <row r="2356" spans="6:9" x14ac:dyDescent="0.25">
      <c r="F2356" s="28"/>
      <c r="I2356" s="28"/>
    </row>
    <row r="2357" spans="6:9" x14ac:dyDescent="0.25">
      <c r="F2357" s="28"/>
      <c r="I2357" s="28"/>
    </row>
    <row r="2358" spans="6:9" x14ac:dyDescent="0.25">
      <c r="F2358" s="28"/>
      <c r="I2358" s="28"/>
    </row>
    <row r="2359" spans="6:9" x14ac:dyDescent="0.25">
      <c r="F2359" s="28"/>
      <c r="I2359" s="28"/>
    </row>
    <row r="2360" spans="6:9" x14ac:dyDescent="0.25">
      <c r="F2360" s="28"/>
      <c r="I2360" s="28"/>
    </row>
    <row r="2361" spans="6:9" x14ac:dyDescent="0.25">
      <c r="F2361" s="28"/>
      <c r="I2361" s="28"/>
    </row>
    <row r="2362" spans="6:9" x14ac:dyDescent="0.25">
      <c r="F2362" s="28"/>
      <c r="I2362" s="28"/>
    </row>
    <row r="2363" spans="6:9" x14ac:dyDescent="0.25">
      <c r="F2363" s="28"/>
      <c r="I2363" s="28"/>
    </row>
    <row r="2364" spans="6:9" x14ac:dyDescent="0.25">
      <c r="F2364" s="28"/>
      <c r="I2364" s="28"/>
    </row>
    <row r="2365" spans="6:9" x14ac:dyDescent="0.25">
      <c r="F2365" s="28"/>
      <c r="I2365" s="28"/>
    </row>
    <row r="2366" spans="6:9" x14ac:dyDescent="0.25">
      <c r="F2366" s="28"/>
      <c r="I2366" s="28"/>
    </row>
    <row r="2367" spans="6:9" x14ac:dyDescent="0.25">
      <c r="F2367" s="28"/>
      <c r="I2367" s="28"/>
    </row>
    <row r="2368" spans="6:9" x14ac:dyDescent="0.25">
      <c r="F2368" s="28"/>
      <c r="I2368" s="28"/>
    </row>
    <row r="2369" spans="6:9" x14ac:dyDescent="0.25">
      <c r="F2369" s="28"/>
      <c r="I2369" s="28"/>
    </row>
    <row r="2370" spans="6:9" x14ac:dyDescent="0.25">
      <c r="F2370" s="28"/>
      <c r="I2370" s="28"/>
    </row>
    <row r="2371" spans="6:9" x14ac:dyDescent="0.25">
      <c r="F2371" s="28"/>
      <c r="I2371" s="28"/>
    </row>
    <row r="2372" spans="6:9" x14ac:dyDescent="0.25">
      <c r="F2372" s="28"/>
      <c r="I2372" s="28"/>
    </row>
    <row r="2373" spans="6:9" x14ac:dyDescent="0.25">
      <c r="F2373" s="28"/>
      <c r="I2373" s="28"/>
    </row>
    <row r="2374" spans="6:9" x14ac:dyDescent="0.25">
      <c r="F2374" s="28"/>
      <c r="I2374" s="28"/>
    </row>
    <row r="2375" spans="6:9" x14ac:dyDescent="0.25">
      <c r="F2375" s="28"/>
      <c r="I2375" s="28"/>
    </row>
    <row r="2376" spans="6:9" x14ac:dyDescent="0.25">
      <c r="F2376" s="28"/>
      <c r="I2376" s="28"/>
    </row>
    <row r="2377" spans="6:9" x14ac:dyDescent="0.25">
      <c r="F2377" s="28"/>
      <c r="I2377" s="28"/>
    </row>
    <row r="2378" spans="6:9" x14ac:dyDescent="0.25">
      <c r="F2378" s="28"/>
      <c r="I2378" s="28"/>
    </row>
    <row r="2379" spans="6:9" x14ac:dyDescent="0.25">
      <c r="F2379" s="28"/>
      <c r="I2379" s="28"/>
    </row>
    <row r="2380" spans="6:9" x14ac:dyDescent="0.25">
      <c r="F2380" s="28"/>
      <c r="I2380" s="28"/>
    </row>
    <row r="2381" spans="6:9" x14ac:dyDescent="0.25">
      <c r="F2381" s="28"/>
      <c r="I2381" s="28"/>
    </row>
    <row r="2382" spans="6:9" x14ac:dyDescent="0.25">
      <c r="F2382" s="28"/>
      <c r="I2382" s="28"/>
    </row>
    <row r="2383" spans="6:9" x14ac:dyDescent="0.25">
      <c r="F2383" s="28"/>
      <c r="I2383" s="28"/>
    </row>
    <row r="2384" spans="6:9" x14ac:dyDescent="0.25">
      <c r="F2384" s="28"/>
      <c r="I2384" s="28"/>
    </row>
    <row r="2385" spans="6:9" x14ac:dyDescent="0.25">
      <c r="F2385" s="28"/>
      <c r="I2385" s="28"/>
    </row>
    <row r="2386" spans="6:9" x14ac:dyDescent="0.25">
      <c r="F2386" s="28"/>
      <c r="I2386" s="28"/>
    </row>
    <row r="2387" spans="6:9" x14ac:dyDescent="0.25">
      <c r="F2387" s="28"/>
      <c r="I2387" s="28"/>
    </row>
    <row r="2388" spans="6:9" x14ac:dyDescent="0.25">
      <c r="F2388" s="28"/>
      <c r="I2388" s="28"/>
    </row>
    <row r="2389" spans="6:9" x14ac:dyDescent="0.25">
      <c r="F2389" s="28"/>
      <c r="I2389" s="28"/>
    </row>
    <row r="2390" spans="6:9" x14ac:dyDescent="0.25">
      <c r="F2390" s="28"/>
      <c r="I2390" s="28"/>
    </row>
    <row r="2391" spans="6:9" x14ac:dyDescent="0.25">
      <c r="F2391" s="28"/>
      <c r="I2391" s="28"/>
    </row>
    <row r="2392" spans="6:9" x14ac:dyDescent="0.25">
      <c r="F2392" s="28"/>
      <c r="I2392" s="28"/>
    </row>
    <row r="2393" spans="6:9" x14ac:dyDescent="0.25">
      <c r="F2393" s="28"/>
      <c r="I2393" s="28"/>
    </row>
    <row r="2394" spans="6:9" x14ac:dyDescent="0.25">
      <c r="F2394" s="28"/>
      <c r="I2394" s="28"/>
    </row>
    <row r="2395" spans="6:9" x14ac:dyDescent="0.25">
      <c r="F2395" s="28"/>
      <c r="I2395" s="28"/>
    </row>
    <row r="2396" spans="6:9" x14ac:dyDescent="0.25">
      <c r="F2396" s="28"/>
      <c r="I2396" s="28"/>
    </row>
    <row r="2397" spans="6:9" x14ac:dyDescent="0.25">
      <c r="F2397" s="28"/>
      <c r="I2397" s="28"/>
    </row>
    <row r="2398" spans="6:9" x14ac:dyDescent="0.25">
      <c r="F2398" s="28"/>
      <c r="I2398" s="28"/>
    </row>
    <row r="2399" spans="6:9" x14ac:dyDescent="0.25">
      <c r="F2399" s="28"/>
      <c r="I2399" s="28"/>
    </row>
    <row r="2400" spans="6:9" x14ac:dyDescent="0.25">
      <c r="F2400" s="28"/>
      <c r="I2400" s="28"/>
    </row>
    <row r="2401" spans="6:9" x14ac:dyDescent="0.25">
      <c r="F2401" s="28"/>
      <c r="I2401" s="28"/>
    </row>
    <row r="2402" spans="6:9" x14ac:dyDescent="0.25">
      <c r="F2402" s="28"/>
      <c r="I2402" s="28"/>
    </row>
    <row r="2403" spans="6:9" x14ac:dyDescent="0.25">
      <c r="F2403" s="28"/>
      <c r="I2403" s="28"/>
    </row>
    <row r="2404" spans="6:9" x14ac:dyDescent="0.25">
      <c r="F2404" s="28"/>
      <c r="I2404" s="28"/>
    </row>
    <row r="2405" spans="6:9" x14ac:dyDescent="0.25">
      <c r="F2405" s="28"/>
      <c r="I2405" s="28"/>
    </row>
    <row r="2406" spans="6:9" x14ac:dyDescent="0.25">
      <c r="F2406" s="28"/>
      <c r="I2406" s="28"/>
    </row>
    <row r="2407" spans="6:9" x14ac:dyDescent="0.25">
      <c r="F2407" s="28"/>
      <c r="I2407" s="28"/>
    </row>
    <row r="2408" spans="6:9" x14ac:dyDescent="0.25">
      <c r="F2408" s="28"/>
      <c r="I2408" s="28"/>
    </row>
    <row r="2409" spans="6:9" x14ac:dyDescent="0.25">
      <c r="F2409" s="28"/>
      <c r="I2409" s="28"/>
    </row>
    <row r="2410" spans="6:9" x14ac:dyDescent="0.25">
      <c r="F2410" s="28"/>
      <c r="I2410" s="28"/>
    </row>
    <row r="2411" spans="6:9" x14ac:dyDescent="0.25">
      <c r="F2411" s="28"/>
      <c r="I2411" s="28"/>
    </row>
    <row r="2412" spans="6:9" x14ac:dyDescent="0.25">
      <c r="F2412" s="28"/>
      <c r="I2412" s="28"/>
    </row>
    <row r="2413" spans="6:9" x14ac:dyDescent="0.25">
      <c r="F2413" s="28"/>
      <c r="I2413" s="28"/>
    </row>
    <row r="2414" spans="6:9" x14ac:dyDescent="0.25">
      <c r="F2414" s="28"/>
      <c r="I2414" s="28"/>
    </row>
    <row r="2415" spans="6:9" x14ac:dyDescent="0.25">
      <c r="F2415" s="28"/>
      <c r="I2415" s="28"/>
    </row>
    <row r="2416" spans="6:9" x14ac:dyDescent="0.25">
      <c r="F2416" s="28"/>
      <c r="I2416" s="28"/>
    </row>
    <row r="2417" spans="6:9" x14ac:dyDescent="0.25">
      <c r="F2417" s="28"/>
      <c r="I2417" s="28"/>
    </row>
    <row r="2418" spans="6:9" x14ac:dyDescent="0.25">
      <c r="F2418" s="28"/>
      <c r="I2418" s="28"/>
    </row>
    <row r="2419" spans="6:9" x14ac:dyDescent="0.25">
      <c r="F2419" s="28"/>
      <c r="I2419" s="28"/>
    </row>
    <row r="2420" spans="6:9" x14ac:dyDescent="0.25">
      <c r="F2420" s="28"/>
      <c r="I2420" s="28"/>
    </row>
    <row r="2421" spans="6:9" x14ac:dyDescent="0.25">
      <c r="F2421" s="28"/>
      <c r="I2421" s="28"/>
    </row>
    <row r="2422" spans="6:9" x14ac:dyDescent="0.25">
      <c r="F2422" s="28"/>
      <c r="I2422" s="28"/>
    </row>
    <row r="2423" spans="6:9" x14ac:dyDescent="0.25">
      <c r="F2423" s="28"/>
      <c r="I2423" s="28"/>
    </row>
    <row r="2424" spans="6:9" x14ac:dyDescent="0.25">
      <c r="F2424" s="28"/>
      <c r="I2424" s="28"/>
    </row>
    <row r="2425" spans="6:9" x14ac:dyDescent="0.25">
      <c r="F2425" s="28"/>
      <c r="I2425" s="28"/>
    </row>
    <row r="2426" spans="6:9" x14ac:dyDescent="0.25">
      <c r="F2426" s="28"/>
      <c r="I2426" s="28"/>
    </row>
    <row r="2427" spans="6:9" x14ac:dyDescent="0.25">
      <c r="F2427" s="28"/>
      <c r="I2427" s="28"/>
    </row>
    <row r="2428" spans="6:9" x14ac:dyDescent="0.25">
      <c r="F2428" s="28"/>
      <c r="I2428" s="28"/>
    </row>
    <row r="2429" spans="6:9" x14ac:dyDescent="0.25">
      <c r="F2429" s="28"/>
      <c r="I2429" s="28"/>
    </row>
    <row r="2430" spans="6:9" x14ac:dyDescent="0.25">
      <c r="F2430" s="28"/>
      <c r="I2430" s="28"/>
    </row>
    <row r="2431" spans="6:9" x14ac:dyDescent="0.25">
      <c r="F2431" s="28"/>
      <c r="I2431" s="28"/>
    </row>
    <row r="2432" spans="6:9" x14ac:dyDescent="0.25">
      <c r="F2432" s="28"/>
      <c r="I2432" s="28"/>
    </row>
    <row r="2433" spans="6:9" x14ac:dyDescent="0.25">
      <c r="F2433" s="28"/>
      <c r="I2433" s="28"/>
    </row>
    <row r="2434" spans="6:9" x14ac:dyDescent="0.25">
      <c r="F2434" s="28"/>
      <c r="I2434" s="28"/>
    </row>
    <row r="2435" spans="6:9" x14ac:dyDescent="0.25">
      <c r="F2435" s="28"/>
      <c r="I2435" s="28"/>
    </row>
    <row r="2436" spans="6:9" x14ac:dyDescent="0.25">
      <c r="F2436" s="28"/>
      <c r="I2436" s="28"/>
    </row>
    <row r="2437" spans="6:9" x14ac:dyDescent="0.25">
      <c r="F2437" s="28"/>
      <c r="I2437" s="28"/>
    </row>
    <row r="2438" spans="6:9" x14ac:dyDescent="0.25">
      <c r="F2438" s="28"/>
      <c r="I2438" s="28"/>
    </row>
    <row r="2439" spans="6:9" x14ac:dyDescent="0.25">
      <c r="F2439" s="28"/>
      <c r="I2439" s="28"/>
    </row>
    <row r="2440" spans="6:9" x14ac:dyDescent="0.25">
      <c r="F2440" s="28"/>
      <c r="I2440" s="28"/>
    </row>
    <row r="2441" spans="6:9" x14ac:dyDescent="0.25">
      <c r="F2441" s="28"/>
      <c r="I2441" s="28"/>
    </row>
    <row r="2442" spans="6:9" x14ac:dyDescent="0.25">
      <c r="F2442" s="28"/>
      <c r="I2442" s="28"/>
    </row>
    <row r="2443" spans="6:9" x14ac:dyDescent="0.25">
      <c r="F2443" s="28"/>
      <c r="I2443" s="28"/>
    </row>
    <row r="2444" spans="6:9" x14ac:dyDescent="0.25">
      <c r="F2444" s="28"/>
      <c r="I2444" s="28"/>
    </row>
    <row r="2445" spans="6:9" x14ac:dyDescent="0.25">
      <c r="F2445" s="28"/>
      <c r="I2445" s="28"/>
    </row>
    <row r="2446" spans="6:9" x14ac:dyDescent="0.25">
      <c r="F2446" s="28"/>
      <c r="I2446" s="28"/>
    </row>
    <row r="2447" spans="6:9" x14ac:dyDescent="0.25">
      <c r="F2447" s="28"/>
      <c r="I2447" s="28"/>
    </row>
    <row r="2448" spans="6:9" x14ac:dyDescent="0.25">
      <c r="F2448" s="28"/>
      <c r="I2448" s="28"/>
    </row>
    <row r="2449" spans="6:9" x14ac:dyDescent="0.25">
      <c r="F2449" s="28"/>
      <c r="I2449" s="28"/>
    </row>
    <row r="2450" spans="6:9" x14ac:dyDescent="0.25">
      <c r="F2450" s="28"/>
      <c r="I2450" s="28"/>
    </row>
    <row r="2451" spans="6:9" x14ac:dyDescent="0.25">
      <c r="F2451" s="28"/>
      <c r="I2451" s="28"/>
    </row>
    <row r="2452" spans="6:9" x14ac:dyDescent="0.25">
      <c r="F2452" s="28"/>
      <c r="I2452" s="28"/>
    </row>
    <row r="2453" spans="6:9" x14ac:dyDescent="0.25">
      <c r="F2453" s="28"/>
      <c r="I2453" s="28"/>
    </row>
    <row r="2454" spans="6:9" x14ac:dyDescent="0.25">
      <c r="F2454" s="28"/>
      <c r="I2454" s="28"/>
    </row>
    <row r="2455" spans="6:9" x14ac:dyDescent="0.25">
      <c r="F2455" s="28"/>
      <c r="I2455" s="28"/>
    </row>
    <row r="2456" spans="6:9" x14ac:dyDescent="0.25">
      <c r="F2456" s="28"/>
      <c r="I2456" s="28"/>
    </row>
    <row r="2457" spans="6:9" x14ac:dyDescent="0.25">
      <c r="F2457" s="28"/>
      <c r="I2457" s="28"/>
    </row>
    <row r="2458" spans="6:9" x14ac:dyDescent="0.25">
      <c r="F2458" s="28"/>
      <c r="I2458" s="28"/>
    </row>
    <row r="2459" spans="6:9" x14ac:dyDescent="0.25">
      <c r="F2459" s="28"/>
      <c r="I2459" s="28"/>
    </row>
    <row r="2460" spans="6:9" x14ac:dyDescent="0.25">
      <c r="F2460" s="28"/>
      <c r="I2460" s="28"/>
    </row>
    <row r="2461" spans="6:9" x14ac:dyDescent="0.25">
      <c r="F2461" s="28"/>
      <c r="I2461" s="28"/>
    </row>
    <row r="2462" spans="6:9" x14ac:dyDescent="0.25">
      <c r="F2462" s="28"/>
      <c r="I2462" s="28"/>
    </row>
    <row r="2463" spans="6:9" x14ac:dyDescent="0.25">
      <c r="F2463" s="28"/>
      <c r="I2463" s="28"/>
    </row>
    <row r="2464" spans="6:9" x14ac:dyDescent="0.25">
      <c r="F2464" s="28"/>
      <c r="I2464" s="28"/>
    </row>
    <row r="2465" spans="6:9" x14ac:dyDescent="0.25">
      <c r="F2465" s="28"/>
      <c r="I2465" s="28"/>
    </row>
    <row r="2466" spans="6:9" x14ac:dyDescent="0.25">
      <c r="F2466" s="28"/>
      <c r="I2466" s="28"/>
    </row>
    <row r="2467" spans="6:9" x14ac:dyDescent="0.25">
      <c r="F2467" s="28"/>
      <c r="I2467" s="28"/>
    </row>
    <row r="2468" spans="6:9" x14ac:dyDescent="0.25">
      <c r="F2468" s="28"/>
      <c r="I2468" s="28"/>
    </row>
    <row r="2469" spans="6:9" x14ac:dyDescent="0.25">
      <c r="F2469" s="28"/>
      <c r="I2469" s="28"/>
    </row>
    <row r="2470" spans="6:9" x14ac:dyDescent="0.25">
      <c r="F2470" s="28"/>
      <c r="I2470" s="28"/>
    </row>
    <row r="2471" spans="6:9" x14ac:dyDescent="0.25">
      <c r="F2471" s="28"/>
      <c r="I2471" s="28"/>
    </row>
    <row r="2472" spans="6:9" x14ac:dyDescent="0.25">
      <c r="F2472" s="28"/>
      <c r="I2472" s="28"/>
    </row>
    <row r="2473" spans="6:9" x14ac:dyDescent="0.25">
      <c r="F2473" s="28"/>
      <c r="I2473" s="28"/>
    </row>
    <row r="2474" spans="6:9" x14ac:dyDescent="0.25">
      <c r="F2474" s="28"/>
      <c r="I2474" s="28"/>
    </row>
    <row r="2475" spans="6:9" x14ac:dyDescent="0.25">
      <c r="F2475" s="28"/>
      <c r="I2475" s="28"/>
    </row>
    <row r="2476" spans="6:9" x14ac:dyDescent="0.25">
      <c r="F2476" s="28"/>
      <c r="I2476" s="28"/>
    </row>
    <row r="2477" spans="6:9" x14ac:dyDescent="0.25">
      <c r="F2477" s="28"/>
      <c r="I2477" s="28"/>
    </row>
    <row r="2478" spans="6:9" x14ac:dyDescent="0.25">
      <c r="F2478" s="28"/>
      <c r="I2478" s="28"/>
    </row>
    <row r="2479" spans="6:9" x14ac:dyDescent="0.25">
      <c r="F2479" s="28"/>
      <c r="I2479" s="28"/>
    </row>
    <row r="2480" spans="6:9" x14ac:dyDescent="0.25">
      <c r="F2480" s="28"/>
      <c r="I2480" s="28"/>
    </row>
    <row r="2481" spans="6:9" x14ac:dyDescent="0.25">
      <c r="F2481" s="28"/>
      <c r="I2481" s="28"/>
    </row>
    <row r="2482" spans="6:9" x14ac:dyDescent="0.25">
      <c r="F2482" s="28"/>
      <c r="I2482" s="28"/>
    </row>
    <row r="2483" spans="6:9" x14ac:dyDescent="0.25">
      <c r="F2483" s="28"/>
      <c r="I2483" s="28"/>
    </row>
    <row r="2484" spans="6:9" x14ac:dyDescent="0.25">
      <c r="F2484" s="28"/>
      <c r="I2484" s="28"/>
    </row>
    <row r="2485" spans="6:9" x14ac:dyDescent="0.25">
      <c r="F2485" s="28"/>
      <c r="I2485" s="28"/>
    </row>
    <row r="2486" spans="6:9" x14ac:dyDescent="0.25">
      <c r="F2486" s="28"/>
      <c r="I2486" s="28"/>
    </row>
    <row r="2487" spans="6:9" x14ac:dyDescent="0.25">
      <c r="F2487" s="28"/>
      <c r="I2487" s="28"/>
    </row>
    <row r="2488" spans="6:9" x14ac:dyDescent="0.25">
      <c r="F2488" s="28"/>
      <c r="I2488" s="28"/>
    </row>
    <row r="2489" spans="6:9" x14ac:dyDescent="0.25">
      <c r="F2489" s="28"/>
      <c r="I2489" s="28"/>
    </row>
    <row r="2490" spans="6:9" x14ac:dyDescent="0.25">
      <c r="F2490" s="28"/>
      <c r="I2490" s="28"/>
    </row>
    <row r="2491" spans="6:9" x14ac:dyDescent="0.25">
      <c r="F2491" s="28"/>
      <c r="I2491" s="28"/>
    </row>
    <row r="2492" spans="6:9" x14ac:dyDescent="0.25">
      <c r="F2492" s="28"/>
      <c r="I2492" s="28"/>
    </row>
    <row r="2493" spans="6:9" x14ac:dyDescent="0.25">
      <c r="F2493" s="28"/>
      <c r="I2493" s="28"/>
    </row>
    <row r="2494" spans="6:9" x14ac:dyDescent="0.25">
      <c r="F2494" s="28"/>
      <c r="I2494" s="28"/>
    </row>
    <row r="2495" spans="6:9" x14ac:dyDescent="0.25">
      <c r="F2495" s="28"/>
      <c r="I2495" s="28"/>
    </row>
    <row r="2496" spans="6:9" x14ac:dyDescent="0.25">
      <c r="F2496" s="28"/>
      <c r="I2496" s="28"/>
    </row>
    <row r="2497" spans="6:9" x14ac:dyDescent="0.25">
      <c r="F2497" s="28"/>
      <c r="I2497" s="28"/>
    </row>
    <row r="2498" spans="6:9" x14ac:dyDescent="0.25">
      <c r="F2498" s="28"/>
      <c r="I2498" s="28"/>
    </row>
    <row r="2499" spans="6:9" x14ac:dyDescent="0.25">
      <c r="F2499" s="28"/>
      <c r="I2499" s="28"/>
    </row>
    <row r="2500" spans="6:9" x14ac:dyDescent="0.25">
      <c r="F2500" s="28"/>
      <c r="I2500" s="28"/>
    </row>
    <row r="2501" spans="6:9" x14ac:dyDescent="0.25">
      <c r="F2501" s="28"/>
      <c r="I2501" s="28"/>
    </row>
    <row r="2502" spans="6:9" x14ac:dyDescent="0.25">
      <c r="F2502" s="28"/>
      <c r="I2502" s="28"/>
    </row>
    <row r="2503" spans="6:9" x14ac:dyDescent="0.25">
      <c r="F2503" s="28"/>
      <c r="I2503" s="28"/>
    </row>
    <row r="2504" spans="6:9" x14ac:dyDescent="0.25">
      <c r="F2504" s="28"/>
      <c r="I2504" s="28"/>
    </row>
    <row r="2505" spans="6:9" x14ac:dyDescent="0.25">
      <c r="F2505" s="28"/>
      <c r="I2505" s="28"/>
    </row>
    <row r="2506" spans="6:9" x14ac:dyDescent="0.25">
      <c r="F2506" s="28"/>
      <c r="I2506" s="28"/>
    </row>
    <row r="2507" spans="6:9" x14ac:dyDescent="0.25">
      <c r="F2507" s="28"/>
      <c r="I2507" s="28"/>
    </row>
    <row r="2508" spans="6:9" x14ac:dyDescent="0.25">
      <c r="F2508" s="28"/>
      <c r="I2508" s="28"/>
    </row>
    <row r="2509" spans="6:9" x14ac:dyDescent="0.25">
      <c r="F2509" s="28"/>
      <c r="I2509" s="28"/>
    </row>
    <row r="2510" spans="6:9" x14ac:dyDescent="0.25">
      <c r="F2510" s="28"/>
      <c r="I2510" s="28"/>
    </row>
    <row r="2511" spans="6:9" x14ac:dyDescent="0.25">
      <c r="F2511" s="28"/>
      <c r="I2511" s="28"/>
    </row>
    <row r="2512" spans="6:9" x14ac:dyDescent="0.25">
      <c r="F2512" s="28"/>
      <c r="I2512" s="28"/>
    </row>
    <row r="2513" spans="6:9" x14ac:dyDescent="0.25">
      <c r="F2513" s="28"/>
      <c r="I2513" s="28"/>
    </row>
    <row r="2514" spans="6:9" x14ac:dyDescent="0.25">
      <c r="F2514" s="28"/>
      <c r="I2514" s="28"/>
    </row>
    <row r="2515" spans="6:9" x14ac:dyDescent="0.25">
      <c r="F2515" s="28"/>
      <c r="I2515" s="28"/>
    </row>
    <row r="2516" spans="6:9" x14ac:dyDescent="0.25">
      <c r="F2516" s="28"/>
      <c r="I2516" s="28"/>
    </row>
    <row r="2517" spans="6:9" x14ac:dyDescent="0.25">
      <c r="F2517" s="28"/>
      <c r="I2517" s="28"/>
    </row>
    <row r="2518" spans="6:9" x14ac:dyDescent="0.25">
      <c r="F2518" s="28"/>
      <c r="I2518" s="28"/>
    </row>
    <row r="2519" spans="6:9" x14ac:dyDescent="0.25">
      <c r="F2519" s="28"/>
      <c r="I2519" s="28"/>
    </row>
    <row r="2520" spans="6:9" x14ac:dyDescent="0.25">
      <c r="F2520" s="28"/>
      <c r="I2520" s="28"/>
    </row>
    <row r="2521" spans="6:9" x14ac:dyDescent="0.25">
      <c r="F2521" s="28"/>
      <c r="I2521" s="28"/>
    </row>
    <row r="2522" spans="6:9" x14ac:dyDescent="0.25">
      <c r="F2522" s="28"/>
      <c r="I2522" s="28"/>
    </row>
    <row r="2523" spans="6:9" x14ac:dyDescent="0.25">
      <c r="F2523" s="28"/>
      <c r="I2523" s="28"/>
    </row>
    <row r="2524" spans="6:9" x14ac:dyDescent="0.25">
      <c r="F2524" s="28"/>
      <c r="I2524" s="28"/>
    </row>
    <row r="2525" spans="6:9" x14ac:dyDescent="0.25">
      <c r="F2525" s="28"/>
      <c r="I2525" s="28"/>
    </row>
    <row r="2526" spans="6:9" x14ac:dyDescent="0.25">
      <c r="F2526" s="28"/>
      <c r="I2526" s="28"/>
    </row>
    <row r="2527" spans="6:9" x14ac:dyDescent="0.25">
      <c r="F2527" s="28"/>
      <c r="I2527" s="28"/>
    </row>
    <row r="2528" spans="6:9" x14ac:dyDescent="0.25">
      <c r="F2528" s="28"/>
      <c r="I2528" s="28"/>
    </row>
    <row r="2529" spans="6:9" x14ac:dyDescent="0.25">
      <c r="F2529" s="28"/>
      <c r="I2529" s="28"/>
    </row>
    <row r="2530" spans="6:9" x14ac:dyDescent="0.25">
      <c r="F2530" s="28"/>
      <c r="I2530" s="28"/>
    </row>
    <row r="2531" spans="6:9" x14ac:dyDescent="0.25">
      <c r="F2531" s="28"/>
      <c r="I2531" s="28"/>
    </row>
    <row r="2532" spans="6:9" x14ac:dyDescent="0.25">
      <c r="F2532" s="28"/>
      <c r="I2532" s="28"/>
    </row>
    <row r="2533" spans="6:9" x14ac:dyDescent="0.25">
      <c r="F2533" s="28"/>
      <c r="I2533" s="28"/>
    </row>
    <row r="2534" spans="6:9" x14ac:dyDescent="0.25">
      <c r="F2534" s="28"/>
      <c r="I2534" s="28"/>
    </row>
    <row r="2535" spans="6:9" x14ac:dyDescent="0.25">
      <c r="F2535" s="28"/>
      <c r="I2535" s="28"/>
    </row>
    <row r="2536" spans="6:9" x14ac:dyDescent="0.25">
      <c r="F2536" s="28"/>
      <c r="I2536" s="28"/>
    </row>
    <row r="2537" spans="6:9" x14ac:dyDescent="0.25">
      <c r="F2537" s="28"/>
      <c r="I2537" s="28"/>
    </row>
    <row r="2538" spans="6:9" x14ac:dyDescent="0.25">
      <c r="F2538" s="28"/>
      <c r="I2538" s="28"/>
    </row>
    <row r="2539" spans="6:9" x14ac:dyDescent="0.25">
      <c r="F2539" s="28"/>
      <c r="I2539" s="28"/>
    </row>
    <row r="2540" spans="6:9" x14ac:dyDescent="0.25">
      <c r="F2540" s="28"/>
      <c r="I2540" s="28"/>
    </row>
    <row r="2541" spans="6:9" x14ac:dyDescent="0.25">
      <c r="F2541" s="28"/>
      <c r="I2541" s="28"/>
    </row>
    <row r="2542" spans="6:9" x14ac:dyDescent="0.25">
      <c r="F2542" s="28"/>
      <c r="I2542" s="28"/>
    </row>
    <row r="2543" spans="6:9" x14ac:dyDescent="0.25">
      <c r="F2543" s="28"/>
      <c r="I2543" s="28"/>
    </row>
    <row r="2544" spans="6:9" x14ac:dyDescent="0.25">
      <c r="F2544" s="28"/>
      <c r="I2544" s="28"/>
    </row>
    <row r="2545" spans="6:9" x14ac:dyDescent="0.25">
      <c r="F2545" s="28"/>
      <c r="I2545" s="28"/>
    </row>
    <row r="2546" spans="6:9" x14ac:dyDescent="0.25">
      <c r="F2546" s="28"/>
      <c r="I2546" s="28"/>
    </row>
    <row r="2547" spans="6:9" x14ac:dyDescent="0.25">
      <c r="F2547" s="28"/>
      <c r="I2547" s="28"/>
    </row>
    <row r="2548" spans="6:9" x14ac:dyDescent="0.25">
      <c r="F2548" s="28"/>
      <c r="I2548" s="28"/>
    </row>
    <row r="2549" spans="6:9" x14ac:dyDescent="0.25">
      <c r="F2549" s="28"/>
      <c r="I2549" s="28"/>
    </row>
    <row r="2550" spans="6:9" x14ac:dyDescent="0.25">
      <c r="F2550" s="28"/>
      <c r="I2550" s="28"/>
    </row>
    <row r="2551" spans="6:9" x14ac:dyDescent="0.25">
      <c r="F2551" s="28"/>
      <c r="I2551" s="28"/>
    </row>
    <row r="2552" spans="6:9" x14ac:dyDescent="0.25">
      <c r="F2552" s="28"/>
      <c r="I2552" s="28"/>
    </row>
    <row r="2553" spans="6:9" x14ac:dyDescent="0.25">
      <c r="F2553" s="28"/>
      <c r="I2553" s="28"/>
    </row>
    <row r="2554" spans="6:9" x14ac:dyDescent="0.25">
      <c r="F2554" s="28"/>
      <c r="I2554" s="28"/>
    </row>
    <row r="2555" spans="6:9" x14ac:dyDescent="0.25">
      <c r="F2555" s="28"/>
      <c r="I2555" s="28"/>
    </row>
    <row r="2556" spans="6:9" x14ac:dyDescent="0.25">
      <c r="F2556" s="28"/>
      <c r="I2556" s="28"/>
    </row>
    <row r="2557" spans="6:9" x14ac:dyDescent="0.25">
      <c r="F2557" s="28"/>
      <c r="I2557" s="28"/>
    </row>
    <row r="2558" spans="6:9" x14ac:dyDescent="0.25">
      <c r="F2558" s="28"/>
      <c r="I2558" s="28"/>
    </row>
    <row r="2559" spans="6:9" x14ac:dyDescent="0.25">
      <c r="F2559" s="28"/>
      <c r="I2559" s="28"/>
    </row>
    <row r="2560" spans="6:9" x14ac:dyDescent="0.25">
      <c r="F2560" s="28"/>
      <c r="I2560" s="28"/>
    </row>
    <row r="2561" spans="6:9" x14ac:dyDescent="0.25">
      <c r="F2561" s="28"/>
      <c r="I2561" s="28"/>
    </row>
    <row r="2562" spans="6:9" x14ac:dyDescent="0.25">
      <c r="F2562" s="28"/>
      <c r="I2562" s="28"/>
    </row>
    <row r="2563" spans="6:9" x14ac:dyDescent="0.25">
      <c r="F2563" s="28"/>
      <c r="I2563" s="28"/>
    </row>
    <row r="2564" spans="6:9" x14ac:dyDescent="0.25">
      <c r="F2564" s="28"/>
      <c r="I2564" s="28"/>
    </row>
    <row r="2565" spans="6:9" x14ac:dyDescent="0.25">
      <c r="F2565" s="28"/>
      <c r="I2565" s="28"/>
    </row>
    <row r="2566" spans="6:9" x14ac:dyDescent="0.25">
      <c r="F2566" s="28"/>
      <c r="I2566" s="28"/>
    </row>
    <row r="2567" spans="6:9" x14ac:dyDescent="0.25">
      <c r="F2567" s="28"/>
      <c r="I2567" s="28"/>
    </row>
    <row r="2568" spans="6:9" x14ac:dyDescent="0.25">
      <c r="F2568" s="28"/>
      <c r="I2568" s="28"/>
    </row>
    <row r="2569" spans="6:9" x14ac:dyDescent="0.25">
      <c r="F2569" s="28"/>
      <c r="I2569" s="28"/>
    </row>
    <row r="2570" spans="6:9" x14ac:dyDescent="0.25">
      <c r="F2570" s="28"/>
      <c r="I2570" s="28"/>
    </row>
    <row r="2571" spans="6:9" x14ac:dyDescent="0.25">
      <c r="F2571" s="28"/>
      <c r="I2571" s="28"/>
    </row>
    <row r="2572" spans="6:9" x14ac:dyDescent="0.25">
      <c r="F2572" s="28"/>
      <c r="I2572" s="28"/>
    </row>
    <row r="2573" spans="6:9" x14ac:dyDescent="0.25">
      <c r="F2573" s="28"/>
      <c r="I2573" s="28"/>
    </row>
    <row r="2574" spans="6:9" x14ac:dyDescent="0.25">
      <c r="F2574" s="28"/>
      <c r="I2574" s="28"/>
    </row>
    <row r="2575" spans="6:9" x14ac:dyDescent="0.25">
      <c r="F2575" s="28"/>
      <c r="I2575" s="28"/>
    </row>
    <row r="2576" spans="6:9" x14ac:dyDescent="0.25">
      <c r="F2576" s="28"/>
      <c r="I2576" s="28"/>
    </row>
    <row r="2577" spans="6:9" x14ac:dyDescent="0.25">
      <c r="F2577" s="28"/>
      <c r="I2577" s="28"/>
    </row>
    <row r="2578" spans="6:9" x14ac:dyDescent="0.25">
      <c r="F2578" s="28"/>
      <c r="I2578" s="28"/>
    </row>
    <row r="2579" spans="6:9" x14ac:dyDescent="0.25">
      <c r="F2579" s="28"/>
      <c r="I2579" s="28"/>
    </row>
    <row r="2580" spans="6:9" x14ac:dyDescent="0.25">
      <c r="F2580" s="28"/>
      <c r="I2580" s="28"/>
    </row>
    <row r="2581" spans="6:9" x14ac:dyDescent="0.25">
      <c r="F2581" s="28"/>
      <c r="I2581" s="28"/>
    </row>
    <row r="2582" spans="6:9" x14ac:dyDescent="0.25">
      <c r="F2582" s="28"/>
      <c r="I2582" s="28"/>
    </row>
    <row r="2583" spans="6:9" x14ac:dyDescent="0.25">
      <c r="F2583" s="28"/>
      <c r="I2583" s="28"/>
    </row>
    <row r="2584" spans="6:9" x14ac:dyDescent="0.25">
      <c r="F2584" s="28"/>
      <c r="I2584" s="28"/>
    </row>
    <row r="2585" spans="6:9" x14ac:dyDescent="0.25">
      <c r="F2585" s="28"/>
      <c r="I2585" s="28"/>
    </row>
    <row r="2586" spans="6:9" x14ac:dyDescent="0.25">
      <c r="F2586" s="28"/>
      <c r="I2586" s="28"/>
    </row>
    <row r="2587" spans="6:9" x14ac:dyDescent="0.25">
      <c r="F2587" s="28"/>
      <c r="I2587" s="28"/>
    </row>
    <row r="2588" spans="6:9" x14ac:dyDescent="0.25">
      <c r="F2588" s="28"/>
      <c r="I2588" s="28"/>
    </row>
    <row r="2589" spans="6:9" x14ac:dyDescent="0.25">
      <c r="F2589" s="28"/>
      <c r="I2589" s="28"/>
    </row>
    <row r="2590" spans="6:9" x14ac:dyDescent="0.25">
      <c r="F2590" s="28"/>
      <c r="I2590" s="28"/>
    </row>
    <row r="2591" spans="6:9" x14ac:dyDescent="0.25">
      <c r="F2591" s="28"/>
      <c r="I2591" s="28"/>
    </row>
    <row r="2592" spans="6:9" x14ac:dyDescent="0.25">
      <c r="F2592" s="28"/>
      <c r="I2592" s="28"/>
    </row>
    <row r="2593" spans="6:9" x14ac:dyDescent="0.25">
      <c r="F2593" s="28"/>
      <c r="I2593" s="28"/>
    </row>
    <row r="2594" spans="6:9" x14ac:dyDescent="0.25">
      <c r="F2594" s="28"/>
      <c r="I2594" s="28"/>
    </row>
    <row r="2595" spans="6:9" x14ac:dyDescent="0.25">
      <c r="F2595" s="28"/>
      <c r="I2595" s="28"/>
    </row>
    <row r="2596" spans="6:9" x14ac:dyDescent="0.25">
      <c r="F2596" s="28"/>
      <c r="I2596" s="28"/>
    </row>
    <row r="2597" spans="6:9" x14ac:dyDescent="0.25">
      <c r="F2597" s="28"/>
      <c r="I2597" s="28"/>
    </row>
    <row r="2598" spans="6:9" x14ac:dyDescent="0.25">
      <c r="F2598" s="28"/>
      <c r="I2598" s="28"/>
    </row>
    <row r="2599" spans="6:9" x14ac:dyDescent="0.25">
      <c r="F2599" s="28"/>
      <c r="I2599" s="28"/>
    </row>
    <row r="2600" spans="6:9" x14ac:dyDescent="0.25">
      <c r="F2600" s="28"/>
      <c r="I2600" s="28"/>
    </row>
    <row r="2601" spans="6:9" x14ac:dyDescent="0.25">
      <c r="F2601" s="28"/>
      <c r="I2601" s="28"/>
    </row>
    <row r="2602" spans="6:9" x14ac:dyDescent="0.25">
      <c r="F2602" s="28"/>
      <c r="I2602" s="28"/>
    </row>
    <row r="2603" spans="6:9" x14ac:dyDescent="0.25">
      <c r="F2603" s="28"/>
      <c r="I2603" s="28"/>
    </row>
    <row r="2604" spans="6:9" x14ac:dyDescent="0.25">
      <c r="F2604" s="28"/>
      <c r="I2604" s="28"/>
    </row>
    <row r="2605" spans="6:9" x14ac:dyDescent="0.25">
      <c r="F2605" s="28"/>
      <c r="I2605" s="28"/>
    </row>
    <row r="2606" spans="6:9" x14ac:dyDescent="0.25">
      <c r="F2606" s="28"/>
      <c r="I2606" s="28"/>
    </row>
    <row r="2607" spans="6:9" x14ac:dyDescent="0.25">
      <c r="F2607" s="28"/>
      <c r="I2607" s="28"/>
    </row>
    <row r="2608" spans="6:9" x14ac:dyDescent="0.25">
      <c r="F2608" s="28"/>
      <c r="I2608" s="28"/>
    </row>
    <row r="2609" spans="6:9" x14ac:dyDescent="0.25">
      <c r="F2609" s="28"/>
      <c r="I2609" s="28"/>
    </row>
    <row r="2610" spans="6:9" x14ac:dyDescent="0.25">
      <c r="F2610" s="28"/>
      <c r="I2610" s="28"/>
    </row>
    <row r="2611" spans="6:9" x14ac:dyDescent="0.25">
      <c r="F2611" s="28"/>
      <c r="I2611" s="28"/>
    </row>
    <row r="2612" spans="6:9" x14ac:dyDescent="0.25">
      <c r="F2612" s="28"/>
      <c r="I2612" s="28"/>
    </row>
    <row r="2613" spans="6:9" x14ac:dyDescent="0.25">
      <c r="F2613" s="28"/>
      <c r="I2613" s="28"/>
    </row>
    <row r="2614" spans="6:9" x14ac:dyDescent="0.25">
      <c r="F2614" s="28"/>
      <c r="I2614" s="28"/>
    </row>
    <row r="2615" spans="6:9" x14ac:dyDescent="0.25">
      <c r="F2615" s="28"/>
      <c r="I2615" s="28"/>
    </row>
    <row r="2616" spans="6:9" x14ac:dyDescent="0.25">
      <c r="F2616" s="28"/>
      <c r="I2616" s="28"/>
    </row>
    <row r="2617" spans="6:9" x14ac:dyDescent="0.25">
      <c r="F2617" s="28"/>
      <c r="I2617" s="28"/>
    </row>
    <row r="2618" spans="6:9" x14ac:dyDescent="0.25">
      <c r="F2618" s="28"/>
      <c r="I2618" s="28"/>
    </row>
    <row r="2619" spans="6:9" x14ac:dyDescent="0.25">
      <c r="F2619" s="28"/>
      <c r="I2619" s="28"/>
    </row>
    <row r="2620" spans="6:9" x14ac:dyDescent="0.25">
      <c r="F2620" s="28"/>
      <c r="I2620" s="28"/>
    </row>
    <row r="2621" spans="6:9" x14ac:dyDescent="0.25">
      <c r="F2621" s="28"/>
      <c r="I2621" s="28"/>
    </row>
    <row r="2622" spans="6:9" x14ac:dyDescent="0.25">
      <c r="F2622" s="28"/>
      <c r="I2622" s="28"/>
    </row>
    <row r="2623" spans="6:9" x14ac:dyDescent="0.25">
      <c r="F2623" s="28"/>
      <c r="I2623" s="28"/>
    </row>
    <row r="2624" spans="6:9" x14ac:dyDescent="0.25">
      <c r="F2624" s="28"/>
      <c r="I2624" s="28"/>
    </row>
    <row r="2625" spans="6:9" x14ac:dyDescent="0.25">
      <c r="F2625" s="28"/>
      <c r="I2625" s="28"/>
    </row>
    <row r="2626" spans="6:9" x14ac:dyDescent="0.25">
      <c r="F2626" s="28"/>
      <c r="I2626" s="28"/>
    </row>
    <row r="2627" spans="6:9" x14ac:dyDescent="0.25">
      <c r="F2627" s="28"/>
      <c r="I2627" s="28"/>
    </row>
    <row r="2628" spans="6:9" x14ac:dyDescent="0.25">
      <c r="F2628" s="28"/>
      <c r="I2628" s="28"/>
    </row>
    <row r="2629" spans="6:9" x14ac:dyDescent="0.25">
      <c r="F2629" s="28"/>
      <c r="I2629" s="28"/>
    </row>
    <row r="2630" spans="6:9" x14ac:dyDescent="0.25">
      <c r="F2630" s="28"/>
      <c r="I2630" s="28"/>
    </row>
    <row r="2631" spans="6:9" x14ac:dyDescent="0.25">
      <c r="F2631" s="28"/>
      <c r="I2631" s="28"/>
    </row>
    <row r="2632" spans="6:9" x14ac:dyDescent="0.25">
      <c r="F2632" s="28"/>
      <c r="I2632" s="28"/>
    </row>
    <row r="2633" spans="6:9" x14ac:dyDescent="0.25">
      <c r="F2633" s="28"/>
      <c r="I2633" s="28"/>
    </row>
    <row r="2634" spans="6:9" x14ac:dyDescent="0.25">
      <c r="F2634" s="28"/>
      <c r="I2634" s="28"/>
    </row>
    <row r="2635" spans="6:9" x14ac:dyDescent="0.25">
      <c r="F2635" s="28"/>
      <c r="I2635" s="28"/>
    </row>
    <row r="2636" spans="6:9" x14ac:dyDescent="0.25">
      <c r="F2636" s="28"/>
      <c r="I2636" s="28"/>
    </row>
    <row r="2637" spans="6:9" x14ac:dyDescent="0.25">
      <c r="F2637" s="28"/>
      <c r="I2637" s="28"/>
    </row>
    <row r="2638" spans="6:9" x14ac:dyDescent="0.25">
      <c r="F2638" s="28"/>
      <c r="I2638" s="28"/>
    </row>
    <row r="2639" spans="6:9" x14ac:dyDescent="0.25">
      <c r="F2639" s="28"/>
      <c r="I2639" s="28"/>
    </row>
    <row r="2640" spans="6:9" x14ac:dyDescent="0.25">
      <c r="F2640" s="28"/>
      <c r="I2640" s="28"/>
    </row>
    <row r="2641" spans="6:9" x14ac:dyDescent="0.25">
      <c r="F2641" s="28"/>
      <c r="I2641" s="28"/>
    </row>
    <row r="2642" spans="6:9" x14ac:dyDescent="0.25">
      <c r="F2642" s="28"/>
      <c r="I2642" s="28"/>
    </row>
    <row r="2643" spans="6:9" x14ac:dyDescent="0.25">
      <c r="F2643" s="28"/>
      <c r="I2643" s="28"/>
    </row>
    <row r="2644" spans="6:9" x14ac:dyDescent="0.25">
      <c r="F2644" s="28"/>
      <c r="I2644" s="28"/>
    </row>
    <row r="2645" spans="6:9" x14ac:dyDescent="0.25">
      <c r="F2645" s="28"/>
      <c r="I2645" s="28"/>
    </row>
    <row r="2646" spans="6:9" x14ac:dyDescent="0.25">
      <c r="F2646" s="28"/>
      <c r="I2646" s="28"/>
    </row>
    <row r="2647" spans="6:9" x14ac:dyDescent="0.25">
      <c r="F2647" s="28"/>
      <c r="I2647" s="28"/>
    </row>
    <row r="2648" spans="6:9" x14ac:dyDescent="0.25">
      <c r="F2648" s="28"/>
      <c r="I2648" s="28"/>
    </row>
    <row r="2649" spans="6:9" x14ac:dyDescent="0.25">
      <c r="F2649" s="28"/>
      <c r="I2649" s="28"/>
    </row>
    <row r="2650" spans="6:9" x14ac:dyDescent="0.25">
      <c r="F2650" s="28"/>
      <c r="I2650" s="28"/>
    </row>
    <row r="2651" spans="6:9" x14ac:dyDescent="0.25">
      <c r="F2651" s="28"/>
      <c r="I2651" s="28"/>
    </row>
    <row r="2652" spans="6:9" x14ac:dyDescent="0.25">
      <c r="F2652" s="28"/>
      <c r="I2652" s="28"/>
    </row>
    <row r="2653" spans="6:9" x14ac:dyDescent="0.25">
      <c r="F2653" s="28"/>
      <c r="I2653" s="28"/>
    </row>
    <row r="2654" spans="6:9" x14ac:dyDescent="0.25">
      <c r="F2654" s="28"/>
      <c r="I2654" s="28"/>
    </row>
    <row r="2655" spans="6:9" x14ac:dyDescent="0.25">
      <c r="F2655" s="28"/>
      <c r="I2655" s="28"/>
    </row>
    <row r="2656" spans="6:9" x14ac:dyDescent="0.25">
      <c r="F2656" s="28"/>
      <c r="I2656" s="28"/>
    </row>
    <row r="2657" spans="6:9" x14ac:dyDescent="0.25">
      <c r="F2657" s="28"/>
      <c r="I2657" s="28"/>
    </row>
    <row r="2658" spans="6:9" x14ac:dyDescent="0.25">
      <c r="F2658" s="28"/>
      <c r="I2658" s="28"/>
    </row>
    <row r="2659" spans="6:9" x14ac:dyDescent="0.25">
      <c r="F2659" s="28"/>
      <c r="I2659" s="28"/>
    </row>
    <row r="2660" spans="6:9" x14ac:dyDescent="0.25">
      <c r="F2660" s="28"/>
      <c r="I2660" s="28"/>
    </row>
    <row r="2661" spans="6:9" x14ac:dyDescent="0.25">
      <c r="F2661" s="28"/>
      <c r="I2661" s="28"/>
    </row>
    <row r="2662" spans="6:9" x14ac:dyDescent="0.25">
      <c r="F2662" s="28"/>
      <c r="I2662" s="28"/>
    </row>
    <row r="2663" spans="6:9" x14ac:dyDescent="0.25">
      <c r="F2663" s="28"/>
      <c r="I2663" s="28"/>
    </row>
    <row r="2664" spans="6:9" x14ac:dyDescent="0.25">
      <c r="F2664" s="28"/>
      <c r="I2664" s="28"/>
    </row>
    <row r="2665" spans="6:9" x14ac:dyDescent="0.25">
      <c r="F2665" s="28"/>
      <c r="I2665" s="28"/>
    </row>
    <row r="2666" spans="6:9" x14ac:dyDescent="0.25">
      <c r="F2666" s="28"/>
      <c r="I2666" s="28"/>
    </row>
    <row r="2667" spans="6:9" x14ac:dyDescent="0.25">
      <c r="F2667" s="28"/>
      <c r="I2667" s="28"/>
    </row>
    <row r="2668" spans="6:9" x14ac:dyDescent="0.25">
      <c r="F2668" s="28"/>
      <c r="I2668" s="28"/>
    </row>
    <row r="2669" spans="6:9" x14ac:dyDescent="0.25">
      <c r="F2669" s="28"/>
      <c r="I2669" s="28"/>
    </row>
    <row r="2670" spans="6:9" x14ac:dyDescent="0.25">
      <c r="F2670" s="28"/>
      <c r="I2670" s="28"/>
    </row>
    <row r="2671" spans="6:9" x14ac:dyDescent="0.25">
      <c r="F2671" s="28"/>
      <c r="I2671" s="28"/>
    </row>
    <row r="2672" spans="6:9" x14ac:dyDescent="0.25">
      <c r="F2672" s="28"/>
      <c r="I2672" s="28"/>
    </row>
    <row r="2673" spans="6:9" x14ac:dyDescent="0.25">
      <c r="F2673" s="28"/>
      <c r="I2673" s="28"/>
    </row>
    <row r="2674" spans="6:9" x14ac:dyDescent="0.25">
      <c r="F2674" s="28"/>
      <c r="I2674" s="28"/>
    </row>
    <row r="2675" spans="6:9" x14ac:dyDescent="0.25">
      <c r="F2675" s="28"/>
      <c r="I2675" s="28"/>
    </row>
    <row r="2676" spans="6:9" x14ac:dyDescent="0.25">
      <c r="F2676" s="28"/>
      <c r="I2676" s="28"/>
    </row>
    <row r="2677" spans="6:9" x14ac:dyDescent="0.25">
      <c r="F2677" s="28"/>
      <c r="I2677" s="28"/>
    </row>
    <row r="2678" spans="6:9" x14ac:dyDescent="0.25">
      <c r="F2678" s="28"/>
      <c r="I2678" s="28"/>
    </row>
    <row r="2679" spans="6:9" x14ac:dyDescent="0.25">
      <c r="F2679" s="28"/>
      <c r="I2679" s="28"/>
    </row>
    <row r="2680" spans="6:9" x14ac:dyDescent="0.25">
      <c r="F2680" s="28"/>
      <c r="I2680" s="28"/>
    </row>
    <row r="2681" spans="6:9" x14ac:dyDescent="0.25">
      <c r="F2681" s="28"/>
      <c r="I2681" s="28"/>
    </row>
    <row r="2682" spans="6:9" x14ac:dyDescent="0.25">
      <c r="F2682" s="28"/>
      <c r="I2682" s="28"/>
    </row>
    <row r="2683" spans="6:9" x14ac:dyDescent="0.25">
      <c r="F2683" s="28"/>
      <c r="I2683" s="28"/>
    </row>
    <row r="2684" spans="6:9" x14ac:dyDescent="0.25">
      <c r="F2684" s="28"/>
      <c r="I2684" s="28"/>
    </row>
    <row r="2685" spans="6:9" x14ac:dyDescent="0.25">
      <c r="F2685" s="28"/>
      <c r="I2685" s="28"/>
    </row>
    <row r="2686" spans="6:9" x14ac:dyDescent="0.25">
      <c r="F2686" s="28"/>
      <c r="I2686" s="28"/>
    </row>
    <row r="2687" spans="6:9" x14ac:dyDescent="0.25">
      <c r="F2687" s="28"/>
      <c r="I2687" s="28"/>
    </row>
    <row r="2688" spans="6:9" x14ac:dyDescent="0.25">
      <c r="F2688" s="28"/>
      <c r="I2688" s="28"/>
    </row>
    <row r="2689" spans="6:9" x14ac:dyDescent="0.25">
      <c r="F2689" s="28"/>
      <c r="I2689" s="28"/>
    </row>
    <row r="2690" spans="6:9" x14ac:dyDescent="0.25">
      <c r="F2690" s="28"/>
      <c r="I2690" s="28"/>
    </row>
    <row r="2691" spans="6:9" x14ac:dyDescent="0.25">
      <c r="F2691" s="28"/>
      <c r="I2691" s="28"/>
    </row>
    <row r="2692" spans="6:9" x14ac:dyDescent="0.25">
      <c r="F2692" s="28"/>
      <c r="I2692" s="28"/>
    </row>
    <row r="2693" spans="6:9" x14ac:dyDescent="0.25">
      <c r="F2693" s="28"/>
      <c r="I2693" s="28"/>
    </row>
    <row r="2694" spans="6:9" x14ac:dyDescent="0.25">
      <c r="F2694" s="28"/>
      <c r="I2694" s="28"/>
    </row>
    <row r="2695" spans="6:9" x14ac:dyDescent="0.25">
      <c r="F2695" s="28"/>
      <c r="I2695" s="28"/>
    </row>
    <row r="2696" spans="6:9" x14ac:dyDescent="0.25">
      <c r="F2696" s="28"/>
      <c r="I2696" s="28"/>
    </row>
    <row r="2697" spans="6:9" x14ac:dyDescent="0.25">
      <c r="F2697" s="28"/>
      <c r="I2697" s="28"/>
    </row>
    <row r="2698" spans="6:9" x14ac:dyDescent="0.25">
      <c r="F2698" s="28"/>
      <c r="I2698" s="28"/>
    </row>
    <row r="2699" spans="6:9" x14ac:dyDescent="0.25">
      <c r="F2699" s="28"/>
      <c r="I2699" s="28"/>
    </row>
    <row r="2700" spans="6:9" x14ac:dyDescent="0.25">
      <c r="F2700" s="28"/>
      <c r="I2700" s="28"/>
    </row>
    <row r="2701" spans="6:9" x14ac:dyDescent="0.25">
      <c r="F2701" s="28"/>
      <c r="I2701" s="28"/>
    </row>
    <row r="2702" spans="6:9" x14ac:dyDescent="0.25">
      <c r="F2702" s="28"/>
      <c r="I2702" s="28"/>
    </row>
    <row r="2703" spans="6:9" x14ac:dyDescent="0.25">
      <c r="F2703" s="28"/>
      <c r="I2703" s="28"/>
    </row>
    <row r="2704" spans="6:9" x14ac:dyDescent="0.25">
      <c r="F2704" s="28"/>
      <c r="I2704" s="28"/>
    </row>
    <row r="2705" spans="6:9" x14ac:dyDescent="0.25">
      <c r="F2705" s="28"/>
      <c r="I2705" s="28"/>
    </row>
    <row r="2706" spans="6:9" x14ac:dyDescent="0.25">
      <c r="F2706" s="28"/>
      <c r="I2706" s="28"/>
    </row>
    <row r="2707" spans="6:9" x14ac:dyDescent="0.25">
      <c r="F2707" s="28"/>
      <c r="I2707" s="28"/>
    </row>
    <row r="2708" spans="6:9" x14ac:dyDescent="0.25">
      <c r="F2708" s="28"/>
      <c r="I2708" s="28"/>
    </row>
    <row r="2709" spans="6:9" x14ac:dyDescent="0.25">
      <c r="F2709" s="28"/>
      <c r="I2709" s="28"/>
    </row>
    <row r="2710" spans="6:9" x14ac:dyDescent="0.25">
      <c r="F2710" s="28"/>
      <c r="I2710" s="28"/>
    </row>
    <row r="2711" spans="6:9" x14ac:dyDescent="0.25">
      <c r="F2711" s="28"/>
      <c r="I2711" s="28"/>
    </row>
    <row r="2712" spans="6:9" x14ac:dyDescent="0.25">
      <c r="F2712" s="28"/>
      <c r="I2712" s="28"/>
    </row>
    <row r="2713" spans="6:9" x14ac:dyDescent="0.25">
      <c r="F2713" s="28"/>
      <c r="I2713" s="28"/>
    </row>
    <row r="2714" spans="6:9" x14ac:dyDescent="0.25">
      <c r="F2714" s="28"/>
      <c r="I2714" s="28"/>
    </row>
    <row r="2715" spans="6:9" x14ac:dyDescent="0.25">
      <c r="F2715" s="28"/>
      <c r="I2715" s="28"/>
    </row>
    <row r="2716" spans="6:9" x14ac:dyDescent="0.25">
      <c r="F2716" s="28"/>
      <c r="I2716" s="28"/>
    </row>
    <row r="2717" spans="6:9" x14ac:dyDescent="0.25">
      <c r="F2717" s="28"/>
      <c r="I2717" s="28"/>
    </row>
    <row r="2718" spans="6:9" x14ac:dyDescent="0.25">
      <c r="F2718" s="28"/>
      <c r="I2718" s="28"/>
    </row>
    <row r="2719" spans="6:9" x14ac:dyDescent="0.25">
      <c r="F2719" s="28"/>
      <c r="I2719" s="28"/>
    </row>
    <row r="2720" spans="6:9" x14ac:dyDescent="0.25">
      <c r="F2720" s="28"/>
      <c r="I2720" s="28"/>
    </row>
    <row r="2721" spans="6:9" x14ac:dyDescent="0.25">
      <c r="F2721" s="28"/>
      <c r="I2721" s="28"/>
    </row>
    <row r="2722" spans="6:9" x14ac:dyDescent="0.25">
      <c r="F2722" s="28"/>
      <c r="I2722" s="28"/>
    </row>
    <row r="2723" spans="6:9" x14ac:dyDescent="0.25">
      <c r="F2723" s="28"/>
      <c r="I2723" s="28"/>
    </row>
    <row r="2724" spans="6:9" x14ac:dyDescent="0.25">
      <c r="F2724" s="28"/>
      <c r="I2724" s="28"/>
    </row>
    <row r="2725" spans="6:9" x14ac:dyDescent="0.25">
      <c r="F2725" s="28"/>
      <c r="I2725" s="28"/>
    </row>
    <row r="2726" spans="6:9" x14ac:dyDescent="0.25">
      <c r="F2726" s="28"/>
      <c r="I2726" s="28"/>
    </row>
    <row r="2727" spans="6:9" x14ac:dyDescent="0.25">
      <c r="F2727" s="28"/>
      <c r="I2727" s="28"/>
    </row>
    <row r="2728" spans="6:9" x14ac:dyDescent="0.25">
      <c r="F2728" s="28"/>
      <c r="I2728" s="28"/>
    </row>
    <row r="2729" spans="6:9" x14ac:dyDescent="0.25">
      <c r="F2729" s="28"/>
      <c r="I2729" s="28"/>
    </row>
    <row r="2730" spans="6:9" x14ac:dyDescent="0.25">
      <c r="F2730" s="28"/>
      <c r="I2730" s="28"/>
    </row>
    <row r="2731" spans="6:9" x14ac:dyDescent="0.25">
      <c r="F2731" s="28"/>
      <c r="I2731" s="28"/>
    </row>
    <row r="2732" spans="6:9" x14ac:dyDescent="0.25">
      <c r="F2732" s="28"/>
      <c r="I2732" s="28"/>
    </row>
    <row r="2733" spans="6:9" x14ac:dyDescent="0.25">
      <c r="F2733" s="28"/>
      <c r="I2733" s="28"/>
    </row>
    <row r="2734" spans="6:9" x14ac:dyDescent="0.25">
      <c r="F2734" s="28"/>
      <c r="I2734" s="28"/>
    </row>
    <row r="2735" spans="6:9" x14ac:dyDescent="0.25">
      <c r="F2735" s="28"/>
      <c r="I2735" s="28"/>
    </row>
    <row r="2736" spans="6:9" x14ac:dyDescent="0.25">
      <c r="F2736" s="28"/>
      <c r="I2736" s="28"/>
    </row>
    <row r="2737" spans="6:9" x14ac:dyDescent="0.25">
      <c r="F2737" s="28"/>
      <c r="I2737" s="28"/>
    </row>
    <row r="2738" spans="6:9" x14ac:dyDescent="0.25">
      <c r="F2738" s="28"/>
      <c r="I2738" s="28"/>
    </row>
    <row r="2739" spans="6:9" x14ac:dyDescent="0.25">
      <c r="F2739" s="28"/>
      <c r="I2739" s="28"/>
    </row>
    <row r="2740" spans="6:9" x14ac:dyDescent="0.25">
      <c r="F2740" s="28"/>
      <c r="I2740" s="28"/>
    </row>
    <row r="2741" spans="6:9" x14ac:dyDescent="0.25">
      <c r="F2741" s="28"/>
      <c r="I2741" s="28"/>
    </row>
    <row r="2742" spans="6:9" x14ac:dyDescent="0.25">
      <c r="F2742" s="28"/>
      <c r="I2742" s="28"/>
    </row>
    <row r="2743" spans="6:9" x14ac:dyDescent="0.25">
      <c r="F2743" s="28"/>
      <c r="I2743" s="28"/>
    </row>
    <row r="2744" spans="6:9" x14ac:dyDescent="0.25">
      <c r="F2744" s="28"/>
      <c r="I2744" s="28"/>
    </row>
    <row r="2745" spans="6:9" x14ac:dyDescent="0.25">
      <c r="F2745" s="28"/>
      <c r="I2745" s="28"/>
    </row>
    <row r="2746" spans="6:9" x14ac:dyDescent="0.25">
      <c r="F2746" s="28"/>
      <c r="I2746" s="28"/>
    </row>
    <row r="2747" spans="6:9" x14ac:dyDescent="0.25">
      <c r="F2747" s="28"/>
      <c r="I2747" s="28"/>
    </row>
    <row r="2748" spans="6:9" x14ac:dyDescent="0.25">
      <c r="F2748" s="28"/>
      <c r="I2748" s="28"/>
    </row>
    <row r="2749" spans="6:9" x14ac:dyDescent="0.25">
      <c r="F2749" s="28"/>
      <c r="I2749" s="28"/>
    </row>
    <row r="2750" spans="6:9" x14ac:dyDescent="0.25">
      <c r="F2750" s="28"/>
      <c r="I2750" s="28"/>
    </row>
    <row r="2751" spans="6:9" x14ac:dyDescent="0.25">
      <c r="F2751" s="28"/>
      <c r="I2751" s="28"/>
    </row>
    <row r="2752" spans="6:9" x14ac:dyDescent="0.25">
      <c r="F2752" s="28"/>
      <c r="I2752" s="28"/>
    </row>
    <row r="2753" spans="6:9" x14ac:dyDescent="0.25">
      <c r="F2753" s="28"/>
      <c r="I2753" s="28"/>
    </row>
    <row r="2754" spans="6:9" x14ac:dyDescent="0.25">
      <c r="F2754" s="28"/>
      <c r="I2754" s="28"/>
    </row>
    <row r="2755" spans="6:9" x14ac:dyDescent="0.25">
      <c r="F2755" s="28"/>
      <c r="I2755" s="28"/>
    </row>
    <row r="2756" spans="6:9" x14ac:dyDescent="0.25">
      <c r="F2756" s="28"/>
      <c r="I2756" s="28"/>
    </row>
    <row r="2757" spans="6:9" x14ac:dyDescent="0.25">
      <c r="F2757" s="28"/>
      <c r="I2757" s="28"/>
    </row>
    <row r="2758" spans="6:9" x14ac:dyDescent="0.25">
      <c r="F2758" s="28"/>
      <c r="I2758" s="28"/>
    </row>
    <row r="2759" spans="6:9" x14ac:dyDescent="0.25">
      <c r="F2759" s="28"/>
      <c r="I2759" s="28"/>
    </row>
    <row r="2760" spans="6:9" x14ac:dyDescent="0.25">
      <c r="F2760" s="28"/>
      <c r="I2760" s="28"/>
    </row>
    <row r="2761" spans="6:9" x14ac:dyDescent="0.25">
      <c r="F2761" s="28"/>
      <c r="I2761" s="28"/>
    </row>
    <row r="2762" spans="6:9" x14ac:dyDescent="0.25">
      <c r="F2762" s="28"/>
      <c r="I2762" s="28"/>
    </row>
    <row r="2763" spans="6:9" x14ac:dyDescent="0.25">
      <c r="F2763" s="28"/>
      <c r="I2763" s="28"/>
    </row>
    <row r="2764" spans="6:9" x14ac:dyDescent="0.25">
      <c r="F2764" s="28"/>
      <c r="I2764" s="28"/>
    </row>
    <row r="2765" spans="6:9" x14ac:dyDescent="0.25">
      <c r="F2765" s="28"/>
      <c r="I2765" s="28"/>
    </row>
    <row r="2766" spans="6:9" x14ac:dyDescent="0.25">
      <c r="F2766" s="28"/>
      <c r="I2766" s="28"/>
    </row>
    <row r="2767" spans="6:9" x14ac:dyDescent="0.25">
      <c r="F2767" s="28"/>
      <c r="I2767" s="28"/>
    </row>
    <row r="2768" spans="6:9" x14ac:dyDescent="0.25">
      <c r="F2768" s="28"/>
      <c r="I2768" s="28"/>
    </row>
    <row r="2769" spans="6:9" x14ac:dyDescent="0.25">
      <c r="F2769" s="28"/>
      <c r="I2769" s="28"/>
    </row>
    <row r="2770" spans="6:9" x14ac:dyDescent="0.25">
      <c r="F2770" s="28"/>
      <c r="I2770" s="28"/>
    </row>
    <row r="2771" spans="6:9" x14ac:dyDescent="0.25">
      <c r="F2771" s="28"/>
      <c r="I2771" s="28"/>
    </row>
    <row r="2772" spans="6:9" x14ac:dyDescent="0.25">
      <c r="F2772" s="28"/>
      <c r="I2772" s="28"/>
    </row>
    <row r="2773" spans="6:9" x14ac:dyDescent="0.25">
      <c r="F2773" s="28"/>
      <c r="I2773" s="28"/>
    </row>
    <row r="2774" spans="6:9" x14ac:dyDescent="0.25">
      <c r="F2774" s="28"/>
      <c r="I2774" s="28"/>
    </row>
    <row r="2775" spans="6:9" x14ac:dyDescent="0.25">
      <c r="F2775" s="28"/>
      <c r="I2775" s="28"/>
    </row>
    <row r="2776" spans="6:9" x14ac:dyDescent="0.25">
      <c r="F2776" s="28"/>
      <c r="I2776" s="28"/>
    </row>
    <row r="2777" spans="6:9" x14ac:dyDescent="0.25">
      <c r="F2777" s="28"/>
      <c r="I2777" s="28"/>
    </row>
    <row r="2778" spans="6:9" x14ac:dyDescent="0.25">
      <c r="F2778" s="28"/>
      <c r="I2778" s="28"/>
    </row>
    <row r="2779" spans="6:9" x14ac:dyDescent="0.25">
      <c r="F2779" s="28"/>
      <c r="I2779" s="28"/>
    </row>
    <row r="2780" spans="6:9" x14ac:dyDescent="0.25">
      <c r="F2780" s="28"/>
      <c r="I2780" s="28"/>
    </row>
    <row r="2781" spans="6:9" x14ac:dyDescent="0.25">
      <c r="F2781" s="28"/>
      <c r="I2781" s="28"/>
    </row>
    <row r="2782" spans="6:9" x14ac:dyDescent="0.25">
      <c r="F2782" s="28"/>
      <c r="I2782" s="28"/>
    </row>
    <row r="2783" spans="6:9" x14ac:dyDescent="0.25">
      <c r="F2783" s="28"/>
      <c r="I2783" s="28"/>
    </row>
    <row r="2784" spans="6:9" x14ac:dyDescent="0.25">
      <c r="F2784" s="28"/>
      <c r="I2784" s="28"/>
    </row>
    <row r="2785" spans="6:9" x14ac:dyDescent="0.25">
      <c r="F2785" s="28"/>
      <c r="I2785" s="28"/>
    </row>
    <row r="2786" spans="6:9" x14ac:dyDescent="0.25">
      <c r="F2786" s="28"/>
      <c r="I2786" s="28"/>
    </row>
    <row r="2787" spans="6:9" x14ac:dyDescent="0.25">
      <c r="F2787" s="28"/>
      <c r="I2787" s="28"/>
    </row>
    <row r="2788" spans="6:9" x14ac:dyDescent="0.25">
      <c r="F2788" s="28"/>
      <c r="I2788" s="28"/>
    </row>
    <row r="2789" spans="6:9" x14ac:dyDescent="0.25">
      <c r="F2789" s="28"/>
      <c r="I2789" s="28"/>
    </row>
    <row r="2790" spans="6:9" x14ac:dyDescent="0.25">
      <c r="F2790" s="28"/>
      <c r="I2790" s="28"/>
    </row>
    <row r="2791" spans="6:9" x14ac:dyDescent="0.25">
      <c r="F2791" s="28"/>
      <c r="I2791" s="28"/>
    </row>
    <row r="2792" spans="6:9" x14ac:dyDescent="0.25">
      <c r="F2792" s="28"/>
      <c r="I2792" s="28"/>
    </row>
    <row r="2793" spans="6:9" x14ac:dyDescent="0.25">
      <c r="F2793" s="28"/>
      <c r="I2793" s="28"/>
    </row>
    <row r="2794" spans="6:9" x14ac:dyDescent="0.25">
      <c r="F2794" s="28"/>
      <c r="I2794" s="28"/>
    </row>
    <row r="2795" spans="6:9" x14ac:dyDescent="0.25">
      <c r="F2795" s="28"/>
      <c r="I2795" s="28"/>
    </row>
    <row r="2796" spans="6:9" x14ac:dyDescent="0.25">
      <c r="F2796" s="28"/>
      <c r="I2796" s="28"/>
    </row>
    <row r="2797" spans="6:9" x14ac:dyDescent="0.25">
      <c r="F2797" s="28"/>
      <c r="I2797" s="28"/>
    </row>
    <row r="2798" spans="6:9" x14ac:dyDescent="0.25">
      <c r="F2798" s="28"/>
      <c r="I2798" s="28"/>
    </row>
    <row r="2799" spans="6:9" x14ac:dyDescent="0.25">
      <c r="F2799" s="28"/>
      <c r="I2799" s="28"/>
    </row>
    <row r="2800" spans="6:9" x14ac:dyDescent="0.25">
      <c r="F2800" s="28"/>
      <c r="I2800" s="28"/>
    </row>
    <row r="2801" spans="6:9" x14ac:dyDescent="0.25">
      <c r="F2801" s="28"/>
      <c r="I2801" s="28"/>
    </row>
    <row r="2802" spans="6:9" x14ac:dyDescent="0.25">
      <c r="F2802" s="28"/>
      <c r="I2802" s="28"/>
    </row>
    <row r="2803" spans="6:9" x14ac:dyDescent="0.25">
      <c r="F2803" s="28"/>
      <c r="I2803" s="28"/>
    </row>
    <row r="2804" spans="6:9" x14ac:dyDescent="0.25">
      <c r="F2804" s="28"/>
      <c r="I2804" s="28"/>
    </row>
    <row r="2805" spans="6:9" x14ac:dyDescent="0.25">
      <c r="F2805" s="28"/>
      <c r="I2805" s="28"/>
    </row>
    <row r="2806" spans="6:9" x14ac:dyDescent="0.25">
      <c r="F2806" s="28"/>
      <c r="I2806" s="28"/>
    </row>
    <row r="2807" spans="6:9" x14ac:dyDescent="0.25">
      <c r="F2807" s="28"/>
      <c r="I2807" s="28"/>
    </row>
    <row r="2808" spans="6:9" x14ac:dyDescent="0.25">
      <c r="F2808" s="28"/>
      <c r="I2808" s="28"/>
    </row>
    <row r="2809" spans="6:9" x14ac:dyDescent="0.25">
      <c r="F2809" s="28"/>
      <c r="I2809" s="28"/>
    </row>
    <row r="2810" spans="6:9" x14ac:dyDescent="0.25">
      <c r="F2810" s="28"/>
      <c r="I2810" s="28"/>
    </row>
    <row r="2811" spans="6:9" x14ac:dyDescent="0.25">
      <c r="F2811" s="28"/>
      <c r="I2811" s="28"/>
    </row>
    <row r="2812" spans="6:9" x14ac:dyDescent="0.25">
      <c r="F2812" s="28"/>
      <c r="I2812" s="28"/>
    </row>
    <row r="2813" spans="6:9" x14ac:dyDescent="0.25">
      <c r="F2813" s="28"/>
      <c r="I2813" s="28"/>
    </row>
    <row r="2814" spans="6:9" x14ac:dyDescent="0.25">
      <c r="F2814" s="28"/>
      <c r="I2814" s="28"/>
    </row>
    <row r="2815" spans="6:9" x14ac:dyDescent="0.25">
      <c r="F2815" s="28"/>
      <c r="I2815" s="28"/>
    </row>
    <row r="2816" spans="6:9" x14ac:dyDescent="0.25">
      <c r="F2816" s="28"/>
      <c r="I2816" s="28"/>
    </row>
    <row r="2817" spans="6:9" x14ac:dyDescent="0.25">
      <c r="F2817" s="28"/>
      <c r="I2817" s="28"/>
    </row>
    <row r="2818" spans="6:9" x14ac:dyDescent="0.25">
      <c r="F2818" s="28"/>
      <c r="I2818" s="28"/>
    </row>
    <row r="2819" spans="6:9" x14ac:dyDescent="0.25">
      <c r="F2819" s="28"/>
      <c r="I2819" s="28"/>
    </row>
    <row r="2820" spans="6:9" x14ac:dyDescent="0.25">
      <c r="F2820" s="28"/>
      <c r="I2820" s="28"/>
    </row>
    <row r="2821" spans="6:9" x14ac:dyDescent="0.25">
      <c r="F2821" s="28"/>
      <c r="I2821" s="28"/>
    </row>
    <row r="2822" spans="6:9" x14ac:dyDescent="0.25">
      <c r="F2822" s="28"/>
      <c r="I2822" s="28"/>
    </row>
    <row r="2823" spans="6:9" x14ac:dyDescent="0.25">
      <c r="F2823" s="28"/>
      <c r="I2823" s="28"/>
    </row>
    <row r="2824" spans="6:9" x14ac:dyDescent="0.25">
      <c r="F2824" s="28"/>
      <c r="I2824" s="28"/>
    </row>
    <row r="2825" spans="6:9" x14ac:dyDescent="0.25">
      <c r="F2825" s="28"/>
      <c r="I2825" s="28"/>
    </row>
    <row r="2826" spans="6:9" x14ac:dyDescent="0.25">
      <c r="F2826" s="28"/>
      <c r="I2826" s="28"/>
    </row>
    <row r="2827" spans="6:9" x14ac:dyDescent="0.25">
      <c r="F2827" s="28"/>
      <c r="I2827" s="28"/>
    </row>
    <row r="2828" spans="6:9" x14ac:dyDescent="0.25">
      <c r="F2828" s="28"/>
      <c r="I2828" s="28"/>
    </row>
    <row r="2829" spans="6:9" x14ac:dyDescent="0.25">
      <c r="F2829" s="28"/>
      <c r="I2829" s="28"/>
    </row>
    <row r="2830" spans="6:9" x14ac:dyDescent="0.25">
      <c r="F2830" s="28"/>
      <c r="I2830" s="28"/>
    </row>
    <row r="2831" spans="6:9" x14ac:dyDescent="0.25">
      <c r="F2831" s="28"/>
      <c r="I2831" s="28"/>
    </row>
    <row r="2832" spans="6:9" x14ac:dyDescent="0.25">
      <c r="F2832" s="28"/>
      <c r="I2832" s="28"/>
    </row>
    <row r="2833" spans="6:9" x14ac:dyDescent="0.25">
      <c r="F2833" s="28"/>
      <c r="I2833" s="28"/>
    </row>
    <row r="2834" spans="6:9" x14ac:dyDescent="0.25">
      <c r="F2834" s="28"/>
      <c r="I2834" s="28"/>
    </row>
    <row r="2835" spans="6:9" x14ac:dyDescent="0.25">
      <c r="F2835" s="28"/>
      <c r="I2835" s="28"/>
    </row>
    <row r="2836" spans="6:9" x14ac:dyDescent="0.25">
      <c r="F2836" s="28"/>
      <c r="I2836" s="28"/>
    </row>
    <row r="2837" spans="6:9" x14ac:dyDescent="0.25">
      <c r="F2837" s="28"/>
      <c r="I2837" s="28"/>
    </row>
    <row r="2838" spans="6:9" x14ac:dyDescent="0.25">
      <c r="F2838" s="28"/>
      <c r="I2838" s="28"/>
    </row>
    <row r="2839" spans="6:9" x14ac:dyDescent="0.25">
      <c r="F2839" s="28"/>
      <c r="I2839" s="28"/>
    </row>
    <row r="2840" spans="6:9" x14ac:dyDescent="0.25">
      <c r="F2840" s="28"/>
      <c r="I2840" s="28"/>
    </row>
    <row r="2841" spans="6:9" x14ac:dyDescent="0.25">
      <c r="F2841" s="28"/>
      <c r="I2841" s="28"/>
    </row>
    <row r="2842" spans="6:9" x14ac:dyDescent="0.25">
      <c r="F2842" s="28"/>
      <c r="I2842" s="28"/>
    </row>
    <row r="2843" spans="6:9" x14ac:dyDescent="0.25">
      <c r="F2843" s="28"/>
      <c r="I2843" s="28"/>
    </row>
    <row r="2844" spans="6:9" x14ac:dyDescent="0.25">
      <c r="F2844" s="28"/>
      <c r="I2844" s="28"/>
    </row>
    <row r="2845" spans="6:9" x14ac:dyDescent="0.25">
      <c r="F2845" s="28"/>
      <c r="I2845" s="28"/>
    </row>
    <row r="2846" spans="6:9" x14ac:dyDescent="0.25">
      <c r="F2846" s="28"/>
      <c r="I2846" s="28"/>
    </row>
    <row r="2847" spans="6:9" x14ac:dyDescent="0.25">
      <c r="F2847" s="28"/>
      <c r="I2847" s="28"/>
    </row>
    <row r="2848" spans="6:9" x14ac:dyDescent="0.25">
      <c r="F2848" s="28"/>
      <c r="I2848" s="28"/>
    </row>
    <row r="2849" spans="6:9" x14ac:dyDescent="0.25">
      <c r="F2849" s="28"/>
      <c r="I2849" s="28"/>
    </row>
    <row r="2850" spans="6:9" x14ac:dyDescent="0.25">
      <c r="F2850" s="28"/>
      <c r="I2850" s="28"/>
    </row>
    <row r="2851" spans="6:9" x14ac:dyDescent="0.25">
      <c r="F2851" s="28"/>
      <c r="I2851" s="28"/>
    </row>
    <row r="2852" spans="6:9" x14ac:dyDescent="0.25">
      <c r="F2852" s="28"/>
      <c r="I2852" s="28"/>
    </row>
    <row r="2853" spans="6:9" x14ac:dyDescent="0.25">
      <c r="F2853" s="28"/>
      <c r="I2853" s="28"/>
    </row>
    <row r="2854" spans="6:9" x14ac:dyDescent="0.25">
      <c r="F2854" s="28"/>
      <c r="I2854" s="28"/>
    </row>
    <row r="2855" spans="6:9" x14ac:dyDescent="0.25">
      <c r="F2855" s="28"/>
      <c r="I2855" s="28"/>
    </row>
    <row r="2856" spans="6:9" x14ac:dyDescent="0.25">
      <c r="F2856" s="28"/>
      <c r="I2856" s="28"/>
    </row>
    <row r="2857" spans="6:9" x14ac:dyDescent="0.25">
      <c r="F2857" s="28"/>
      <c r="I2857" s="28"/>
    </row>
    <row r="2858" spans="6:9" x14ac:dyDescent="0.25">
      <c r="F2858" s="28"/>
      <c r="I2858" s="28"/>
    </row>
    <row r="2859" spans="6:9" x14ac:dyDescent="0.25">
      <c r="F2859" s="28"/>
      <c r="I2859" s="28"/>
    </row>
    <row r="2860" spans="6:9" x14ac:dyDescent="0.25">
      <c r="F2860" s="28"/>
      <c r="I2860" s="28"/>
    </row>
    <row r="2861" spans="6:9" x14ac:dyDescent="0.25">
      <c r="F2861" s="28"/>
      <c r="I2861" s="28"/>
    </row>
    <row r="2862" spans="6:9" x14ac:dyDescent="0.25">
      <c r="F2862" s="28"/>
      <c r="I2862" s="28"/>
    </row>
    <row r="2863" spans="6:9" x14ac:dyDescent="0.25">
      <c r="F2863" s="28"/>
      <c r="I2863" s="28"/>
    </row>
    <row r="2864" spans="6:9" x14ac:dyDescent="0.25">
      <c r="F2864" s="28"/>
      <c r="I2864" s="28"/>
    </row>
    <row r="2865" spans="6:9" x14ac:dyDescent="0.25">
      <c r="F2865" s="28"/>
      <c r="I2865" s="28"/>
    </row>
    <row r="2866" spans="6:9" x14ac:dyDescent="0.25">
      <c r="F2866" s="28"/>
      <c r="I2866" s="28"/>
    </row>
    <row r="2867" spans="6:9" x14ac:dyDescent="0.25">
      <c r="F2867" s="28"/>
      <c r="I2867" s="28"/>
    </row>
    <row r="2868" spans="6:9" x14ac:dyDescent="0.25">
      <c r="F2868" s="28"/>
      <c r="I2868" s="28"/>
    </row>
    <row r="2869" spans="6:9" x14ac:dyDescent="0.25">
      <c r="F2869" s="28"/>
      <c r="I2869" s="28"/>
    </row>
    <row r="2870" spans="6:9" x14ac:dyDescent="0.25">
      <c r="F2870" s="28"/>
      <c r="I2870" s="28"/>
    </row>
    <row r="2871" spans="6:9" x14ac:dyDescent="0.25">
      <c r="F2871" s="28"/>
      <c r="I2871" s="28"/>
    </row>
    <row r="2872" spans="6:9" x14ac:dyDescent="0.25">
      <c r="F2872" s="28"/>
      <c r="I2872" s="28"/>
    </row>
    <row r="2873" spans="6:9" x14ac:dyDescent="0.25">
      <c r="F2873" s="28"/>
      <c r="I2873" s="28"/>
    </row>
    <row r="2874" spans="6:9" x14ac:dyDescent="0.25">
      <c r="F2874" s="28"/>
      <c r="I2874" s="28"/>
    </row>
    <row r="2875" spans="6:9" x14ac:dyDescent="0.25">
      <c r="F2875" s="28"/>
      <c r="I2875" s="28"/>
    </row>
    <row r="2876" spans="6:9" x14ac:dyDescent="0.25">
      <c r="F2876" s="28"/>
      <c r="I2876" s="28"/>
    </row>
    <row r="2877" spans="6:9" x14ac:dyDescent="0.25">
      <c r="F2877" s="28"/>
      <c r="I2877" s="28"/>
    </row>
    <row r="2878" spans="6:9" x14ac:dyDescent="0.25">
      <c r="F2878" s="28"/>
      <c r="I2878" s="28"/>
    </row>
    <row r="2879" spans="6:9" x14ac:dyDescent="0.25">
      <c r="F2879" s="28"/>
      <c r="I2879" s="28"/>
    </row>
    <row r="2880" spans="6:9" x14ac:dyDescent="0.25">
      <c r="F2880" s="28"/>
      <c r="I2880" s="28"/>
    </row>
    <row r="2881" spans="6:9" x14ac:dyDescent="0.25">
      <c r="F2881" s="28"/>
      <c r="I2881" s="28"/>
    </row>
    <row r="2882" spans="6:9" x14ac:dyDescent="0.25">
      <c r="F2882" s="28"/>
      <c r="I2882" s="28"/>
    </row>
    <row r="2883" spans="6:9" x14ac:dyDescent="0.25">
      <c r="F2883" s="28"/>
      <c r="I2883" s="28"/>
    </row>
    <row r="2884" spans="6:9" x14ac:dyDescent="0.25">
      <c r="F2884" s="28"/>
      <c r="I2884" s="28"/>
    </row>
    <row r="2885" spans="6:9" x14ac:dyDescent="0.25">
      <c r="F2885" s="28"/>
      <c r="I2885" s="28"/>
    </row>
    <row r="2886" spans="6:9" x14ac:dyDescent="0.25">
      <c r="F2886" s="28"/>
      <c r="I2886" s="28"/>
    </row>
    <row r="2887" spans="6:9" x14ac:dyDescent="0.25">
      <c r="F2887" s="28"/>
      <c r="I2887" s="28"/>
    </row>
    <row r="2888" spans="6:9" x14ac:dyDescent="0.25">
      <c r="F2888" s="28"/>
      <c r="I2888" s="28"/>
    </row>
    <row r="2889" spans="6:9" x14ac:dyDescent="0.25">
      <c r="F2889" s="28"/>
      <c r="I2889" s="28"/>
    </row>
    <row r="2890" spans="6:9" x14ac:dyDescent="0.25">
      <c r="F2890" s="28"/>
      <c r="I2890" s="28"/>
    </row>
    <row r="2891" spans="6:9" x14ac:dyDescent="0.25">
      <c r="F2891" s="28"/>
      <c r="I2891" s="28"/>
    </row>
    <row r="2892" spans="6:9" x14ac:dyDescent="0.25">
      <c r="F2892" s="28"/>
      <c r="I2892" s="28"/>
    </row>
  </sheetData>
  <mergeCells count="11">
    <mergeCell ref="G4:J4"/>
    <mergeCell ref="A4:A5"/>
    <mergeCell ref="D4:F4"/>
    <mergeCell ref="B4:C5"/>
    <mergeCell ref="B12:C12"/>
    <mergeCell ref="B62:C62"/>
    <mergeCell ref="B27:C27"/>
    <mergeCell ref="B32:C32"/>
    <mergeCell ref="B36:C36"/>
    <mergeCell ref="B43:C43"/>
    <mergeCell ref="B55:C55"/>
  </mergeCells>
  <phoneticPr fontId="3" type="noConversion"/>
  <conditionalFormatting sqref="C54">
    <cfRule type="containsBlanks" dxfId="49" priority="139">
      <formula>LEN(TRIM(C54))=0</formula>
    </cfRule>
  </conditionalFormatting>
  <conditionalFormatting sqref="C61">
    <cfRule type="containsBlanks" dxfId="48" priority="89">
      <formula>LEN(TRIM(C61))=0</formula>
    </cfRule>
  </conditionalFormatting>
  <conditionalFormatting sqref="C29:D30 D37:E41 G37:H41">
    <cfRule type="containsBlanks" dxfId="47" priority="246">
      <formula>LEN(TRIM(C29))=0</formula>
    </cfRule>
  </conditionalFormatting>
  <conditionalFormatting sqref="C28:E28">
    <cfRule type="containsBlanks" dxfId="46" priority="351">
      <formula>LEN(TRIM(C28))=0</formula>
    </cfRule>
  </conditionalFormatting>
  <conditionalFormatting sqref="C33:E35">
    <cfRule type="containsBlanks" dxfId="45" priority="5">
      <formula>LEN(TRIM(C33))=0</formula>
    </cfRule>
  </conditionalFormatting>
  <conditionalFormatting sqref="D9:D11">
    <cfRule type="containsBlanks" dxfId="44" priority="28">
      <formula>LEN(TRIM(D9))=0</formula>
    </cfRule>
  </conditionalFormatting>
  <conditionalFormatting sqref="D15:D16">
    <cfRule type="containsBlanks" dxfId="43" priority="27">
      <formula>LEN(TRIM(D15))=0</formula>
    </cfRule>
  </conditionalFormatting>
  <conditionalFormatting sqref="D21">
    <cfRule type="containsBlanks" dxfId="42" priority="10">
      <formula>LEN(TRIM(D21))=0</formula>
    </cfRule>
  </conditionalFormatting>
  <conditionalFormatting sqref="D26">
    <cfRule type="containsBlanks" dxfId="41" priority="278">
      <formula>LEN(TRIM(D26))=0</formula>
    </cfRule>
  </conditionalFormatting>
  <conditionalFormatting sqref="D31">
    <cfRule type="containsBlanks" dxfId="40" priority="70">
      <formula>LEN(TRIM(D31))=0</formula>
    </cfRule>
  </conditionalFormatting>
  <conditionalFormatting sqref="D8:E8 E9:E10">
    <cfRule type="containsBlanks" dxfId="39" priority="214">
      <formula>LEN(TRIM(D8))=0</formula>
    </cfRule>
  </conditionalFormatting>
  <conditionalFormatting sqref="D13:E14 E15">
    <cfRule type="containsBlanks" dxfId="38" priority="412">
      <formula>LEN(TRIM(D13))=0</formula>
    </cfRule>
  </conditionalFormatting>
  <conditionalFormatting sqref="D18:E20">
    <cfRule type="containsBlanks" dxfId="37" priority="339">
      <formula>LEN(TRIM(D18))=0</formula>
    </cfRule>
  </conditionalFormatting>
  <conditionalFormatting sqref="D23:E25">
    <cfRule type="containsBlanks" dxfId="36" priority="266">
      <formula>LEN(TRIM(D23))=0</formula>
    </cfRule>
  </conditionalFormatting>
  <conditionalFormatting sqref="D42:E42 G42:H42">
    <cfRule type="containsBlanks" dxfId="35" priority="52">
      <formula>LEN(TRIM(D42))=0</formula>
    </cfRule>
  </conditionalFormatting>
  <conditionalFormatting sqref="D44:E53">
    <cfRule type="containsBlanks" dxfId="34" priority="105">
      <formula>LEN(TRIM(D44))=0</formula>
    </cfRule>
  </conditionalFormatting>
  <conditionalFormatting sqref="D56:E60">
    <cfRule type="containsBlanks" dxfId="33" priority="93">
      <formula>LEN(TRIM(D56))=0</formula>
    </cfRule>
  </conditionalFormatting>
  <conditionalFormatting sqref="D63:E67">
    <cfRule type="containsBlanks" dxfId="32" priority="3">
      <formula>LEN(TRIM(D63))=0</formula>
    </cfRule>
  </conditionalFormatting>
  <conditionalFormatting sqref="F8:F9 F11">
    <cfRule type="containsBlanks" dxfId="31" priority="20">
      <formula>LEN(TRIM(F8))=0</formula>
    </cfRule>
  </conditionalFormatting>
  <conditionalFormatting sqref="F13:F16">
    <cfRule type="containsBlanks" dxfId="30" priority="19">
      <formula>LEN(TRIM(F13))=0</formula>
    </cfRule>
  </conditionalFormatting>
  <conditionalFormatting sqref="F18:F20">
    <cfRule type="containsBlanks" dxfId="29" priority="18">
      <formula>LEN(TRIM(F18))=0</formula>
    </cfRule>
  </conditionalFormatting>
  <conditionalFormatting sqref="F23:F26">
    <cfRule type="containsBlanks" dxfId="28" priority="17">
      <formula>LEN(TRIM(F23))=0</formula>
    </cfRule>
  </conditionalFormatting>
  <conditionalFormatting sqref="F28:F31">
    <cfRule type="containsBlanks" dxfId="27" priority="16">
      <formula>LEN(TRIM(F28))=0</formula>
    </cfRule>
  </conditionalFormatting>
  <conditionalFormatting sqref="F33:F35">
    <cfRule type="containsBlanks" dxfId="26" priority="11">
      <formula>LEN(TRIM(F33))=0</formula>
    </cfRule>
  </conditionalFormatting>
  <conditionalFormatting sqref="F37:F42">
    <cfRule type="containsBlanks" dxfId="25" priority="15">
      <formula>LEN(TRIM(F37))=0</formula>
    </cfRule>
  </conditionalFormatting>
  <conditionalFormatting sqref="F44:F54">
    <cfRule type="containsBlanks" dxfId="24" priority="14">
      <formula>LEN(TRIM(F44))=0</formula>
    </cfRule>
  </conditionalFormatting>
  <conditionalFormatting sqref="F56:F61">
    <cfRule type="containsBlanks" dxfId="23" priority="13">
      <formula>LEN(TRIM(F56))=0</formula>
    </cfRule>
  </conditionalFormatting>
  <conditionalFormatting sqref="F63:F67">
    <cfRule type="containsBlanks" dxfId="22" priority="12">
      <formula>LEN(TRIM(F63))=0</formula>
    </cfRule>
  </conditionalFormatting>
  <conditionalFormatting sqref="F21:G21">
    <cfRule type="containsBlanks" dxfId="21" priority="7">
      <formula>LEN(TRIM(F21))=0</formula>
    </cfRule>
  </conditionalFormatting>
  <conditionalFormatting sqref="F10:I10">
    <cfRule type="containsBlanks" dxfId="20" priority="8">
      <formula>LEN(TRIM(F10))=0</formula>
    </cfRule>
  </conditionalFormatting>
  <conditionalFormatting sqref="G11">
    <cfRule type="containsBlanks" dxfId="19" priority="56">
      <formula>LEN(TRIM(G11))=0</formula>
    </cfRule>
  </conditionalFormatting>
  <conditionalFormatting sqref="G15:G16">
    <cfRule type="containsBlanks" dxfId="18" priority="24">
      <formula>LEN(TRIM(G15))=0</formula>
    </cfRule>
  </conditionalFormatting>
  <conditionalFormatting sqref="G26">
    <cfRule type="containsBlanks" dxfId="17" priority="277">
      <formula>LEN(TRIM(G26))=0</formula>
    </cfRule>
  </conditionalFormatting>
  <conditionalFormatting sqref="G31">
    <cfRule type="containsBlanks" dxfId="16" priority="69">
      <formula>LEN(TRIM(G31))=0</formula>
    </cfRule>
  </conditionalFormatting>
  <conditionalFormatting sqref="G8:H9">
    <cfRule type="containsBlanks" dxfId="15" priority="94">
      <formula>LEN(TRIM(G8))=0</formula>
    </cfRule>
  </conditionalFormatting>
  <conditionalFormatting sqref="G13:H14 H15">
    <cfRule type="containsBlanks" dxfId="14" priority="411">
      <formula>LEN(TRIM(G13))=0</formula>
    </cfRule>
  </conditionalFormatting>
  <conditionalFormatting sqref="G18:H20">
    <cfRule type="containsBlanks" dxfId="13" priority="263">
      <formula>LEN(TRIM(G18))=0</formula>
    </cfRule>
  </conditionalFormatting>
  <conditionalFormatting sqref="G23:H25">
    <cfRule type="containsBlanks" dxfId="12" priority="262">
      <formula>LEN(TRIM(G23))=0</formula>
    </cfRule>
  </conditionalFormatting>
  <conditionalFormatting sqref="G28:H30">
    <cfRule type="containsBlanks" dxfId="11" priority="158">
      <formula>LEN(TRIM(G28))=0</formula>
    </cfRule>
  </conditionalFormatting>
  <conditionalFormatting sqref="G33:H35">
    <cfRule type="containsBlanks" dxfId="10" priority="208">
      <formula>LEN(TRIM(G33))=0</formula>
    </cfRule>
  </conditionalFormatting>
  <conditionalFormatting sqref="G44:H53">
    <cfRule type="containsBlanks" dxfId="9" priority="104">
      <formula>LEN(TRIM(G44))=0</formula>
    </cfRule>
  </conditionalFormatting>
  <conditionalFormatting sqref="G56:H60">
    <cfRule type="containsBlanks" dxfId="8" priority="92">
      <formula>LEN(TRIM(G56))=0</formula>
    </cfRule>
  </conditionalFormatting>
  <conditionalFormatting sqref="G63:H67">
    <cfRule type="containsBlanks" dxfId="7" priority="1">
      <formula>LEN(TRIM(G63))=0</formula>
    </cfRule>
  </conditionalFormatting>
  <conditionalFormatting sqref="I8:I9 I23:I26 E29:E30 I33:I35 I37:I42 I56:I61 I63:I67">
    <cfRule type="containsBlanks" dxfId="6" priority="358">
      <formula>LEN(TRIM(E8))=0</formula>
    </cfRule>
  </conditionalFormatting>
  <conditionalFormatting sqref="I11">
    <cfRule type="containsBlanks" dxfId="5" priority="55">
      <formula>LEN(TRIM(I11))=0</formula>
    </cfRule>
  </conditionalFormatting>
  <conditionalFormatting sqref="I13:I16">
    <cfRule type="containsBlanks" dxfId="4" priority="194">
      <formula>LEN(TRIM(I13))=0</formula>
    </cfRule>
  </conditionalFormatting>
  <conditionalFormatting sqref="I18:I20">
    <cfRule type="containsBlanks" dxfId="3" priority="72">
      <formula>LEN(TRIM(I18))=0</formula>
    </cfRule>
  </conditionalFormatting>
  <conditionalFormatting sqref="I21">
    <cfRule type="containsBlanks" dxfId="2" priority="6">
      <formula>LEN(TRIM(I21))=0</formula>
    </cfRule>
  </conditionalFormatting>
  <conditionalFormatting sqref="I28:I31">
    <cfRule type="containsBlanks" dxfId="1" priority="68">
      <formula>LEN(TRIM(I28))=0</formula>
    </cfRule>
  </conditionalFormatting>
  <conditionalFormatting sqref="I44:I54">
    <cfRule type="containsBlanks" dxfId="0" priority="177">
      <formula>LEN(TRIM(I44))=0</formula>
    </cfRule>
  </conditionalFormatting>
  <printOptions horizontalCentered="1" verticalCentered="1"/>
  <pageMargins left="0.35433070866141736" right="0.15748031496062992" top="0.39370078740157483" bottom="0.35433070866141736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11</vt:i4>
      </vt:variant>
    </vt:vector>
  </HeadingPairs>
  <TitlesOfParts>
    <vt:vector size="26" baseType="lpstr">
      <vt:lpstr>ÍNDICE</vt:lpstr>
      <vt:lpstr>C.74</vt:lpstr>
      <vt:lpstr>C.75</vt:lpstr>
      <vt:lpstr>C.76</vt:lpstr>
      <vt:lpstr>C.77</vt:lpstr>
      <vt:lpstr>C.78-C.79</vt:lpstr>
      <vt:lpstr>C.80</vt:lpstr>
      <vt:lpstr>C.81</vt:lpstr>
      <vt:lpstr>C.82</vt:lpstr>
      <vt:lpstr>C.83</vt:lpstr>
      <vt:lpstr>C.84 - 85</vt:lpstr>
      <vt:lpstr>C.86</vt:lpstr>
      <vt:lpstr>C.87</vt:lpstr>
      <vt:lpstr>C.88</vt:lpstr>
      <vt:lpstr>C.89</vt:lpstr>
      <vt:lpstr>C.74!Área_de_impresión</vt:lpstr>
      <vt:lpstr>C.75!Área_de_impresión</vt:lpstr>
      <vt:lpstr>C.76!Área_de_impresión</vt:lpstr>
      <vt:lpstr>C.77!Área_de_impresión</vt:lpstr>
      <vt:lpstr>'C.78-C.79'!Área_de_impresión</vt:lpstr>
      <vt:lpstr>C.82!Área_de_impresión</vt:lpstr>
      <vt:lpstr>C.83!Área_de_impresión</vt:lpstr>
      <vt:lpstr>'C.84 - 85'!Área_de_impresión</vt:lpstr>
      <vt:lpstr>C.88!Área_de_impresión</vt:lpstr>
      <vt:lpstr>C.89!Área_de_impresión</vt:lpstr>
      <vt:lpstr>ÍNDICE!Área_de_impresión</vt:lpstr>
    </vt:vector>
  </TitlesOfParts>
  <Company>Minagri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jmendieta</dc:creator>
  <cp:lastModifiedBy>arturo pacheco</cp:lastModifiedBy>
  <cp:lastPrinted>2020-10-16T18:41:13Z</cp:lastPrinted>
  <dcterms:created xsi:type="dcterms:W3CDTF">2015-03-17T20:08:52Z</dcterms:created>
  <dcterms:modified xsi:type="dcterms:W3CDTF">2025-12-31T15:56:02Z</dcterms:modified>
</cp:coreProperties>
</file>