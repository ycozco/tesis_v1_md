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ELBA ARCHIVOS\EL_AGRO_EN_CIFRAS\AGOSTO_2025\DATA AGO\"/>
    </mc:Choice>
  </mc:AlternateContent>
  <xr:revisionPtr revIDLastSave="0" documentId="13_ncr:1_{DA7BCC1F-0E5E-403D-A09F-BD168D9C8CC4}" xr6:coauthVersionLast="47" xr6:coauthVersionMax="47" xr10:uidLastSave="{00000000-0000-0000-0000-000000000000}"/>
  <bookViews>
    <workbookView xWindow="-108" yWindow="-108" windowWidth="23256" windowHeight="13176" tabRatio="890" firstSheet="5" activeTab="11" xr2:uid="{00000000-000D-0000-FFFF-FFFF00000000}"/>
  </bookViews>
  <sheets>
    <sheet name="Indice" sheetId="91" r:id="rId1"/>
    <sheet name="C.90" sheetId="107" r:id="rId2"/>
    <sheet name="C.91" sheetId="87" r:id="rId3"/>
    <sheet name="C.92" sheetId="106" r:id="rId4"/>
    <sheet name="C.93" sheetId="98" r:id="rId5"/>
    <sheet name="C.94" sheetId="97" r:id="rId6"/>
    <sheet name="C.95" sheetId="96" r:id="rId7"/>
    <sheet name="C.96" sheetId="105" r:id="rId8"/>
    <sheet name="C.97" sheetId="104" r:id="rId9"/>
    <sheet name="C.98" sheetId="103" r:id="rId10"/>
    <sheet name="C.99" sheetId="102" r:id="rId11"/>
    <sheet name="C.100" sheetId="101" r:id="rId12"/>
    <sheet name="C.101" sheetId="100" r:id="rId13"/>
    <sheet name="C.102" sheetId="83" r:id="rId14"/>
    <sheet name="C.103" sheetId="84" r:id="rId15"/>
    <sheet name="C.104" sheetId="88" r:id="rId16"/>
    <sheet name="C.105" sheetId="89" r:id="rId17"/>
    <sheet name="C.106" sheetId="90" r:id="rId18"/>
    <sheet name="C.107" sheetId="95" r:id="rId19"/>
    <sheet name="C.108" sheetId="94" r:id="rId20"/>
    <sheet name="C.109" sheetId="93" r:id="rId21"/>
    <sheet name="C.110" sheetId="92" r:id="rId22"/>
  </sheets>
  <externalReferences>
    <externalReference r:id="rId23"/>
  </externalReferences>
  <definedNames>
    <definedName name="_1990" localSheetId="11">'[1]C-4-5-6'!#REF!</definedName>
    <definedName name="_1990" localSheetId="12">'[1]C-4-5-6'!#REF!</definedName>
    <definedName name="_1990" localSheetId="18">'[1]C-4-5-6'!#REF!</definedName>
    <definedName name="_1990" localSheetId="19">'[1]C-4-5-6'!#REF!</definedName>
    <definedName name="_1990" localSheetId="20">'[1]C-4-5-6'!#REF!</definedName>
    <definedName name="_1990" localSheetId="21">'[1]C-4-5-6'!#REF!</definedName>
    <definedName name="_1990" localSheetId="1">'[1]C-4-5-6'!#REF!</definedName>
    <definedName name="_1990" localSheetId="3">'[1]C-4-5-6'!#REF!</definedName>
    <definedName name="_1990" localSheetId="4">'[1]C-4-5-6'!#REF!</definedName>
    <definedName name="_1990" localSheetId="5">'[1]C-4-5-6'!#REF!</definedName>
    <definedName name="_1990" localSheetId="6">'[1]C-4-5-6'!#REF!</definedName>
    <definedName name="_1990" localSheetId="7">'[1]C-4-5-6'!#REF!</definedName>
    <definedName name="_1990" localSheetId="8">'[1]C-4-5-6'!#REF!</definedName>
    <definedName name="_1990" localSheetId="9">'[1]C-4-5-6'!#REF!</definedName>
    <definedName name="_1990" localSheetId="10">'[1]C-4-5-6'!#REF!</definedName>
    <definedName name="_1990" localSheetId="0">'[1]C-4-5-6'!#REF!</definedName>
    <definedName name="_1990">'[1]C-4-5-6'!#REF!</definedName>
    <definedName name="_Key1" localSheetId="11">#REF!</definedName>
    <definedName name="_Key1" localSheetId="12">#REF!</definedName>
    <definedName name="_Key1" localSheetId="18">#REF!</definedName>
    <definedName name="_Key1" localSheetId="19">#REF!</definedName>
    <definedName name="_Key1" localSheetId="20">#REF!</definedName>
    <definedName name="_Key1" localSheetId="21">#REF!</definedName>
    <definedName name="_Key1" localSheetId="1">#REF!</definedName>
    <definedName name="_Key1" localSheetId="3">#REF!</definedName>
    <definedName name="_Key1" localSheetId="4">#REF!</definedName>
    <definedName name="_Key1" localSheetId="5">#REF!</definedName>
    <definedName name="_Key1" localSheetId="6">#REF!</definedName>
    <definedName name="_Key1" localSheetId="7">#REF!</definedName>
    <definedName name="_Key1" localSheetId="8">#REF!</definedName>
    <definedName name="_Key1" localSheetId="9">#REF!</definedName>
    <definedName name="_Key1" localSheetId="10">#REF!</definedName>
    <definedName name="_Key1" localSheetId="0">#REF!</definedName>
    <definedName name="_Key1">#REF!</definedName>
    <definedName name="_Order1">255</definedName>
    <definedName name="_Sort" localSheetId="11">#REF!</definedName>
    <definedName name="_Sort" localSheetId="12">#REF!</definedName>
    <definedName name="_Sort" localSheetId="18">#REF!</definedName>
    <definedName name="_Sort" localSheetId="19">#REF!</definedName>
    <definedName name="_Sort" localSheetId="20">#REF!</definedName>
    <definedName name="_Sort" localSheetId="21">#REF!</definedName>
    <definedName name="_Sort" localSheetId="1">#REF!</definedName>
    <definedName name="_Sort" localSheetId="3">#REF!</definedName>
    <definedName name="_Sort" localSheetId="4">#REF!</definedName>
    <definedName name="_Sort" localSheetId="5">#REF!</definedName>
    <definedName name="_Sort" localSheetId="6">#REF!</definedName>
    <definedName name="_Sort" localSheetId="7">#REF!</definedName>
    <definedName name="_Sort" localSheetId="8">#REF!</definedName>
    <definedName name="_Sort" localSheetId="9">#REF!</definedName>
    <definedName name="_Sort" localSheetId="10">#REF!</definedName>
    <definedName name="_Sort" localSheetId="0">#REF!</definedName>
    <definedName name="_Sort">#REF!</definedName>
    <definedName name="A_IMPRESION_IM" localSheetId="11">#REF!</definedName>
    <definedName name="A_IMPRESION_IM" localSheetId="12">#REF!</definedName>
    <definedName name="A_IMPRESION_IM" localSheetId="18">#REF!</definedName>
    <definedName name="A_IMPRESION_IM" localSheetId="19">#REF!</definedName>
    <definedName name="A_IMPRESION_IM" localSheetId="20">#REF!</definedName>
    <definedName name="A_IMPRESION_IM" localSheetId="21">#REF!</definedName>
    <definedName name="A_IMPRESION_IM" localSheetId="1">#REF!</definedName>
    <definedName name="A_IMPRESION_IM" localSheetId="3">#REF!</definedName>
    <definedName name="A_IMPRESION_IM" localSheetId="4">#REF!</definedName>
    <definedName name="A_IMPRESION_IM" localSheetId="5">#REF!</definedName>
    <definedName name="A_IMPRESION_IM" localSheetId="6">#REF!</definedName>
    <definedName name="A_IMPRESION_IM" localSheetId="7">#REF!</definedName>
    <definedName name="A_IMPRESION_IM" localSheetId="8">#REF!</definedName>
    <definedName name="A_IMPRESION_IM" localSheetId="9">#REF!</definedName>
    <definedName name="A_IMPRESION_IM" localSheetId="10">#REF!</definedName>
    <definedName name="A_IMPRESION_IM" localSheetId="0">#REF!</definedName>
    <definedName name="A_IMPRESION_IM">#REF!</definedName>
    <definedName name="A_IMPRESIÓN_IM" localSheetId="11">#REF!</definedName>
    <definedName name="A_IMPRESIÓN_IM" localSheetId="12">#REF!</definedName>
    <definedName name="A_IMPRESIÓN_IM" localSheetId="18">#REF!</definedName>
    <definedName name="A_IMPRESIÓN_IM" localSheetId="19">#REF!</definedName>
    <definedName name="A_IMPRESIÓN_IM" localSheetId="20">#REF!</definedName>
    <definedName name="A_IMPRESIÓN_IM" localSheetId="21">#REF!</definedName>
    <definedName name="A_IMPRESIÓN_IM" localSheetId="1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10">#REF!</definedName>
    <definedName name="A_IMPRESIÓN_IM" localSheetId="0">#REF!</definedName>
    <definedName name="A_IMPRESIÓN_IM">#REF!</definedName>
    <definedName name="AGO" localSheetId="11">#REF!</definedName>
    <definedName name="AGO" localSheetId="12">#REF!</definedName>
    <definedName name="AGO" localSheetId="18">#REF!</definedName>
    <definedName name="AGO" localSheetId="19">#REF!</definedName>
    <definedName name="AGO" localSheetId="20">#REF!</definedName>
    <definedName name="AGO" localSheetId="21">#REF!</definedName>
    <definedName name="AGO" localSheetId="1">#REF!</definedName>
    <definedName name="AGO" localSheetId="3">#REF!</definedName>
    <definedName name="AGO" localSheetId="4">#REF!</definedName>
    <definedName name="AGO" localSheetId="5">#REF!</definedName>
    <definedName name="AGO" localSheetId="6">#REF!</definedName>
    <definedName name="AGO" localSheetId="7">#REF!</definedName>
    <definedName name="AGO" localSheetId="8">#REF!</definedName>
    <definedName name="AGO" localSheetId="9">#REF!</definedName>
    <definedName name="AGO" localSheetId="10">#REF!</definedName>
    <definedName name="AGO" localSheetId="0">#REF!</definedName>
    <definedName name="AGO">#REF!</definedName>
    <definedName name="agueda" localSheetId="11">'[1]C-2-3'!#REF!</definedName>
    <definedName name="agueda" localSheetId="12">'[1]C-2-3'!#REF!</definedName>
    <definedName name="agueda" localSheetId="18">'[1]C-2-3'!#REF!</definedName>
    <definedName name="agueda" localSheetId="19">'[1]C-2-3'!#REF!</definedName>
    <definedName name="agueda" localSheetId="20">'[1]C-2-3'!#REF!</definedName>
    <definedName name="agueda" localSheetId="21">'[1]C-2-3'!#REF!</definedName>
    <definedName name="agueda" localSheetId="1">'[1]C-2-3'!#REF!</definedName>
    <definedName name="agueda" localSheetId="3">'[1]C-2-3'!#REF!</definedName>
    <definedName name="agueda" localSheetId="4">'[1]C-2-3'!#REF!</definedName>
    <definedName name="agueda" localSheetId="5">'[1]C-2-3'!#REF!</definedName>
    <definedName name="agueda" localSheetId="6">'[1]C-2-3'!#REF!</definedName>
    <definedName name="agueda" localSheetId="7">'[1]C-2-3'!#REF!</definedName>
    <definedName name="agueda" localSheetId="8">'[1]C-2-3'!#REF!</definedName>
    <definedName name="agueda" localSheetId="9">'[1]C-2-3'!#REF!</definedName>
    <definedName name="agueda" localSheetId="10">'[1]C-2-3'!#REF!</definedName>
    <definedName name="agueda" localSheetId="0">'[1]C-2-3'!#REF!</definedName>
    <definedName name="agueda">'[1]C-2-3'!#REF!</definedName>
    <definedName name="_xlnm.Print_Area" localSheetId="13">'C.102'!$A$1:$O$203</definedName>
    <definedName name="_xlnm.Print_Area" localSheetId="14">'C.103'!$A$1:$N$77</definedName>
    <definedName name="_xlnm.Print_Area" localSheetId="15">'C.104'!$A$1:$N$203</definedName>
    <definedName name="_xlnm.Print_Area" localSheetId="17">'C.106'!$A$2:$G$151</definedName>
    <definedName name="_xlnm.Print_Area" localSheetId="18">'C.107'!#REF!</definedName>
    <definedName name="_xlnm.Print_Area" localSheetId="19">'C.108'!#REF!</definedName>
    <definedName name="_xlnm.Print_Area" localSheetId="20">'C.109'!#REF!</definedName>
    <definedName name="_xlnm.Print_Area" localSheetId="21">'C.110'!#REF!</definedName>
    <definedName name="_xlnm.Print_Area" localSheetId="1">'C.90'!$A$1:$O$111</definedName>
    <definedName name="_xlnm.Print_Area" localSheetId="3">'C.92'!#REF!</definedName>
    <definedName name="_xlnm.Print_Area" localSheetId="4">'C.93'!#REF!</definedName>
    <definedName name="_xlnm.Print_Area" localSheetId="5">'C.94'!#REF!</definedName>
    <definedName name="_xlnm.Print_Area" localSheetId="6">'C.95'!#REF!</definedName>
    <definedName name="asihuas" localSheetId="11">#REF!</definedName>
    <definedName name="asihuas" localSheetId="12">#REF!</definedName>
    <definedName name="asihuas" localSheetId="18">#REF!</definedName>
    <definedName name="asihuas" localSheetId="19">#REF!</definedName>
    <definedName name="asihuas" localSheetId="20">#REF!</definedName>
    <definedName name="asihuas" localSheetId="21">#REF!</definedName>
    <definedName name="asihuas" localSheetId="1">#REF!</definedName>
    <definedName name="asihuas" localSheetId="3">#REF!</definedName>
    <definedName name="asihuas" localSheetId="4">#REF!</definedName>
    <definedName name="asihuas" localSheetId="5">#REF!</definedName>
    <definedName name="asihuas" localSheetId="6">#REF!</definedName>
    <definedName name="asihuas" localSheetId="7">#REF!</definedName>
    <definedName name="asihuas" localSheetId="8">#REF!</definedName>
    <definedName name="asihuas" localSheetId="9">#REF!</definedName>
    <definedName name="asihuas" localSheetId="10">#REF!</definedName>
    <definedName name="asihuas" localSheetId="0">#REF!</definedName>
    <definedName name="asihuas">#REF!</definedName>
    <definedName name="fedfs" localSheetId="11">#REF!</definedName>
    <definedName name="fedfs" localSheetId="12">#REF!</definedName>
    <definedName name="fedfs" localSheetId="1">#REF!</definedName>
    <definedName name="fedfs" localSheetId="3">#REF!</definedName>
    <definedName name="fedfs" localSheetId="7">#REF!</definedName>
    <definedName name="fedfs" localSheetId="8">#REF!</definedName>
    <definedName name="fedfs" localSheetId="9">#REF!</definedName>
    <definedName name="fedfs" localSheetId="10">#REF!</definedName>
    <definedName name="fedfs" localSheetId="0">#REF!</definedName>
    <definedName name="fedfs">#REF!</definedName>
    <definedName name="fg" localSheetId="11">#REF!</definedName>
    <definedName name="fg" localSheetId="12">#REF!</definedName>
    <definedName name="fg" localSheetId="18">#REF!</definedName>
    <definedName name="fg" localSheetId="19">#REF!</definedName>
    <definedName name="fg" localSheetId="20">#REF!</definedName>
    <definedName name="fg" localSheetId="21">#REF!</definedName>
    <definedName name="fg" localSheetId="1">#REF!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7">#REF!</definedName>
    <definedName name="fg" localSheetId="8">#REF!</definedName>
    <definedName name="fg" localSheetId="9">#REF!</definedName>
    <definedName name="fg" localSheetId="10">#REF!</definedName>
    <definedName name="fg" localSheetId="0">#REF!</definedName>
    <definedName name="fg">#REF!</definedName>
    <definedName name="fsfdfds" localSheetId="11">'[1]C-4-5-6'!#REF!</definedName>
    <definedName name="fsfdfds" localSheetId="12">'[1]C-4-5-6'!#REF!</definedName>
    <definedName name="fsfdfds" localSheetId="18">'[1]C-4-5-6'!#REF!</definedName>
    <definedName name="fsfdfds" localSheetId="19">'[1]C-4-5-6'!#REF!</definedName>
    <definedName name="fsfdfds" localSheetId="20">'[1]C-4-5-6'!#REF!</definedName>
    <definedName name="fsfdfds" localSheetId="21">'[1]C-4-5-6'!#REF!</definedName>
    <definedName name="fsfdfds" localSheetId="1">'[1]C-4-5-6'!#REF!</definedName>
    <definedName name="fsfdfds" localSheetId="3">'[1]C-4-5-6'!#REF!</definedName>
    <definedName name="fsfdfds" localSheetId="4">'[1]C-4-5-6'!#REF!</definedName>
    <definedName name="fsfdfds" localSheetId="5">'[1]C-4-5-6'!#REF!</definedName>
    <definedName name="fsfdfds" localSheetId="6">'[1]C-4-5-6'!#REF!</definedName>
    <definedName name="fsfdfds" localSheetId="7">'[1]C-4-5-6'!#REF!</definedName>
    <definedName name="fsfdfds" localSheetId="8">'[1]C-4-5-6'!#REF!</definedName>
    <definedName name="fsfdfds" localSheetId="9">'[1]C-4-5-6'!#REF!</definedName>
    <definedName name="fsfdfds" localSheetId="10">'[1]C-4-5-6'!#REF!</definedName>
    <definedName name="fsfdfds" localSheetId="0">'[1]C-4-5-6'!#REF!</definedName>
    <definedName name="fsfdfds">'[1]C-4-5-6'!#REF!</definedName>
    <definedName name="gggg" localSheetId="11">#REF!</definedName>
    <definedName name="gggg" localSheetId="12">#REF!</definedName>
    <definedName name="gggg" localSheetId="18">#REF!</definedName>
    <definedName name="gggg" localSheetId="19">#REF!</definedName>
    <definedName name="gggg" localSheetId="20">#REF!</definedName>
    <definedName name="gggg" localSheetId="21">#REF!</definedName>
    <definedName name="gggg" localSheetId="1">#REF!</definedName>
    <definedName name="gggg" localSheetId="3">#REF!</definedName>
    <definedName name="gggg" localSheetId="4">#REF!</definedName>
    <definedName name="gggg" localSheetId="5">#REF!</definedName>
    <definedName name="gggg" localSheetId="6">#REF!</definedName>
    <definedName name="gggg" localSheetId="7">#REF!</definedName>
    <definedName name="gggg" localSheetId="8">#REF!</definedName>
    <definedName name="gggg" localSheetId="9">#REF!</definedName>
    <definedName name="gggg" localSheetId="10">#REF!</definedName>
    <definedName name="gggg" localSheetId="0">#REF!</definedName>
    <definedName name="gggg">#REF!</definedName>
    <definedName name="IMPORTACIONES">'[1]C-4-5-6'!#REF!</definedName>
    <definedName name="imprimir" localSheetId="11">#REF!</definedName>
    <definedName name="imprimir" localSheetId="12">#REF!</definedName>
    <definedName name="imprimir" localSheetId="18">#REF!</definedName>
    <definedName name="imprimir" localSheetId="19">#REF!</definedName>
    <definedName name="imprimir" localSheetId="20">#REF!</definedName>
    <definedName name="imprimir" localSheetId="21">#REF!</definedName>
    <definedName name="imprimir" localSheetId="1">#REF!</definedName>
    <definedName name="imprimir" localSheetId="3">#REF!</definedName>
    <definedName name="imprimir" localSheetId="4">#REF!</definedName>
    <definedName name="imprimir" localSheetId="5">#REF!</definedName>
    <definedName name="imprimir" localSheetId="6">#REF!</definedName>
    <definedName name="imprimir" localSheetId="7">#REF!</definedName>
    <definedName name="imprimir" localSheetId="8">#REF!</definedName>
    <definedName name="imprimir" localSheetId="9">#REF!</definedName>
    <definedName name="imprimir" localSheetId="10">#REF!</definedName>
    <definedName name="imprimir" localSheetId="0">#REF!</definedName>
    <definedName name="imprimir">#REF!</definedName>
    <definedName name="insum9os" localSheetId="11">#REF!</definedName>
    <definedName name="insum9os" localSheetId="12">#REF!</definedName>
    <definedName name="insum9os" localSheetId="18">#REF!</definedName>
    <definedName name="insum9os" localSheetId="19">#REF!</definedName>
    <definedName name="insum9os" localSheetId="20">#REF!</definedName>
    <definedName name="insum9os" localSheetId="21">#REF!</definedName>
    <definedName name="insum9os" localSheetId="1">#REF!</definedName>
    <definedName name="insum9os" localSheetId="3">#REF!</definedName>
    <definedName name="insum9os" localSheetId="4">#REF!</definedName>
    <definedName name="insum9os" localSheetId="5">#REF!</definedName>
    <definedName name="insum9os" localSheetId="6">#REF!</definedName>
    <definedName name="insum9os" localSheetId="7">#REF!</definedName>
    <definedName name="insum9os" localSheetId="8">#REF!</definedName>
    <definedName name="insum9os" localSheetId="9">#REF!</definedName>
    <definedName name="insum9os" localSheetId="10">#REF!</definedName>
    <definedName name="insum9os" localSheetId="0">#REF!</definedName>
    <definedName name="insum9os">#REF!</definedName>
    <definedName name="INSUMOS" localSheetId="11">'[1]C-4-5-6'!#REF!</definedName>
    <definedName name="INSUMOS" localSheetId="12">'[1]C-4-5-6'!#REF!</definedName>
    <definedName name="INSUMOS" localSheetId="18">'[1]C-4-5-6'!#REF!</definedName>
    <definedName name="INSUMOS" localSheetId="19">'[1]C-4-5-6'!#REF!</definedName>
    <definedName name="INSUMOS" localSheetId="20">'[1]C-4-5-6'!#REF!</definedName>
    <definedName name="INSUMOS" localSheetId="21">'[1]C-4-5-6'!#REF!</definedName>
    <definedName name="INSUMOS" localSheetId="1">'[1]C-4-5-6'!#REF!</definedName>
    <definedName name="INSUMOS" localSheetId="3">'[1]C-4-5-6'!#REF!</definedName>
    <definedName name="INSUMOS" localSheetId="4">'[1]C-4-5-6'!#REF!</definedName>
    <definedName name="INSUMOS" localSheetId="5">'[1]C-4-5-6'!#REF!</definedName>
    <definedName name="INSUMOS" localSheetId="6">'[1]C-4-5-6'!#REF!</definedName>
    <definedName name="INSUMOS" localSheetId="7">'[1]C-4-5-6'!#REF!</definedName>
    <definedName name="INSUMOS" localSheetId="8">'[1]C-4-5-6'!#REF!</definedName>
    <definedName name="INSUMOS" localSheetId="9">'[1]C-4-5-6'!#REF!</definedName>
    <definedName name="INSUMOS" localSheetId="10">'[1]C-4-5-6'!#REF!</definedName>
    <definedName name="INSUMOS" localSheetId="0">'[1]C-4-5-6'!#REF!</definedName>
    <definedName name="INSUMOS">'[1]C-4-5-6'!#REF!</definedName>
    <definedName name="sacszsc" localSheetId="11">#REF!</definedName>
    <definedName name="sacszsc" localSheetId="12">#REF!</definedName>
    <definedName name="sacszsc" localSheetId="18">#REF!</definedName>
    <definedName name="sacszsc" localSheetId="19">#REF!</definedName>
    <definedName name="sacszsc" localSheetId="20">#REF!</definedName>
    <definedName name="sacszsc" localSheetId="21">#REF!</definedName>
    <definedName name="sacszsc" localSheetId="1">#REF!</definedName>
    <definedName name="sacszsc" localSheetId="3">#REF!</definedName>
    <definedName name="sacszsc" localSheetId="4">#REF!</definedName>
    <definedName name="sacszsc" localSheetId="5">#REF!</definedName>
    <definedName name="sacszsc" localSheetId="6">#REF!</definedName>
    <definedName name="sacszsc" localSheetId="7">#REF!</definedName>
    <definedName name="sacszsc" localSheetId="8">#REF!</definedName>
    <definedName name="sacszsc" localSheetId="9">#REF!</definedName>
    <definedName name="sacszsc" localSheetId="10">#REF!</definedName>
    <definedName name="sacszsc" localSheetId="0">#REF!</definedName>
    <definedName name="sacszsc">#REF!</definedName>
    <definedName name="set" localSheetId="11">#REF!</definedName>
    <definedName name="set" localSheetId="12">#REF!</definedName>
    <definedName name="set" localSheetId="18">#REF!</definedName>
    <definedName name="set" localSheetId="19">#REF!</definedName>
    <definedName name="set" localSheetId="20">#REF!</definedName>
    <definedName name="set" localSheetId="21">#REF!</definedName>
    <definedName name="set" localSheetId="1">#REF!</definedName>
    <definedName name="set" localSheetId="3">#REF!</definedName>
    <definedName name="set" localSheetId="4">#REF!</definedName>
    <definedName name="set" localSheetId="5">#REF!</definedName>
    <definedName name="set" localSheetId="6">#REF!</definedName>
    <definedName name="set" localSheetId="7">#REF!</definedName>
    <definedName name="set" localSheetId="8">#REF!</definedName>
    <definedName name="set" localSheetId="9">#REF!</definedName>
    <definedName name="set" localSheetId="10">#REF!</definedName>
    <definedName name="set" localSheetId="0">#REF!</definedName>
    <definedName name="set">#REF!</definedName>
    <definedName name="SIHUAS" localSheetId="11">#REF!</definedName>
    <definedName name="SIHUAS" localSheetId="12">#REF!</definedName>
    <definedName name="SIHUAS" localSheetId="18">#REF!</definedName>
    <definedName name="SIHUAS" localSheetId="19">#REF!</definedName>
    <definedName name="SIHUAS" localSheetId="20">#REF!</definedName>
    <definedName name="SIHUAS" localSheetId="21">#REF!</definedName>
    <definedName name="SIHUAS" localSheetId="1">#REF!</definedName>
    <definedName name="SIHUAS" localSheetId="3">#REF!</definedName>
    <definedName name="SIHUAS" localSheetId="4">#REF!</definedName>
    <definedName name="SIHUAS" localSheetId="5">#REF!</definedName>
    <definedName name="SIHUAS" localSheetId="6">#REF!</definedName>
    <definedName name="SIHUAS" localSheetId="7">#REF!</definedName>
    <definedName name="SIHUAS" localSheetId="8">#REF!</definedName>
    <definedName name="SIHUAS" localSheetId="9">#REF!</definedName>
    <definedName name="SIHUAS" localSheetId="10">#REF!</definedName>
    <definedName name="SIHUAS" localSheetId="0">#REF!</definedName>
    <definedName name="SIHUAS">#REF!</definedName>
    <definedName name="sihuas6666" localSheetId="11">'[1]C-4-5-6'!#REF!</definedName>
    <definedName name="sihuas6666" localSheetId="12">'[1]C-4-5-6'!#REF!</definedName>
    <definedName name="sihuas6666" localSheetId="18">'[1]C-4-5-6'!#REF!</definedName>
    <definedName name="sihuas6666" localSheetId="19">'[1]C-4-5-6'!#REF!</definedName>
    <definedName name="sihuas6666" localSheetId="20">'[1]C-4-5-6'!#REF!</definedName>
    <definedName name="sihuas6666" localSheetId="21">'[1]C-4-5-6'!#REF!</definedName>
    <definedName name="sihuas6666" localSheetId="1">'[1]C-4-5-6'!#REF!</definedName>
    <definedName name="sihuas6666" localSheetId="3">'[1]C-4-5-6'!#REF!</definedName>
    <definedName name="sihuas6666" localSheetId="4">'[1]C-4-5-6'!#REF!</definedName>
    <definedName name="sihuas6666" localSheetId="5">'[1]C-4-5-6'!#REF!</definedName>
    <definedName name="sihuas6666" localSheetId="6">'[1]C-4-5-6'!#REF!</definedName>
    <definedName name="sihuas6666" localSheetId="7">'[1]C-4-5-6'!#REF!</definedName>
    <definedName name="sihuas6666" localSheetId="8">'[1]C-4-5-6'!#REF!</definedName>
    <definedName name="sihuas6666" localSheetId="9">'[1]C-4-5-6'!#REF!</definedName>
    <definedName name="sihuas6666" localSheetId="10">'[1]C-4-5-6'!#REF!</definedName>
    <definedName name="sihuas6666" localSheetId="0">'[1]C-4-5-6'!#REF!</definedName>
    <definedName name="sihuas6666">'[1]C-4-5-6'!#REF!</definedName>
    <definedName name="sihuas66666" localSheetId="11">#REF!</definedName>
    <definedName name="sihuas66666" localSheetId="12">#REF!</definedName>
    <definedName name="sihuas66666" localSheetId="18">#REF!</definedName>
    <definedName name="sihuas66666" localSheetId="19">#REF!</definedName>
    <definedName name="sihuas66666" localSheetId="20">#REF!</definedName>
    <definedName name="sihuas66666" localSheetId="21">#REF!</definedName>
    <definedName name="sihuas66666" localSheetId="1">#REF!</definedName>
    <definedName name="sihuas66666" localSheetId="3">#REF!</definedName>
    <definedName name="sihuas66666" localSheetId="4">#REF!</definedName>
    <definedName name="sihuas66666" localSheetId="5">#REF!</definedName>
    <definedName name="sihuas66666" localSheetId="6">#REF!</definedName>
    <definedName name="sihuas66666" localSheetId="7">#REF!</definedName>
    <definedName name="sihuas66666" localSheetId="8">#REF!</definedName>
    <definedName name="sihuas66666" localSheetId="9">#REF!</definedName>
    <definedName name="sihuas66666" localSheetId="10">#REF!</definedName>
    <definedName name="sihuas66666" localSheetId="0">#REF!</definedName>
    <definedName name="sihuas6666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3" i="105" l="1"/>
  <c r="C62" i="107"/>
  <c r="C63" i="107"/>
  <c r="D91" i="100"/>
  <c r="C95" i="100"/>
  <c r="B95" i="100"/>
  <c r="E83" i="100"/>
  <c r="D83" i="100"/>
  <c r="C83" i="100"/>
  <c r="D50" i="100"/>
  <c r="B50" i="100"/>
  <c r="D41" i="100"/>
  <c r="E11" i="100"/>
  <c r="D11" i="100"/>
  <c r="D102" i="101"/>
  <c r="D86" i="101"/>
  <c r="B98" i="101"/>
  <c r="B91" i="101"/>
  <c r="E102" i="101"/>
  <c r="C102" i="101"/>
  <c r="B102" i="101"/>
  <c r="E82" i="101"/>
  <c r="D82" i="101"/>
  <c r="B82" i="101"/>
  <c r="E54" i="101"/>
  <c r="D54" i="101"/>
  <c r="B54" i="101"/>
  <c r="B46" i="101"/>
  <c r="E10" i="101"/>
  <c r="C10" i="101"/>
  <c r="B7" i="101"/>
  <c r="C7" i="101"/>
  <c r="E7" i="101"/>
  <c r="D70" i="102" l="1"/>
  <c r="D67" i="102"/>
  <c r="C67" i="102"/>
  <c r="B67" i="102"/>
  <c r="B63" i="102"/>
  <c r="C63" i="102"/>
  <c r="D63" i="102"/>
  <c r="D46" i="102"/>
  <c r="B46" i="102"/>
  <c r="C46" i="102"/>
  <c r="B33" i="102"/>
  <c r="B25" i="102"/>
  <c r="D25" i="102"/>
  <c r="D10" i="102"/>
  <c r="C10" i="102"/>
  <c r="B10" i="102"/>
  <c r="D85" i="103" l="1"/>
  <c r="C85" i="103"/>
  <c r="D65" i="103"/>
  <c r="B65" i="103"/>
  <c r="B71" i="103"/>
  <c r="D74" i="103"/>
  <c r="B74" i="103"/>
  <c r="D78" i="103"/>
  <c r="C78" i="103"/>
  <c r="B78" i="103"/>
  <c r="B34" i="103"/>
  <c r="D34" i="103"/>
  <c r="B30" i="103"/>
  <c r="B24" i="103"/>
  <c r="D17" i="103"/>
  <c r="C17" i="103"/>
  <c r="B17" i="103"/>
  <c r="C11" i="103"/>
  <c r="B11" i="103"/>
  <c r="B7" i="103"/>
  <c r="C7" i="103"/>
  <c r="D7" i="103"/>
  <c r="E98" i="104"/>
  <c r="B62" i="104"/>
  <c r="E56" i="104"/>
  <c r="D56" i="104"/>
  <c r="C56" i="104"/>
  <c r="B56" i="104"/>
  <c r="B44" i="104"/>
  <c r="E39" i="104"/>
  <c r="D39" i="104"/>
  <c r="E21" i="104"/>
  <c r="D21" i="104"/>
  <c r="B17" i="104"/>
  <c r="E10" i="104"/>
  <c r="D10" i="104"/>
  <c r="B10" i="104"/>
  <c r="D6" i="104"/>
  <c r="D101" i="105" l="1"/>
  <c r="D97" i="105"/>
  <c r="C97" i="105"/>
  <c r="B97" i="105"/>
  <c r="D91" i="105"/>
  <c r="C91" i="105"/>
  <c r="B91" i="105"/>
  <c r="D86" i="105"/>
  <c r="C86" i="105"/>
  <c r="B86" i="105"/>
  <c r="E49" i="105"/>
  <c r="D49" i="105"/>
  <c r="C49" i="105"/>
  <c r="B49" i="105"/>
  <c r="E43" i="105"/>
  <c r="B43" i="105"/>
  <c r="C31" i="105"/>
  <c r="B31" i="105"/>
  <c r="B10" i="105"/>
  <c r="B16" i="87"/>
  <c r="I66" i="96"/>
  <c r="I61" i="96"/>
  <c r="F61" i="96"/>
  <c r="C61" i="96"/>
  <c r="I57" i="96"/>
  <c r="F57" i="96"/>
  <c r="E57" i="96"/>
  <c r="C57" i="96"/>
  <c r="B57" i="96"/>
  <c r="I54" i="96"/>
  <c r="H54" i="96"/>
  <c r="C54" i="96"/>
  <c r="I52" i="96"/>
  <c r="H52" i="96"/>
  <c r="F52" i="96"/>
  <c r="E52" i="96"/>
  <c r="B52" i="96"/>
  <c r="C52" i="96"/>
  <c r="D53" i="96"/>
  <c r="G53" i="96"/>
  <c r="J53" i="96"/>
  <c r="F43" i="96"/>
  <c r="E43" i="96"/>
  <c r="G45" i="96"/>
  <c r="I43" i="96"/>
  <c r="H43" i="96"/>
  <c r="C43" i="96"/>
  <c r="B43" i="96"/>
  <c r="J44" i="96"/>
  <c r="D44" i="96"/>
  <c r="B39" i="96"/>
  <c r="D41" i="96"/>
  <c r="C36" i="96"/>
  <c r="F32" i="96"/>
  <c r="E32" i="96"/>
  <c r="C32" i="96"/>
  <c r="B32" i="96"/>
  <c r="G33" i="96"/>
  <c r="D34" i="96"/>
  <c r="D33" i="96"/>
  <c r="I29" i="96"/>
  <c r="I23" i="96"/>
  <c r="H23" i="96"/>
  <c r="F23" i="96"/>
  <c r="E23" i="96"/>
  <c r="C23" i="96"/>
  <c r="B23" i="96"/>
  <c r="G24" i="96"/>
  <c r="J24" i="96"/>
  <c r="D28" i="96"/>
  <c r="D27" i="96"/>
  <c r="D26" i="96"/>
  <c r="D25" i="96"/>
  <c r="D24" i="96"/>
  <c r="B19" i="96"/>
  <c r="C19" i="96"/>
  <c r="F19" i="96"/>
  <c r="I19" i="96"/>
  <c r="H19" i="96"/>
  <c r="G21" i="96"/>
  <c r="D21" i="96"/>
  <c r="I14" i="96"/>
  <c r="F14" i="96"/>
  <c r="I10" i="96"/>
  <c r="C10" i="96"/>
  <c r="F10" i="96"/>
  <c r="J109" i="97"/>
  <c r="I108" i="97"/>
  <c r="J108" i="97" s="1"/>
  <c r="H108" i="97"/>
  <c r="J102" i="97"/>
  <c r="J101" i="97"/>
  <c r="F83" i="97"/>
  <c r="E83" i="97"/>
  <c r="C83" i="97"/>
  <c r="B83" i="97"/>
  <c r="G84" i="97"/>
  <c r="D84" i="97"/>
  <c r="J63" i="97"/>
  <c r="J61" i="97"/>
  <c r="G63" i="97"/>
  <c r="G62" i="97"/>
  <c r="G61" i="97"/>
  <c r="F60" i="97"/>
  <c r="I60" i="97"/>
  <c r="B60" i="97"/>
  <c r="D63" i="97"/>
  <c r="D62" i="97"/>
  <c r="J54" i="97"/>
  <c r="G54" i="97"/>
  <c r="D54" i="97"/>
  <c r="J53" i="97"/>
  <c r="G53" i="97"/>
  <c r="D53" i="97"/>
  <c r="J51" i="97"/>
  <c r="G51" i="97"/>
  <c r="D51" i="97"/>
  <c r="D41" i="97"/>
  <c r="B34" i="97"/>
  <c r="C34" i="97"/>
  <c r="D35" i="97"/>
  <c r="J30" i="97"/>
  <c r="D30" i="97"/>
  <c r="J23" i="97"/>
  <c r="D24" i="97"/>
  <c r="D25" i="97"/>
  <c r="G23" i="97"/>
  <c r="D23" i="97"/>
  <c r="F9" i="97"/>
  <c r="I9" i="97"/>
  <c r="G123" i="98"/>
  <c r="F122" i="98"/>
  <c r="B114" i="98"/>
  <c r="H110" i="98"/>
  <c r="B110" i="98"/>
  <c r="D113" i="98"/>
  <c r="I103" i="98"/>
  <c r="F103" i="98"/>
  <c r="C103" i="98"/>
  <c r="I96" i="98"/>
  <c r="H96" i="98"/>
  <c r="F96" i="98"/>
  <c r="E96" i="98"/>
  <c r="C96" i="98"/>
  <c r="B96" i="98"/>
  <c r="C91" i="98"/>
  <c r="B91" i="98"/>
  <c r="H91" i="98"/>
  <c r="I91" i="98"/>
  <c r="J92" i="98"/>
  <c r="D92" i="98"/>
  <c r="D71" i="98"/>
  <c r="D70" i="98"/>
  <c r="D69" i="98"/>
  <c r="B68" i="98"/>
  <c r="I57" i="98"/>
  <c r="F57" i="98"/>
  <c r="D58" i="98"/>
  <c r="D61" i="98"/>
  <c r="D60" i="98"/>
  <c r="D47" i="98"/>
  <c r="I33" i="98"/>
  <c r="H33" i="98"/>
  <c r="F33" i="98"/>
  <c r="E33" i="98"/>
  <c r="C33" i="98"/>
  <c r="B33" i="98"/>
  <c r="J36" i="98"/>
  <c r="J37" i="98"/>
  <c r="G37" i="98"/>
  <c r="G36" i="98"/>
  <c r="G34" i="98"/>
  <c r="D40" i="98"/>
  <c r="G26" i="98"/>
  <c r="E25" i="98"/>
  <c r="F25" i="98"/>
  <c r="D31" i="98"/>
  <c r="D28" i="98"/>
  <c r="D23" i="98"/>
  <c r="G23" i="98"/>
  <c r="F10" i="98"/>
  <c r="C10" i="98"/>
  <c r="B120" i="106"/>
  <c r="C120" i="106"/>
  <c r="D120" i="106" s="1"/>
  <c r="D123" i="106"/>
  <c r="D118" i="106"/>
  <c r="D117" i="106"/>
  <c r="C116" i="106"/>
  <c r="B116" i="106"/>
  <c r="F110" i="106"/>
  <c r="C110" i="106"/>
  <c r="D107" i="106"/>
  <c r="I97" i="106"/>
  <c r="J97" i="106" s="1"/>
  <c r="H97" i="106"/>
  <c r="C97" i="106"/>
  <c r="B97" i="106"/>
  <c r="J98" i="106"/>
  <c r="D98" i="106"/>
  <c r="I74" i="106"/>
  <c r="B74" i="106"/>
  <c r="C74" i="106"/>
  <c r="E74" i="106"/>
  <c r="F74" i="106"/>
  <c r="G77" i="106"/>
  <c r="D77" i="106"/>
  <c r="G76" i="106"/>
  <c r="D76" i="106"/>
  <c r="I63" i="106"/>
  <c r="H63" i="106"/>
  <c r="F63" i="106"/>
  <c r="E63" i="106"/>
  <c r="C63" i="106"/>
  <c r="B63" i="106"/>
  <c r="J68" i="106"/>
  <c r="J67" i="106"/>
  <c r="J66" i="106"/>
  <c r="J65" i="106"/>
  <c r="G68" i="106"/>
  <c r="D68" i="106"/>
  <c r="G67" i="106"/>
  <c r="D67" i="106"/>
  <c r="G66" i="106"/>
  <c r="D66" i="106"/>
  <c r="G65" i="106"/>
  <c r="D65" i="106"/>
  <c r="G64" i="106"/>
  <c r="D64" i="106"/>
  <c r="F54" i="106"/>
  <c r="E54" i="106"/>
  <c r="C54" i="106"/>
  <c r="B54" i="106"/>
  <c r="D58" i="106"/>
  <c r="G52" i="106"/>
  <c r="G50" i="106"/>
  <c r="D52" i="106"/>
  <c r="D50" i="106"/>
  <c r="F49" i="106"/>
  <c r="E49" i="106"/>
  <c r="C49" i="106"/>
  <c r="B49" i="106"/>
  <c r="H20" i="106"/>
  <c r="I20" i="106"/>
  <c r="C8" i="106"/>
  <c r="B8" i="106"/>
  <c r="G52" i="96" l="1"/>
  <c r="J43" i="96"/>
  <c r="D52" i="96"/>
  <c r="J52" i="96"/>
  <c r="G32" i="96"/>
  <c r="J23" i="96"/>
  <c r="D83" i="97"/>
  <c r="G83" i="97"/>
  <c r="D34" i="97"/>
  <c r="D91" i="98"/>
  <c r="J91" i="98"/>
  <c r="G25" i="98"/>
  <c r="D97" i="106"/>
  <c r="D24" i="84" l="1"/>
  <c r="D23" i="84"/>
  <c r="D141" i="90" l="1"/>
  <c r="D140" i="90"/>
  <c r="G30" i="90" l="1"/>
  <c r="G16" i="90"/>
  <c r="D16" i="90"/>
  <c r="D25" i="90"/>
  <c r="G25" i="90"/>
  <c r="G22" i="90"/>
  <c r="D22" i="90"/>
  <c r="K14" i="107" l="1"/>
  <c r="C14" i="107"/>
  <c r="C12" i="107"/>
  <c r="C107" i="107"/>
  <c r="C64" i="107"/>
  <c r="C106" i="107"/>
  <c r="C105" i="107"/>
  <c r="C104" i="107"/>
  <c r="C103" i="107"/>
  <c r="C102" i="107"/>
  <c r="C101" i="107"/>
  <c r="C100" i="107"/>
  <c r="C99" i="107"/>
  <c r="C98" i="107"/>
  <c r="C97" i="107"/>
  <c r="C96" i="107"/>
  <c r="C95" i="107"/>
  <c r="C94" i="107"/>
  <c r="C93" i="107"/>
  <c r="C92" i="107"/>
  <c r="C91" i="107"/>
  <c r="C90" i="107"/>
  <c r="C89" i="107"/>
  <c r="C88" i="107"/>
  <c r="C87" i="107"/>
  <c r="C86" i="107"/>
  <c r="C85" i="107"/>
  <c r="C84" i="107"/>
  <c r="C83" i="107"/>
  <c r="C82" i="107"/>
  <c r="C81" i="107"/>
  <c r="C80" i="107"/>
  <c r="C79" i="107"/>
  <c r="C78" i="107"/>
  <c r="C77" i="107"/>
  <c r="C76" i="107"/>
  <c r="C75" i="107"/>
  <c r="C74" i="107"/>
  <c r="C73" i="107"/>
  <c r="C72" i="107"/>
  <c r="C71" i="107"/>
  <c r="C70" i="107"/>
  <c r="C69" i="107"/>
  <c r="C68" i="107"/>
  <c r="C67" i="107"/>
  <c r="C66" i="107"/>
  <c r="C65" i="107"/>
  <c r="C58" i="107"/>
  <c r="C57" i="107"/>
  <c r="C56" i="107"/>
  <c r="C55" i="107"/>
  <c r="C54" i="107"/>
  <c r="C53" i="107"/>
  <c r="C52" i="107"/>
  <c r="C51" i="107"/>
  <c r="C50" i="107"/>
  <c r="C49" i="107"/>
  <c r="C48" i="107"/>
  <c r="C47" i="107"/>
  <c r="C46" i="107"/>
  <c r="C45" i="107"/>
  <c r="C44" i="107"/>
  <c r="C43" i="107"/>
  <c r="C42" i="107"/>
  <c r="C41" i="107"/>
  <c r="C40" i="107"/>
  <c r="C39" i="107"/>
  <c r="C38" i="107"/>
  <c r="C37" i="107"/>
  <c r="C36" i="107"/>
  <c r="C35" i="107"/>
  <c r="C34" i="107"/>
  <c r="C33" i="107"/>
  <c r="C32" i="107"/>
  <c r="C31" i="107"/>
  <c r="C30" i="107"/>
  <c r="C29" i="107"/>
  <c r="C28" i="107"/>
  <c r="C27" i="107"/>
  <c r="C26" i="107"/>
  <c r="C25" i="107"/>
  <c r="C24" i="107"/>
  <c r="C23" i="107"/>
  <c r="C22" i="107"/>
  <c r="C21" i="107"/>
  <c r="C20" i="107"/>
  <c r="C19" i="107"/>
  <c r="C18" i="107"/>
  <c r="C17" i="107"/>
  <c r="C16" i="107"/>
  <c r="C15" i="107"/>
  <c r="J14" i="107"/>
  <c r="I14" i="107"/>
  <c r="H14" i="107"/>
  <c r="G14" i="107"/>
  <c r="F14" i="107"/>
  <c r="E14" i="107"/>
  <c r="D14" i="107"/>
  <c r="O13" i="107"/>
  <c r="N13" i="107"/>
  <c r="M13" i="107"/>
  <c r="L13" i="107"/>
  <c r="K13" i="107"/>
  <c r="J13" i="107"/>
  <c r="I13" i="107"/>
  <c r="H13" i="107"/>
  <c r="G13" i="107"/>
  <c r="F13" i="107"/>
  <c r="E13" i="107"/>
  <c r="D13" i="107"/>
  <c r="C13" i="107" s="1"/>
  <c r="O12" i="107"/>
  <c r="N12" i="107"/>
  <c r="M12" i="107"/>
  <c r="L12" i="107"/>
  <c r="K12" i="107"/>
  <c r="J12" i="107"/>
  <c r="I12" i="107"/>
  <c r="H12" i="107"/>
  <c r="G12" i="107"/>
  <c r="F12" i="107"/>
  <c r="E12" i="107"/>
  <c r="D12" i="107"/>
  <c r="O11" i="107"/>
  <c r="N11" i="107"/>
  <c r="M11" i="107"/>
  <c r="L11" i="107"/>
  <c r="K11" i="107"/>
  <c r="J11" i="107"/>
  <c r="I11" i="107"/>
  <c r="H11" i="107"/>
  <c r="G11" i="107"/>
  <c r="F11" i="107"/>
  <c r="E11" i="107"/>
  <c r="D11" i="107"/>
  <c r="C11" i="107" s="1"/>
  <c r="O10" i="107"/>
  <c r="N10" i="107"/>
  <c r="M10" i="107"/>
  <c r="L10" i="107"/>
  <c r="K10" i="107"/>
  <c r="J10" i="107"/>
  <c r="I10" i="107"/>
  <c r="H10" i="107"/>
  <c r="G10" i="107"/>
  <c r="F10" i="107"/>
  <c r="E10" i="107"/>
  <c r="C10" i="107" s="1"/>
  <c r="D10" i="107"/>
  <c r="O9" i="107"/>
  <c r="N9" i="107"/>
  <c r="M9" i="107"/>
  <c r="L9" i="107"/>
  <c r="K9" i="107"/>
  <c r="J9" i="107"/>
  <c r="I9" i="107"/>
  <c r="H9" i="107"/>
  <c r="G9" i="107"/>
  <c r="F9" i="107"/>
  <c r="E9" i="107"/>
  <c r="D9" i="107"/>
  <c r="C9" i="107" s="1"/>
  <c r="O8" i="107"/>
  <c r="N8" i="107"/>
  <c r="M8" i="107"/>
  <c r="L8" i="107"/>
  <c r="K8" i="107"/>
  <c r="J8" i="107"/>
  <c r="I8" i="107"/>
  <c r="H8" i="107"/>
  <c r="G8" i="107"/>
  <c r="F8" i="107"/>
  <c r="E8" i="107"/>
  <c r="C8" i="107" s="1"/>
  <c r="D8" i="107"/>
  <c r="O7" i="107"/>
  <c r="N7" i="107"/>
  <c r="M7" i="107"/>
  <c r="L7" i="107"/>
  <c r="K7" i="107"/>
  <c r="J7" i="107"/>
  <c r="I7" i="107"/>
  <c r="H7" i="107"/>
  <c r="G7" i="107"/>
  <c r="F7" i="107"/>
  <c r="E7" i="107"/>
  <c r="D7" i="107"/>
  <c r="C7" i="107" s="1"/>
  <c r="O6" i="107"/>
  <c r="N6" i="107"/>
  <c r="M6" i="107"/>
  <c r="L6" i="107"/>
  <c r="K6" i="107"/>
  <c r="J6" i="107"/>
  <c r="I6" i="107"/>
  <c r="H6" i="107"/>
  <c r="G6" i="107"/>
  <c r="F6" i="107"/>
  <c r="E6" i="107"/>
  <c r="C6" i="107" s="1"/>
  <c r="D6" i="107"/>
  <c r="O5" i="107"/>
  <c r="N5" i="107"/>
  <c r="M5" i="107"/>
  <c r="L5" i="107"/>
  <c r="K5" i="107"/>
  <c r="J5" i="107"/>
  <c r="I5" i="107"/>
  <c r="H5" i="107"/>
  <c r="G5" i="107"/>
  <c r="F5" i="107"/>
  <c r="E5" i="107"/>
  <c r="D5" i="107"/>
  <c r="C5" i="107" s="1"/>
  <c r="O4" i="107"/>
  <c r="N4" i="107"/>
  <c r="M4" i="107"/>
  <c r="L4" i="107"/>
  <c r="K4" i="107"/>
  <c r="J4" i="107"/>
  <c r="I4" i="107"/>
  <c r="H4" i="107"/>
  <c r="G4" i="107"/>
  <c r="F4" i="107"/>
  <c r="E4" i="107"/>
  <c r="C4" i="107" s="1"/>
  <c r="D4" i="107"/>
  <c r="D109" i="90" l="1"/>
  <c r="D108" i="90"/>
  <c r="G82" i="90"/>
  <c r="D82" i="90"/>
  <c r="D86" i="90"/>
  <c r="D85" i="90"/>
  <c r="D84" i="90"/>
  <c r="D83" i="90"/>
  <c r="G80" i="90"/>
  <c r="D80" i="90"/>
  <c r="G71" i="90"/>
  <c r="D71" i="90"/>
  <c r="G70" i="90"/>
  <c r="D70" i="90"/>
  <c r="G69" i="90"/>
  <c r="D69" i="90"/>
  <c r="G40" i="90"/>
  <c r="D40" i="90"/>
  <c r="G39" i="90"/>
  <c r="G38" i="90"/>
  <c r="D38" i="90"/>
  <c r="G27" i="90"/>
  <c r="G32" i="90"/>
  <c r="D32" i="90"/>
  <c r="G17" i="90"/>
  <c r="D17" i="90"/>
  <c r="D55" i="84"/>
  <c r="N11" i="84"/>
  <c r="N10" i="84"/>
  <c r="N9" i="84"/>
  <c r="N45" i="84"/>
  <c r="I33" i="84"/>
  <c r="I32" i="84"/>
  <c r="I34" i="84"/>
  <c r="I31" i="84"/>
  <c r="I30" i="84"/>
  <c r="I28" i="84"/>
  <c r="I24" i="84"/>
  <c r="I23" i="84"/>
  <c r="I22" i="84"/>
  <c r="D33" i="84"/>
  <c r="D18" i="84"/>
  <c r="B97" i="100" l="1"/>
  <c r="E91" i="100"/>
  <c r="B91" i="100"/>
  <c r="B89" i="100"/>
  <c r="B83" i="100"/>
  <c r="D80" i="100"/>
  <c r="C80" i="100"/>
  <c r="B80" i="100"/>
  <c r="E77" i="100"/>
  <c r="D77" i="100"/>
  <c r="B77" i="100"/>
  <c r="C75" i="100"/>
  <c r="B75" i="100"/>
  <c r="D70" i="100"/>
  <c r="C70" i="100"/>
  <c r="B70" i="100"/>
  <c r="E60" i="100"/>
  <c r="D60" i="100"/>
  <c r="C60" i="100"/>
  <c r="B60" i="100"/>
  <c r="D44" i="100"/>
  <c r="C44" i="100"/>
  <c r="B44" i="100"/>
  <c r="B41" i="100"/>
  <c r="E38" i="100"/>
  <c r="C38" i="100"/>
  <c r="B38" i="100"/>
  <c r="D31" i="100"/>
  <c r="C31" i="100"/>
  <c r="B31" i="100"/>
  <c r="E24" i="100"/>
  <c r="D24" i="100"/>
  <c r="C24" i="100"/>
  <c r="B24" i="100"/>
  <c r="D19" i="100"/>
  <c r="C19" i="100"/>
  <c r="B19" i="100"/>
  <c r="C11" i="100"/>
  <c r="B11" i="100"/>
  <c r="D7" i="100"/>
  <c r="C7" i="100"/>
  <c r="B7" i="100"/>
  <c r="D110" i="101"/>
  <c r="D106" i="101"/>
  <c r="C106" i="101"/>
  <c r="B106" i="101"/>
  <c r="C98" i="101"/>
  <c r="E91" i="101"/>
  <c r="C91" i="101"/>
  <c r="E86" i="101"/>
  <c r="C86" i="101"/>
  <c r="B86" i="101"/>
  <c r="E75" i="101"/>
  <c r="D75" i="101"/>
  <c r="B75" i="101"/>
  <c r="E63" i="101"/>
  <c r="D63" i="101"/>
  <c r="C63" i="101"/>
  <c r="B63" i="101"/>
  <c r="E46" i="101"/>
  <c r="D46" i="101"/>
  <c r="C46" i="101"/>
  <c r="D40" i="101"/>
  <c r="C40" i="101"/>
  <c r="B40" i="101"/>
  <c r="E37" i="101"/>
  <c r="D37" i="101"/>
  <c r="C37" i="101"/>
  <c r="B37" i="101"/>
  <c r="D29" i="101"/>
  <c r="C29" i="101"/>
  <c r="B29" i="101"/>
  <c r="E21" i="101"/>
  <c r="D21" i="101"/>
  <c r="C21" i="101"/>
  <c r="B21" i="101"/>
  <c r="E16" i="101"/>
  <c r="D16" i="101"/>
  <c r="C16" i="101"/>
  <c r="B16" i="101"/>
  <c r="B10" i="101"/>
  <c r="D20" i="102"/>
  <c r="B61" i="102"/>
  <c r="D58" i="102"/>
  <c r="C58" i="102"/>
  <c r="D54" i="102"/>
  <c r="B54" i="102"/>
  <c r="C51" i="102"/>
  <c r="B51" i="102"/>
  <c r="D38" i="102"/>
  <c r="C38" i="102"/>
  <c r="B38" i="102"/>
  <c r="D33" i="102"/>
  <c r="C33" i="102"/>
  <c r="D29" i="102"/>
  <c r="B29" i="102"/>
  <c r="C20" i="102"/>
  <c r="B20" i="102"/>
  <c r="D15" i="102"/>
  <c r="C15" i="102"/>
  <c r="B15" i="102"/>
  <c r="C7" i="102"/>
  <c r="B7" i="102"/>
  <c r="D36" i="103"/>
  <c r="B90" i="103"/>
  <c r="B81" i="103"/>
  <c r="D71" i="103"/>
  <c r="D69" i="103"/>
  <c r="C69" i="103"/>
  <c r="B69" i="103"/>
  <c r="D54" i="103"/>
  <c r="B54" i="103"/>
  <c r="D44" i="103"/>
  <c r="B44" i="103"/>
  <c r="B36" i="103"/>
  <c r="D30" i="103"/>
  <c r="C30" i="103"/>
  <c r="D24" i="103"/>
  <c r="D11" i="103"/>
  <c r="C92" i="104"/>
  <c r="D98" i="104"/>
  <c r="B96" i="104"/>
  <c r="E94" i="104"/>
  <c r="D94" i="104"/>
  <c r="E92" i="104"/>
  <c r="D92" i="104"/>
  <c r="E87" i="104"/>
  <c r="D87" i="104"/>
  <c r="C87" i="104"/>
  <c r="E83" i="104"/>
  <c r="D83" i="104"/>
  <c r="C83" i="104"/>
  <c r="B83" i="104"/>
  <c r="E81" i="104"/>
  <c r="D81" i="104"/>
  <c r="C81" i="104"/>
  <c r="B81" i="104"/>
  <c r="D75" i="104"/>
  <c r="C75" i="104"/>
  <c r="E62" i="104"/>
  <c r="D62" i="104"/>
  <c r="C62" i="104"/>
  <c r="E44" i="104"/>
  <c r="D44" i="104"/>
  <c r="E35" i="104"/>
  <c r="D35" i="104"/>
  <c r="E29" i="104"/>
  <c r="D29" i="104"/>
  <c r="E17" i="104"/>
  <c r="D17" i="104"/>
  <c r="C17" i="104"/>
  <c r="E6" i="104"/>
  <c r="B6" i="104"/>
  <c r="D7" i="105"/>
  <c r="B101" i="105" l="1"/>
  <c r="C101" i="105"/>
  <c r="C106" i="105"/>
  <c r="B106" i="105"/>
  <c r="C84" i="105"/>
  <c r="B84" i="105"/>
  <c r="D74" i="105"/>
  <c r="C74" i="105"/>
  <c r="E61" i="105"/>
  <c r="D61" i="105"/>
  <c r="C61" i="105"/>
  <c r="B61" i="105"/>
  <c r="C43" i="105"/>
  <c r="C39" i="105"/>
  <c r="B39" i="105"/>
  <c r="C37" i="105"/>
  <c r="D23" i="105"/>
  <c r="C23" i="105"/>
  <c r="E18" i="105"/>
  <c r="C18" i="105"/>
  <c r="B18" i="105"/>
  <c r="C7" i="105"/>
  <c r="B7" i="105"/>
  <c r="D129" i="106"/>
  <c r="C128" i="106"/>
  <c r="B128" i="106"/>
  <c r="J127" i="106"/>
  <c r="G127" i="106"/>
  <c r="D127" i="106"/>
  <c r="J126" i="106"/>
  <c r="G126" i="106"/>
  <c r="D126" i="106"/>
  <c r="J125" i="106"/>
  <c r="D125" i="106"/>
  <c r="I124" i="106"/>
  <c r="H124" i="106"/>
  <c r="F124" i="106"/>
  <c r="E124" i="106"/>
  <c r="C124" i="106"/>
  <c r="B124" i="106"/>
  <c r="F120" i="106"/>
  <c r="D119" i="106"/>
  <c r="G109" i="106"/>
  <c r="D109" i="106"/>
  <c r="D108" i="106"/>
  <c r="F106" i="106"/>
  <c r="E106" i="106"/>
  <c r="C106" i="106"/>
  <c r="B106" i="106"/>
  <c r="J105" i="106"/>
  <c r="G105" i="106"/>
  <c r="D105" i="106"/>
  <c r="D104" i="106"/>
  <c r="J103" i="106"/>
  <c r="G103" i="106"/>
  <c r="D103" i="106"/>
  <c r="I102" i="106"/>
  <c r="H102" i="106"/>
  <c r="F102" i="106"/>
  <c r="E102" i="106"/>
  <c r="C102" i="106"/>
  <c r="B102" i="106"/>
  <c r="G101" i="106"/>
  <c r="D101" i="106"/>
  <c r="J100" i="106"/>
  <c r="G100" i="106"/>
  <c r="D100" i="106"/>
  <c r="I99" i="106"/>
  <c r="H99" i="106"/>
  <c r="F99" i="106"/>
  <c r="E99" i="106"/>
  <c r="C99" i="106"/>
  <c r="B99" i="106"/>
  <c r="G96" i="106"/>
  <c r="D96" i="106"/>
  <c r="J95" i="106"/>
  <c r="G95" i="106"/>
  <c r="D95" i="106"/>
  <c r="J94" i="106"/>
  <c r="G94" i="106"/>
  <c r="D94" i="106"/>
  <c r="J93" i="106"/>
  <c r="G93" i="106"/>
  <c r="D93" i="106"/>
  <c r="I92" i="106"/>
  <c r="H92" i="106"/>
  <c r="F92" i="106"/>
  <c r="E92" i="106"/>
  <c r="C92" i="106"/>
  <c r="B92" i="106"/>
  <c r="J91" i="106"/>
  <c r="G91" i="106"/>
  <c r="D91" i="106"/>
  <c r="J90" i="106"/>
  <c r="G90" i="106"/>
  <c r="D90" i="106"/>
  <c r="D89" i="106"/>
  <c r="J88" i="106"/>
  <c r="D88" i="106"/>
  <c r="J87" i="106"/>
  <c r="G87" i="106"/>
  <c r="D87" i="106"/>
  <c r="J86" i="106"/>
  <c r="G86" i="106"/>
  <c r="D86" i="106"/>
  <c r="J85" i="106"/>
  <c r="G85" i="106"/>
  <c r="D85" i="106"/>
  <c r="J84" i="106"/>
  <c r="D84" i="106"/>
  <c r="J83" i="106"/>
  <c r="G83" i="106"/>
  <c r="D83" i="106"/>
  <c r="J82" i="106"/>
  <c r="G82" i="106"/>
  <c r="D82" i="106"/>
  <c r="D81" i="106"/>
  <c r="J80" i="106"/>
  <c r="G80" i="106"/>
  <c r="D80" i="106"/>
  <c r="I79" i="106"/>
  <c r="H79" i="106"/>
  <c r="F79" i="106"/>
  <c r="E79" i="106"/>
  <c r="C79" i="106"/>
  <c r="B79" i="106"/>
  <c r="G78" i="106"/>
  <c r="D78" i="106"/>
  <c r="G75" i="106"/>
  <c r="D75" i="106"/>
  <c r="J64" i="106"/>
  <c r="D62" i="106"/>
  <c r="G61" i="106"/>
  <c r="D61" i="106"/>
  <c r="D60" i="106"/>
  <c r="G59" i="106"/>
  <c r="D59" i="106"/>
  <c r="G57" i="106"/>
  <c r="D57" i="106"/>
  <c r="G56" i="106"/>
  <c r="D56" i="106"/>
  <c r="G55" i="106"/>
  <c r="D55" i="106"/>
  <c r="G53" i="106"/>
  <c r="D53" i="106"/>
  <c r="G51" i="106"/>
  <c r="D51" i="106"/>
  <c r="G46" i="106"/>
  <c r="D46" i="106"/>
  <c r="F45" i="106"/>
  <c r="E45" i="106"/>
  <c r="C45" i="106"/>
  <c r="B45" i="106"/>
  <c r="F34" i="106"/>
  <c r="E34" i="106"/>
  <c r="C34" i="106"/>
  <c r="B34" i="106"/>
  <c r="F26" i="106"/>
  <c r="E26" i="106"/>
  <c r="C26" i="106"/>
  <c r="B26" i="106"/>
  <c r="J24" i="106"/>
  <c r="F20" i="106"/>
  <c r="C20" i="106"/>
  <c r="I10" i="106"/>
  <c r="F10" i="106"/>
  <c r="C10" i="106"/>
  <c r="D45" i="98"/>
  <c r="C100" i="98"/>
  <c r="B100" i="98"/>
  <c r="J123" i="98"/>
  <c r="D123" i="98"/>
  <c r="I122" i="98"/>
  <c r="H122" i="98"/>
  <c r="E122" i="98"/>
  <c r="G122" i="98" s="1"/>
  <c r="C122" i="98"/>
  <c r="B122" i="98"/>
  <c r="D121" i="98"/>
  <c r="D120" i="98"/>
  <c r="D119" i="98"/>
  <c r="F118" i="98"/>
  <c r="C118" i="98"/>
  <c r="B118" i="98"/>
  <c r="F114" i="98"/>
  <c r="C114" i="98"/>
  <c r="D111" i="98"/>
  <c r="I110" i="98"/>
  <c r="C110" i="98"/>
  <c r="D102" i="98"/>
  <c r="D101" i="98"/>
  <c r="G99" i="98"/>
  <c r="D99" i="98"/>
  <c r="D97" i="98"/>
  <c r="G98" i="98"/>
  <c r="D98" i="98"/>
  <c r="D95" i="98"/>
  <c r="D94" i="98"/>
  <c r="I93" i="98"/>
  <c r="F93" i="98"/>
  <c r="E93" i="98"/>
  <c r="C93" i="98"/>
  <c r="B93" i="98"/>
  <c r="G90" i="98"/>
  <c r="D90" i="98"/>
  <c r="G89" i="98"/>
  <c r="D89" i="98"/>
  <c r="G88" i="98"/>
  <c r="D88" i="98"/>
  <c r="G87" i="98"/>
  <c r="D87" i="98"/>
  <c r="F86" i="98"/>
  <c r="E86" i="98"/>
  <c r="C86" i="98"/>
  <c r="B86" i="98"/>
  <c r="D85" i="98"/>
  <c r="J84" i="98"/>
  <c r="D84" i="98"/>
  <c r="D83" i="98"/>
  <c r="D82" i="98"/>
  <c r="D81" i="98"/>
  <c r="D79" i="98"/>
  <c r="D78" i="98"/>
  <c r="D77" i="98"/>
  <c r="D76" i="98"/>
  <c r="D75" i="98"/>
  <c r="D74" i="98"/>
  <c r="I73" i="98"/>
  <c r="H73" i="98"/>
  <c r="F73" i="98"/>
  <c r="C73" i="98"/>
  <c r="B73" i="98"/>
  <c r="D72" i="98"/>
  <c r="J69" i="98"/>
  <c r="I68" i="98"/>
  <c r="H68" i="98"/>
  <c r="F68" i="98"/>
  <c r="C68" i="98"/>
  <c r="D59" i="98"/>
  <c r="C57" i="98"/>
  <c r="B57" i="98"/>
  <c r="D56" i="98"/>
  <c r="G55" i="98"/>
  <c r="D54" i="98"/>
  <c r="J53" i="98"/>
  <c r="G53" i="98"/>
  <c r="D53" i="98"/>
  <c r="D52" i="98"/>
  <c r="G51" i="98"/>
  <c r="D51" i="98"/>
  <c r="G50" i="98"/>
  <c r="D50" i="98"/>
  <c r="I49" i="98"/>
  <c r="H49" i="98"/>
  <c r="F49" i="98"/>
  <c r="E49" i="98"/>
  <c r="C49" i="98"/>
  <c r="B49" i="98"/>
  <c r="D48" i="98"/>
  <c r="D46" i="98"/>
  <c r="I44" i="98"/>
  <c r="F44" i="98"/>
  <c r="C44" i="98"/>
  <c r="B44" i="98"/>
  <c r="I41" i="98"/>
  <c r="F41" i="98"/>
  <c r="C41" i="98"/>
  <c r="D39" i="98"/>
  <c r="D38" i="98"/>
  <c r="D37" i="98"/>
  <c r="G35" i="98"/>
  <c r="D35" i="98"/>
  <c r="D34" i="98"/>
  <c r="D32" i="98"/>
  <c r="D30" i="98"/>
  <c r="D27" i="98"/>
  <c r="D26" i="98"/>
  <c r="C25" i="98"/>
  <c r="B25" i="98"/>
  <c r="G21" i="98"/>
  <c r="I20" i="98"/>
  <c r="F20" i="98"/>
  <c r="E20" i="98"/>
  <c r="C20" i="98"/>
  <c r="B20" i="98"/>
  <c r="J9" i="98"/>
  <c r="D9" i="98"/>
  <c r="I8" i="98"/>
  <c r="H8" i="98"/>
  <c r="C8" i="98"/>
  <c r="B8" i="98"/>
  <c r="D109" i="97"/>
  <c r="C108" i="97"/>
  <c r="B108" i="97"/>
  <c r="J107" i="97"/>
  <c r="G107" i="97"/>
  <c r="D107" i="97"/>
  <c r="J106" i="97"/>
  <c r="G106" i="97"/>
  <c r="D106" i="97"/>
  <c r="J105" i="97"/>
  <c r="I104" i="97"/>
  <c r="H104" i="97"/>
  <c r="F104" i="97"/>
  <c r="E104" i="97"/>
  <c r="C104" i="97"/>
  <c r="B104" i="97"/>
  <c r="G102" i="97"/>
  <c r="D102" i="97"/>
  <c r="I101" i="97"/>
  <c r="H101" i="97"/>
  <c r="F101" i="97"/>
  <c r="E101" i="97"/>
  <c r="C101" i="97"/>
  <c r="B101" i="97"/>
  <c r="J100" i="97"/>
  <c r="G100" i="97"/>
  <c r="D100" i="97"/>
  <c r="D99" i="97"/>
  <c r="I98" i="97"/>
  <c r="H98" i="97"/>
  <c r="F98" i="97"/>
  <c r="E98" i="97"/>
  <c r="C98" i="97"/>
  <c r="B98" i="97"/>
  <c r="C94" i="97"/>
  <c r="J93" i="97"/>
  <c r="G93" i="97"/>
  <c r="D93" i="97"/>
  <c r="D92" i="97"/>
  <c r="I91" i="97"/>
  <c r="H91" i="97"/>
  <c r="F91" i="97"/>
  <c r="E91" i="97"/>
  <c r="C91" i="97"/>
  <c r="B91" i="97"/>
  <c r="J90" i="97"/>
  <c r="G90" i="97"/>
  <c r="D90" i="97"/>
  <c r="J89" i="97"/>
  <c r="G89" i="97"/>
  <c r="D89" i="97"/>
  <c r="D88" i="97"/>
  <c r="I87" i="97"/>
  <c r="H87" i="97"/>
  <c r="F87" i="97"/>
  <c r="E87" i="97"/>
  <c r="C87" i="97"/>
  <c r="B87" i="97"/>
  <c r="J86" i="97"/>
  <c r="G86" i="97"/>
  <c r="D86" i="97"/>
  <c r="I85" i="97"/>
  <c r="H85" i="97"/>
  <c r="F85" i="97"/>
  <c r="E85" i="97"/>
  <c r="C85" i="97"/>
  <c r="B85" i="97"/>
  <c r="J82" i="97"/>
  <c r="G82" i="97"/>
  <c r="D82" i="97"/>
  <c r="J81" i="97"/>
  <c r="G81" i="97"/>
  <c r="D81" i="97"/>
  <c r="J80" i="97"/>
  <c r="G80" i="97"/>
  <c r="D80" i="97"/>
  <c r="J79" i="97"/>
  <c r="G79" i="97"/>
  <c r="D79" i="97"/>
  <c r="I78" i="97"/>
  <c r="H78" i="97"/>
  <c r="F78" i="97"/>
  <c r="E78" i="97"/>
  <c r="C78" i="97"/>
  <c r="B78" i="97"/>
  <c r="G77" i="97"/>
  <c r="D77" i="97"/>
  <c r="J76" i="97"/>
  <c r="G76" i="97"/>
  <c r="D76" i="97"/>
  <c r="D75" i="97"/>
  <c r="D74" i="97"/>
  <c r="J73" i="97"/>
  <c r="D73" i="97"/>
  <c r="J72" i="97"/>
  <c r="G72" i="97"/>
  <c r="D71" i="97"/>
  <c r="D70" i="97"/>
  <c r="J69" i="97"/>
  <c r="G69" i="97"/>
  <c r="D69" i="97"/>
  <c r="J68" i="97"/>
  <c r="G68" i="97"/>
  <c r="D68" i="97"/>
  <c r="D67" i="97"/>
  <c r="G66" i="97"/>
  <c r="D66" i="97"/>
  <c r="I65" i="97"/>
  <c r="H65" i="97"/>
  <c r="F65" i="97"/>
  <c r="E65" i="97"/>
  <c r="C65" i="97"/>
  <c r="B65" i="97"/>
  <c r="D64" i="97"/>
  <c r="D61" i="97"/>
  <c r="H60" i="97"/>
  <c r="J60" i="97" s="1"/>
  <c r="E60" i="97"/>
  <c r="G60" i="97" s="1"/>
  <c r="C60" i="97"/>
  <c r="J55" i="97"/>
  <c r="G55" i="97"/>
  <c r="D55" i="97"/>
  <c r="J52" i="97"/>
  <c r="G52" i="97"/>
  <c r="D52" i="97"/>
  <c r="I50" i="97"/>
  <c r="H50" i="97"/>
  <c r="F50" i="97"/>
  <c r="E50" i="97"/>
  <c r="C50" i="97"/>
  <c r="B50" i="97"/>
  <c r="G49" i="97"/>
  <c r="D49" i="97"/>
  <c r="J47" i="97"/>
  <c r="G47" i="97"/>
  <c r="D47" i="97"/>
  <c r="D46" i="97"/>
  <c r="D45" i="97"/>
  <c r="J44" i="97"/>
  <c r="G44" i="97"/>
  <c r="D44" i="97"/>
  <c r="I43" i="97"/>
  <c r="H43" i="97"/>
  <c r="F43" i="97"/>
  <c r="E43" i="97"/>
  <c r="C43" i="97"/>
  <c r="B43" i="97"/>
  <c r="D42" i="97"/>
  <c r="D40" i="97"/>
  <c r="I38" i="97"/>
  <c r="C38" i="97"/>
  <c r="B38" i="97"/>
  <c r="I34" i="97"/>
  <c r="F34" i="97"/>
  <c r="D33" i="97"/>
  <c r="D31" i="97"/>
  <c r="D29" i="97"/>
  <c r="J28" i="97"/>
  <c r="G28" i="97"/>
  <c r="D28" i="97"/>
  <c r="I27" i="97"/>
  <c r="H27" i="97"/>
  <c r="F27" i="97"/>
  <c r="E27" i="97"/>
  <c r="C27" i="97"/>
  <c r="B27" i="97"/>
  <c r="G26" i="97"/>
  <c r="D26" i="97"/>
  <c r="D22" i="97"/>
  <c r="J21" i="97"/>
  <c r="G21" i="97"/>
  <c r="D21" i="97"/>
  <c r="I20" i="97"/>
  <c r="H20" i="97"/>
  <c r="F20" i="97"/>
  <c r="E20" i="97"/>
  <c r="C20" i="97"/>
  <c r="B20" i="97"/>
  <c r="I17" i="97"/>
  <c r="F17" i="97"/>
  <c r="C17" i="97"/>
  <c r="C9" i="97"/>
  <c r="D8" i="97"/>
  <c r="I7" i="97"/>
  <c r="F7" i="97"/>
  <c r="C7" i="97"/>
  <c r="B7" i="97"/>
  <c r="D70" i="96"/>
  <c r="C69" i="96"/>
  <c r="B69" i="96"/>
  <c r="C29" i="96"/>
  <c r="D71" i="96"/>
  <c r="C66" i="96"/>
  <c r="G60" i="96"/>
  <c r="G59" i="96"/>
  <c r="D59" i="96"/>
  <c r="J56" i="96"/>
  <c r="J51" i="96"/>
  <c r="J50" i="96"/>
  <c r="G50" i="96"/>
  <c r="G49" i="96"/>
  <c r="D49" i="96"/>
  <c r="J48" i="96"/>
  <c r="G48" i="96"/>
  <c r="J47" i="96"/>
  <c r="G47" i="96"/>
  <c r="I46" i="96"/>
  <c r="H46" i="96"/>
  <c r="F46" i="96"/>
  <c r="E46" i="96"/>
  <c r="C46" i="96"/>
  <c r="B46" i="96"/>
  <c r="J42" i="96"/>
  <c r="D42" i="96"/>
  <c r="D40" i="96"/>
  <c r="I39" i="96"/>
  <c r="H39" i="96"/>
  <c r="C39" i="96"/>
  <c r="D35" i="96"/>
  <c r="F29" i="96"/>
  <c r="J20" i="96"/>
  <c r="D20" i="96"/>
  <c r="C14" i="96"/>
  <c r="D9" i="96"/>
  <c r="I8" i="96"/>
  <c r="C8" i="96"/>
  <c r="B8" i="96"/>
  <c r="G120" i="90"/>
  <c r="D120" i="90"/>
  <c r="N42" i="84"/>
  <c r="N41" i="84"/>
  <c r="N24" i="84"/>
  <c r="N16" i="84"/>
  <c r="D17" i="84"/>
  <c r="D137" i="90"/>
  <c r="D52" i="90"/>
  <c r="D47" i="90"/>
  <c r="G48" i="90"/>
  <c r="D48" i="90"/>
  <c r="G37" i="90"/>
  <c r="D37" i="90"/>
  <c r="D30" i="90"/>
  <c r="G11" i="90"/>
  <c r="G10" i="90"/>
  <c r="D10" i="90"/>
  <c r="G20" i="98" l="1"/>
  <c r="D20" i="98"/>
  <c r="D69" i="96"/>
  <c r="D128" i="106"/>
  <c r="G26" i="106"/>
  <c r="G106" i="106"/>
  <c r="D79" i="106"/>
  <c r="J102" i="106"/>
  <c r="D45" i="106"/>
  <c r="D8" i="106"/>
  <c r="J20" i="106"/>
  <c r="D49" i="106"/>
  <c r="D54" i="106"/>
  <c r="D99" i="106"/>
  <c r="J99" i="106"/>
  <c r="G45" i="106"/>
  <c r="G63" i="106"/>
  <c r="G74" i="106"/>
  <c r="G102" i="106"/>
  <c r="D26" i="106"/>
  <c r="G34" i="106"/>
  <c r="G79" i="106"/>
  <c r="G92" i="106"/>
  <c r="D106" i="106"/>
  <c r="D74" i="106"/>
  <c r="D116" i="106"/>
  <c r="D124" i="106"/>
  <c r="J124" i="106"/>
  <c r="G49" i="106"/>
  <c r="D63" i="106"/>
  <c r="J63" i="106"/>
  <c r="G99" i="106"/>
  <c r="D34" i="106"/>
  <c r="G54" i="106"/>
  <c r="J79" i="106"/>
  <c r="D92" i="106"/>
  <c r="J92" i="106"/>
  <c r="D102" i="106"/>
  <c r="G124" i="106"/>
  <c r="G96" i="98"/>
  <c r="G33" i="98"/>
  <c r="J49" i="98"/>
  <c r="J33" i="98"/>
  <c r="D73" i="98"/>
  <c r="D114" i="98"/>
  <c r="D86" i="98"/>
  <c r="D96" i="98"/>
  <c r="D8" i="98"/>
  <c r="D44" i="98"/>
  <c r="G49" i="98"/>
  <c r="D68" i="98"/>
  <c r="D93" i="98"/>
  <c r="D100" i="98"/>
  <c r="G86" i="98"/>
  <c r="D25" i="98"/>
  <c r="D57" i="98"/>
  <c r="D110" i="98"/>
  <c r="D118" i="98"/>
  <c r="D122" i="98"/>
  <c r="D33" i="98"/>
  <c r="D49" i="98"/>
  <c r="J68" i="98"/>
  <c r="J73" i="98"/>
  <c r="J122" i="98"/>
  <c r="J8" i="98"/>
  <c r="J96" i="98"/>
  <c r="G87" i="97"/>
  <c r="J50" i="97"/>
  <c r="G65" i="97"/>
  <c r="G78" i="97"/>
  <c r="D85" i="97"/>
  <c r="J85" i="97"/>
  <c r="D104" i="97"/>
  <c r="J104" i="97"/>
  <c r="D7" i="97"/>
  <c r="G43" i="97"/>
  <c r="G91" i="97"/>
  <c r="D27" i="97"/>
  <c r="J27" i="97"/>
  <c r="D38" i="97"/>
  <c r="G50" i="97"/>
  <c r="D65" i="97"/>
  <c r="J65" i="97"/>
  <c r="D78" i="97"/>
  <c r="G85" i="97"/>
  <c r="D98" i="97"/>
  <c r="J98" i="97"/>
  <c r="G101" i="97"/>
  <c r="G104" i="97"/>
  <c r="J43" i="97"/>
  <c r="D91" i="97"/>
  <c r="J91" i="97"/>
  <c r="D101" i="97"/>
  <c r="J87" i="97"/>
  <c r="G20" i="97"/>
  <c r="D43" i="97"/>
  <c r="G27" i="97"/>
  <c r="D50" i="97"/>
  <c r="D108" i="97"/>
  <c r="D20" i="97"/>
  <c r="J20" i="97"/>
  <c r="D60" i="97"/>
  <c r="J78" i="97"/>
  <c r="D87" i="97"/>
  <c r="G98" i="97"/>
  <c r="J46" i="96"/>
  <c r="D57" i="96"/>
  <c r="D8" i="96"/>
  <c r="J54" i="96"/>
  <c r="J39" i="96"/>
  <c r="G46" i="96"/>
  <c r="G57" i="96"/>
  <c r="J19" i="96"/>
  <c r="D32" i="96"/>
  <c r="G23" i="96"/>
  <c r="D19" i="96"/>
  <c r="D23" i="96"/>
  <c r="D46" i="96"/>
  <c r="N44" i="84"/>
  <c r="I37" i="84"/>
  <c r="D52" i="84"/>
  <c r="D13" i="84"/>
  <c r="D11" i="84"/>
  <c r="G114" i="90" l="1"/>
  <c r="G66" i="90"/>
  <c r="G13" i="90"/>
  <c r="D13" i="90"/>
  <c r="D12" i="90"/>
  <c r="D11" i="90"/>
  <c r="D9" i="90"/>
  <c r="D8" i="90"/>
  <c r="D136" i="90" l="1"/>
  <c r="D105" i="90"/>
  <c r="G53" i="90"/>
  <c r="D53" i="90"/>
  <c r="G12" i="90"/>
  <c r="G9" i="90"/>
  <c r="G8" i="90"/>
  <c r="D49" i="84"/>
  <c r="D10" i="84"/>
  <c r="N40" i="84" l="1"/>
  <c r="D37" i="84"/>
  <c r="D8" i="84"/>
  <c r="D9" i="84"/>
  <c r="D14" i="84"/>
  <c r="D12" i="84"/>
  <c r="B6" i="87" l="1"/>
  <c r="B15" i="87" l="1"/>
  <c r="G112" i="90" l="1"/>
  <c r="G51" i="90"/>
  <c r="D41" i="90"/>
  <c r="G19" i="90"/>
  <c r="D39" i="90" l="1"/>
  <c r="N46" i="84" l="1"/>
  <c r="I53" i="84"/>
  <c r="I43" i="84" l="1"/>
  <c r="I42" i="84"/>
  <c r="G118" i="90" l="1"/>
  <c r="D114" i="90"/>
  <c r="G34" i="90"/>
  <c r="G31" i="90"/>
  <c r="D19" i="90"/>
  <c r="D112" i="90" l="1"/>
  <c r="D66" i="90"/>
  <c r="D51" i="90"/>
  <c r="G44" i="90"/>
  <c r="D44" i="90"/>
  <c r="G43" i="90"/>
  <c r="D43" i="90"/>
  <c r="D31" i="90"/>
  <c r="D29" i="90"/>
  <c r="D28" i="90"/>
  <c r="D20" i="84"/>
  <c r="N14" i="84" l="1"/>
  <c r="B14" i="87" l="1"/>
  <c r="B9" i="87"/>
  <c r="B8" i="87"/>
  <c r="B7" i="87"/>
  <c r="I46" i="84" l="1"/>
  <c r="I19" i="84"/>
  <c r="D16" i="84" l="1"/>
  <c r="N50" i="84"/>
  <c r="N49" i="84"/>
  <c r="N39" i="84"/>
  <c r="N23" i="84"/>
  <c r="I10" i="84"/>
  <c r="I9" i="84"/>
  <c r="D56" i="84"/>
  <c r="D54" i="84"/>
  <c r="D34" i="84"/>
  <c r="D32" i="84"/>
  <c r="D31" i="84"/>
  <c r="D30" i="84"/>
  <c r="D29" i="84"/>
  <c r="D28" i="84"/>
  <c r="D135" i="90"/>
  <c r="G79" i="90"/>
  <c r="G63" i="90"/>
  <c r="D65" i="90" l="1"/>
  <c r="G64" i="90"/>
  <c r="D64" i="90"/>
  <c r="D62" i="90"/>
  <c r="G61" i="90"/>
  <c r="D61" i="90"/>
  <c r="G60" i="90"/>
  <c r="D60" i="90"/>
  <c r="G59" i="90"/>
  <c r="D59" i="90"/>
  <c r="G58" i="90"/>
  <c r="G57" i="90"/>
  <c r="D57" i="90"/>
  <c r="G56" i="90"/>
  <c r="D56" i="90"/>
  <c r="G54" i="90"/>
  <c r="D54" i="90"/>
  <c r="I25" i="84" l="1"/>
  <c r="I21" i="84"/>
  <c r="G121" i="90" l="1"/>
  <c r="D121" i="90"/>
  <c r="G49" i="90"/>
  <c r="D147" i="90"/>
  <c r="G47" i="90"/>
  <c r="G41" i="90"/>
  <c r="N52" i="84"/>
  <c r="N48" i="84"/>
  <c r="N19" i="84"/>
  <c r="N18" i="84"/>
  <c r="N20" i="84"/>
  <c r="N22" i="84"/>
  <c r="I45" i="84"/>
  <c r="I41" i="84"/>
  <c r="I40" i="84"/>
  <c r="I39" i="84"/>
  <c r="I36" i="84"/>
  <c r="I27" i="84"/>
  <c r="I17" i="84"/>
  <c r="I16" i="84"/>
  <c r="I15" i="84"/>
  <c r="I14" i="84"/>
  <c r="I13" i="84"/>
  <c r="I12" i="84"/>
  <c r="I11" i="84"/>
  <c r="D50" i="84"/>
  <c r="D46" i="84"/>
  <c r="D45" i="84"/>
  <c r="D44" i="84"/>
  <c r="D43" i="84"/>
  <c r="D42" i="84"/>
  <c r="D41" i="84"/>
  <c r="D40" i="84"/>
  <c r="D39" i="84"/>
  <c r="D38" i="84"/>
  <c r="D48" i="84"/>
  <c r="G97" i="90" l="1"/>
  <c r="G96" i="90"/>
  <c r="G95" i="90"/>
  <c r="G94" i="90"/>
  <c r="G93" i="90"/>
  <c r="G92" i="90"/>
  <c r="G91" i="90"/>
  <c r="D97" i="90"/>
  <c r="D96" i="90"/>
  <c r="D95" i="90"/>
  <c r="D94" i="90"/>
  <c r="D93" i="90"/>
  <c r="D92" i="90"/>
  <c r="D91" i="90"/>
  <c r="D90" i="90"/>
  <c r="D88" i="90"/>
  <c r="D79" i="90"/>
  <c r="D36" i="90"/>
  <c r="D34" i="90"/>
  <c r="D27" i="90"/>
  <c r="D143" i="90" l="1"/>
  <c r="G145" i="90"/>
  <c r="D145" i="90"/>
  <c r="D144" i="90"/>
  <c r="D118" i="90"/>
  <c r="D117" i="90"/>
  <c r="D116" i="90"/>
  <c r="G103" i="90"/>
  <c r="D103" i="90"/>
  <c r="G102" i="90"/>
  <c r="D102" i="90"/>
  <c r="G101" i="90"/>
  <c r="D101" i="90"/>
  <c r="G98" i="90"/>
  <c r="D98" i="90"/>
  <c r="G88" i="90"/>
  <c r="G72" i="90"/>
  <c r="D72" i="90"/>
  <c r="G68" i="90"/>
  <c r="D68" i="90"/>
  <c r="D49" i="90"/>
  <c r="G45" i="90"/>
  <c r="D45" i="90"/>
  <c r="G42" i="90"/>
  <c r="D42" i="90"/>
  <c r="D33" i="90"/>
  <c r="G15" i="90"/>
  <c r="D15" i="90"/>
  <c r="M13" i="87" l="1"/>
  <c r="L13" i="87"/>
  <c r="J13" i="87"/>
  <c r="I13" i="87"/>
  <c r="H13" i="87"/>
  <c r="G13" i="87"/>
  <c r="I12" i="87"/>
  <c r="H12" i="87"/>
  <c r="E12" i="87"/>
  <c r="D12" i="87"/>
  <c r="M11" i="87"/>
  <c r="L11" i="87"/>
  <c r="K11" i="87"/>
  <c r="J11" i="87"/>
  <c r="I11" i="87"/>
  <c r="G11" i="87"/>
  <c r="E11" i="87"/>
  <c r="I10" i="87"/>
  <c r="B10" i="87" s="1"/>
  <c r="B13" i="87" l="1"/>
  <c r="B12" i="87"/>
  <c r="B11" i="87"/>
  <c r="I51" i="84" l="1"/>
  <c r="I50" i="84"/>
  <c r="I49" i="84"/>
  <c r="D35" i="84"/>
  <c r="D53" i="84"/>
  <c r="D39" i="96"/>
</calcChain>
</file>

<file path=xl/sharedStrings.xml><?xml version="1.0" encoding="utf-8"?>
<sst xmlns="http://schemas.openxmlformats.org/spreadsheetml/2006/main" count="5900" uniqueCount="627">
  <si>
    <t>Departamento/Provincia</t>
  </si>
  <si>
    <t>Var. %</t>
  </si>
  <si>
    <t>AREQUIPA</t>
  </si>
  <si>
    <t xml:space="preserve"> -      </t>
  </si>
  <si>
    <t>-</t>
  </si>
  <si>
    <t>Arequipa</t>
  </si>
  <si>
    <t>AYACUCHO</t>
  </si>
  <si>
    <t>Cangallo</t>
  </si>
  <si>
    <t>Huamanga</t>
  </si>
  <si>
    <t>Huanta</t>
  </si>
  <si>
    <t>La Mar</t>
  </si>
  <si>
    <t>Lucanas</t>
  </si>
  <si>
    <t>Parinacochas</t>
  </si>
  <si>
    <t>Paucar del Sara Sara</t>
  </si>
  <si>
    <t>Sucre</t>
  </si>
  <si>
    <t>CAJAMARCA</t>
  </si>
  <si>
    <t>HUANCAVELICA</t>
  </si>
  <si>
    <t>Huancavelica</t>
  </si>
  <si>
    <t>HUÁNUCO</t>
  </si>
  <si>
    <t>Ambo</t>
  </si>
  <si>
    <t>Dos de Mayo</t>
  </si>
  <si>
    <t>Huánuco</t>
  </si>
  <si>
    <t>Leoncio Prado</t>
  </si>
  <si>
    <t>Marañón</t>
  </si>
  <si>
    <t>Pachitea</t>
  </si>
  <si>
    <t>ICA</t>
  </si>
  <si>
    <t>sigue…</t>
  </si>
  <si>
    <t>Junín</t>
  </si>
  <si>
    <t>Ascope</t>
  </si>
  <si>
    <t>Chepén</t>
  </si>
  <si>
    <t>Gran Chimú</t>
  </si>
  <si>
    <t>Otuzco</t>
  </si>
  <si>
    <t>Sánchez Carrión</t>
  </si>
  <si>
    <t>Santiago de Chuco</t>
  </si>
  <si>
    <t>Trujillo</t>
  </si>
  <si>
    <t>LAMBAYEQUE</t>
  </si>
  <si>
    <t>Chiclayo</t>
  </si>
  <si>
    <t>Ferreñafe</t>
  </si>
  <si>
    <t>Lambayeque</t>
  </si>
  <si>
    <t>PASCO</t>
  </si>
  <si>
    <t>Oxapampa</t>
  </si>
  <si>
    <t>Pasco</t>
  </si>
  <si>
    <t>PIURA</t>
  </si>
  <si>
    <t>Ayabaca</t>
  </si>
  <si>
    <t>Huancabamba</t>
  </si>
  <si>
    <t>Piura</t>
  </si>
  <si>
    <t>UCAYALI</t>
  </si>
  <si>
    <t>Coronel Portillo</t>
  </si>
  <si>
    <t>Fosfato Diamónico</t>
  </si>
  <si>
    <t xml:space="preserve"> -     </t>
  </si>
  <si>
    <t>Cloruro de Potasio</t>
  </si>
  <si>
    <t>Sulfato de Potasio</t>
  </si>
  <si>
    <t>Amazonas</t>
  </si>
  <si>
    <t>Ica</t>
  </si>
  <si>
    <t>Pacasmayo</t>
  </si>
  <si>
    <t>San Martín</t>
  </si>
  <si>
    <t>Producto</t>
  </si>
  <si>
    <t>Chulucanas</t>
  </si>
  <si>
    <t>Palpa</t>
  </si>
  <si>
    <t>Huallaga</t>
  </si>
  <si>
    <t>Picota</t>
  </si>
  <si>
    <t>Caylloma</t>
  </si>
  <si>
    <t>Huacaybamba</t>
  </si>
  <si>
    <t>Yarowilca</t>
  </si>
  <si>
    <t>Julcán</t>
  </si>
  <si>
    <t>Puno</t>
  </si>
  <si>
    <t>Virú</t>
  </si>
  <si>
    <t xml:space="preserve">Elaboración: Ministerio de Desarrollo Agrario y Riego - MIDAGRI </t>
  </si>
  <si>
    <t>Dirección General de Estadística, Seguimiento y Evaluación de Políticas - DEIA</t>
  </si>
  <si>
    <t>Santa Cruz</t>
  </si>
  <si>
    <t>Hualgayoc</t>
  </si>
  <si>
    <t>TUMBES</t>
  </si>
  <si>
    <t>Tumbes</t>
  </si>
  <si>
    <t>Zarumilla</t>
  </si>
  <si>
    <t>Contralmirante Villar</t>
  </si>
  <si>
    <t>LORETO</t>
  </si>
  <si>
    <t>Ucayali</t>
  </si>
  <si>
    <t>APURÍMAC</t>
  </si>
  <si>
    <t>Camaná</t>
  </si>
  <si>
    <t>Víctor Fajardo</t>
  </si>
  <si>
    <t>Huamalíes</t>
  </si>
  <si>
    <t>JUNÍN</t>
  </si>
  <si>
    <t>Bolívar</t>
  </si>
  <si>
    <t>Patáz</t>
  </si>
  <si>
    <t>SAN MARTÍN</t>
  </si>
  <si>
    <t>Castilla</t>
  </si>
  <si>
    <t>LA LIBERTAD</t>
  </si>
  <si>
    <t>Fuente: Gerencias y Direcciones Regionales de Agricultura</t>
  </si>
  <si>
    <t>Chupaca</t>
  </si>
  <si>
    <t>TACNA</t>
  </si>
  <si>
    <t>Tacna</t>
  </si>
  <si>
    <t>Apurímac</t>
  </si>
  <si>
    <t>Vilcas Huamán</t>
  </si>
  <si>
    <t>Daniel Alcides Carrión</t>
  </si>
  <si>
    <t>Región</t>
  </si>
  <si>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</si>
  <si>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</si>
  <si>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</si>
  <si>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</si>
  <si>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</si>
  <si>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</si>
  <si>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</si>
  <si>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</si>
  <si>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</si>
  <si>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</si>
  <si>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</si>
  <si>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</si>
  <si>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</si>
  <si>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 xml:space="preserve">Arequipa </t>
  </si>
  <si>
    <t>Ayacucho</t>
  </si>
  <si>
    <t>Cajamarca</t>
  </si>
  <si>
    <t>Cusco</t>
  </si>
  <si>
    <t>continúa C.102</t>
  </si>
  <si>
    <t>La Libertad</t>
  </si>
  <si>
    <t>Lima Metropolitana</t>
  </si>
  <si>
    <t xml:space="preserve">Lima </t>
  </si>
  <si>
    <t>52.50</t>
  </si>
  <si>
    <t>Loreto</t>
  </si>
  <si>
    <t>Madre de Dios</t>
  </si>
  <si>
    <t>Moquegua</t>
  </si>
  <si>
    <t>Nota: A partir del mes de Octubre 2024, el dato corresponde a un promedio simple obtenido del sistema SISISA.</t>
  </si>
  <si>
    <t xml:space="preserve">           (Soles por día)</t>
  </si>
  <si>
    <t>Departamento/    Provincia</t>
  </si>
  <si>
    <t xml:space="preserve">       …</t>
  </si>
  <si>
    <t>Lauricocha</t>
  </si>
  <si>
    <t>Puerto Inca</t>
  </si>
  <si>
    <t>Huanca Sancos</t>
  </si>
  <si>
    <t>La Unión</t>
  </si>
  <si>
    <t>FERTILIZANTES QUÍMICOS</t>
  </si>
  <si>
    <t>Úrea para uso agrícola</t>
  </si>
  <si>
    <t>Nitrato de Amónio</t>
  </si>
  <si>
    <t>Sulfato de Amónio</t>
  </si>
  <si>
    <t>continúa C.90</t>
  </si>
  <si>
    <t>Superfosfatos</t>
  </si>
  <si>
    <t xml:space="preserve">Sulfato de Magnesio y Potasio </t>
  </si>
  <si>
    <t>Fuente: Superintendencia Nacional de Administración Tributaria - SUNAT</t>
  </si>
  <si>
    <t xml:space="preserve">          (Tonelada)</t>
  </si>
  <si>
    <t>Total</t>
  </si>
  <si>
    <t xml:space="preserve">Fuente:  AGRORURAL  </t>
  </si>
  <si>
    <t>Año</t>
    <phoneticPr fontId="20" type="noConversion"/>
  </si>
  <si>
    <t xml:space="preserve">    -</t>
  </si>
  <si>
    <t xml:space="preserve">Cusco </t>
  </si>
  <si>
    <t>continúa C.104</t>
  </si>
  <si>
    <t>Lima</t>
  </si>
  <si>
    <t>Metropolitana</t>
  </si>
  <si>
    <t xml:space="preserve">     -      </t>
  </si>
  <si>
    <t>continúa C.105</t>
  </si>
  <si>
    <t xml:space="preserve">Lima Metropolitana </t>
  </si>
  <si>
    <t>110.00</t>
  </si>
  <si>
    <t xml:space="preserve">C.106  PERÚ: PRECIO DE ALQUILER DE TRACTOR Y YUNTA POR DEPARTAMENTO Y PROVINCIA, </t>
  </si>
  <si>
    <t>Tractor (s/*hora)</t>
  </si>
  <si>
    <t>Yunta (s/*día)</t>
  </si>
  <si>
    <t>2024</t>
  </si>
  <si>
    <t>Abancay</t>
  </si>
  <si>
    <t>Antabamba</t>
  </si>
  <si>
    <t xml:space="preserve">     -</t>
  </si>
  <si>
    <t>Cotabambas</t>
  </si>
  <si>
    <t>Curahuasi</t>
  </si>
  <si>
    <t xml:space="preserve">…     </t>
  </si>
  <si>
    <t>Grau</t>
  </si>
  <si>
    <t>2025</t>
  </si>
  <si>
    <t xml:space="preserve">Insumos y Servicios Agropecuarios </t>
  </si>
  <si>
    <t>Cuadro</t>
  </si>
  <si>
    <t xml:space="preserve">Descripción </t>
  </si>
  <si>
    <t xml:space="preserve">C.90 </t>
  </si>
  <si>
    <t>C.91</t>
  </si>
  <si>
    <t>C.92</t>
  </si>
  <si>
    <t>C.93</t>
  </si>
  <si>
    <t>C.94</t>
  </si>
  <si>
    <t>C.95</t>
  </si>
  <si>
    <t>C.96</t>
  </si>
  <si>
    <t>C.97</t>
  </si>
  <si>
    <t>C.98</t>
  </si>
  <si>
    <t>C.99</t>
  </si>
  <si>
    <t>C.100</t>
  </si>
  <si>
    <t>C.101</t>
  </si>
  <si>
    <t>C.102</t>
  </si>
  <si>
    <t>C.103</t>
  </si>
  <si>
    <t>C.104</t>
  </si>
  <si>
    <t>C.105</t>
  </si>
  <si>
    <t>C.106</t>
  </si>
  <si>
    <t>C.107</t>
  </si>
  <si>
    <t>C.108</t>
  </si>
  <si>
    <t>C.109</t>
  </si>
  <si>
    <t>C.110</t>
  </si>
  <si>
    <t>Lima Provincias</t>
  </si>
  <si>
    <t>Challhuahuacho</t>
  </si>
  <si>
    <t>LIMA METROPOLITANA</t>
  </si>
  <si>
    <t>Islay</t>
  </si>
  <si>
    <t>Chota</t>
  </si>
  <si>
    <t>Tayacaja</t>
  </si>
  <si>
    <t>Nota. En el mes de enero y febrero no se realizó ninguna actividad de recolección de guano de isla. El plan de manejo 2025 se aprobó en marzo</t>
  </si>
  <si>
    <t>MOQUEGUA</t>
  </si>
  <si>
    <t>Carumas</t>
  </si>
  <si>
    <t>General Sánchez Cerro</t>
  </si>
  <si>
    <t>Mariscal Nieto</t>
  </si>
  <si>
    <t>PUNO</t>
  </si>
  <si>
    <t>Yunguyo</t>
  </si>
  <si>
    <t>Chucuito</t>
  </si>
  <si>
    <t>San Román</t>
  </si>
  <si>
    <t>Lampa</t>
  </si>
  <si>
    <t>Huancané</t>
  </si>
  <si>
    <t>Moho</t>
  </si>
  <si>
    <t>Melgar</t>
  </si>
  <si>
    <t>Carabaya</t>
  </si>
  <si>
    <t>Sandía</t>
  </si>
  <si>
    <t>LIMA METROPOLITANA*</t>
  </si>
  <si>
    <t>Ichuña</t>
  </si>
  <si>
    <t>Estación Experimental Agraria</t>
  </si>
  <si>
    <t>Especie</t>
  </si>
  <si>
    <t>Raza</t>
  </si>
  <si>
    <t>Categoría</t>
  </si>
  <si>
    <t>Cantidad   Macho</t>
  </si>
  <si>
    <t>Cantidad  Hembra</t>
  </si>
  <si>
    <t>S/</t>
  </si>
  <si>
    <t>Cuy</t>
  </si>
  <si>
    <t>Andina</t>
  </si>
  <si>
    <t>Recría</t>
  </si>
  <si>
    <t>Reproductores</t>
  </si>
  <si>
    <t>Inti</t>
  </si>
  <si>
    <t>Kuri</t>
  </si>
  <si>
    <t>Perú</t>
  </si>
  <si>
    <t>Andenes / Cusco</t>
  </si>
  <si>
    <t>Bovino</t>
  </si>
  <si>
    <t>Girolando</t>
  </si>
  <si>
    <t>Torete / Vaquilla</t>
  </si>
  <si>
    <t>Canaán / Ayacucho</t>
  </si>
  <si>
    <t>Canchán / Huánuco</t>
  </si>
  <si>
    <t>La Molina / Lima Metropolitana</t>
  </si>
  <si>
    <t>Mejorados</t>
  </si>
  <si>
    <t>Chumbibamba / Apurímac</t>
  </si>
  <si>
    <t>Donoso / Lima</t>
  </si>
  <si>
    <t>El Porvenir / San Martín</t>
  </si>
  <si>
    <t>Brown Swiss x Gyr Lechero</t>
  </si>
  <si>
    <t>Ovino</t>
  </si>
  <si>
    <t>Dorper x Pelibuey</t>
  </si>
  <si>
    <t>Carnerillo / Borreguilla</t>
  </si>
  <si>
    <t>Illpa / Puno</t>
  </si>
  <si>
    <t>Moquegua / Moquegua</t>
  </si>
  <si>
    <t>Santa Ana / Junín</t>
  </si>
  <si>
    <t>Línea Saños</t>
  </si>
  <si>
    <t>Vista Florida / Lambayeque</t>
  </si>
  <si>
    <t>Inka</t>
  </si>
  <si>
    <t>Blackbelly</t>
  </si>
  <si>
    <t>Fuente:  INIA, Estaciones Experimentales Agrarias.</t>
  </si>
  <si>
    <t>Plantón</t>
  </si>
  <si>
    <t>Cultivar</t>
  </si>
  <si>
    <t>Cantidad</t>
  </si>
  <si>
    <t>Lúcumo</t>
  </si>
  <si>
    <t>Seda</t>
  </si>
  <si>
    <t>Injerto</t>
  </si>
  <si>
    <t>Hass</t>
  </si>
  <si>
    <t>Palto</t>
  </si>
  <si>
    <t>Fuerte</t>
  </si>
  <si>
    <t>Chirimoyo</t>
  </si>
  <si>
    <t>Cumbe</t>
  </si>
  <si>
    <t>Maracuyá</t>
  </si>
  <si>
    <t>Amarrillo</t>
  </si>
  <si>
    <t>Patrón</t>
  </si>
  <si>
    <t>Chincha / Ica</t>
  </si>
  <si>
    <t>Vid</t>
  </si>
  <si>
    <t>Torontel</t>
  </si>
  <si>
    <t>Borgoña Blanca</t>
  </si>
  <si>
    <t>Quebranta</t>
  </si>
  <si>
    <t>Thompsom</t>
  </si>
  <si>
    <t>Borgoña Negra</t>
  </si>
  <si>
    <t>Red Globe</t>
  </si>
  <si>
    <t>Cabernet Sauvignon</t>
  </si>
  <si>
    <t>Malbec</t>
  </si>
  <si>
    <t>Tempranillo</t>
  </si>
  <si>
    <t>Italia Blanca</t>
  </si>
  <si>
    <t>Tannat</t>
  </si>
  <si>
    <t>Merlot</t>
  </si>
  <si>
    <t>Donoso - Lima</t>
  </si>
  <si>
    <t>Beltrán</t>
  </si>
  <si>
    <t>Mandarina</t>
  </si>
  <si>
    <t>Cleopatra</t>
  </si>
  <si>
    <t>Pitahaya</t>
  </si>
  <si>
    <t>Amarrilla</t>
  </si>
  <si>
    <t>Esqueje</t>
  </si>
  <si>
    <t>Fucsia</t>
  </si>
  <si>
    <t>El Chira / Piura</t>
  </si>
  <si>
    <t>Mango</t>
  </si>
  <si>
    <t>Kent / Cambodiano</t>
  </si>
  <si>
    <t>Kent / Chulucanas</t>
  </si>
  <si>
    <t>Cambodiano</t>
  </si>
  <si>
    <t>Ataulfo / Cambodiano</t>
  </si>
  <si>
    <t>Saigon</t>
  </si>
  <si>
    <t>Los Cedros / Tumbes</t>
  </si>
  <si>
    <t>Limonero</t>
  </si>
  <si>
    <t>Limón Sutil</t>
  </si>
  <si>
    <t>Granado</t>
  </si>
  <si>
    <t>Wonderfull</t>
  </si>
  <si>
    <t>sigue</t>
  </si>
  <si>
    <t>Cacao</t>
  </si>
  <si>
    <t>Pichanaki / Junín</t>
  </si>
  <si>
    <t>Naranja</t>
  </si>
  <si>
    <t>Tangelo Miniola</t>
  </si>
  <si>
    <t>Manzano</t>
  </si>
  <si>
    <t>California</t>
  </si>
  <si>
    <t>Pucallpa / Ucayali</t>
  </si>
  <si>
    <t>Boiaina</t>
  </si>
  <si>
    <t>Guaba</t>
  </si>
  <si>
    <t>Rugoso</t>
  </si>
  <si>
    <t>Tahití</t>
  </si>
  <si>
    <t>Río de Oro</t>
  </si>
  <si>
    <t>Zill</t>
  </si>
  <si>
    <t>Chico Rico</t>
  </si>
  <si>
    <t>Kent</t>
  </si>
  <si>
    <t>Haden</t>
  </si>
  <si>
    <t>Durazno</t>
  </si>
  <si>
    <t>Valencia</t>
  </si>
  <si>
    <t>Tangelo</t>
  </si>
  <si>
    <t>Undatus</t>
  </si>
  <si>
    <t>Tumbo</t>
  </si>
  <si>
    <t>Zapote</t>
  </si>
  <si>
    <t>Común</t>
  </si>
  <si>
    <t>Disponibilidad                   (kg)</t>
  </si>
  <si>
    <t>Densidad de siembra (kg/ha)</t>
  </si>
  <si>
    <t>Cobertura                           (ha)</t>
  </si>
  <si>
    <t>Cereales</t>
  </si>
  <si>
    <t>Trigo</t>
  </si>
  <si>
    <t>Maíz Amarillo Duro</t>
  </si>
  <si>
    <t>Maíz Amiláceo</t>
  </si>
  <si>
    <t>Arroz</t>
  </si>
  <si>
    <t>Cebada</t>
  </si>
  <si>
    <t>Avena</t>
  </si>
  <si>
    <t>Quinua</t>
  </si>
  <si>
    <t>Legumbres</t>
  </si>
  <si>
    <t>Haba</t>
  </si>
  <si>
    <t>Lenteja</t>
  </si>
  <si>
    <t>Tarwi</t>
  </si>
  <si>
    <t>Productos de forraje, fibras</t>
  </si>
  <si>
    <t>Triticale</t>
  </si>
  <si>
    <t xml:space="preserve"> </t>
  </si>
  <si>
    <t>Cultivo</t>
  </si>
  <si>
    <t>Clase</t>
  </si>
  <si>
    <t>kg</t>
  </si>
  <si>
    <t>S/ x kg</t>
  </si>
  <si>
    <t>Amazonas / Amazonas</t>
  </si>
  <si>
    <t>Avena Forrajera</t>
  </si>
  <si>
    <t>INIA 901 Mantaro 15</t>
  </si>
  <si>
    <t>Certificada</t>
  </si>
  <si>
    <t>Registrada</t>
  </si>
  <si>
    <t>INIA 903 Tayko Andenes</t>
  </si>
  <si>
    <t>Básica</t>
  </si>
  <si>
    <t>INIA 904 Vilcanota</t>
  </si>
  <si>
    <t>INIA 908 Mellicera</t>
  </si>
  <si>
    <t>Grignon</t>
  </si>
  <si>
    <t>INIA 618 Blanco Quispicanchi</t>
  </si>
  <si>
    <t>INIA 617 Chuska</t>
  </si>
  <si>
    <t>Autorizada</t>
  </si>
  <si>
    <t>INIA 405 San Isidro</t>
  </si>
  <si>
    <t>INIA 906 Salka</t>
  </si>
  <si>
    <t>INIA 515 La Capoteña</t>
  </si>
  <si>
    <t>Baños del Inca / Cajamarca</t>
  </si>
  <si>
    <t>INIA 905 La Cajamarquina</t>
  </si>
  <si>
    <t>INIA 402</t>
  </si>
  <si>
    <t>INIA 434 Espiga Misha</t>
  </si>
  <si>
    <t>INIA 620 Wari</t>
  </si>
  <si>
    <t>Marginal 28 Tropical</t>
  </si>
  <si>
    <t>La Molina / Lima</t>
  </si>
  <si>
    <t>Frijol</t>
  </si>
  <si>
    <t>Canario 2000</t>
  </si>
  <si>
    <t>PMV - 560 Blanco Urubamba</t>
  </si>
  <si>
    <t>INIA 418 El Nazareno</t>
  </si>
  <si>
    <t>Capirona INIA</t>
  </si>
  <si>
    <t>INIA 509 La Esperanza</t>
  </si>
  <si>
    <t>Vaina Blanca - INIA</t>
  </si>
  <si>
    <t>INIA 439 Costacen</t>
  </si>
  <si>
    <t>Caupí</t>
  </si>
  <si>
    <t>Ojo Negro Regional</t>
  </si>
  <si>
    <t>Ucayalino</t>
  </si>
  <si>
    <t>INIA 433 - Santa Ana/AIQ/FAO</t>
  </si>
  <si>
    <t>INIA 438 - Acollina</t>
  </si>
  <si>
    <t>Andenes 90</t>
  </si>
  <si>
    <t>INIA 445 Masacanchino</t>
  </si>
  <si>
    <t>INIA 433 - Antapampino</t>
  </si>
  <si>
    <t>INIA 502 - Pítipo</t>
  </si>
  <si>
    <t>INIA 508 - Tinajones</t>
  </si>
  <si>
    <t>INIA 509 - La Esperanza</t>
  </si>
  <si>
    <t>INIA 513 - La Puntilla</t>
  </si>
  <si>
    <t>INIA 515 - Capoteña</t>
  </si>
  <si>
    <t>IR - 43</t>
  </si>
  <si>
    <t>INIA 432 - Vaina Verde</t>
  </si>
  <si>
    <t>Parental CML - 287</t>
  </si>
  <si>
    <t>Parental CML - 451</t>
  </si>
  <si>
    <t>Genética</t>
  </si>
  <si>
    <t>INIA 411 San Cristóbal</t>
  </si>
  <si>
    <t>INIA 619 Megahíbrido</t>
  </si>
  <si>
    <t>INIA 510 - Mallares</t>
  </si>
  <si>
    <t xml:space="preserve">          (Soles por tonelada)</t>
  </si>
  <si>
    <t>Guano de Isla</t>
  </si>
  <si>
    <t>Gallinaza</t>
  </si>
  <si>
    <t>Humus de Lombríz</t>
  </si>
  <si>
    <t xml:space="preserve">   ...</t>
  </si>
  <si>
    <t xml:space="preserve">-      </t>
  </si>
  <si>
    <t>Cotabamba</t>
  </si>
  <si>
    <t>Vilcashuamán</t>
  </si>
  <si>
    <t xml:space="preserve">Chupaca </t>
  </si>
  <si>
    <t xml:space="preserve">LA LIBERTAD </t>
  </si>
  <si>
    <t>Daniel A. Carrión</t>
  </si>
  <si>
    <t>Morropón</t>
  </si>
  <si>
    <t>…</t>
  </si>
  <si>
    <t>C.95  PERÚ: PRECIO DE VENTA MINORISTA DE ABONO ORGÁNICO POR DEPARTAMENTO Y PROVINCIA,</t>
  </si>
  <si>
    <t>Caravelí</t>
  </si>
  <si>
    <t>Huaycabamba</t>
  </si>
  <si>
    <t>C.94  PERÚ: PRECIO DE VENTA MINORISTA DE FERTILIZANTES POTÁSICOS POR DEPARTAMENTO Y PROVINCIA,</t>
  </si>
  <si>
    <t>Sulfato de Magnesio y Potasio</t>
  </si>
  <si>
    <t xml:space="preserve"> ...    </t>
  </si>
  <si>
    <t>...</t>
  </si>
  <si>
    <t>Chanchamayo</t>
  </si>
  <si>
    <t>continúa C.94</t>
  </si>
  <si>
    <t xml:space="preserve"> -</t>
  </si>
  <si>
    <t>Sullana</t>
  </si>
  <si>
    <t>Superfosfato de Calcio Triple</t>
  </si>
  <si>
    <t>Roca Fosfórica</t>
  </si>
  <si>
    <t>C.93  PERÚ: PRECIO DE VENTA MINORISTA DE FERTILIZANTES FOSFATADOS POR DEPARTAMENTO Y PROVINCIA,</t>
  </si>
  <si>
    <t>Úrea Agrícola</t>
  </si>
  <si>
    <t>Nitrato de Amonio</t>
  </si>
  <si>
    <t>Sulfato de Amonio</t>
  </si>
  <si>
    <t>continúa C.92</t>
  </si>
  <si>
    <t xml:space="preserve">C.101  PERÚ: PRECIO MINORISTA DE REGULADORES DE CRECIMIENTO POR DEPARTAMENTO </t>
  </si>
  <si>
    <t>Activol                      (Pastilla)</t>
  </si>
  <si>
    <t>Aminofol                          (200 ml)</t>
  </si>
  <si>
    <t>Ergostín 
(200 ml)</t>
  </si>
  <si>
    <t>ANCASH</t>
  </si>
  <si>
    <t>Asunción</t>
  </si>
  <si>
    <t>Huaylas</t>
  </si>
  <si>
    <t>Ocros</t>
  </si>
  <si>
    <t>Marañon</t>
  </si>
  <si>
    <t>Pataz</t>
  </si>
  <si>
    <t>San Roman</t>
  </si>
  <si>
    <t xml:space="preserve">C.100  PERÚ: PRECIO MINORISTA DE NUTRIENTES FOLIARES POR DEPARTAMENTO Y PROVINCIA </t>
  </si>
  <si>
    <t xml:space="preserve">           (Soles por unidad de medida)</t>
  </si>
  <si>
    <t>Abonofol 20-20-20            (kg)</t>
  </si>
  <si>
    <t>Abonofol 30-30-30           (kg)</t>
  </si>
  <si>
    <t xml:space="preserve">Fetrilón combi                 (250 gr) </t>
  </si>
  <si>
    <t>Multifrut                           (kg)</t>
  </si>
  <si>
    <t xml:space="preserve"> ...</t>
  </si>
  <si>
    <t xml:space="preserve">C.99  PERÚ: PRECIO MINORISTA DE ADHERENTE POR DEPARTAMENTO Y PROVINCIA </t>
  </si>
  <si>
    <t xml:space="preserve">          (Soles por unidad de medida)</t>
  </si>
  <si>
    <t xml:space="preserve">C.98   PERÚ: PRECIO MINORISTA DE HERBICIDAS POR DEPARTAMENTO Y PROVINCIA  </t>
  </si>
  <si>
    <t xml:space="preserve">C.97  PERÚ: PRECIO MINORISTA DE FUNGICIDAS POR DEPARTAMENTO Y PROVINCIA SEGÚN PRODUCTO, </t>
  </si>
  <si>
    <t>Benzomil  500</t>
  </si>
  <si>
    <t>Cupravit</t>
  </si>
  <si>
    <t>Fitoraz  76% PM</t>
  </si>
  <si>
    <t>Bolivar</t>
  </si>
  <si>
    <t>..</t>
  </si>
  <si>
    <t>Yungay</t>
  </si>
  <si>
    <t>Candarave</t>
  </si>
  <si>
    <t xml:space="preserve">  ...        </t>
  </si>
  <si>
    <t xml:space="preserve">Contralmirante Villar </t>
  </si>
  <si>
    <t xml:space="preserve">       ...</t>
  </si>
  <si>
    <t>Blanco Urubamba (PMV560)</t>
  </si>
  <si>
    <t>INIA 615 Negro Canaan</t>
  </si>
  <si>
    <t>Pasco / Pasco</t>
  </si>
  <si>
    <t>Papa</t>
  </si>
  <si>
    <t>Maíz Morado</t>
  </si>
  <si>
    <t>Tubérculos</t>
  </si>
  <si>
    <t>Blanca</t>
  </si>
  <si>
    <t>Caimito</t>
  </si>
  <si>
    <t>Andino</t>
  </si>
  <si>
    <t>F1 (Brahman x Braunvieh)</t>
  </si>
  <si>
    <t>F1 (Gir lechero x Braunvieh)</t>
  </si>
  <si>
    <t>Gir Lechero</t>
  </si>
  <si>
    <t>Kúmulos  DF</t>
  </si>
  <si>
    <t>Huancasancos</t>
  </si>
  <si>
    <t>Candrave</t>
  </si>
  <si>
    <t>* Lima emplea caballos/día</t>
  </si>
  <si>
    <t>Putumayo</t>
  </si>
  <si>
    <t xml:space="preserve">Huanta </t>
  </si>
  <si>
    <t>Angaráes</t>
  </si>
  <si>
    <t>AMAZONAS</t>
  </si>
  <si>
    <t>Chachapoyas</t>
  </si>
  <si>
    <t>Luya</t>
  </si>
  <si>
    <t>Utcubamba</t>
  </si>
  <si>
    <t>Bagua</t>
  </si>
  <si>
    <t xml:space="preserve">        ...</t>
  </si>
  <si>
    <t>Churcampa</t>
  </si>
  <si>
    <t>continúa C.93</t>
  </si>
  <si>
    <t>Bellavista</t>
  </si>
  <si>
    <t>APURIMAC</t>
  </si>
  <si>
    <t>Coronel Portilla</t>
  </si>
  <si>
    <t>Bongará</t>
  </si>
  <si>
    <t>San Antonio de Putina</t>
  </si>
  <si>
    <t>Continúa C.106</t>
  </si>
  <si>
    <t>Chinca / Ica</t>
  </si>
  <si>
    <t>INIA 610 NUTRI Maíz</t>
  </si>
  <si>
    <t>Única</t>
  </si>
  <si>
    <t>Limón</t>
  </si>
  <si>
    <t>Dulce</t>
  </si>
  <si>
    <t>Condorcanqui</t>
  </si>
  <si>
    <t>Rodríguez de Mendoza</t>
  </si>
  <si>
    <t>Acobamba</t>
  </si>
  <si>
    <t>Tarata</t>
  </si>
  <si>
    <t>Nota: A partir del mes de Octubre 2024, el dato corresponde a un promedio simple obtenido del sistema SISISA</t>
  </si>
  <si>
    <t>INIA444 Siwina</t>
  </si>
  <si>
    <t>INIA 627 Patapo</t>
  </si>
  <si>
    <t>INIA 303 Canchán</t>
  </si>
  <si>
    <t>Frijol  Caupí</t>
  </si>
  <si>
    <t>Duke</t>
  </si>
  <si>
    <t>Guanabana</t>
  </si>
  <si>
    <t>Andahuaylas</t>
  </si>
  <si>
    <t>Elaboración: Ministerio de Desarrollo Agrario y Riego - MIDAGRI</t>
  </si>
  <si>
    <t>Aymaráes</t>
  </si>
  <si>
    <t>Hualygayoc</t>
  </si>
  <si>
    <t>Mariscal Luzuriaga</t>
  </si>
  <si>
    <t xml:space="preserve">Castilla </t>
  </si>
  <si>
    <t>Carlos Fermin Fitzcarrald</t>
  </si>
  <si>
    <t xml:space="preserve"> - </t>
  </si>
  <si>
    <t>continúa C.96</t>
  </si>
  <si>
    <t>continúa C.97</t>
  </si>
  <si>
    <t>Lurín</t>
  </si>
  <si>
    <t xml:space="preserve">Sencor 480  SC (Lt)  </t>
  </si>
  <si>
    <t>continúa C.98</t>
  </si>
  <si>
    <t>Daniel Alcides Carrion</t>
  </si>
  <si>
    <t xml:space="preserve">   Agridex           
(S/xLt) </t>
  </si>
  <si>
    <t>Agrotín
(S/xLt)</t>
  </si>
  <si>
    <t xml:space="preserve"> Citowet 
(S/xLt)</t>
  </si>
  <si>
    <t xml:space="preserve">continúa C.100 </t>
  </si>
  <si>
    <t>Pix                    
(Ll)</t>
  </si>
  <si>
    <t>continúa C.101</t>
  </si>
  <si>
    <t xml:space="preserve">Perú: Importación de fertilizantes químicos por producto según mes, Enero 2015 - Agosto 2025 (Tonelada) </t>
  </si>
  <si>
    <t>Perú: Producción de guano de isla según mes,  Enero 2015 - Agosto 2025 (Tonelada)</t>
  </si>
  <si>
    <t>Perú: Precio de venta minorista de fertilizantes nitrogenados por departamento y provincia, según producto Agosto 2024 - 2025 (Soles por tonelada)</t>
  </si>
  <si>
    <t>Perú: Precio de venta minorista de fertilizantes fosfatados por departamento y provincia según producto, Agosto 2024 - 2025 (Soles por tonelada)</t>
  </si>
  <si>
    <t>Perú: Precio de venta minorista de fertilizantes potásicos por departamento y provincia, según producto, Agosto 2024 - 2025 (Soles por tonelada)</t>
  </si>
  <si>
    <t>Perú: Precio de venta minorista de abono orgánico por departamento y provincia, según producto, Agosto 2024 - 2025 (Soles por tonelada)</t>
  </si>
  <si>
    <t>Perú: Precio minorista de insecticidas por departamento y provincia, según producto, Agosto 2025 (Soles por unidad de medida)</t>
  </si>
  <si>
    <t>Perú: Precio minorista de fungicidas por departamento y provincia, según producto, Agosto 2025 (Soles por kilogramo)</t>
  </si>
  <si>
    <t>Perú: Precio minorista de herbicidas por departamento y provincia, según producto, Agosto 2025 (Soles por unidad de medida)</t>
  </si>
  <si>
    <t>Perú: Precio minorista de adherente por departamento y provincia, según producto, Agosto 2025 (Soles por litro)</t>
  </si>
  <si>
    <t>Perú: Precio minorista de nutrientes foliares por departamento y provincia, según producto, Agosto 2025 (Soles por unidad de medida)</t>
  </si>
  <si>
    <t>Perú: Precio minorista de reguladores de crecimiento por departamento y provincia, según producto, Agosto 2025 (Soles por unidad de medida)</t>
  </si>
  <si>
    <t>Perú: Valor del jornal agrícola por región, según mes, Enero 2018 - Agosto 2025 (Soles por día)</t>
  </si>
  <si>
    <t>Perú: Valor del jornal agrícola por departamento y provincia, Agosto 2024 - 2025 (Soles por día)</t>
  </si>
  <si>
    <t>Perú: Precio de alquiler de tractor agrícola por región, según mes, Enero 2018 - Agosto 2025 (Soles por hora)</t>
  </si>
  <si>
    <t>Perú: Precio de alquiler de yunta por región, según mes, Enero 2018 - Agosto 2025 (Soles por día)</t>
  </si>
  <si>
    <t>Perú: Precio de alquiler de tractor y yunta por departamento y provincia, Agosto 2024 - 2025</t>
  </si>
  <si>
    <t xml:space="preserve">Perú: Disponibilidad y precio de venta de semilla mejorada en estaciomes experimentales agrarias, por región según categoria, 31 de Agosto 2025  </t>
  </si>
  <si>
    <t>Perú: Disponibilidad de semilla mejorada en estaciones experimentales agrarias por producto, 31 de Agosto 2025</t>
  </si>
  <si>
    <t xml:space="preserve">Perú: Disponibilidad y precio de venta de plantones en estaciones experimentales agrarias por región, según especie, 31 de Agosto 2025  </t>
  </si>
  <si>
    <t xml:space="preserve">Perú: Disponibilidad y precio de venta de reproductores en estaciones experimentales agrarias por región, según raza o línea, 31 de Agosto 2025   </t>
  </si>
  <si>
    <t>C.102  PERÚ: VALOR DEL JORNAL AGRÍCOLA POR REGIÓN SEGÚN MES, ENERO 2018 - AGOSTO 2025</t>
  </si>
  <si>
    <t>C.103  PERÚ: VALOR DEL JORNAL AGRÍCOLA POR DEPARTAMENTO Y PROVINCIA, AGOSTO 2024-2025</t>
  </si>
  <si>
    <t>Agosto</t>
  </si>
  <si>
    <t>Chincheros</t>
  </si>
  <si>
    <t>Huancarama</t>
  </si>
  <si>
    <t>Huancaray</t>
  </si>
  <si>
    <t>Condesuyos</t>
  </si>
  <si>
    <t>Concepción</t>
  </si>
  <si>
    <t>Huancayo</t>
  </si>
  <si>
    <t>Jauja</t>
  </si>
  <si>
    <t>Satipo</t>
  </si>
  <si>
    <t>Tarma</t>
  </si>
  <si>
    <t>Yauli</t>
  </si>
  <si>
    <t>El Collao</t>
  </si>
  <si>
    <t>Mariscal Cáceres</t>
  </si>
  <si>
    <t>Jorge Basadre</t>
  </si>
  <si>
    <t>MADRE DE DIOS</t>
  </si>
  <si>
    <t>Manu</t>
  </si>
  <si>
    <t>Tahuamanu</t>
  </si>
  <si>
    <t>Tambopata</t>
  </si>
  <si>
    <t>Chincha</t>
  </si>
  <si>
    <t>Nasca</t>
  </si>
  <si>
    <t>Pisco</t>
  </si>
  <si>
    <t>C.104  PERÚ: PRECIO ALQUILER DE TRACTOR AGRÍCOLA, POR REGIÓN, SEGÚN MES, ENERO 2018 - AGOSTO 2025</t>
  </si>
  <si>
    <t>C.105  PERÚ: PRECIO ALQUILER DE YUNTA POR REGIÓN SEGÚN MES, ENERO 2018 - AGOSTO 2025</t>
  </si>
  <si>
    <t>C.91  PERÚ: PRODUCCIÓN DE GUANO DE ISLA SEGÚN MES, ENERO 2015 - AGOSTO 2025</t>
  </si>
  <si>
    <t>Ene-Ago</t>
  </si>
  <si>
    <t>C.90  PERÚ: IMPORTACIÓN DE FERTILIZANTES QUÍMICOS POR PRODUCTO SEGÚN MES, ENERO 2015 - AGOSTO 2025 (Tonelada)</t>
  </si>
  <si>
    <t xml:space="preserve">….       </t>
  </si>
  <si>
    <t>C.107  PERÚ: DISPONIBILIDAD Y PRECIO DE VENTA DE SEMILLA MEJORADA EN ESTACIONES EXPERIMENTALES AGRARIAS,</t>
  </si>
  <si>
    <t>Revolución</t>
  </si>
  <si>
    <t>INIA 601</t>
  </si>
  <si>
    <t>Peruanita</t>
  </si>
  <si>
    <t>INIA 626 Akira</t>
  </si>
  <si>
    <t>INIA 423 Gigante Yunguyo</t>
  </si>
  <si>
    <t>INIA 415 Pasankalla</t>
  </si>
  <si>
    <t>INIA 431 Altiplano</t>
  </si>
  <si>
    <t>C.108  PERÚ: DISPONIBILIDAD DE SEMILLA MEJORADA EN ESTACIONES EXPERIMENTALES AGRARIAS</t>
  </si>
  <si>
    <t>Sutil</t>
  </si>
  <si>
    <t>C.110  PERÚ: DISPONIBILIDAD Y PRECIO DE VENTA DE REPRODUCTORES EN ESTACIONES EXPERIMENTALES AGRARIAS POR REGIONES,</t>
  </si>
  <si>
    <t>Huarmey</t>
  </si>
  <si>
    <t>Pallasca</t>
  </si>
  <si>
    <t>Pomabamba</t>
  </si>
  <si>
    <t>Caondesuyos</t>
  </si>
  <si>
    <t xml:space="preserve">Huarmey </t>
  </si>
  <si>
    <t>Aymaraes</t>
  </si>
  <si>
    <t xml:space="preserve">          SEGÚN PRODUCTO, AGOSTO 2025</t>
  </si>
  <si>
    <t xml:space="preserve">           SEGÚN PRODUCTO, AGOSTO 2025</t>
  </si>
  <si>
    <t xml:space="preserve">          PROVINCIA, SEGÚN PRODUCTO, AGOSTO 2024-2025</t>
  </si>
  <si>
    <t>C.92   PERÚ: PRECIO DE VENTA MINORISTA DE FERTILIZANTES NITROGENADOS POR DEPARTAMENTO Y</t>
  </si>
  <si>
    <t xml:space="preserve">         SEGÚN PRODUCTO AGOSTO 2024-2025</t>
  </si>
  <si>
    <t xml:space="preserve">         (Soles por tonelada)</t>
  </si>
  <si>
    <t xml:space="preserve">         SEGÚN PRODUCTO, AGOSTO 2024-2025</t>
  </si>
  <si>
    <t>Departamento/      Provincia</t>
  </si>
  <si>
    <t xml:space="preserve">         (Soles por unidad de medida)</t>
  </si>
  <si>
    <t>Campal 250 EC (S/x L)</t>
  </si>
  <si>
    <t>Cipermex Súper  (S/x L)</t>
  </si>
  <si>
    <t>Magistral 50 EC (S/x L)</t>
  </si>
  <si>
    <t>Tifon 4E (S/x L)</t>
  </si>
  <si>
    <t>Cipermex Súper (S/x L)</t>
  </si>
  <si>
    <t xml:space="preserve">C.96  PERÚ: PRECIO MINORISTA DE INSECTICIDAS POR DEPARTAMENTO Y PROVINCIA, </t>
  </si>
  <si>
    <t xml:space="preserve">         SEGÚN PRODUCTO, AGOSTO 2025 </t>
  </si>
  <si>
    <t>Tifon 4E            (S/x L)</t>
  </si>
  <si>
    <t xml:space="preserve">         AGOSTO 2025. (Soles por kilogramo)</t>
  </si>
  <si>
    <t>Embate 480 SL     (Lt)</t>
  </si>
  <si>
    <t>Goal 2 EC        (250 ml)</t>
  </si>
  <si>
    <t xml:space="preserve">         SEGÚN PRODUCTO,  AGOSTO 2025</t>
  </si>
  <si>
    <t xml:space="preserve">         (Soles por litro)</t>
  </si>
  <si>
    <t>Departamento/               Provincia</t>
  </si>
  <si>
    <t xml:space="preserve">           Y PROVINCIA SEGÚN PRODUCTO, AGOSTO 2025</t>
  </si>
  <si>
    <t>continúa</t>
  </si>
  <si>
    <t xml:space="preserve">           (Soles por hora)</t>
  </si>
  <si>
    <t xml:space="preserve">           AGOSTO 2024-2025</t>
  </si>
  <si>
    <t xml:space="preserve">           POR REGIÓN SEGÚN CATEGORÍA, 31 DE AGOSTO 2025</t>
  </si>
  <si>
    <t xml:space="preserve">           POR PRODUCTO, 31 DE AGOSTO 2025</t>
  </si>
  <si>
    <r>
      <t>Fuente</t>
    </r>
    <r>
      <rPr>
        <u/>
        <sz val="6"/>
        <color indexed="8"/>
        <rFont val="Arial Narrow"/>
        <family val="2"/>
      </rPr>
      <t>:  INIA, Estaciones Experimentales Agrarias.</t>
    </r>
  </si>
  <si>
    <t xml:space="preserve">C.109  PERÚ: DISPONIBILIDAD Y PRECIO DE VENTA DE PLANTON EN ESTACIONES EXPERIMENTALES AGRARIAS </t>
  </si>
  <si>
    <t xml:space="preserve">          POR REGIÓN, SEGÚN ESPECIE, 31 DE AGOSTO 2025</t>
  </si>
  <si>
    <t xml:space="preserve">          SEGÚN RAZA O LÍNEA, 31 DE AGOSTO 2025</t>
  </si>
  <si>
    <t>continúa C.107</t>
  </si>
  <si>
    <t xml:space="preserve">          SEGÚN PRODUCTO, AGOSTO 2024-2025</t>
  </si>
  <si>
    <t xml:space="preserve">           (Soles por tonelada)</t>
  </si>
  <si>
    <t>Departamento/          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</si>
</sst>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#,##0.0"/>
    <numFmt numFmtId="166" formatCode="0.0"/>
    <numFmt numFmtId="167" formatCode="#\ ##0"/>
    <numFmt numFmtId="168" formatCode="0_)"/>
    <numFmt numFmtId="169" formatCode="#,##0.00__"/>
    <numFmt numFmtId="170" formatCode="#,##0____"/>
    <numFmt numFmtId="171" formatCode="#,##0.0____"/>
    <numFmt numFmtId="172" formatCode="#,##0.00____"/>
    <numFmt numFmtId="173" formatCode="#,##0.0______"/>
    <numFmt numFmtId="174" formatCode="_ * #,##0.00_ ;_ * \-#,##0.00_ ;_ * &quot;-&quot;??_ ;_ @_ "/>
    <numFmt numFmtId="175" formatCode="0.0______"/>
    <numFmt numFmtId="176" formatCode="0.00__"/>
    <numFmt numFmtId="177" formatCode="General_)"/>
    <numFmt numFmtId="178" formatCode="#,##0__"/>
    <numFmt numFmtId="179" formatCode="#\ ##,000"/>
    <numFmt numFmtId="180" formatCode="#,##0&quot;Pts&quot;_);\(#,##0&quot;Pts&quot;\)"/>
    <numFmt numFmtId="181" formatCode="#,##0.00_ ;\-#,##0.00\ "/>
    <numFmt numFmtId="182" formatCode="#,##0______"/>
    <numFmt numFmtId="183" formatCode="#,##0.00______"/>
    <numFmt numFmtId="184" formatCode="#,##0__________"/>
    <numFmt numFmtId="185" formatCode="#,##0________________"/>
    <numFmt numFmtId="186" formatCode="#\ ##0.00"/>
    <numFmt numFmtId="187" formatCode="0.0____"/>
    <numFmt numFmtId="188" formatCode="#,##0.0__"/>
    <numFmt numFmtId="189" formatCode="#\ ##0.00__"/>
    <numFmt numFmtId="190" formatCode="0.00____"/>
  </numFmts>
  <fonts count="7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sz val="6"/>
      <color theme="1"/>
      <name val="Arial Narrow"/>
      <family val="2"/>
    </font>
    <font>
      <b/>
      <sz val="8"/>
      <color rgb="FF000000"/>
      <name val="Arial Narrow"/>
      <family val="2"/>
    </font>
    <font>
      <sz val="7"/>
      <color theme="1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8"/>
      <name val="Helvetica"/>
      <family val="2"/>
    </font>
    <font>
      <sz val="10"/>
      <name val="Arial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sz val="10"/>
      <color rgb="FF000000"/>
      <name val="Arial"/>
      <family val="2"/>
      <scheme val="minor"/>
    </font>
    <font>
      <sz val="6"/>
      <name val="Arial Narrow"/>
      <family val="2"/>
    </font>
    <font>
      <sz val="8"/>
      <name val="Times New Roman"/>
      <family val="1"/>
      <charset val="204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8"/>
      <color rgb="FF000000"/>
      <name val="Arial Narrow"/>
      <family val="2"/>
    </font>
    <font>
      <sz val="8"/>
      <color rgb="FFFF0000"/>
      <name val="Arial Narrow"/>
      <family val="2"/>
    </font>
    <font>
      <sz val="10"/>
      <color rgb="FF000000"/>
      <name val="Arial"/>
      <family val="2"/>
      <scheme val="minor"/>
    </font>
    <font>
      <sz val="10"/>
      <name val="Times"/>
      <family val="1"/>
    </font>
    <font>
      <b/>
      <sz val="9"/>
      <color rgb="FF000000"/>
      <name val="Arial Narrow"/>
      <family val="2"/>
    </font>
    <font>
      <sz val="8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6"/>
      <color indexed="8"/>
      <name val="Arial Narrow"/>
      <family val="2"/>
    </font>
    <font>
      <b/>
      <sz val="9"/>
      <color indexed="10"/>
      <name val="Arial Narrow"/>
      <family val="2"/>
    </font>
    <font>
      <b/>
      <sz val="9"/>
      <color rgb="FFFF0000"/>
      <name val="Arial Narrow"/>
      <family val="2"/>
    </font>
    <font>
      <b/>
      <sz val="8"/>
      <color rgb="FFFF0000"/>
      <name val="Arial Narrow"/>
      <family val="2"/>
    </font>
    <font>
      <sz val="6"/>
      <color rgb="FF000000"/>
      <name val="Arial Narrow"/>
      <family val="2"/>
    </font>
    <font>
      <sz val="10"/>
      <color rgb="FFFF0000"/>
      <name val="Arial Narrow"/>
      <family val="2"/>
    </font>
    <font>
      <b/>
      <sz val="7"/>
      <color rgb="FF000000"/>
      <name val="Arial Narrow"/>
      <family val="2"/>
    </font>
    <font>
      <u/>
      <sz val="10"/>
      <color rgb="FF000000"/>
      <name val="Arial Narrow"/>
      <family val="2"/>
    </font>
    <font>
      <b/>
      <u/>
      <sz val="9"/>
      <name val="Arial Narrow"/>
      <family val="2"/>
    </font>
    <font>
      <u/>
      <sz val="9"/>
      <name val="Arial Narrow"/>
      <family val="2"/>
    </font>
    <font>
      <b/>
      <u/>
      <sz val="8"/>
      <name val="Arial Narrow"/>
      <family val="2"/>
    </font>
    <font>
      <b/>
      <u/>
      <sz val="8"/>
      <color theme="1"/>
      <name val="Arial Narrow"/>
      <family val="2"/>
    </font>
    <font>
      <u/>
      <sz val="8"/>
      <color theme="1"/>
      <name val="Arial Narrow"/>
      <family val="2"/>
    </font>
    <font>
      <u/>
      <sz val="6"/>
      <name val="Arial Narrow"/>
      <family val="2"/>
    </font>
    <font>
      <u/>
      <sz val="6"/>
      <color indexed="8"/>
      <name val="Arial Narrow"/>
      <family val="2"/>
    </font>
  </fonts>
  <fills count="4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8"/>
      </patternFill>
    </fill>
    <fill>
      <patternFill patternType="solid">
        <fgColor rgb="FFFEF5C2"/>
        <bgColor indexed="64"/>
      </patternFill>
    </fill>
    <fill>
      <patternFill patternType="solid">
        <fgColor rgb="FFF1EFDC"/>
        <bgColor indexed="64"/>
      </patternFill>
    </fill>
    <fill>
      <patternFill patternType="solid">
        <fgColor rgb="FFFEF5C2"/>
        <bgColor rgb="FF83B88C"/>
      </patternFill>
    </fill>
    <fill>
      <patternFill patternType="solid">
        <fgColor rgb="FFF1EFDC"/>
        <bgColor rgb="FFB4DCB6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EF5C2"/>
        <bgColor rgb="FFFEF5C2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68">
    <xf numFmtId="0" fontId="0" fillId="0" borderId="0"/>
    <xf numFmtId="168" fontId="24" fillId="0" borderId="3"/>
    <xf numFmtId="0" fontId="25" fillId="0" borderId="3"/>
    <xf numFmtId="174" fontId="25" fillId="0" borderId="3" applyFont="0" applyFill="0" applyBorder="0" applyAlignment="0" applyProtection="0"/>
    <xf numFmtId="0" fontId="25" fillId="0" borderId="3"/>
    <xf numFmtId="0" fontId="30" fillId="0" borderId="3"/>
    <xf numFmtId="0" fontId="11" fillId="0" borderId="3"/>
    <xf numFmtId="0" fontId="32" fillId="0" borderId="7" applyNumberFormat="0" applyFill="0" applyAlignment="0" applyProtection="0"/>
    <xf numFmtId="0" fontId="33" fillId="0" borderId="8" applyNumberFormat="0" applyFill="0" applyAlignment="0" applyProtection="0"/>
    <xf numFmtId="0" fontId="34" fillId="0" borderId="9" applyNumberFormat="0" applyFill="0" applyAlignment="0" applyProtection="0"/>
    <xf numFmtId="0" fontId="38" fillId="8" borderId="10" applyNumberFormat="0" applyAlignment="0" applyProtection="0"/>
    <xf numFmtId="0" fontId="39" fillId="9" borderId="11" applyNumberFormat="0" applyAlignment="0" applyProtection="0"/>
    <xf numFmtId="0" fontId="40" fillId="9" borderId="10" applyNumberFormat="0" applyAlignment="0" applyProtection="0"/>
    <xf numFmtId="0" fontId="41" fillId="0" borderId="12" applyNumberFormat="0" applyFill="0" applyAlignment="0" applyProtection="0"/>
    <xf numFmtId="0" fontId="42" fillId="10" borderId="13" applyNumberFormat="0" applyAlignment="0" applyProtection="0"/>
    <xf numFmtId="0" fontId="45" fillId="0" borderId="15" applyNumberFormat="0" applyFill="0" applyAlignment="0" applyProtection="0"/>
    <xf numFmtId="0" fontId="47" fillId="0" borderId="3"/>
    <xf numFmtId="0" fontId="31" fillId="0" borderId="3" applyNumberFormat="0" applyFill="0" applyBorder="0" applyAlignment="0" applyProtection="0"/>
    <xf numFmtId="0" fontId="34" fillId="0" borderId="3" applyNumberFormat="0" applyFill="0" applyBorder="0" applyAlignment="0" applyProtection="0"/>
    <xf numFmtId="0" fontId="35" fillId="5" borderId="3" applyNumberFormat="0" applyBorder="0" applyAlignment="0" applyProtection="0"/>
    <xf numFmtId="0" fontId="36" fillId="6" borderId="3" applyNumberFormat="0" applyBorder="0" applyAlignment="0" applyProtection="0"/>
    <xf numFmtId="0" fontId="37" fillId="7" borderId="3" applyNumberFormat="0" applyBorder="0" applyAlignment="0" applyProtection="0"/>
    <xf numFmtId="0" fontId="43" fillId="0" borderId="3" applyNumberFormat="0" applyFill="0" applyBorder="0" applyAlignment="0" applyProtection="0"/>
    <xf numFmtId="0" fontId="44" fillId="0" borderId="3" applyNumberFormat="0" applyFill="0" applyBorder="0" applyAlignment="0" applyProtection="0"/>
    <xf numFmtId="0" fontId="46" fillId="12" borderId="3" applyNumberFormat="0" applyBorder="0" applyAlignment="0" applyProtection="0"/>
    <xf numFmtId="0" fontId="10" fillId="13" borderId="3" applyNumberFormat="0" applyBorder="0" applyAlignment="0" applyProtection="0"/>
    <xf numFmtId="0" fontId="10" fillId="14" borderId="3" applyNumberFormat="0" applyBorder="0" applyAlignment="0" applyProtection="0"/>
    <xf numFmtId="0" fontId="10" fillId="15" borderId="3" applyNumberFormat="0" applyBorder="0" applyAlignment="0" applyProtection="0"/>
    <xf numFmtId="0" fontId="46" fillId="16" borderId="3" applyNumberFormat="0" applyBorder="0" applyAlignment="0" applyProtection="0"/>
    <xf numFmtId="0" fontId="10" fillId="17" borderId="3" applyNumberFormat="0" applyBorder="0" applyAlignment="0" applyProtection="0"/>
    <xf numFmtId="0" fontId="10" fillId="18" borderId="3" applyNumberFormat="0" applyBorder="0" applyAlignment="0" applyProtection="0"/>
    <xf numFmtId="0" fontId="10" fillId="19" borderId="3" applyNumberFormat="0" applyBorder="0" applyAlignment="0" applyProtection="0"/>
    <xf numFmtId="0" fontId="46" fillId="20" borderId="3" applyNumberFormat="0" applyBorder="0" applyAlignment="0" applyProtection="0"/>
    <xf numFmtId="0" fontId="10" fillId="21" borderId="3" applyNumberFormat="0" applyBorder="0" applyAlignment="0" applyProtection="0"/>
    <xf numFmtId="0" fontId="10" fillId="22" borderId="3" applyNumberFormat="0" applyBorder="0" applyAlignment="0" applyProtection="0"/>
    <xf numFmtId="0" fontId="10" fillId="23" borderId="3" applyNumberFormat="0" applyBorder="0" applyAlignment="0" applyProtection="0"/>
    <xf numFmtId="0" fontId="46" fillId="24" borderId="3" applyNumberFormat="0" applyBorder="0" applyAlignment="0" applyProtection="0"/>
    <xf numFmtId="0" fontId="10" fillId="25" borderId="3" applyNumberFormat="0" applyBorder="0" applyAlignment="0" applyProtection="0"/>
    <xf numFmtId="0" fontId="10" fillId="26" borderId="3" applyNumberFormat="0" applyBorder="0" applyAlignment="0" applyProtection="0"/>
    <xf numFmtId="0" fontId="10" fillId="27" borderId="3" applyNumberFormat="0" applyBorder="0" applyAlignment="0" applyProtection="0"/>
    <xf numFmtId="0" fontId="46" fillId="28" borderId="3" applyNumberFormat="0" applyBorder="0" applyAlignment="0" applyProtection="0"/>
    <xf numFmtId="0" fontId="10" fillId="29" borderId="3" applyNumberFormat="0" applyBorder="0" applyAlignment="0" applyProtection="0"/>
    <xf numFmtId="0" fontId="10" fillId="30" borderId="3" applyNumberFormat="0" applyBorder="0" applyAlignment="0" applyProtection="0"/>
    <xf numFmtId="0" fontId="10" fillId="31" borderId="3" applyNumberFormat="0" applyBorder="0" applyAlignment="0" applyProtection="0"/>
    <xf numFmtId="0" fontId="46" fillId="32" borderId="3" applyNumberFormat="0" applyBorder="0" applyAlignment="0" applyProtection="0"/>
    <xf numFmtId="0" fontId="10" fillId="33" borderId="3" applyNumberFormat="0" applyBorder="0" applyAlignment="0" applyProtection="0"/>
    <xf numFmtId="0" fontId="10" fillId="34" borderId="3" applyNumberFormat="0" applyBorder="0" applyAlignment="0" applyProtection="0"/>
    <xf numFmtId="0" fontId="10" fillId="35" borderId="3" applyNumberFormat="0" applyBorder="0" applyAlignment="0" applyProtection="0"/>
    <xf numFmtId="0" fontId="10" fillId="0" borderId="3"/>
    <xf numFmtId="0" fontId="10" fillId="11" borderId="14" applyNumberFormat="0" applyFont="0" applyAlignment="0" applyProtection="0"/>
    <xf numFmtId="0" fontId="9" fillId="0" borderId="3"/>
    <xf numFmtId="0" fontId="48" fillId="0" borderId="3"/>
    <xf numFmtId="0" fontId="8" fillId="0" borderId="3"/>
    <xf numFmtId="43" fontId="28" fillId="0" borderId="3" applyFont="0" applyFill="0" applyBorder="0" applyAlignment="0" applyProtection="0"/>
    <xf numFmtId="164" fontId="28" fillId="0" borderId="3" applyFont="0" applyFill="0" applyBorder="0" applyAlignment="0" applyProtection="0"/>
    <xf numFmtId="0" fontId="28" fillId="0" borderId="3"/>
    <xf numFmtId="0" fontId="7" fillId="0" borderId="3"/>
    <xf numFmtId="0" fontId="6" fillId="0" borderId="3"/>
    <xf numFmtId="37" fontId="52" fillId="0" borderId="3"/>
    <xf numFmtId="0" fontId="5" fillId="0" borderId="3"/>
    <xf numFmtId="0" fontId="51" fillId="0" borderId="3"/>
    <xf numFmtId="0" fontId="4" fillId="0" borderId="3"/>
    <xf numFmtId="0" fontId="55" fillId="0" borderId="3"/>
    <xf numFmtId="0" fontId="3" fillId="0" borderId="3"/>
    <xf numFmtId="0" fontId="2" fillId="0" borderId="3"/>
    <xf numFmtId="0" fontId="56" fillId="0" borderId="3"/>
    <xf numFmtId="0" fontId="28" fillId="0" borderId="3"/>
    <xf numFmtId="0" fontId="1" fillId="0" borderId="3"/>
  </cellStyleXfs>
  <cellXfs count="788">
    <xf numFmtId="0" fontId="0" fillId="0" borderId="0" xfId="0"/>
    <xf numFmtId="171" fontId="20" fillId="4" borderId="3" xfId="3" applyNumberFormat="1" applyFont="1" applyFill="1" applyBorder="1" applyAlignment="1">
      <alignment horizontal="right" vertical="center"/>
    </xf>
    <xf numFmtId="0" fontId="27" fillId="0" borderId="3" xfId="55" applyFont="1"/>
    <xf numFmtId="3" fontId="13" fillId="0" borderId="3" xfId="55" applyNumberFormat="1" applyFont="1" applyAlignment="1">
      <alignment vertical="center"/>
    </xf>
    <xf numFmtId="0" fontId="27" fillId="0" borderId="16" xfId="55" applyFont="1" applyBorder="1"/>
    <xf numFmtId="169" fontId="20" fillId="4" borderId="3" xfId="55" applyNumberFormat="1" applyFont="1" applyFill="1" applyAlignment="1">
      <alignment horizontal="center" vertical="center"/>
    </xf>
    <xf numFmtId="172" fontId="13" fillId="4" borderId="3" xfId="55" applyNumberFormat="1" applyFont="1" applyFill="1" applyAlignment="1">
      <alignment horizontal="center" vertical="center"/>
    </xf>
    <xf numFmtId="0" fontId="27" fillId="4" borderId="3" xfId="55" applyFont="1" applyFill="1"/>
    <xf numFmtId="0" fontId="15" fillId="0" borderId="3" xfId="55" applyFont="1" applyAlignment="1">
      <alignment horizontal="center" vertical="center"/>
    </xf>
    <xf numFmtId="0" fontId="15" fillId="4" borderId="3" xfId="55" applyFont="1" applyFill="1" applyAlignment="1">
      <alignment horizontal="center" vertical="center"/>
    </xf>
    <xf numFmtId="0" fontId="29" fillId="4" borderId="0" xfId="0" applyFont="1" applyFill="1" applyAlignment="1">
      <alignment vertical="center"/>
    </xf>
    <xf numFmtId="1" fontId="13" fillId="4" borderId="3" xfId="55" applyNumberFormat="1" applyFont="1" applyFill="1" applyAlignment="1">
      <alignment horizontal="center" vertical="center"/>
    </xf>
    <xf numFmtId="0" fontId="21" fillId="4" borderId="3" xfId="55" applyFont="1" applyFill="1"/>
    <xf numFmtId="2" fontId="13" fillId="4" borderId="3" xfId="55" applyNumberFormat="1" applyFont="1" applyFill="1" applyAlignment="1">
      <alignment horizontal="center" vertical="center"/>
    </xf>
    <xf numFmtId="0" fontId="13" fillId="4" borderId="3" xfId="55" applyFont="1" applyFill="1"/>
    <xf numFmtId="0" fontId="15" fillId="4" borderId="3" xfId="55" applyFont="1" applyFill="1" applyAlignment="1">
      <alignment horizontal="left"/>
    </xf>
    <xf numFmtId="0" fontId="13" fillId="4" borderId="3" xfId="55" applyFont="1" applyFill="1" applyAlignment="1">
      <alignment horizontal="left"/>
    </xf>
    <xf numFmtId="0" fontId="23" fillId="4" borderId="3" xfId="55" applyFont="1" applyFill="1" applyAlignment="1">
      <alignment horizontal="left"/>
    </xf>
    <xf numFmtId="1" fontId="20" fillId="4" borderId="3" xfId="55" applyNumberFormat="1" applyFont="1" applyFill="1" applyAlignment="1">
      <alignment horizontal="center" vertical="center"/>
    </xf>
    <xf numFmtId="4" fontId="20" fillId="4" borderId="3" xfId="55" applyNumberFormat="1" applyFont="1" applyFill="1" applyAlignment="1">
      <alignment horizontal="center" vertical="center"/>
    </xf>
    <xf numFmtId="4" fontId="13" fillId="4" borderId="3" xfId="55" applyNumberFormat="1" applyFont="1" applyFill="1" applyAlignment="1">
      <alignment horizontal="center" vertical="center"/>
    </xf>
    <xf numFmtId="0" fontId="23" fillId="4" borderId="6" xfId="55" applyFont="1" applyFill="1" applyBorder="1" applyAlignment="1">
      <alignment horizontal="left"/>
    </xf>
    <xf numFmtId="1" fontId="20" fillId="4" borderId="6" xfId="55" applyNumberFormat="1" applyFont="1" applyFill="1" applyBorder="1" applyAlignment="1">
      <alignment horizontal="center" vertical="center"/>
    </xf>
    <xf numFmtId="4" fontId="20" fillId="4" borderId="6" xfId="55" applyNumberFormat="1" applyFont="1" applyFill="1" applyBorder="1" applyAlignment="1">
      <alignment horizontal="center" vertical="center"/>
    </xf>
    <xf numFmtId="0" fontId="23" fillId="37" borderId="16" xfId="55" applyFont="1" applyFill="1" applyBorder="1" applyAlignment="1">
      <alignment horizontal="left"/>
    </xf>
    <xf numFmtId="1" fontId="20" fillId="4" borderId="16" xfId="55" applyNumberFormat="1" applyFont="1" applyFill="1" applyBorder="1" applyAlignment="1">
      <alignment horizontal="center" vertical="center"/>
    </xf>
    <xf numFmtId="4" fontId="20" fillId="4" borderId="16" xfId="55" applyNumberFormat="1" applyFont="1" applyFill="1" applyBorder="1" applyAlignment="1">
      <alignment horizontal="center" vertical="center"/>
    </xf>
    <xf numFmtId="4" fontId="13" fillId="4" borderId="16" xfId="55" applyNumberFormat="1" applyFont="1" applyFill="1" applyBorder="1" applyAlignment="1">
      <alignment horizontal="center" vertical="center"/>
    </xf>
    <xf numFmtId="0" fontId="23" fillId="37" borderId="3" xfId="55" applyFont="1" applyFill="1" applyAlignment="1">
      <alignment horizontal="left"/>
    </xf>
    <xf numFmtId="0" fontId="23" fillId="37" borderId="6" xfId="55" applyFont="1" applyFill="1" applyBorder="1" applyAlignment="1">
      <alignment horizontal="left"/>
    </xf>
    <xf numFmtId="0" fontId="23" fillId="37" borderId="3" xfId="55" applyFont="1" applyFill="1" applyAlignment="1">
      <alignment horizontal="left" vertical="center"/>
    </xf>
    <xf numFmtId="0" fontId="23" fillId="4" borderId="16" xfId="55" applyFont="1" applyFill="1" applyBorder="1" applyAlignment="1">
      <alignment horizontal="left"/>
    </xf>
    <xf numFmtId="49" fontId="20" fillId="4" borderId="16" xfId="55" applyNumberFormat="1" applyFont="1" applyFill="1" applyBorder="1" applyAlignment="1">
      <alignment horizontal="center" vertical="center"/>
    </xf>
    <xf numFmtId="0" fontId="20" fillId="4" borderId="16" xfId="55" applyFont="1" applyFill="1" applyBorder="1" applyAlignment="1">
      <alignment vertical="center" wrapText="1"/>
    </xf>
    <xf numFmtId="170" fontId="20" fillId="4" borderId="16" xfId="55" applyNumberFormat="1" applyFont="1" applyFill="1" applyBorder="1" applyAlignment="1">
      <alignment horizontal="right" vertical="center"/>
    </xf>
    <xf numFmtId="170" fontId="13" fillId="4" borderId="16" xfId="55" applyNumberFormat="1" applyFont="1" applyFill="1" applyBorder="1" applyAlignment="1">
      <alignment horizontal="right" vertical="center"/>
    </xf>
    <xf numFmtId="165" fontId="17" fillId="4" borderId="16" xfId="55" applyNumberFormat="1" applyFont="1" applyFill="1" applyBorder="1" applyAlignment="1">
      <alignment horizontal="right" vertical="center"/>
    </xf>
    <xf numFmtId="170" fontId="13" fillId="4" borderId="3" xfId="55" applyNumberFormat="1" applyFont="1" applyFill="1" applyAlignment="1">
      <alignment horizontal="right" vertical="center"/>
    </xf>
    <xf numFmtId="171" fontId="20" fillId="4" borderId="3" xfId="55" applyNumberFormat="1" applyFont="1" applyFill="1"/>
    <xf numFmtId="0" fontId="20" fillId="4" borderId="3" xfId="55" applyFont="1" applyFill="1" applyAlignment="1">
      <alignment horizontal="left"/>
    </xf>
    <xf numFmtId="0" fontId="20" fillId="4" borderId="6" xfId="55" applyFont="1" applyFill="1" applyBorder="1" applyAlignment="1">
      <alignment horizontal="left"/>
    </xf>
    <xf numFmtId="0" fontId="29" fillId="4" borderId="16" xfId="55" applyFont="1" applyFill="1" applyBorder="1"/>
    <xf numFmtId="0" fontId="13" fillId="4" borderId="16" xfId="55" applyFont="1" applyFill="1" applyBorder="1"/>
    <xf numFmtId="0" fontId="20" fillId="4" borderId="16" xfId="55" applyFont="1" applyFill="1" applyBorder="1"/>
    <xf numFmtId="0" fontId="29" fillId="4" borderId="3" xfId="56" applyFont="1" applyFill="1" applyAlignment="1">
      <alignment vertical="center"/>
    </xf>
    <xf numFmtId="0" fontId="20" fillId="4" borderId="3" xfId="55" applyFont="1" applyFill="1"/>
    <xf numFmtId="0" fontId="29" fillId="4" borderId="3" xfId="56" applyFont="1" applyFill="1"/>
    <xf numFmtId="0" fontId="16" fillId="4" borderId="3" xfId="55" applyFont="1" applyFill="1"/>
    <xf numFmtId="0" fontId="15" fillId="4" borderId="3" xfId="55" applyFont="1" applyFill="1"/>
    <xf numFmtId="0" fontId="16" fillId="4" borderId="3" xfId="55" applyFont="1" applyFill="1" applyAlignment="1">
      <alignment vertical="top"/>
    </xf>
    <xf numFmtId="0" fontId="13" fillId="4" borderId="3" xfId="55" applyFont="1" applyFill="1" applyAlignment="1">
      <alignment vertical="center"/>
    </xf>
    <xf numFmtId="2" fontId="15" fillId="4" borderId="3" xfId="55" applyNumberFormat="1" applyFont="1" applyFill="1" applyAlignment="1">
      <alignment vertical="center"/>
    </xf>
    <xf numFmtId="0" fontId="27" fillId="4" borderId="3" xfId="55" applyFont="1" applyFill="1" applyAlignment="1">
      <alignment vertical="center"/>
    </xf>
    <xf numFmtId="2" fontId="13" fillId="4" borderId="3" xfId="55" applyNumberFormat="1" applyFont="1" applyFill="1" applyAlignment="1">
      <alignment vertical="center"/>
    </xf>
    <xf numFmtId="165" fontId="20" fillId="4" borderId="3" xfId="3" applyNumberFormat="1" applyFont="1" applyFill="1" applyBorder="1" applyAlignment="1">
      <alignment horizontal="center" vertical="center"/>
    </xf>
    <xf numFmtId="2" fontId="13" fillId="4" borderId="6" xfId="55" applyNumberFormat="1" applyFont="1" applyFill="1" applyBorder="1" applyAlignment="1">
      <alignment vertical="center"/>
    </xf>
    <xf numFmtId="2" fontId="15" fillId="4" borderId="16" xfId="55" applyNumberFormat="1" applyFont="1" applyFill="1" applyBorder="1" applyAlignment="1">
      <alignment vertical="center"/>
    </xf>
    <xf numFmtId="165" fontId="20" fillId="4" borderId="16" xfId="3" applyNumberFormat="1" applyFont="1" applyFill="1" applyBorder="1" applyAlignment="1">
      <alignment horizontal="center" vertical="center"/>
    </xf>
    <xf numFmtId="4" fontId="20" fillId="4" borderId="0" xfId="0" applyNumberFormat="1" applyFont="1" applyFill="1" applyAlignment="1">
      <alignment vertical="center"/>
    </xf>
    <xf numFmtId="2" fontId="49" fillId="4" borderId="3" xfId="55" applyNumberFormat="1" applyFont="1" applyFill="1" applyAlignment="1">
      <alignment vertical="center"/>
    </xf>
    <xf numFmtId="4" fontId="20" fillId="4" borderId="3" xfId="0" applyNumberFormat="1" applyFont="1" applyFill="1" applyBorder="1" applyAlignment="1">
      <alignment vertical="center"/>
    </xf>
    <xf numFmtId="165" fontId="17" fillId="4" borderId="3" xfId="55" applyNumberFormat="1" applyFont="1" applyFill="1" applyAlignment="1">
      <alignment horizontal="right" vertical="center"/>
    </xf>
    <xf numFmtId="2" fontId="13" fillId="4" borderId="3" xfId="55" applyNumberFormat="1" applyFont="1" applyFill="1" applyAlignment="1">
      <alignment horizontal="right" vertical="center"/>
    </xf>
    <xf numFmtId="2" fontId="13" fillId="4" borderId="6" xfId="55" applyNumberFormat="1" applyFont="1" applyFill="1" applyBorder="1" applyAlignment="1">
      <alignment horizontal="right" vertical="center"/>
    </xf>
    <xf numFmtId="2" fontId="15" fillId="4" borderId="16" xfId="55" applyNumberFormat="1" applyFont="1" applyFill="1" applyBorder="1" applyAlignment="1">
      <alignment horizontal="right" vertical="center"/>
    </xf>
    <xf numFmtId="0" fontId="13" fillId="4" borderId="3" xfId="55" applyFont="1" applyFill="1" applyAlignment="1">
      <alignment horizontal="left" vertical="center"/>
    </xf>
    <xf numFmtId="0" fontId="13" fillId="4" borderId="6" xfId="55" applyFont="1" applyFill="1" applyBorder="1" applyAlignment="1">
      <alignment horizontal="left" vertical="center"/>
    </xf>
    <xf numFmtId="0" fontId="29" fillId="4" borderId="3" xfId="56" applyFont="1" applyFill="1" applyAlignment="1">
      <alignment vertical="top"/>
    </xf>
    <xf numFmtId="0" fontId="49" fillId="4" borderId="3" xfId="55" applyFont="1" applyFill="1" applyAlignment="1">
      <alignment horizontal="left" vertical="center"/>
    </xf>
    <xf numFmtId="0" fontId="15" fillId="4" borderId="3" xfId="55" applyFont="1" applyFill="1" applyAlignment="1">
      <alignment horizontal="left" vertical="center"/>
    </xf>
    <xf numFmtId="4" fontId="20" fillId="4" borderId="6" xfId="0" applyNumberFormat="1" applyFont="1" applyFill="1" applyBorder="1" applyAlignment="1">
      <alignment vertical="center"/>
    </xf>
    <xf numFmtId="0" fontId="49" fillId="4" borderId="6" xfId="55" applyFont="1" applyFill="1" applyBorder="1" applyAlignment="1">
      <alignment horizontal="left" vertical="center"/>
    </xf>
    <xf numFmtId="2" fontId="49" fillId="4" borderId="6" xfId="55" applyNumberFormat="1" applyFont="1" applyFill="1" applyBorder="1" applyAlignment="1">
      <alignment vertical="center"/>
    </xf>
    <xf numFmtId="37" fontId="26" fillId="3" borderId="3" xfId="58" applyFont="1" applyFill="1"/>
    <xf numFmtId="37" fontId="16" fillId="3" borderId="3" xfId="58" applyFont="1" applyFill="1" applyAlignment="1">
      <alignment vertical="center"/>
    </xf>
    <xf numFmtId="3" fontId="14" fillId="0" borderId="3" xfId="55" applyNumberFormat="1" applyFont="1" applyAlignment="1">
      <alignment horizontal="right" vertical="center"/>
    </xf>
    <xf numFmtId="37" fontId="16" fillId="3" borderId="3" xfId="58" applyFont="1" applyFill="1"/>
    <xf numFmtId="0" fontId="13" fillId="0" borderId="16" xfId="55" applyFont="1" applyBorder="1" applyAlignment="1">
      <alignment horizontal="center" vertical="center"/>
    </xf>
    <xf numFmtId="3" fontId="13" fillId="0" borderId="16" xfId="55" applyNumberFormat="1" applyFont="1" applyBorder="1" applyAlignment="1">
      <alignment horizontal="right" vertical="center"/>
    </xf>
    <xf numFmtId="3" fontId="13" fillId="0" borderId="16" xfId="55" quotePrefix="1" applyNumberFormat="1" applyFont="1" applyBorder="1" applyAlignment="1">
      <alignment horizontal="right" vertical="center"/>
    </xf>
    <xf numFmtId="0" fontId="13" fillId="0" borderId="3" xfId="55" applyFont="1" applyAlignment="1">
      <alignment horizontal="center" vertical="center"/>
    </xf>
    <xf numFmtId="3" fontId="13" fillId="0" borderId="3" xfId="55" applyNumberFormat="1" applyFont="1" applyAlignment="1">
      <alignment horizontal="right" vertical="center"/>
    </xf>
    <xf numFmtId="3" fontId="13" fillId="0" borderId="3" xfId="55" quotePrefix="1" applyNumberFormat="1" applyFont="1" applyAlignment="1">
      <alignment horizontal="right" vertical="center"/>
    </xf>
    <xf numFmtId="3" fontId="13" fillId="0" borderId="6" xfId="55" applyNumberFormat="1" applyFont="1" applyBorder="1" applyAlignment="1">
      <alignment horizontal="right" vertical="center"/>
    </xf>
    <xf numFmtId="3" fontId="20" fillId="0" borderId="3" xfId="55" applyNumberFormat="1" applyFont="1" applyAlignment="1">
      <alignment horizontal="right" vertical="center"/>
    </xf>
    <xf numFmtId="3" fontId="20" fillId="0" borderId="3" xfId="55" applyNumberFormat="1" applyFont="1" applyAlignment="1">
      <alignment vertical="center"/>
    </xf>
    <xf numFmtId="0" fontId="13" fillId="0" borderId="6" xfId="55" applyFont="1" applyBorder="1" applyAlignment="1">
      <alignment horizontal="center" vertical="center"/>
    </xf>
    <xf numFmtId="3" fontId="20" fillId="0" borderId="6" xfId="55" applyNumberFormat="1" applyFont="1" applyBorder="1" applyAlignment="1">
      <alignment horizontal="right" vertical="center"/>
    </xf>
    <xf numFmtId="0" fontId="18" fillId="0" borderId="3" xfId="55" applyFont="1" applyAlignment="1">
      <alignment horizontal="left" vertical="center"/>
    </xf>
    <xf numFmtId="1" fontId="13" fillId="0" borderId="3" xfId="55" quotePrefix="1" applyNumberFormat="1" applyFont="1" applyAlignment="1">
      <alignment horizontal="right" vertical="center"/>
    </xf>
    <xf numFmtId="3" fontId="13" fillId="0" borderId="6" xfId="55" quotePrefix="1" applyNumberFormat="1" applyFont="1" applyBorder="1" applyAlignment="1">
      <alignment horizontal="right" vertical="center"/>
    </xf>
    <xf numFmtId="0" fontId="13" fillId="3" borderId="3" xfId="55" applyFont="1" applyFill="1" applyAlignment="1">
      <alignment horizontal="center"/>
    </xf>
    <xf numFmtId="167" fontId="13" fillId="3" borderId="3" xfId="55" applyNumberFormat="1" applyFont="1" applyFill="1"/>
    <xf numFmtId="3" fontId="13" fillId="3" borderId="3" xfId="55" applyNumberFormat="1" applyFont="1" applyFill="1" applyAlignment="1">
      <alignment horizontal="right"/>
    </xf>
    <xf numFmtId="3" fontId="13" fillId="3" borderId="3" xfId="55" quotePrefix="1" applyNumberFormat="1" applyFont="1" applyFill="1" applyAlignment="1">
      <alignment horizontal="right"/>
    </xf>
    <xf numFmtId="3" fontId="13" fillId="3" borderId="3" xfId="55" applyNumberFormat="1" applyFont="1" applyFill="1" applyAlignment="1">
      <alignment horizontal="right" vertical="center"/>
    </xf>
    <xf numFmtId="3" fontId="13" fillId="3" borderId="3" xfId="55" quotePrefix="1" applyNumberFormat="1" applyFont="1" applyFill="1" applyAlignment="1">
      <alignment horizontal="right" vertical="center"/>
    </xf>
    <xf numFmtId="168" fontId="13" fillId="0" borderId="3" xfId="1" applyFont="1" applyAlignment="1">
      <alignment horizontal="left"/>
    </xf>
    <xf numFmtId="0" fontId="13" fillId="0" borderId="3" xfId="55" applyFont="1"/>
    <xf numFmtId="0" fontId="18" fillId="2" borderId="0" xfId="0" applyFont="1" applyFill="1" applyAlignment="1">
      <alignment vertical="center"/>
    </xf>
    <xf numFmtId="37" fontId="15" fillId="2" borderId="0" xfId="0" applyNumberFormat="1" applyFont="1" applyFill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78" fontId="13" fillId="4" borderId="3" xfId="0" applyNumberFormat="1" applyFont="1" applyFill="1" applyBorder="1" applyAlignment="1">
      <alignment horizontal="right" vertical="center"/>
    </xf>
    <xf numFmtId="178" fontId="13" fillId="4" borderId="3" xfId="4" applyNumberFormat="1" applyFont="1" applyFill="1" applyAlignment="1">
      <alignment horizontal="right" vertical="center"/>
    </xf>
    <xf numFmtId="178" fontId="13" fillId="4" borderId="3" xfId="4" applyNumberFormat="1" applyFont="1" applyFill="1" applyAlignment="1">
      <alignment vertical="center"/>
    </xf>
    <xf numFmtId="0" fontId="13" fillId="2" borderId="23" xfId="0" applyFont="1" applyFill="1" applyBorder="1" applyAlignment="1">
      <alignment horizontal="center" vertical="center"/>
    </xf>
    <xf numFmtId="178" fontId="13" fillId="36" borderId="2" xfId="0" applyNumberFormat="1" applyFont="1" applyFill="1" applyBorder="1" applyAlignment="1">
      <alignment horizontal="right" vertical="center"/>
    </xf>
    <xf numFmtId="178" fontId="13" fillId="4" borderId="2" xfId="0" applyNumberFormat="1" applyFont="1" applyFill="1" applyBorder="1" applyAlignment="1">
      <alignment horizontal="right" vertical="center"/>
    </xf>
    <xf numFmtId="178" fontId="13" fillId="36" borderId="3" xfId="0" applyNumberFormat="1" applyFont="1" applyFill="1" applyBorder="1" applyAlignment="1">
      <alignment horizontal="right" vertical="center"/>
    </xf>
    <xf numFmtId="178" fontId="13" fillId="4" borderId="3" xfId="0" applyNumberFormat="1" applyFont="1" applyFill="1" applyBorder="1" applyAlignment="1">
      <alignment vertical="center"/>
    </xf>
    <xf numFmtId="178" fontId="13" fillId="4" borderId="23" xfId="0" applyNumberFormat="1" applyFont="1" applyFill="1" applyBorder="1" applyAlignment="1">
      <alignment horizontal="right" vertical="center"/>
    </xf>
    <xf numFmtId="178" fontId="13" fillId="4" borderId="23" xfId="0" applyNumberFormat="1" applyFont="1" applyFill="1" applyBorder="1" applyAlignment="1">
      <alignment vertical="center"/>
    </xf>
    <xf numFmtId="178" fontId="13" fillId="36" borderId="23" xfId="0" applyNumberFormat="1" applyFont="1" applyFill="1" applyBorder="1" applyAlignment="1">
      <alignment horizontal="right" vertical="center"/>
    </xf>
    <xf numFmtId="0" fontId="17" fillId="36" borderId="0" xfId="0" applyFont="1" applyFill="1" applyAlignment="1">
      <alignment vertical="center"/>
    </xf>
    <xf numFmtId="37" fontId="17" fillId="36" borderId="0" xfId="0" applyNumberFormat="1" applyFont="1" applyFill="1" applyAlignment="1">
      <alignment vertical="center"/>
    </xf>
    <xf numFmtId="0" fontId="29" fillId="4" borderId="3" xfId="59" applyFont="1" applyFill="1" applyAlignment="1">
      <alignment vertical="center"/>
    </xf>
    <xf numFmtId="0" fontId="17" fillId="4" borderId="0" xfId="0" applyFont="1" applyFill="1"/>
    <xf numFmtId="0" fontId="29" fillId="4" borderId="3" xfId="59" applyFont="1" applyFill="1"/>
    <xf numFmtId="0" fontId="27" fillId="4" borderId="0" xfId="0" applyFont="1" applyFill="1"/>
    <xf numFmtId="0" fontId="17" fillId="36" borderId="0" xfId="0" applyFont="1" applyFill="1"/>
    <xf numFmtId="176" fontId="20" fillId="4" borderId="3" xfId="55" applyNumberFormat="1" applyFont="1" applyFill="1" applyAlignment="1">
      <alignment horizontal="right" vertical="center"/>
    </xf>
    <xf numFmtId="176" fontId="20" fillId="37" borderId="3" xfId="55" applyNumberFormat="1" applyFont="1" applyFill="1" applyAlignment="1">
      <alignment horizontal="right" vertical="center"/>
    </xf>
    <xf numFmtId="176" fontId="13" fillId="37" borderId="3" xfId="55" applyNumberFormat="1" applyFont="1" applyFill="1" applyAlignment="1">
      <alignment horizontal="right" vertical="center"/>
    </xf>
    <xf numFmtId="176" fontId="20" fillId="37" borderId="6" xfId="55" applyNumberFormat="1" applyFont="1" applyFill="1" applyBorder="1" applyAlignment="1">
      <alignment horizontal="right" vertical="center"/>
    </xf>
    <xf numFmtId="176" fontId="20" fillId="4" borderId="3" xfId="55" applyNumberFormat="1" applyFont="1" applyFill="1" applyAlignment="1">
      <alignment vertical="center"/>
    </xf>
    <xf numFmtId="176" fontId="13" fillId="4" borderId="3" xfId="55" applyNumberFormat="1" applyFont="1" applyFill="1" applyAlignment="1">
      <alignment horizontal="right" vertical="center"/>
    </xf>
    <xf numFmtId="176" fontId="13" fillId="37" borderId="3" xfId="55" applyNumberFormat="1" applyFont="1" applyFill="1" applyAlignment="1">
      <alignment vertical="center"/>
    </xf>
    <xf numFmtId="176" fontId="20" fillId="4" borderId="3" xfId="55" applyNumberFormat="1" applyFont="1" applyFill="1" applyAlignment="1">
      <alignment horizontal="center" vertical="center"/>
    </xf>
    <xf numFmtId="176" fontId="13" fillId="37" borderId="3" xfId="55" applyNumberFormat="1" applyFont="1" applyFill="1" applyAlignment="1">
      <alignment horizontal="center" vertical="center"/>
    </xf>
    <xf numFmtId="0" fontId="15" fillId="4" borderId="6" xfId="55" applyFont="1" applyFill="1" applyBorder="1" applyAlignment="1">
      <alignment horizontal="left"/>
    </xf>
    <xf numFmtId="1" fontId="13" fillId="4" borderId="6" xfId="55" applyNumberFormat="1" applyFont="1" applyFill="1" applyBorder="1" applyAlignment="1">
      <alignment horizontal="center" vertical="center"/>
    </xf>
    <xf numFmtId="176" fontId="13" fillId="37" borderId="6" xfId="55" applyNumberFormat="1" applyFont="1" applyFill="1" applyBorder="1" applyAlignment="1">
      <alignment vertical="center"/>
    </xf>
    <xf numFmtId="176" fontId="20" fillId="37" borderId="6" xfId="55" applyNumberFormat="1" applyFont="1" applyFill="1" applyBorder="1" applyAlignment="1">
      <alignment horizontal="center" vertical="center"/>
    </xf>
    <xf numFmtId="176" fontId="13" fillId="37" borderId="6" xfId="55" applyNumberFormat="1" applyFont="1" applyFill="1" applyBorder="1" applyAlignment="1">
      <alignment horizontal="right" vertical="center"/>
    </xf>
    <xf numFmtId="176" fontId="20" fillId="4" borderId="6" xfId="55" applyNumberFormat="1" applyFont="1" applyFill="1" applyBorder="1" applyAlignment="1">
      <alignment horizontal="right" vertical="center"/>
    </xf>
    <xf numFmtId="0" fontId="15" fillId="37" borderId="3" xfId="55" applyFont="1" applyFill="1" applyAlignment="1">
      <alignment horizontal="left"/>
    </xf>
    <xf numFmtId="176" fontId="13" fillId="4" borderId="3" xfId="55" applyNumberFormat="1" applyFont="1" applyFill="1" applyAlignment="1">
      <alignment horizontal="center" vertical="center"/>
    </xf>
    <xf numFmtId="0" fontId="15" fillId="37" borderId="6" xfId="55" applyFont="1" applyFill="1" applyBorder="1" applyAlignment="1">
      <alignment horizontal="left"/>
    </xf>
    <xf numFmtId="176" fontId="20" fillId="4" borderId="6" xfId="55" applyNumberFormat="1" applyFont="1" applyFill="1" applyBorder="1" applyAlignment="1">
      <alignment vertical="center"/>
    </xf>
    <xf numFmtId="176" fontId="13" fillId="4" borderId="6" xfId="55" applyNumberFormat="1" applyFont="1" applyFill="1" applyBorder="1" applyAlignment="1">
      <alignment horizontal="right" vertical="center"/>
    </xf>
    <xf numFmtId="176" fontId="20" fillId="37" borderId="3" xfId="55" applyNumberFormat="1" applyFont="1" applyFill="1" applyAlignment="1">
      <alignment horizontal="center" vertical="center"/>
    </xf>
    <xf numFmtId="176" fontId="13" fillId="37" borderId="6" xfId="55" applyNumberFormat="1" applyFont="1" applyFill="1" applyBorder="1" applyAlignment="1">
      <alignment horizontal="center" vertical="center"/>
    </xf>
    <xf numFmtId="170" fontId="20" fillId="4" borderId="3" xfId="55" applyNumberFormat="1" applyFont="1" applyFill="1" applyAlignment="1">
      <alignment horizontal="right" vertical="center"/>
    </xf>
    <xf numFmtId="171" fontId="13" fillId="4" borderId="3" xfId="55" applyNumberFormat="1" applyFont="1" applyFill="1"/>
    <xf numFmtId="176" fontId="13" fillId="4" borderId="3" xfId="55" applyNumberFormat="1" applyFont="1" applyFill="1" applyAlignment="1">
      <alignment vertical="center"/>
    </xf>
    <xf numFmtId="0" fontId="13" fillId="4" borderId="6" xfId="55" applyFont="1" applyFill="1" applyBorder="1" applyAlignment="1">
      <alignment horizontal="left"/>
    </xf>
    <xf numFmtId="176" fontId="20" fillId="4" borderId="6" xfId="55" applyNumberFormat="1" applyFont="1" applyFill="1" applyBorder="1" applyAlignment="1">
      <alignment horizontal="center" vertical="center"/>
    </xf>
    <xf numFmtId="4" fontId="13" fillId="4" borderId="6" xfId="55" applyNumberFormat="1" applyFont="1" applyFill="1" applyBorder="1" applyAlignment="1">
      <alignment horizontal="center" vertical="center"/>
    </xf>
    <xf numFmtId="176" fontId="20" fillId="37" borderId="3" xfId="55" applyNumberFormat="1" applyFont="1" applyFill="1" applyAlignment="1">
      <alignment vertical="center"/>
    </xf>
    <xf numFmtId="2" fontId="20" fillId="4" borderId="3" xfId="55" applyNumberFormat="1" applyFont="1" applyFill="1" applyAlignment="1">
      <alignment horizontal="center" vertical="center"/>
    </xf>
    <xf numFmtId="0" fontId="29" fillId="4" borderId="3" xfId="55" applyFont="1" applyFill="1"/>
    <xf numFmtId="169" fontId="20" fillId="4" borderId="3" xfId="55" applyNumberFormat="1" applyFont="1" applyFill="1"/>
    <xf numFmtId="169" fontId="13" fillId="4" borderId="3" xfId="55" applyNumberFormat="1" applyFont="1" applyFill="1"/>
    <xf numFmtId="168" fontId="29" fillId="4" borderId="3" xfId="1" applyFont="1" applyFill="1" applyAlignment="1">
      <alignment horizontal="left" vertical="center"/>
    </xf>
    <xf numFmtId="169" fontId="20" fillId="4" borderId="3" xfId="1" applyNumberFormat="1" applyFont="1" applyFill="1" applyAlignment="1">
      <alignment horizontal="left" vertical="center"/>
    </xf>
    <xf numFmtId="169" fontId="13" fillId="4" borderId="3" xfId="1" applyNumberFormat="1" applyFont="1" applyFill="1" applyAlignment="1">
      <alignment horizontal="left" vertical="center"/>
    </xf>
    <xf numFmtId="0" fontId="12" fillId="4" borderId="3" xfId="55" applyFont="1" applyFill="1"/>
    <xf numFmtId="0" fontId="15" fillId="37" borderId="6" xfId="55" applyFont="1" applyFill="1" applyBorder="1" applyAlignment="1">
      <alignment horizontal="left" vertical="center"/>
    </xf>
    <xf numFmtId="0" fontId="15" fillId="37" borderId="3" xfId="55" applyFont="1" applyFill="1" applyAlignment="1">
      <alignment horizontal="left" vertical="center"/>
    </xf>
    <xf numFmtId="49" fontId="13" fillId="4" borderId="3" xfId="55" applyNumberFormat="1" applyFont="1" applyFill="1" applyAlignment="1">
      <alignment horizontal="center" vertical="center"/>
    </xf>
    <xf numFmtId="0" fontId="13" fillId="4" borderId="3" xfId="55" applyFont="1" applyFill="1" applyAlignment="1">
      <alignment vertical="center" wrapText="1"/>
    </xf>
    <xf numFmtId="169" fontId="20" fillId="4" borderId="3" xfId="55" applyNumberFormat="1" applyFont="1" applyFill="1" applyAlignment="1">
      <alignment horizontal="right" vertical="center"/>
    </xf>
    <xf numFmtId="169" fontId="13" fillId="4" borderId="3" xfId="55" applyNumberFormat="1" applyFont="1" applyFill="1" applyAlignment="1">
      <alignment horizontal="right" vertical="center"/>
    </xf>
    <xf numFmtId="169" fontId="13" fillId="4" borderId="3" xfId="55" applyNumberFormat="1" applyFont="1" applyFill="1" applyAlignment="1">
      <alignment horizontal="center" vertical="center"/>
    </xf>
    <xf numFmtId="169" fontId="13" fillId="4" borderId="6" xfId="55" applyNumberFormat="1" applyFont="1" applyFill="1" applyBorder="1" applyAlignment="1">
      <alignment horizontal="right" vertical="center"/>
    </xf>
    <xf numFmtId="169" fontId="20" fillId="4" borderId="6" xfId="55" applyNumberFormat="1" applyFont="1" applyFill="1" applyBorder="1" applyAlignment="1">
      <alignment horizontal="center" vertical="center"/>
    </xf>
    <xf numFmtId="169" fontId="20" fillId="4" borderId="6" xfId="55" applyNumberFormat="1" applyFont="1" applyFill="1" applyBorder="1" applyAlignment="1">
      <alignment horizontal="right" vertical="center"/>
    </xf>
    <xf numFmtId="169" fontId="13" fillId="37" borderId="3" xfId="55" applyNumberFormat="1" applyFont="1" applyFill="1" applyAlignment="1">
      <alignment horizontal="right" vertical="center"/>
    </xf>
    <xf numFmtId="169" fontId="20" fillId="37" borderId="3" xfId="55" applyNumberFormat="1" applyFont="1" applyFill="1" applyAlignment="1">
      <alignment horizontal="right" vertical="center"/>
    </xf>
    <xf numFmtId="169" fontId="20" fillId="37" borderId="3" xfId="55" applyNumberFormat="1" applyFont="1" applyFill="1" applyAlignment="1">
      <alignment horizontal="center" vertical="center"/>
    </xf>
    <xf numFmtId="169" fontId="20" fillId="37" borderId="6" xfId="55" applyNumberFormat="1" applyFont="1" applyFill="1" applyBorder="1" applyAlignment="1">
      <alignment horizontal="right" vertical="center"/>
    </xf>
    <xf numFmtId="0" fontId="17" fillId="4" borderId="3" xfId="55" applyFont="1" applyFill="1"/>
    <xf numFmtId="169" fontId="17" fillId="4" borderId="3" xfId="55" applyNumberFormat="1" applyFont="1" applyFill="1"/>
    <xf numFmtId="168" fontId="17" fillId="4" borderId="3" xfId="1" applyFont="1" applyFill="1" applyAlignment="1">
      <alignment horizontal="left" vertical="center"/>
    </xf>
    <xf numFmtId="169" fontId="17" fillId="4" borderId="3" xfId="1" applyNumberFormat="1" applyFont="1" applyFill="1" applyAlignment="1">
      <alignment horizontal="left" vertical="center"/>
    </xf>
    <xf numFmtId="167" fontId="21" fillId="4" borderId="3" xfId="55" applyNumberFormat="1" applyFont="1" applyFill="1"/>
    <xf numFmtId="0" fontId="15" fillId="4" borderId="6" xfId="55" applyFont="1" applyFill="1" applyBorder="1" applyAlignment="1">
      <alignment horizontal="left" vertical="center"/>
    </xf>
    <xf numFmtId="165" fontId="13" fillId="4" borderId="3" xfId="55" applyNumberFormat="1" applyFont="1" applyFill="1" applyAlignment="1">
      <alignment horizontal="right" vertical="center"/>
    </xf>
    <xf numFmtId="169" fontId="50" fillId="4" borderId="3" xfId="55" applyNumberFormat="1" applyFont="1" applyFill="1" applyAlignment="1">
      <alignment horizontal="center" vertical="center"/>
    </xf>
    <xf numFmtId="167" fontId="15" fillId="4" borderId="3" xfId="55" applyNumberFormat="1" applyFont="1" applyFill="1" applyAlignment="1">
      <alignment vertical="center"/>
    </xf>
    <xf numFmtId="175" fontId="13" fillId="4" borderId="3" xfId="3" applyNumberFormat="1" applyFont="1" applyFill="1" applyBorder="1" applyAlignment="1">
      <alignment horizontal="center" vertical="center"/>
    </xf>
    <xf numFmtId="172" fontId="20" fillId="4" borderId="3" xfId="55" applyNumberFormat="1" applyFont="1" applyFill="1" applyAlignment="1">
      <alignment horizontal="center" vertical="center"/>
    </xf>
    <xf numFmtId="165" fontId="20" fillId="4" borderId="3" xfId="3" applyNumberFormat="1" applyFont="1" applyFill="1" applyBorder="1" applyAlignment="1">
      <alignment horizontal="right" vertical="center"/>
    </xf>
    <xf numFmtId="165" fontId="20" fillId="4" borderId="6" xfId="3" applyNumberFormat="1" applyFont="1" applyFill="1" applyBorder="1" applyAlignment="1">
      <alignment horizontal="right" vertical="center"/>
    </xf>
    <xf numFmtId="0" fontId="21" fillId="0" borderId="3" xfId="60" applyFont="1"/>
    <xf numFmtId="0" fontId="20" fillId="0" borderId="3" xfId="60" applyFont="1"/>
    <xf numFmtId="0" fontId="25" fillId="0" borderId="3" xfId="60" applyFont="1"/>
    <xf numFmtId="0" fontId="51" fillId="0" borderId="3" xfId="60"/>
    <xf numFmtId="0" fontId="22" fillId="0" borderId="3" xfId="60" applyFont="1"/>
    <xf numFmtId="0" fontId="23" fillId="0" borderId="3" xfId="60" applyFont="1" applyAlignment="1">
      <alignment horizontal="center"/>
    </xf>
    <xf numFmtId="0" fontId="20" fillId="0" borderId="25" xfId="60" applyFont="1" applyBorder="1"/>
    <xf numFmtId="0" fontId="20" fillId="0" borderId="6" xfId="60" applyFont="1" applyBorder="1" applyAlignment="1">
      <alignment horizontal="center" wrapText="1"/>
    </xf>
    <xf numFmtId="0" fontId="20" fillId="0" borderId="25" xfId="60" applyFont="1" applyBorder="1" applyAlignment="1">
      <alignment horizontal="center" wrapText="1"/>
    </xf>
    <xf numFmtId="0" fontId="20" fillId="0" borderId="26" xfId="60" applyFont="1" applyBorder="1"/>
    <xf numFmtId="0" fontId="20" fillId="0" borderId="3" xfId="60" applyFont="1" applyAlignment="1">
      <alignment vertical="center"/>
    </xf>
    <xf numFmtId="0" fontId="49" fillId="0" borderId="3" xfId="60" applyFont="1" applyAlignment="1">
      <alignment vertical="center"/>
    </xf>
    <xf numFmtId="0" fontId="54" fillId="0" borderId="3" xfId="60" applyFont="1"/>
    <xf numFmtId="0" fontId="27" fillId="0" borderId="3" xfId="60" applyFont="1"/>
    <xf numFmtId="0" fontId="49" fillId="0" borderId="3" xfId="60" applyFont="1"/>
    <xf numFmtId="0" fontId="17" fillId="3" borderId="3" xfId="55" applyFont="1" applyFill="1" applyAlignment="1">
      <alignment horizontal="left" vertical="center"/>
    </xf>
    <xf numFmtId="0" fontId="27" fillId="4" borderId="6" xfId="0" applyFont="1" applyFill="1" applyBorder="1"/>
    <xf numFmtId="0" fontId="27" fillId="4" borderId="3" xfId="0" applyFont="1" applyFill="1" applyBorder="1"/>
    <xf numFmtId="0" fontId="27" fillId="0" borderId="0" xfId="0" applyFont="1"/>
    <xf numFmtId="177" fontId="15" fillId="38" borderId="17" xfId="55" applyNumberFormat="1" applyFont="1" applyFill="1" applyBorder="1" applyAlignment="1">
      <alignment horizontal="center" vertical="center"/>
    </xf>
    <xf numFmtId="177" fontId="15" fillId="38" borderId="21" xfId="55" applyNumberFormat="1" applyFont="1" applyFill="1" applyBorder="1" applyAlignment="1">
      <alignment horizontal="center" vertical="center"/>
    </xf>
    <xf numFmtId="177" fontId="15" fillId="38" borderId="5" xfId="55" applyNumberFormat="1" applyFont="1" applyFill="1" applyBorder="1" applyAlignment="1">
      <alignment horizontal="center" vertical="center"/>
    </xf>
    <xf numFmtId="177" fontId="15" fillId="38" borderId="22" xfId="55" applyNumberFormat="1" applyFont="1" applyFill="1" applyBorder="1" applyAlignment="1">
      <alignment horizontal="center" vertical="center"/>
    </xf>
    <xf numFmtId="0" fontId="15" fillId="39" borderId="16" xfId="55" applyFont="1" applyFill="1" applyBorder="1" applyAlignment="1">
      <alignment horizontal="center" vertical="center"/>
    </xf>
    <xf numFmtId="3" fontId="15" fillId="39" borderId="3" xfId="55" applyNumberFormat="1" applyFont="1" applyFill="1" applyAlignment="1">
      <alignment vertical="center"/>
    </xf>
    <xf numFmtId="3" fontId="15" fillId="39" borderId="16" xfId="55" applyNumberFormat="1" applyFont="1" applyFill="1" applyBorder="1" applyAlignment="1">
      <alignment vertical="center"/>
    </xf>
    <xf numFmtId="0" fontId="15" fillId="39" borderId="3" xfId="55" applyFont="1" applyFill="1" applyAlignment="1">
      <alignment horizontal="center" vertical="center"/>
    </xf>
    <xf numFmtId="3" fontId="15" fillId="39" borderId="6" xfId="55" applyNumberFormat="1" applyFont="1" applyFill="1" applyBorder="1" applyAlignment="1">
      <alignment vertical="center"/>
    </xf>
    <xf numFmtId="0" fontId="15" fillId="40" borderId="1" xfId="0" applyFont="1" applyFill="1" applyBorder="1" applyAlignment="1">
      <alignment horizontal="center" vertical="center"/>
    </xf>
    <xf numFmtId="177" fontId="15" fillId="40" borderId="1" xfId="0" applyNumberFormat="1" applyFont="1" applyFill="1" applyBorder="1" applyAlignment="1">
      <alignment horizontal="center" vertical="center"/>
    </xf>
    <xf numFmtId="178" fontId="15" fillId="41" borderId="3" xfId="0" applyNumberFormat="1" applyFont="1" applyFill="1" applyBorder="1" applyAlignment="1">
      <alignment vertical="center"/>
    </xf>
    <xf numFmtId="178" fontId="15" fillId="41" borderId="23" xfId="0" applyNumberFormat="1" applyFont="1" applyFill="1" applyBorder="1" applyAlignment="1">
      <alignment vertical="center"/>
    </xf>
    <xf numFmtId="0" fontId="15" fillId="38" borderId="5" xfId="55" applyFont="1" applyFill="1" applyBorder="1" applyAlignment="1">
      <alignment horizontal="center" vertical="center"/>
    </xf>
    <xf numFmtId="0" fontId="23" fillId="38" borderId="5" xfId="55" applyFont="1" applyFill="1" applyBorder="1" applyAlignment="1">
      <alignment horizontal="center" vertical="center"/>
    </xf>
    <xf numFmtId="0" fontId="23" fillId="0" borderId="3" xfId="55" applyFont="1" applyAlignment="1">
      <alignment horizontal="center" vertical="center"/>
    </xf>
    <xf numFmtId="0" fontId="13" fillId="4" borderId="16" xfId="55" applyFont="1" applyFill="1" applyBorder="1" applyAlignment="1">
      <alignment vertical="center"/>
    </xf>
    <xf numFmtId="0" fontId="49" fillId="4" borderId="3" xfId="55" applyFont="1" applyFill="1" applyAlignment="1">
      <alignment vertical="center"/>
    </xf>
    <xf numFmtId="0" fontId="27" fillId="4" borderId="0" xfId="0" applyFont="1" applyFill="1" applyAlignment="1">
      <alignment vertical="center"/>
    </xf>
    <xf numFmtId="0" fontId="29" fillId="4" borderId="0" xfId="0" applyFont="1" applyFill="1"/>
    <xf numFmtId="0" fontId="15" fillId="39" borderId="3" xfId="55" applyFont="1" applyFill="1" applyAlignment="1">
      <alignment horizontal="left" vertical="center"/>
    </xf>
    <xf numFmtId="0" fontId="15" fillId="39" borderId="16" xfId="55" applyFont="1" applyFill="1" applyBorder="1" applyAlignment="1">
      <alignment horizontal="left" vertical="center"/>
    </xf>
    <xf numFmtId="165" fontId="17" fillId="4" borderId="3" xfId="55" applyNumberFormat="1" applyFont="1" applyFill="1" applyAlignment="1">
      <alignment horizontal="right" vertical="top"/>
    </xf>
    <xf numFmtId="49" fontId="15" fillId="38" borderId="5" xfId="55" applyNumberFormat="1" applyFont="1" applyFill="1" applyBorder="1" applyAlignment="1">
      <alignment horizontal="center" vertical="center"/>
    </xf>
    <xf numFmtId="167" fontId="15" fillId="38" borderId="5" xfId="55" applyNumberFormat="1" applyFont="1" applyFill="1" applyBorder="1" applyAlignment="1">
      <alignment horizontal="center" vertical="center"/>
    </xf>
    <xf numFmtId="167" fontId="15" fillId="0" borderId="3" xfId="55" applyNumberFormat="1" applyFont="1" applyAlignment="1">
      <alignment horizontal="center" vertical="center" wrapText="1"/>
    </xf>
    <xf numFmtId="49" fontId="15" fillId="0" borderId="3" xfId="55" applyNumberFormat="1" applyFont="1" applyAlignment="1">
      <alignment horizontal="center" vertical="center"/>
    </xf>
    <xf numFmtId="167" fontId="15" fillId="0" borderId="3" xfId="55" applyNumberFormat="1" applyFont="1" applyAlignment="1">
      <alignment horizontal="center" vertical="center"/>
    </xf>
    <xf numFmtId="0" fontId="29" fillId="4" borderId="16" xfId="55" applyFont="1" applyFill="1" applyBorder="1" applyAlignment="1">
      <alignment horizontal="right" vertical="top"/>
    </xf>
    <xf numFmtId="179" fontId="15" fillId="4" borderId="3" xfId="55" applyNumberFormat="1" applyFont="1" applyFill="1" applyAlignment="1">
      <alignment horizontal="left"/>
    </xf>
    <xf numFmtId="167" fontId="16" fillId="4" borderId="3" xfId="55" applyNumberFormat="1" applyFont="1" applyFill="1" applyAlignment="1">
      <alignment vertical="center"/>
    </xf>
    <xf numFmtId="167" fontId="13" fillId="4" borderId="3" xfId="55" applyNumberFormat="1" applyFont="1" applyFill="1" applyAlignment="1">
      <alignment vertical="center"/>
    </xf>
    <xf numFmtId="171" fontId="20" fillId="4" borderId="3" xfId="3" applyNumberFormat="1" applyFont="1" applyFill="1" applyBorder="1" applyAlignment="1">
      <alignment horizontal="center" vertical="center"/>
    </xf>
    <xf numFmtId="2" fontId="15" fillId="4" borderId="3" xfId="55" applyNumberFormat="1" applyFont="1" applyFill="1" applyAlignment="1">
      <alignment horizontal="center" vertical="center"/>
    </xf>
    <xf numFmtId="2" fontId="15" fillId="4" borderId="3" xfId="55" applyNumberFormat="1" applyFont="1" applyFill="1" applyAlignment="1">
      <alignment horizontal="right" vertical="center"/>
    </xf>
    <xf numFmtId="0" fontId="15" fillId="4" borderId="16" xfId="55" applyFont="1" applyFill="1" applyBorder="1" applyAlignment="1">
      <alignment vertical="center"/>
    </xf>
    <xf numFmtId="0" fontId="20" fillId="4" borderId="16" xfId="55" applyFont="1" applyFill="1" applyBorder="1" applyAlignment="1">
      <alignment vertical="center"/>
    </xf>
    <xf numFmtId="0" fontId="20" fillId="4" borderId="3" xfId="55" applyFont="1" applyFill="1" applyAlignment="1">
      <alignment vertical="center"/>
    </xf>
    <xf numFmtId="171" fontId="20" fillId="4" borderId="6" xfId="3" applyNumberFormat="1" applyFont="1" applyFill="1" applyBorder="1" applyAlignment="1">
      <alignment horizontal="center" vertical="center"/>
    </xf>
    <xf numFmtId="172" fontId="13" fillId="4" borderId="3" xfId="55" applyNumberFormat="1" applyFont="1" applyFill="1" applyAlignment="1">
      <alignment vertical="center"/>
    </xf>
    <xf numFmtId="172" fontId="13" fillId="4" borderId="6" xfId="55" applyNumberFormat="1" applyFont="1" applyFill="1" applyBorder="1" applyAlignment="1">
      <alignment vertical="center"/>
    </xf>
    <xf numFmtId="173" fontId="20" fillId="4" borderId="0" xfId="0" applyNumberFormat="1" applyFont="1" applyFill="1" applyAlignment="1">
      <alignment horizontal="right" vertical="center"/>
    </xf>
    <xf numFmtId="173" fontId="20" fillId="4" borderId="3" xfId="0" applyNumberFormat="1" applyFont="1" applyFill="1" applyBorder="1" applyAlignment="1">
      <alignment horizontal="right" vertical="center"/>
    </xf>
    <xf numFmtId="173" fontId="20" fillId="4" borderId="3" xfId="3" applyNumberFormat="1" applyFont="1" applyFill="1" applyBorder="1" applyAlignment="1">
      <alignment horizontal="right" vertical="center"/>
    </xf>
    <xf numFmtId="173" fontId="20" fillId="4" borderId="6" xfId="0" applyNumberFormat="1" applyFont="1" applyFill="1" applyBorder="1" applyAlignment="1">
      <alignment horizontal="right" vertical="center"/>
    </xf>
    <xf numFmtId="2" fontId="20" fillId="4" borderId="3" xfId="55" applyNumberFormat="1" applyFont="1" applyFill="1" applyAlignment="1">
      <alignment vertical="center"/>
    </xf>
    <xf numFmtId="0" fontId="13" fillId="4" borderId="3" xfId="55" applyFont="1" applyFill="1" applyAlignment="1">
      <alignment horizontal="left" vertical="center" indent="1"/>
    </xf>
    <xf numFmtId="0" fontId="20" fillId="4" borderId="3" xfId="2" applyFont="1" applyFill="1" applyAlignment="1">
      <alignment horizontal="left" vertical="center" indent="1"/>
    </xf>
    <xf numFmtId="0" fontId="13" fillId="4" borderId="6" xfId="55" applyFont="1" applyFill="1" applyBorder="1" applyAlignment="1">
      <alignment horizontal="left" vertical="center" indent="1"/>
    </xf>
    <xf numFmtId="172" fontId="20" fillId="4" borderId="3" xfId="55" applyNumberFormat="1" applyFont="1" applyFill="1" applyAlignment="1">
      <alignment vertical="center"/>
    </xf>
    <xf numFmtId="2" fontId="20" fillId="4" borderId="6" xfId="55" applyNumberFormat="1" applyFont="1" applyFill="1" applyBorder="1" applyAlignment="1">
      <alignment vertical="center"/>
    </xf>
    <xf numFmtId="0" fontId="13" fillId="0" borderId="3" xfId="55" applyFont="1" applyAlignment="1">
      <alignment horizontal="left" vertical="center" indent="1"/>
    </xf>
    <xf numFmtId="0" fontId="27" fillId="4" borderId="3" xfId="0" applyFont="1" applyFill="1" applyBorder="1" applyAlignment="1">
      <alignment vertical="center"/>
    </xf>
    <xf numFmtId="0" fontId="27" fillId="4" borderId="16" xfId="55" applyFont="1" applyFill="1" applyBorder="1" applyAlignment="1">
      <alignment vertical="center"/>
    </xf>
    <xf numFmtId="180" fontId="26" fillId="0" borderId="3" xfId="4" applyNumberFormat="1" applyFont="1"/>
    <xf numFmtId="180" fontId="26" fillId="0" borderId="3" xfId="4" applyNumberFormat="1" applyFont="1" applyAlignment="1">
      <alignment vertical="center"/>
    </xf>
    <xf numFmtId="0" fontId="22" fillId="0" borderId="3" xfId="4" applyFont="1" applyAlignment="1">
      <alignment vertical="center"/>
    </xf>
    <xf numFmtId="0" fontId="15" fillId="38" borderId="5" xfId="55" applyFont="1" applyFill="1" applyBorder="1" applyAlignment="1">
      <alignment horizontal="center" vertical="center" wrapText="1"/>
    </xf>
    <xf numFmtId="2" fontId="15" fillId="38" borderId="5" xfId="55" applyNumberFormat="1" applyFont="1" applyFill="1" applyBorder="1" applyAlignment="1">
      <alignment horizontal="center" vertical="center"/>
    </xf>
    <xf numFmtId="0" fontId="20" fillId="0" borderId="3" xfId="4" applyFont="1" applyAlignment="1">
      <alignment vertical="center"/>
    </xf>
    <xf numFmtId="0" fontId="29" fillId="0" borderId="16" xfId="55" applyFont="1" applyBorder="1"/>
    <xf numFmtId="0" fontId="29" fillId="0" borderId="3" xfId="55" applyFont="1"/>
    <xf numFmtId="0" fontId="29" fillId="0" borderId="16" xfId="55" applyFont="1" applyBorder="1" applyAlignment="1">
      <alignment vertical="center"/>
    </xf>
    <xf numFmtId="0" fontId="26" fillId="0" borderId="3" xfId="4" applyFont="1"/>
    <xf numFmtId="3" fontId="22" fillId="0" borderId="3" xfId="4" applyNumberFormat="1" applyFont="1" applyAlignment="1">
      <alignment vertical="center"/>
    </xf>
    <xf numFmtId="4" fontId="22" fillId="0" borderId="3" xfId="4" applyNumberFormat="1" applyFont="1" applyAlignment="1">
      <alignment vertical="center"/>
    </xf>
    <xf numFmtId="0" fontId="27" fillId="0" borderId="3" xfId="55" applyFont="1" applyAlignment="1">
      <alignment vertical="center"/>
    </xf>
    <xf numFmtId="0" fontId="23" fillId="38" borderId="5" xfId="4" applyFont="1" applyFill="1" applyBorder="1" applyAlignment="1">
      <alignment horizontal="center" vertical="center" wrapText="1"/>
    </xf>
    <xf numFmtId="0" fontId="23" fillId="38" borderId="5" xfId="4" applyFont="1" applyFill="1" applyBorder="1" applyAlignment="1">
      <alignment horizontal="center" vertical="center"/>
    </xf>
    <xf numFmtId="3" fontId="23" fillId="38" borderId="5" xfId="4" applyNumberFormat="1" applyFont="1" applyFill="1" applyBorder="1" applyAlignment="1">
      <alignment horizontal="center" vertical="center" wrapText="1"/>
    </xf>
    <xf numFmtId="0" fontId="18" fillId="4" borderId="3" xfId="55" applyFont="1" applyFill="1" applyAlignment="1">
      <alignment horizontal="left" vertical="center"/>
    </xf>
    <xf numFmtId="0" fontId="27" fillId="0" borderId="16" xfId="55" applyFont="1" applyBorder="1" applyAlignment="1">
      <alignment vertical="center"/>
    </xf>
    <xf numFmtId="0" fontId="29" fillId="0" borderId="3" xfId="55" applyFont="1" applyAlignment="1">
      <alignment vertical="center"/>
    </xf>
    <xf numFmtId="0" fontId="58" fillId="0" borderId="3" xfId="4" applyFont="1"/>
    <xf numFmtId="0" fontId="59" fillId="0" borderId="3" xfId="4" applyFont="1"/>
    <xf numFmtId="1" fontId="58" fillId="0" borderId="3" xfId="4" applyNumberFormat="1" applyFont="1"/>
    <xf numFmtId="0" fontId="58" fillId="0" borderId="3" xfId="4" applyFont="1" applyAlignment="1">
      <alignment wrapText="1"/>
    </xf>
    <xf numFmtId="0" fontId="59" fillId="0" borderId="3" xfId="4" applyFont="1" applyAlignment="1">
      <alignment wrapText="1"/>
    </xf>
    <xf numFmtId="1" fontId="58" fillId="0" borderId="3" xfId="4" applyNumberFormat="1" applyFont="1" applyAlignment="1">
      <alignment wrapText="1"/>
    </xf>
    <xf numFmtId="1" fontId="26" fillId="0" borderId="3" xfId="4" applyNumberFormat="1" applyFont="1"/>
    <xf numFmtId="167" fontId="15" fillId="38" borderId="5" xfId="55" applyNumberFormat="1" applyFont="1" applyFill="1" applyBorder="1" applyAlignment="1">
      <alignment horizontal="center" vertical="center" wrapText="1"/>
    </xf>
    <xf numFmtId="0" fontId="13" fillId="0" borderId="3" xfId="55" applyFont="1" applyAlignment="1">
      <alignment vertical="center" wrapText="1"/>
    </xf>
    <xf numFmtId="0" fontId="13" fillId="0" borderId="3" xfId="55" applyFont="1" applyAlignment="1">
      <alignment horizontal="center" vertical="center" wrapText="1"/>
    </xf>
    <xf numFmtId="0" fontId="13" fillId="0" borderId="3" xfId="55" applyFont="1" applyAlignment="1">
      <alignment horizontal="left" vertical="center" wrapText="1"/>
    </xf>
    <xf numFmtId="3" fontId="13" fillId="0" borderId="3" xfId="53" applyNumberFormat="1" applyFont="1" applyAlignment="1">
      <alignment horizontal="right" vertical="center" wrapText="1"/>
    </xf>
    <xf numFmtId="4" fontId="13" fillId="0" borderId="3" xfId="55" applyNumberFormat="1" applyFont="1" applyAlignment="1">
      <alignment horizontal="right" vertical="center" wrapText="1"/>
    </xf>
    <xf numFmtId="0" fontId="13" fillId="0" borderId="6" xfId="55" applyFont="1" applyBorder="1" applyAlignment="1">
      <alignment vertical="center" wrapText="1"/>
    </xf>
    <xf numFmtId="0" fontId="13" fillId="0" borderId="6" xfId="55" applyFont="1" applyBorder="1" applyAlignment="1">
      <alignment horizontal="center" vertical="center" wrapText="1"/>
    </xf>
    <xf numFmtId="0" fontId="13" fillId="0" borderId="6" xfId="55" applyFont="1" applyBorder="1" applyAlignment="1">
      <alignment horizontal="left" vertical="center" wrapText="1"/>
    </xf>
    <xf numFmtId="3" fontId="13" fillId="0" borderId="6" xfId="53" applyNumberFormat="1" applyFont="1" applyBorder="1" applyAlignment="1">
      <alignment horizontal="right" vertical="center" wrapText="1"/>
    </xf>
    <xf numFmtId="4" fontId="13" fillId="0" borderId="6" xfId="55" applyNumberFormat="1" applyFont="1" applyBorder="1" applyAlignment="1">
      <alignment horizontal="right" vertical="center" wrapText="1"/>
    </xf>
    <xf numFmtId="3" fontId="13" fillId="0" borderId="3" xfId="53" applyNumberFormat="1" applyFont="1" applyBorder="1" applyAlignment="1">
      <alignment horizontal="right" vertical="center" wrapText="1"/>
    </xf>
    <xf numFmtId="0" fontId="13" fillId="0" borderId="4" xfId="55" applyFont="1" applyBorder="1" applyAlignment="1">
      <alignment vertical="center" wrapText="1"/>
    </xf>
    <xf numFmtId="0" fontId="13" fillId="0" borderId="4" xfId="55" applyFont="1" applyBorder="1" applyAlignment="1">
      <alignment horizontal="center" vertical="center" wrapText="1"/>
    </xf>
    <xf numFmtId="0" fontId="13" fillId="0" borderId="4" xfId="55" applyFont="1" applyBorder="1" applyAlignment="1">
      <alignment horizontal="left" vertical="center" wrapText="1"/>
    </xf>
    <xf numFmtId="3" fontId="13" fillId="0" borderId="4" xfId="53" applyNumberFormat="1" applyFont="1" applyBorder="1" applyAlignment="1">
      <alignment horizontal="right" vertical="center" wrapText="1"/>
    </xf>
    <xf numFmtId="4" fontId="13" fillId="0" borderId="16" xfId="55" applyNumberFormat="1" applyFont="1" applyBorder="1" applyAlignment="1">
      <alignment horizontal="right" vertical="center" wrapText="1"/>
    </xf>
    <xf numFmtId="0" fontId="13" fillId="0" borderId="16" xfId="55" applyFont="1" applyBorder="1" applyAlignment="1">
      <alignment vertical="center" wrapText="1"/>
    </xf>
    <xf numFmtId="0" fontId="13" fillId="0" borderId="16" xfId="55" applyFont="1" applyBorder="1" applyAlignment="1">
      <alignment horizontal="center" vertical="center" wrapText="1"/>
    </xf>
    <xf numFmtId="0" fontId="13" fillId="0" borderId="16" xfId="55" applyFont="1" applyBorder="1" applyAlignment="1">
      <alignment horizontal="left" vertical="center" wrapText="1"/>
    </xf>
    <xf numFmtId="3" fontId="13" fillId="0" borderId="16" xfId="53" applyNumberFormat="1" applyFont="1" applyBorder="1" applyAlignment="1">
      <alignment horizontal="right" vertical="center" wrapText="1"/>
    </xf>
    <xf numFmtId="4" fontId="13" fillId="0" borderId="4" xfId="55" applyNumberFormat="1" applyFont="1" applyBorder="1" applyAlignment="1">
      <alignment horizontal="right" vertical="center" wrapText="1"/>
    </xf>
    <xf numFmtId="0" fontId="15" fillId="4" borderId="16" xfId="55" applyFont="1" applyFill="1" applyBorder="1" applyAlignment="1">
      <alignment horizontal="center" vertical="center" wrapText="1"/>
    </xf>
    <xf numFmtId="0" fontId="13" fillId="2" borderId="16" xfId="55" applyFont="1" applyFill="1" applyBorder="1" applyAlignment="1">
      <alignment vertical="center"/>
    </xf>
    <xf numFmtId="0" fontId="13" fillId="2" borderId="16" xfId="55" applyFont="1" applyFill="1" applyBorder="1" applyAlignment="1">
      <alignment horizontal="left" vertical="center"/>
    </xf>
    <xf numFmtId="182" fontId="13" fillId="2" borderId="16" xfId="55" applyNumberFormat="1" applyFont="1" applyFill="1" applyBorder="1" applyAlignment="1">
      <alignment vertical="center"/>
    </xf>
    <xf numFmtId="183" fontId="19" fillId="2" borderId="16" xfId="55" applyNumberFormat="1" applyFont="1" applyFill="1" applyBorder="1" applyAlignment="1">
      <alignment horizontal="right" vertical="top"/>
    </xf>
    <xf numFmtId="0" fontId="18" fillId="4" borderId="6" xfId="55" applyFont="1" applyFill="1" applyBorder="1" applyAlignment="1">
      <alignment horizontal="left"/>
    </xf>
    <xf numFmtId="0" fontId="27" fillId="0" borderId="6" xfId="55" applyFont="1" applyBorder="1"/>
    <xf numFmtId="43" fontId="13" fillId="0" borderId="6" xfId="53" applyFont="1" applyBorder="1" applyAlignment="1">
      <alignment wrapText="1"/>
    </xf>
    <xf numFmtId="0" fontId="16" fillId="2" borderId="3" xfId="55" applyFont="1" applyFill="1"/>
    <xf numFmtId="0" fontId="14" fillId="2" borderId="3" xfId="55" applyFont="1" applyFill="1" applyAlignment="1">
      <alignment horizontal="center"/>
    </xf>
    <xf numFmtId="0" fontId="12" fillId="2" borderId="3" xfId="55" applyFont="1" applyFill="1"/>
    <xf numFmtId="0" fontId="16" fillId="2" borderId="3" xfId="55" applyFont="1" applyFill="1" applyAlignment="1">
      <alignment vertical="center"/>
    </xf>
    <xf numFmtId="0" fontId="12" fillId="2" borderId="3" xfId="55" applyFont="1" applyFill="1" applyAlignment="1">
      <alignment horizontal="center"/>
    </xf>
    <xf numFmtId="0" fontId="15" fillId="40" borderId="1" xfId="55" applyFont="1" applyFill="1" applyBorder="1" applyAlignment="1">
      <alignment horizontal="center" vertical="center"/>
    </xf>
    <xf numFmtId="169" fontId="15" fillId="0" borderId="3" xfId="55" applyNumberFormat="1" applyFont="1" applyAlignment="1">
      <alignment horizontal="right" vertical="center"/>
    </xf>
    <xf numFmtId="0" fontId="15" fillId="0" borderId="3" xfId="55" applyFont="1" applyAlignment="1">
      <alignment horizontal="right" vertical="center"/>
    </xf>
    <xf numFmtId="0" fontId="23" fillId="42" borderId="3" xfId="55" applyFont="1" applyFill="1" applyAlignment="1">
      <alignment vertical="center"/>
    </xf>
    <xf numFmtId="169" fontId="23" fillId="3" borderId="3" xfId="55" applyNumberFormat="1" applyFont="1" applyFill="1" applyAlignment="1">
      <alignment vertical="center"/>
    </xf>
    <xf numFmtId="171" fontId="23" fillId="3" borderId="3" xfId="3" applyNumberFormat="1" applyFont="1" applyFill="1" applyBorder="1" applyAlignment="1">
      <alignment horizontal="right" vertical="center"/>
    </xf>
    <xf numFmtId="171" fontId="23" fillId="4" borderId="3" xfId="3" applyNumberFormat="1" applyFont="1" applyFill="1" applyBorder="1" applyAlignment="1">
      <alignment horizontal="right" vertical="center"/>
    </xf>
    <xf numFmtId="0" fontId="20" fillId="3" borderId="3" xfId="55" applyFont="1" applyFill="1" applyAlignment="1">
      <alignment horizontal="left" vertical="center" indent="1"/>
    </xf>
    <xf numFmtId="186" fontId="20" fillId="3" borderId="3" xfId="55" applyNumberFormat="1" applyFont="1" applyFill="1" applyAlignment="1">
      <alignment horizontal="center" vertical="center"/>
    </xf>
    <xf numFmtId="169" fontId="20" fillId="3" borderId="3" xfId="55" applyNumberFormat="1" applyFont="1" applyFill="1" applyAlignment="1">
      <alignment vertical="center"/>
    </xf>
    <xf numFmtId="187" fontId="20" fillId="3" borderId="3" xfId="3" applyNumberFormat="1" applyFont="1" applyFill="1" applyBorder="1" applyAlignment="1">
      <alignment horizontal="right" vertical="center"/>
    </xf>
    <xf numFmtId="186" fontId="23" fillId="3" borderId="3" xfId="55" applyNumberFormat="1" applyFont="1" applyFill="1" applyAlignment="1">
      <alignment horizontal="center" vertical="center"/>
    </xf>
    <xf numFmtId="187" fontId="13" fillId="3" borderId="3" xfId="55" applyNumberFormat="1" applyFont="1" applyFill="1" applyAlignment="1">
      <alignment horizontal="right" vertical="center"/>
    </xf>
    <xf numFmtId="171" fontId="13" fillId="4" borderId="3" xfId="3" applyNumberFormat="1" applyFont="1" applyFill="1" applyBorder="1" applyAlignment="1">
      <alignment horizontal="right" vertical="center"/>
    </xf>
    <xf numFmtId="187" fontId="23" fillId="3" borderId="3" xfId="3" applyNumberFormat="1" applyFont="1" applyFill="1" applyBorder="1" applyAlignment="1">
      <alignment horizontal="right" vertical="center"/>
    </xf>
    <xf numFmtId="171" fontId="15" fillId="4" borderId="3" xfId="3" applyNumberFormat="1" applyFont="1" applyFill="1" applyBorder="1" applyAlignment="1">
      <alignment horizontal="right" vertical="center"/>
    </xf>
    <xf numFmtId="0" fontId="13" fillId="3" borderId="3" xfId="55" applyFont="1" applyFill="1" applyAlignment="1">
      <alignment horizontal="left" vertical="center" indent="1"/>
    </xf>
    <xf numFmtId="171" fontId="20" fillId="4" borderId="3" xfId="3" applyNumberFormat="1" applyFont="1" applyFill="1" applyBorder="1" applyAlignment="1">
      <alignment horizontal="right"/>
    </xf>
    <xf numFmtId="171" fontId="23" fillId="4" borderId="3" xfId="3" applyNumberFormat="1" applyFont="1" applyFill="1" applyBorder="1" applyAlignment="1">
      <alignment horizontal="right"/>
    </xf>
    <xf numFmtId="167" fontId="13" fillId="44" borderId="3" xfId="55" applyNumberFormat="1" applyFont="1" applyFill="1"/>
    <xf numFmtId="0" fontId="26" fillId="2" borderId="3" xfId="55" applyFont="1" applyFill="1"/>
    <xf numFmtId="0" fontId="14" fillId="2" borderId="3" xfId="55" applyFont="1" applyFill="1"/>
    <xf numFmtId="0" fontId="12" fillId="2" borderId="3" xfId="55" applyFont="1" applyFill="1" applyAlignment="1">
      <alignment horizontal="center" vertical="center"/>
    </xf>
    <xf numFmtId="0" fontId="26" fillId="2" borderId="3" xfId="55" applyFont="1" applyFill="1" applyAlignment="1">
      <alignment vertical="center"/>
    </xf>
    <xf numFmtId="0" fontId="26" fillId="2" borderId="3" xfId="55" applyFont="1" applyFill="1" applyAlignment="1">
      <alignment vertical="top"/>
    </xf>
    <xf numFmtId="169" fontId="15" fillId="3" borderId="3" xfId="55" applyNumberFormat="1" applyFont="1" applyFill="1" applyAlignment="1">
      <alignment horizontal="center" vertical="center" wrapText="1"/>
    </xf>
    <xf numFmtId="169" fontId="13" fillId="3" borderId="3" xfId="55" applyNumberFormat="1" applyFont="1" applyFill="1" applyAlignment="1">
      <alignment horizontal="center" vertical="center"/>
    </xf>
    <xf numFmtId="169" fontId="15" fillId="3" borderId="3" xfId="55" applyNumberFormat="1" applyFont="1" applyFill="1" applyAlignment="1">
      <alignment horizontal="center" vertical="center"/>
    </xf>
    <xf numFmtId="186" fontId="13" fillId="3" borderId="3" xfId="55" applyNumberFormat="1" applyFont="1" applyFill="1" applyAlignment="1">
      <alignment horizontal="center" vertical="center"/>
    </xf>
    <xf numFmtId="169" fontId="13" fillId="3" borderId="3" xfId="55" applyNumberFormat="1" applyFont="1" applyFill="1" applyAlignment="1">
      <alignment horizontal="center" vertical="center" wrapText="1"/>
    </xf>
    <xf numFmtId="187" fontId="15" fillId="3" borderId="3" xfId="3" applyNumberFormat="1" applyFont="1" applyFill="1" applyBorder="1" applyAlignment="1">
      <alignment horizontal="right" vertical="center"/>
    </xf>
    <xf numFmtId="4" fontId="15" fillId="3" borderId="3" xfId="55" applyNumberFormat="1" applyFont="1" applyFill="1" applyAlignment="1">
      <alignment horizontal="center" vertical="center"/>
    </xf>
    <xf numFmtId="187" fontId="13" fillId="3" borderId="3" xfId="3" applyNumberFormat="1" applyFont="1" applyFill="1" applyBorder="1" applyAlignment="1">
      <alignment horizontal="right" vertical="center"/>
    </xf>
    <xf numFmtId="4" fontId="13" fillId="3" borderId="3" xfId="55" applyNumberFormat="1" applyFont="1" applyFill="1" applyAlignment="1">
      <alignment horizontal="center" vertical="center"/>
    </xf>
    <xf numFmtId="49" fontId="13" fillId="0" borderId="16" xfId="55" applyNumberFormat="1" applyFont="1" applyBorder="1" applyAlignment="1">
      <alignment horizontal="center" vertical="center"/>
    </xf>
    <xf numFmtId="170" fontId="13" fillId="0" borderId="16" xfId="55" applyNumberFormat="1" applyFont="1" applyBorder="1" applyAlignment="1">
      <alignment horizontal="right" vertical="center"/>
    </xf>
    <xf numFmtId="165" fontId="17" fillId="0" borderId="16" xfId="55" applyNumberFormat="1" applyFont="1" applyBorder="1" applyAlignment="1">
      <alignment horizontal="right" vertical="top"/>
    </xf>
    <xf numFmtId="170" fontId="13" fillId="0" borderId="3" xfId="55" applyNumberFormat="1" applyFont="1" applyAlignment="1">
      <alignment horizontal="right" vertical="center"/>
    </xf>
    <xf numFmtId="171" fontId="13" fillId="0" borderId="3" xfId="55" applyNumberFormat="1" applyFont="1"/>
    <xf numFmtId="187" fontId="20" fillId="3" borderId="3" xfId="55" applyNumberFormat="1" applyFont="1" applyFill="1" applyAlignment="1">
      <alignment horizontal="right" vertical="center"/>
    </xf>
    <xf numFmtId="186" fontId="13" fillId="4" borderId="3" xfId="55" applyNumberFormat="1" applyFont="1" applyFill="1" applyAlignment="1">
      <alignment horizontal="center" vertical="center"/>
    </xf>
    <xf numFmtId="186" fontId="15" fillId="4" borderId="3" xfId="55" applyNumberFormat="1" applyFont="1" applyFill="1" applyAlignment="1">
      <alignment horizontal="center" vertical="center"/>
    </xf>
    <xf numFmtId="187" fontId="15" fillId="3" borderId="3" xfId="3" applyNumberFormat="1" applyFont="1" applyFill="1" applyBorder="1" applyAlignment="1">
      <alignment horizontal="right"/>
    </xf>
    <xf numFmtId="173" fontId="13" fillId="3" borderId="3" xfId="55" applyNumberFormat="1" applyFont="1" applyFill="1" applyAlignment="1">
      <alignment horizontal="right" vertical="center"/>
    </xf>
    <xf numFmtId="0" fontId="27" fillId="0" borderId="3" xfId="55" applyFont="1" applyAlignment="1">
      <alignment horizontal="center"/>
    </xf>
    <xf numFmtId="0" fontId="16" fillId="2" borderId="3" xfId="55" applyFont="1" applyFill="1" applyAlignment="1">
      <alignment vertical="top"/>
    </xf>
    <xf numFmtId="187" fontId="15" fillId="2" borderId="3" xfId="55" applyNumberFormat="1" applyFont="1" applyFill="1" applyAlignment="1">
      <alignment horizontal="right"/>
    </xf>
    <xf numFmtId="169" fontId="23" fillId="3" borderId="3" xfId="55" applyNumberFormat="1" applyFont="1" applyFill="1" applyAlignment="1">
      <alignment horizontal="right" vertical="center"/>
    </xf>
    <xf numFmtId="189" fontId="23" fillId="3" borderId="3" xfId="55" applyNumberFormat="1" applyFont="1" applyFill="1" applyAlignment="1">
      <alignment horizontal="right" vertical="center"/>
    </xf>
    <xf numFmtId="171" fontId="20" fillId="4" borderId="3" xfId="55" applyNumberFormat="1" applyFont="1" applyFill="1" applyAlignment="1">
      <alignment horizontal="right" vertical="center"/>
    </xf>
    <xf numFmtId="171" fontId="13" fillId="0" borderId="3" xfId="55" applyNumberFormat="1" applyFont="1" applyAlignment="1">
      <alignment horizontal="center"/>
    </xf>
    <xf numFmtId="167" fontId="23" fillId="43" borderId="3" xfId="55" applyNumberFormat="1" applyFont="1" applyFill="1" applyAlignment="1">
      <alignment vertical="center"/>
    </xf>
    <xf numFmtId="167" fontId="20" fillId="3" borderId="3" xfId="55" applyNumberFormat="1" applyFont="1" applyFill="1" applyAlignment="1">
      <alignment horizontal="left" vertical="center" indent="1"/>
    </xf>
    <xf numFmtId="188" fontId="20" fillId="3" borderId="3" xfId="55" applyNumberFormat="1" applyFont="1" applyFill="1" applyAlignment="1">
      <alignment horizontal="right" vertical="center"/>
    </xf>
    <xf numFmtId="0" fontId="14" fillId="2" borderId="3" xfId="55" applyFont="1" applyFill="1" applyAlignment="1">
      <alignment horizontal="center" vertical="center"/>
    </xf>
    <xf numFmtId="0" fontId="26" fillId="0" borderId="3" xfId="55" applyFont="1" applyAlignment="1">
      <alignment vertical="center"/>
    </xf>
    <xf numFmtId="0" fontId="26" fillId="0" borderId="3" xfId="55" applyFont="1" applyAlignment="1">
      <alignment vertical="top"/>
    </xf>
    <xf numFmtId="186" fontId="15" fillId="3" borderId="3" xfId="55" applyNumberFormat="1" applyFont="1" applyFill="1" applyAlignment="1">
      <alignment horizontal="center" vertical="center"/>
    </xf>
    <xf numFmtId="172" fontId="13" fillId="3" borderId="3" xfId="55" applyNumberFormat="1" applyFont="1" applyFill="1" applyAlignment="1">
      <alignment horizontal="right" vertical="center"/>
    </xf>
    <xf numFmtId="172" fontId="13" fillId="4" borderId="3" xfId="55" applyNumberFormat="1" applyFont="1" applyFill="1" applyAlignment="1">
      <alignment horizontal="right" vertical="center"/>
    </xf>
    <xf numFmtId="167" fontId="15" fillId="42" borderId="3" xfId="4" applyNumberFormat="1" applyFont="1" applyFill="1" applyAlignment="1">
      <alignment vertical="center"/>
    </xf>
    <xf numFmtId="186" fontId="20" fillId="4" borderId="3" xfId="55" applyNumberFormat="1" applyFont="1" applyFill="1" applyAlignment="1">
      <alignment horizontal="center" vertical="center"/>
    </xf>
    <xf numFmtId="167" fontId="15" fillId="43" borderId="3" xfId="4" applyNumberFormat="1" applyFont="1" applyFill="1" applyAlignment="1">
      <alignment vertical="center"/>
    </xf>
    <xf numFmtId="171" fontId="13" fillId="3" borderId="3" xfId="55" applyNumberFormat="1" applyFont="1" applyFill="1" applyAlignment="1">
      <alignment horizontal="right" vertical="center"/>
    </xf>
    <xf numFmtId="0" fontId="16" fillId="44" borderId="3" xfId="55" applyFont="1" applyFill="1"/>
    <xf numFmtId="0" fontId="12" fillId="0" borderId="3" xfId="55" applyFont="1"/>
    <xf numFmtId="0" fontId="16" fillId="0" borderId="3" xfId="55" applyFont="1" applyAlignment="1">
      <alignment vertical="top"/>
    </xf>
    <xf numFmtId="0" fontId="16" fillId="0" borderId="3" xfId="55" applyFont="1" applyAlignment="1">
      <alignment horizontal="center" vertical="center"/>
    </xf>
    <xf numFmtId="1" fontId="14" fillId="0" borderId="3" xfId="55" applyNumberFormat="1" applyFont="1" applyAlignment="1">
      <alignment horizontal="center" vertical="center"/>
    </xf>
    <xf numFmtId="166" fontId="14" fillId="0" borderId="3" xfId="55" applyNumberFormat="1" applyFont="1" applyAlignment="1">
      <alignment horizontal="center" vertical="center"/>
    </xf>
    <xf numFmtId="1" fontId="16" fillId="0" borderId="3" xfId="55" applyNumberFormat="1" applyFont="1" applyAlignment="1">
      <alignment horizontal="center" vertical="center"/>
    </xf>
    <xf numFmtId="3" fontId="14" fillId="0" borderId="3" xfId="55" applyNumberFormat="1" applyFont="1" applyAlignment="1">
      <alignment horizontal="center" vertical="center"/>
    </xf>
    <xf numFmtId="37" fontId="20" fillId="3" borderId="3" xfId="58" applyFont="1" applyFill="1" applyAlignment="1">
      <alignment vertical="center"/>
    </xf>
    <xf numFmtId="188" fontId="15" fillId="3" borderId="0" xfId="0" applyNumberFormat="1" applyFont="1" applyFill="1" applyAlignment="1">
      <alignment horizontal="center" vertical="center"/>
    </xf>
    <xf numFmtId="188" fontId="13" fillId="3" borderId="0" xfId="0" applyNumberFormat="1" applyFont="1" applyFill="1" applyAlignment="1">
      <alignment horizontal="center" vertical="center"/>
    </xf>
    <xf numFmtId="186" fontId="13" fillId="4" borderId="0" xfId="0" applyNumberFormat="1" applyFont="1" applyFill="1" applyAlignment="1">
      <alignment horizontal="center" vertical="center"/>
    </xf>
    <xf numFmtId="169" fontId="15" fillId="3" borderId="0" xfId="0" applyNumberFormat="1" applyFont="1" applyFill="1" applyAlignment="1">
      <alignment horizontal="right" vertical="center"/>
    </xf>
    <xf numFmtId="169" fontId="13" fillId="3" borderId="0" xfId="0" applyNumberFormat="1" applyFont="1" applyFill="1" applyAlignment="1">
      <alignment horizontal="right" vertical="center"/>
    </xf>
    <xf numFmtId="186" fontId="13" fillId="3" borderId="0" xfId="0" applyNumberFormat="1" applyFont="1" applyFill="1" applyAlignment="1">
      <alignment horizontal="center" vertical="center"/>
    </xf>
    <xf numFmtId="169" fontId="13" fillId="3" borderId="0" xfId="0" applyNumberFormat="1" applyFont="1" applyFill="1" applyAlignment="1">
      <alignment horizontal="center" vertical="center"/>
    </xf>
    <xf numFmtId="188" fontId="13" fillId="3" borderId="0" xfId="0" applyNumberFormat="1" applyFont="1" applyFill="1" applyAlignment="1">
      <alignment horizontal="right" vertical="center"/>
    </xf>
    <xf numFmtId="4" fontId="13" fillId="2" borderId="3" xfId="0" applyNumberFormat="1" applyFont="1" applyFill="1" applyBorder="1" applyAlignment="1">
      <alignment horizontal="center" vertical="center"/>
    </xf>
    <xf numFmtId="167" fontId="15" fillId="42" borderId="0" xfId="0" applyNumberFormat="1" applyFont="1" applyFill="1" applyAlignment="1">
      <alignment vertical="center"/>
    </xf>
    <xf numFmtId="186" fontId="15" fillId="3" borderId="0" xfId="0" applyNumberFormat="1" applyFont="1" applyFill="1" applyAlignment="1">
      <alignment horizontal="center" vertical="center"/>
    </xf>
    <xf numFmtId="0" fontId="15" fillId="43" borderId="0" xfId="0" applyFont="1" applyFill="1" applyAlignment="1">
      <alignment vertical="center"/>
    </xf>
    <xf numFmtId="187" fontId="15" fillId="3" borderId="0" xfId="0" applyNumberFormat="1" applyFont="1" applyFill="1" applyAlignment="1">
      <alignment horizontal="right" vertical="center"/>
    </xf>
    <xf numFmtId="187" fontId="13" fillId="3" borderId="0" xfId="0" applyNumberFormat="1" applyFont="1" applyFill="1" applyAlignment="1">
      <alignment horizontal="right" vertical="center"/>
    </xf>
    <xf numFmtId="169" fontId="15" fillId="3" borderId="0" xfId="0" applyNumberFormat="1" applyFont="1" applyFill="1" applyAlignment="1">
      <alignment horizontal="center" vertical="center"/>
    </xf>
    <xf numFmtId="171" fontId="13" fillId="3" borderId="0" xfId="0" applyNumberFormat="1" applyFont="1" applyFill="1" applyAlignment="1">
      <alignment horizontal="right" vertical="center"/>
    </xf>
    <xf numFmtId="187" fontId="13" fillId="3" borderId="3" xfId="3" applyNumberFormat="1" applyFont="1" applyFill="1" applyBorder="1" applyAlignment="1">
      <alignment horizontal="right"/>
    </xf>
    <xf numFmtId="172" fontId="15" fillId="3" borderId="0" xfId="0" applyNumberFormat="1" applyFont="1" applyFill="1" applyAlignment="1">
      <alignment horizontal="right" vertical="center"/>
    </xf>
    <xf numFmtId="0" fontId="15" fillId="42" borderId="0" xfId="0" applyFont="1" applyFill="1" applyAlignment="1">
      <alignment vertical="center"/>
    </xf>
    <xf numFmtId="188" fontId="15" fillId="3" borderId="0" xfId="0" applyNumberFormat="1" applyFont="1" applyFill="1" applyAlignment="1">
      <alignment horizontal="right" vertical="center"/>
    </xf>
    <xf numFmtId="0" fontId="20" fillId="0" borderId="3" xfId="55" applyFont="1" applyAlignment="1">
      <alignment vertical="center" wrapText="1"/>
    </xf>
    <xf numFmtId="0" fontId="15" fillId="45" borderId="1" xfId="0" applyFont="1" applyFill="1" applyBorder="1" applyAlignment="1">
      <alignment horizontal="center" vertical="center"/>
    </xf>
    <xf numFmtId="0" fontId="15" fillId="45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44" borderId="0" xfId="0" applyFont="1" applyFill="1"/>
    <xf numFmtId="176" fontId="15" fillId="44" borderId="0" xfId="0" applyNumberFormat="1" applyFont="1" applyFill="1" applyAlignment="1">
      <alignment horizontal="center" vertical="center"/>
    </xf>
    <xf numFmtId="0" fontId="13" fillId="44" borderId="0" xfId="0" applyFont="1" applyFill="1"/>
    <xf numFmtId="176" fontId="13" fillId="44" borderId="0" xfId="0" applyNumberFormat="1" applyFont="1" applyFill="1" applyAlignment="1">
      <alignment horizontal="center" vertical="center"/>
    </xf>
    <xf numFmtId="176" fontId="13" fillId="44" borderId="3" xfId="0" applyNumberFormat="1" applyFont="1" applyFill="1" applyBorder="1" applyAlignment="1">
      <alignment horizontal="center" vertical="center"/>
    </xf>
    <xf numFmtId="0" fontId="13" fillId="44" borderId="0" xfId="0" applyFont="1" applyFill="1" applyAlignment="1">
      <alignment horizontal="left" vertical="center"/>
    </xf>
    <xf numFmtId="0" fontId="15" fillId="44" borderId="0" xfId="0" applyFont="1" applyFill="1" applyAlignment="1">
      <alignment horizontal="left" vertical="center"/>
    </xf>
    <xf numFmtId="49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165" fontId="17" fillId="0" borderId="2" xfId="0" applyNumberFormat="1" applyFont="1" applyBorder="1" applyAlignment="1">
      <alignment horizontal="right" vertical="top"/>
    </xf>
    <xf numFmtId="0" fontId="15" fillId="0" borderId="0" xfId="0" applyFont="1"/>
    <xf numFmtId="176" fontId="13" fillId="0" borderId="0" xfId="0" applyNumberFormat="1" applyFont="1" applyAlignment="1">
      <alignment horizontal="center" vertical="center"/>
    </xf>
    <xf numFmtId="171" fontId="15" fillId="44" borderId="0" xfId="0" applyNumberFormat="1" applyFont="1" applyFill="1" applyAlignment="1">
      <alignment horizontal="center" vertical="center"/>
    </xf>
    <xf numFmtId="0" fontId="13" fillId="44" borderId="23" xfId="0" applyFont="1" applyFill="1" applyBorder="1" applyAlignment="1">
      <alignment horizontal="left" vertical="center"/>
    </xf>
    <xf numFmtId="176" fontId="13" fillId="44" borderId="23" xfId="0" applyNumberFormat="1" applyFont="1" applyFill="1" applyBorder="1" applyAlignment="1">
      <alignment horizontal="center" vertical="center"/>
    </xf>
    <xf numFmtId="4" fontId="15" fillId="44" borderId="0" xfId="0" applyNumberFormat="1" applyFont="1" applyFill="1" applyAlignment="1">
      <alignment horizontal="center" vertical="center"/>
    </xf>
    <xf numFmtId="4" fontId="13" fillId="44" borderId="0" xfId="0" applyNumberFormat="1" applyFont="1" applyFill="1" applyAlignment="1">
      <alignment horizontal="center" vertical="center"/>
    </xf>
    <xf numFmtId="4" fontId="15" fillId="44" borderId="3" xfId="0" applyNumberFormat="1" applyFont="1" applyFill="1" applyBorder="1" applyAlignment="1">
      <alignment horizontal="center" vertical="center"/>
    </xf>
    <xf numFmtId="4" fontId="13" fillId="44" borderId="3" xfId="0" applyNumberFormat="1" applyFont="1" applyFill="1" applyBorder="1" applyAlignment="1">
      <alignment horizontal="center" vertical="center"/>
    </xf>
    <xf numFmtId="0" fontId="13" fillId="44" borderId="0" xfId="0" applyFont="1" applyFill="1" applyAlignment="1">
      <alignment vertical="center"/>
    </xf>
    <xf numFmtId="0" fontId="15" fillId="44" borderId="0" xfId="0" applyFont="1" applyFill="1" applyAlignment="1">
      <alignment vertical="center"/>
    </xf>
    <xf numFmtId="0" fontId="13" fillId="44" borderId="0" xfId="0" applyFont="1" applyFill="1" applyAlignment="1">
      <alignment horizontal="left"/>
    </xf>
    <xf numFmtId="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49" fillId="44" borderId="0" xfId="0" applyFont="1" applyFill="1" applyAlignment="1">
      <alignment vertical="center"/>
    </xf>
    <xf numFmtId="4" fontId="49" fillId="44" borderId="0" xfId="0" applyNumberFormat="1" applyFont="1" applyFill="1" applyAlignment="1">
      <alignment horizontal="center" vertical="center"/>
    </xf>
    <xf numFmtId="0" fontId="15" fillId="45" borderId="30" xfId="0" applyFont="1" applyFill="1" applyBorder="1" applyAlignment="1">
      <alignment horizontal="center" vertical="center" wrapText="1"/>
    </xf>
    <xf numFmtId="0" fontId="15" fillId="45" borderId="31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15" fillId="44" borderId="0" xfId="0" applyFont="1" applyFill="1" applyAlignment="1">
      <alignment horizontal="left"/>
    </xf>
    <xf numFmtId="0" fontId="13" fillId="44" borderId="23" xfId="0" applyFont="1" applyFill="1" applyBorder="1" applyAlignment="1">
      <alignment vertical="center"/>
    </xf>
    <xf numFmtId="4" fontId="13" fillId="44" borderId="23" xfId="0" applyNumberFormat="1" applyFont="1" applyFill="1" applyBorder="1" applyAlignment="1">
      <alignment horizontal="center" vertical="center"/>
    </xf>
    <xf numFmtId="0" fontId="15" fillId="45" borderId="29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3" fillId="0" borderId="2" xfId="0" applyFont="1" applyBorder="1" applyAlignment="1">
      <alignment horizontal="left"/>
    </xf>
    <xf numFmtId="4" fontId="13" fillId="0" borderId="2" xfId="0" applyNumberFormat="1" applyFont="1" applyBorder="1" applyAlignment="1">
      <alignment horizontal="center" vertical="center"/>
    </xf>
    <xf numFmtId="4" fontId="17" fillId="0" borderId="2" xfId="0" applyNumberFormat="1" applyFont="1" applyBorder="1" applyAlignment="1">
      <alignment horizontal="right" vertical="top"/>
    </xf>
    <xf numFmtId="0" fontId="15" fillId="0" borderId="0" xfId="0" applyFont="1" applyAlignment="1">
      <alignment horizontal="left"/>
    </xf>
    <xf numFmtId="0" fontId="12" fillId="0" borderId="0" xfId="0" applyFont="1"/>
    <xf numFmtId="171" fontId="13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horizontal="right"/>
    </xf>
    <xf numFmtId="0" fontId="12" fillId="44" borderId="0" xfId="0" applyFont="1" applyFill="1"/>
    <xf numFmtId="190" fontId="13" fillId="0" borderId="0" xfId="0" applyNumberFormat="1" applyFont="1" applyAlignment="1">
      <alignment horizontal="center" vertical="center"/>
    </xf>
    <xf numFmtId="190" fontId="13" fillId="0" borderId="2" xfId="0" applyNumberFormat="1" applyFont="1" applyBorder="1" applyAlignment="1">
      <alignment horizontal="center"/>
    </xf>
    <xf numFmtId="165" fontId="17" fillId="0" borderId="2" xfId="0" applyNumberFormat="1" applyFont="1" applyBorder="1" applyAlignment="1">
      <alignment horizontal="right" vertical="center"/>
    </xf>
    <xf numFmtId="169" fontId="13" fillId="0" borderId="0" xfId="0" applyNumberFormat="1" applyFont="1" applyAlignment="1">
      <alignment horizontal="center" vertical="center"/>
    </xf>
    <xf numFmtId="0" fontId="18" fillId="44" borderId="0" xfId="0" applyFont="1" applyFill="1" applyAlignment="1">
      <alignment horizontal="left" vertical="center"/>
    </xf>
    <xf numFmtId="4" fontId="18" fillId="44" borderId="0" xfId="0" applyNumberFormat="1" applyFont="1" applyFill="1" applyAlignment="1">
      <alignment horizontal="center" vertical="center"/>
    </xf>
    <xf numFmtId="0" fontId="49" fillId="44" borderId="0" xfId="0" applyFont="1" applyFill="1" applyAlignment="1">
      <alignment horizontal="left" vertical="center"/>
    </xf>
    <xf numFmtId="0" fontId="20" fillId="0" borderId="26" xfId="60" applyFont="1" applyBorder="1" applyAlignment="1">
      <alignment vertical="center"/>
    </xf>
    <xf numFmtId="172" fontId="13" fillId="3" borderId="0" xfId="0" applyNumberFormat="1" applyFont="1" applyFill="1" applyAlignment="1">
      <alignment horizontal="center" vertical="center"/>
    </xf>
    <xf numFmtId="186" fontId="15" fillId="4" borderId="0" xfId="0" applyNumberFormat="1" applyFont="1" applyFill="1" applyAlignment="1">
      <alignment horizontal="center" vertical="center"/>
    </xf>
    <xf numFmtId="172" fontId="15" fillId="3" borderId="0" xfId="0" applyNumberFormat="1" applyFont="1" applyFill="1" applyAlignment="1">
      <alignment horizontal="center" vertical="center"/>
    </xf>
    <xf numFmtId="169" fontId="23" fillId="3" borderId="0" xfId="0" applyNumberFormat="1" applyFont="1" applyFill="1" applyAlignment="1">
      <alignment horizontal="center" vertical="center"/>
    </xf>
    <xf numFmtId="169" fontId="20" fillId="3" borderId="6" xfId="0" applyNumberFormat="1" applyFont="1" applyFill="1" applyBorder="1" applyAlignment="1">
      <alignment horizontal="center" vertical="center"/>
    </xf>
    <xf numFmtId="186" fontId="13" fillId="3" borderId="0" xfId="0" applyNumberFormat="1" applyFont="1" applyFill="1" applyAlignment="1">
      <alignment horizontal="right" vertical="center"/>
    </xf>
    <xf numFmtId="169" fontId="20" fillId="3" borderId="3" xfId="55" applyNumberFormat="1" applyFont="1" applyFill="1" applyAlignment="1">
      <alignment horizontal="right" vertical="center"/>
    </xf>
    <xf numFmtId="186" fontId="15" fillId="3" borderId="0" xfId="0" applyNumberFormat="1" applyFont="1" applyFill="1" applyAlignment="1">
      <alignment horizontal="right" vertical="center"/>
    </xf>
    <xf numFmtId="169" fontId="20" fillId="3" borderId="0" xfId="0" applyNumberFormat="1" applyFont="1" applyFill="1" applyAlignment="1">
      <alignment horizontal="right" vertical="center"/>
    </xf>
    <xf numFmtId="169" fontId="13" fillId="3" borderId="0" xfId="0" applyNumberFormat="1" applyFont="1" applyFill="1" applyAlignment="1">
      <alignment vertical="center"/>
    </xf>
    <xf numFmtId="186" fontId="20" fillId="3" borderId="0" xfId="0" applyNumberFormat="1" applyFont="1" applyFill="1" applyAlignment="1">
      <alignment horizontal="center" vertical="center"/>
    </xf>
    <xf numFmtId="169" fontId="23" fillId="3" borderId="0" xfId="0" applyNumberFormat="1" applyFont="1" applyFill="1" applyAlignment="1">
      <alignment horizontal="right" vertical="center"/>
    </xf>
    <xf numFmtId="169" fontId="15" fillId="3" borderId="0" xfId="0" applyNumberFormat="1" applyFont="1" applyFill="1" applyAlignment="1">
      <alignment vertical="center"/>
    </xf>
    <xf numFmtId="169" fontId="20" fillId="3" borderId="0" xfId="0" applyNumberFormat="1" applyFont="1" applyFill="1" applyAlignment="1">
      <alignment vertical="center"/>
    </xf>
    <xf numFmtId="170" fontId="13" fillId="0" borderId="16" xfId="55" applyNumberFormat="1" applyFont="1" applyBorder="1" applyAlignment="1">
      <alignment horizontal="center" vertical="center"/>
    </xf>
    <xf numFmtId="169" fontId="13" fillId="3" borderId="0" xfId="0" applyNumberFormat="1" applyFont="1" applyFill="1" applyAlignment="1">
      <alignment horizontal="right"/>
    </xf>
    <xf numFmtId="169" fontId="13" fillId="3" borderId="0" xfId="0" applyNumberFormat="1" applyFont="1" applyFill="1" applyAlignment="1">
      <alignment horizontal="center"/>
    </xf>
    <xf numFmtId="0" fontId="20" fillId="3" borderId="6" xfId="0" applyFont="1" applyFill="1" applyBorder="1" applyAlignment="1">
      <alignment horizontal="left" vertical="center" indent="1"/>
    </xf>
    <xf numFmtId="169" fontId="13" fillId="3" borderId="0" xfId="0" applyNumberFormat="1" applyFont="1" applyFill="1" applyAlignment="1">
      <alignment horizontal="center" vertical="center" wrapText="1"/>
    </xf>
    <xf numFmtId="0" fontId="13" fillId="3" borderId="0" xfId="0" applyFont="1" applyFill="1" applyAlignment="1">
      <alignment horizontal="right" vertical="center"/>
    </xf>
    <xf numFmtId="0" fontId="15" fillId="42" borderId="0" xfId="0" applyFont="1" applyFill="1"/>
    <xf numFmtId="0" fontId="27" fillId="0" borderId="16" xfId="55" applyFont="1" applyBorder="1" applyAlignment="1">
      <alignment horizontal="center"/>
    </xf>
    <xf numFmtId="186" fontId="23" fillId="3" borderId="0" xfId="0" applyNumberFormat="1" applyFont="1" applyFill="1" applyAlignment="1">
      <alignment horizontal="center" vertical="center"/>
    </xf>
    <xf numFmtId="0" fontId="12" fillId="44" borderId="3" xfId="55" applyFont="1" applyFill="1"/>
    <xf numFmtId="4" fontId="49" fillId="2" borderId="3" xfId="0" applyNumberFormat="1" applyFont="1" applyFill="1" applyBorder="1" applyAlignment="1">
      <alignment horizontal="center"/>
    </xf>
    <xf numFmtId="4" fontId="13" fillId="0" borderId="0" xfId="0" applyNumberFormat="1" applyFont="1" applyAlignment="1">
      <alignment horizontal="center"/>
    </xf>
    <xf numFmtId="0" fontId="17" fillId="0" borderId="0" xfId="0" applyFont="1" applyAlignment="1">
      <alignment vertical="center"/>
    </xf>
    <xf numFmtId="0" fontId="17" fillId="0" borderId="0" xfId="0" applyFont="1"/>
    <xf numFmtId="4" fontId="27" fillId="0" borderId="0" xfId="0" applyNumberFormat="1" applyFont="1" applyAlignment="1">
      <alignment horizontal="center"/>
    </xf>
    <xf numFmtId="2" fontId="13" fillId="0" borderId="2" xfId="0" applyNumberFormat="1" applyFont="1" applyBorder="1" applyAlignment="1">
      <alignment horizontal="center" vertical="center"/>
    </xf>
    <xf numFmtId="166" fontId="13" fillId="0" borderId="2" xfId="0" applyNumberFormat="1" applyFont="1" applyBorder="1" applyAlignment="1">
      <alignment horizontal="center"/>
    </xf>
    <xf numFmtId="2" fontId="13" fillId="0" borderId="2" xfId="0" applyNumberFormat="1" applyFont="1" applyBorder="1" applyAlignment="1">
      <alignment horizontal="center"/>
    </xf>
    <xf numFmtId="1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3" xfId="65" applyFont="1" applyAlignment="1">
      <alignment vertical="top"/>
    </xf>
    <xf numFmtId="190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vertical="center"/>
    </xf>
    <xf numFmtId="0" fontId="16" fillId="0" borderId="3" xfId="65" applyFont="1" applyAlignment="1">
      <alignment vertical="center"/>
    </xf>
    <xf numFmtId="0" fontId="19" fillId="0" borderId="2" xfId="0" applyFont="1" applyBorder="1" applyAlignment="1">
      <alignment horizontal="center"/>
    </xf>
    <xf numFmtId="169" fontId="13" fillId="0" borderId="2" xfId="0" applyNumberFormat="1" applyFont="1" applyBorder="1" applyAlignment="1">
      <alignment horizontal="center" vertical="center"/>
    </xf>
    <xf numFmtId="168" fontId="19" fillId="0" borderId="0" xfId="0" applyNumberFormat="1" applyFont="1" applyAlignment="1">
      <alignment horizontal="center" vertical="center"/>
    </xf>
    <xf numFmtId="0" fontId="13" fillId="0" borderId="0" xfId="0" applyFont="1"/>
    <xf numFmtId="0" fontId="13" fillId="4" borderId="6" xfId="55" applyFont="1" applyFill="1" applyBorder="1" applyAlignment="1">
      <alignment vertical="center"/>
    </xf>
    <xf numFmtId="0" fontId="29" fillId="0" borderId="3" xfId="63" applyFont="1" applyAlignment="1">
      <alignment vertical="center"/>
    </xf>
    <xf numFmtId="0" fontId="29" fillId="0" borderId="3" xfId="63" applyFont="1"/>
    <xf numFmtId="0" fontId="13" fillId="0" borderId="6" xfId="55" applyFont="1" applyBorder="1" applyAlignment="1">
      <alignment horizontal="left" vertical="center"/>
    </xf>
    <xf numFmtId="0" fontId="23" fillId="42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 indent="1"/>
    </xf>
    <xf numFmtId="171" fontId="20" fillId="3" borderId="3" xfId="3" applyNumberFormat="1" applyFont="1" applyFill="1" applyBorder="1" applyAlignment="1">
      <alignment horizontal="right" vertical="center"/>
    </xf>
    <xf numFmtId="0" fontId="23" fillId="43" borderId="0" xfId="0" applyFont="1" applyFill="1" applyAlignment="1">
      <alignment vertical="center"/>
    </xf>
    <xf numFmtId="175" fontId="20" fillId="3" borderId="0" xfId="0" applyNumberFormat="1" applyFont="1" applyFill="1" applyAlignment="1">
      <alignment horizontal="right" vertical="center"/>
    </xf>
    <xf numFmtId="167" fontId="23" fillId="42" borderId="0" xfId="0" applyNumberFormat="1" applyFont="1" applyFill="1" applyAlignment="1">
      <alignment vertical="center"/>
    </xf>
    <xf numFmtId="169" fontId="23" fillId="3" borderId="0" xfId="0" applyNumberFormat="1" applyFont="1" applyFill="1" applyAlignment="1">
      <alignment vertical="center"/>
    </xf>
    <xf numFmtId="49" fontId="13" fillId="0" borderId="16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vertical="center" wrapText="1"/>
    </xf>
    <xf numFmtId="170" fontId="13" fillId="0" borderId="16" xfId="0" applyNumberFormat="1" applyFont="1" applyBorder="1" applyAlignment="1">
      <alignment horizontal="right" vertical="center"/>
    </xf>
    <xf numFmtId="165" fontId="17" fillId="0" borderId="16" xfId="0" applyNumberFormat="1" applyFont="1" applyBorder="1" applyAlignment="1">
      <alignment horizontal="right" vertical="center"/>
    </xf>
    <xf numFmtId="171" fontId="23" fillId="3" borderId="0" xfId="0" applyNumberFormat="1" applyFont="1" applyFill="1" applyAlignment="1">
      <alignment horizontal="right" vertical="center"/>
    </xf>
    <xf numFmtId="171" fontId="20" fillId="3" borderId="0" xfId="0" applyNumberFormat="1" applyFont="1" applyFill="1" applyAlignment="1">
      <alignment horizontal="right" vertical="center"/>
    </xf>
    <xf numFmtId="0" fontId="23" fillId="4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 indent="1"/>
    </xf>
    <xf numFmtId="187" fontId="20" fillId="3" borderId="0" xfId="0" applyNumberFormat="1" applyFont="1" applyFill="1" applyAlignment="1">
      <alignment horizontal="right" vertical="center"/>
    </xf>
    <xf numFmtId="189" fontId="20" fillId="3" borderId="0" xfId="0" applyNumberFormat="1" applyFont="1" applyFill="1" applyAlignment="1">
      <alignment vertical="center"/>
    </xf>
    <xf numFmtId="169" fontId="20" fillId="3" borderId="6" xfId="0" applyNumberFormat="1" applyFont="1" applyFill="1" applyBorder="1" applyAlignment="1">
      <alignment vertical="center"/>
    </xf>
    <xf numFmtId="186" fontId="20" fillId="3" borderId="6" xfId="0" applyNumberFormat="1" applyFont="1" applyFill="1" applyBorder="1" applyAlignment="1">
      <alignment horizontal="center" vertical="center"/>
    </xf>
    <xf numFmtId="171" fontId="20" fillId="4" borderId="6" xfId="3" applyNumberFormat="1" applyFont="1" applyFill="1" applyBorder="1" applyAlignment="1">
      <alignment horizontal="right" vertical="center"/>
    </xf>
    <xf numFmtId="0" fontId="57" fillId="0" borderId="0" xfId="0" applyFont="1"/>
    <xf numFmtId="177" fontId="57" fillId="0" borderId="0" xfId="0" applyNumberFormat="1" applyFont="1" applyAlignment="1">
      <alignment horizontal="left"/>
    </xf>
    <xf numFmtId="175" fontId="23" fillId="3" borderId="0" xfId="0" applyNumberFormat="1" applyFont="1" applyFill="1" applyAlignment="1">
      <alignment horizontal="right" vertical="center"/>
    </xf>
    <xf numFmtId="169" fontId="15" fillId="3" borderId="0" xfId="0" applyNumberFormat="1" applyFont="1" applyFill="1" applyAlignment="1">
      <alignment horizontal="center" vertical="center" wrapText="1"/>
    </xf>
    <xf numFmtId="4" fontId="15" fillId="3" borderId="0" xfId="0" applyNumberFormat="1" applyFont="1" applyFill="1" applyAlignment="1">
      <alignment horizontal="center" vertical="center"/>
    </xf>
    <xf numFmtId="4" fontId="13" fillId="3" borderId="0" xfId="0" applyNumberFormat="1" applyFont="1" applyFill="1" applyAlignment="1">
      <alignment horizontal="center" vertical="center"/>
    </xf>
    <xf numFmtId="169" fontId="20" fillId="4" borderId="0" xfId="0" applyNumberFormat="1" applyFont="1" applyFill="1" applyAlignment="1">
      <alignment horizontal="center" vertical="center"/>
    </xf>
    <xf numFmtId="169" fontId="20" fillId="3" borderId="0" xfId="0" applyNumberFormat="1" applyFont="1" applyFill="1" applyAlignment="1">
      <alignment horizontal="center" vertical="center"/>
    </xf>
    <xf numFmtId="188" fontId="20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right" vertical="center"/>
    </xf>
    <xf numFmtId="0" fontId="13" fillId="3" borderId="6" xfId="0" applyFont="1" applyFill="1" applyBorder="1" applyAlignment="1">
      <alignment horizontal="left" vertical="center" indent="1"/>
    </xf>
    <xf numFmtId="169" fontId="13" fillId="3" borderId="6" xfId="0" applyNumberFormat="1" applyFont="1" applyFill="1" applyBorder="1" applyAlignment="1">
      <alignment horizontal="center" vertical="center"/>
    </xf>
    <xf numFmtId="189" fontId="23" fillId="3" borderId="0" xfId="0" applyNumberFormat="1" applyFont="1" applyFill="1" applyAlignment="1">
      <alignment horizontal="center" vertical="center"/>
    </xf>
    <xf numFmtId="189" fontId="20" fillId="3" borderId="0" xfId="0" applyNumberFormat="1" applyFont="1" applyFill="1" applyAlignment="1">
      <alignment horizontal="center" vertical="center"/>
    </xf>
    <xf numFmtId="186" fontId="20" fillId="3" borderId="0" xfId="0" applyNumberFormat="1" applyFont="1" applyFill="1" applyAlignment="1">
      <alignment vertical="center"/>
    </xf>
    <xf numFmtId="187" fontId="23" fillId="3" borderId="0" xfId="0" applyNumberFormat="1" applyFont="1" applyFill="1" applyAlignment="1">
      <alignment horizontal="right" vertical="center"/>
    </xf>
    <xf numFmtId="187" fontId="23" fillId="4" borderId="0" xfId="0" applyNumberFormat="1" applyFont="1" applyFill="1" applyAlignment="1">
      <alignment horizontal="right" vertical="center"/>
    </xf>
    <xf numFmtId="171" fontId="20" fillId="4" borderId="0" xfId="0" applyNumberFormat="1" applyFont="1" applyFill="1" applyAlignment="1">
      <alignment horizontal="right" vertical="center"/>
    </xf>
    <xf numFmtId="167" fontId="23" fillId="43" borderId="0" xfId="0" applyNumberFormat="1" applyFont="1" applyFill="1" applyAlignment="1">
      <alignment vertical="center"/>
    </xf>
    <xf numFmtId="188" fontId="20" fillId="3" borderId="0" xfId="0" applyNumberFormat="1" applyFont="1" applyFill="1" applyAlignment="1">
      <alignment horizontal="right" vertical="center"/>
    </xf>
    <xf numFmtId="187" fontId="20" fillId="3" borderId="6" xfId="3" applyNumberFormat="1" applyFont="1" applyFill="1" applyBorder="1" applyAlignment="1">
      <alignment horizontal="right" vertical="center"/>
    </xf>
    <xf numFmtId="187" fontId="20" fillId="3" borderId="6" xfId="0" applyNumberFormat="1" applyFont="1" applyFill="1" applyBorder="1" applyAlignment="1">
      <alignment horizontal="right" vertical="center"/>
    </xf>
    <xf numFmtId="0" fontId="57" fillId="0" borderId="3" xfId="0" applyFont="1" applyBorder="1"/>
    <xf numFmtId="169" fontId="23" fillId="4" borderId="0" xfId="0" applyNumberFormat="1" applyFont="1" applyFill="1" applyAlignment="1">
      <alignment horizontal="center" vertical="center"/>
    </xf>
    <xf numFmtId="188" fontId="23" fillId="3" borderId="0" xfId="0" applyNumberFormat="1" applyFont="1" applyFill="1" applyAlignment="1">
      <alignment horizontal="right" vertical="center"/>
    </xf>
    <xf numFmtId="188" fontId="23" fillId="3" borderId="0" xfId="0" applyNumberFormat="1" applyFont="1" applyFill="1" applyAlignment="1">
      <alignment horizontal="center" vertical="center"/>
    </xf>
    <xf numFmtId="0" fontId="15" fillId="4" borderId="0" xfId="0" applyFont="1" applyFill="1" applyAlignment="1">
      <alignment vertical="center"/>
    </xf>
    <xf numFmtId="186" fontId="23" fillId="4" borderId="3" xfId="55" applyNumberFormat="1" applyFont="1" applyFill="1" applyAlignment="1">
      <alignment horizontal="center" vertical="center"/>
    </xf>
    <xf numFmtId="0" fontId="15" fillId="45" borderId="33" xfId="0" applyFont="1" applyFill="1" applyBorder="1" applyAlignment="1">
      <alignment horizontal="center" vertical="center" wrapText="1"/>
    </xf>
    <xf numFmtId="2" fontId="50" fillId="4" borderId="3" xfId="55" applyNumberFormat="1" applyFont="1" applyFill="1" applyAlignment="1">
      <alignment horizontal="right" vertical="center"/>
    </xf>
    <xf numFmtId="2" fontId="50" fillId="4" borderId="6" xfId="55" applyNumberFormat="1" applyFont="1" applyFill="1" applyBorder="1" applyAlignment="1">
      <alignment horizontal="right" vertical="center"/>
    </xf>
    <xf numFmtId="0" fontId="23" fillId="39" borderId="16" xfId="55" applyFont="1" applyFill="1" applyBorder="1" applyAlignment="1">
      <alignment horizontal="left" vertical="center"/>
    </xf>
    <xf numFmtId="0" fontId="20" fillId="0" borderId="3" xfId="55" applyFont="1" applyAlignment="1">
      <alignment horizontal="left" vertical="center"/>
    </xf>
    <xf numFmtId="2" fontId="20" fillId="4" borderId="3" xfId="55" applyNumberFormat="1" applyFont="1" applyFill="1" applyAlignment="1">
      <alignment horizontal="right" vertical="center"/>
    </xf>
    <xf numFmtId="0" fontId="20" fillId="4" borderId="3" xfId="55" applyFont="1" applyFill="1" applyAlignment="1">
      <alignment horizontal="left" vertical="center"/>
    </xf>
    <xf numFmtId="0" fontId="20" fillId="4" borderId="6" xfId="55" applyFont="1" applyFill="1" applyBorder="1" applyAlignment="1">
      <alignment horizontal="left" vertical="center"/>
    </xf>
    <xf numFmtId="2" fontId="20" fillId="4" borderId="6" xfId="55" applyNumberFormat="1" applyFont="1" applyFill="1" applyBorder="1" applyAlignment="1">
      <alignment horizontal="right" vertical="center"/>
    </xf>
    <xf numFmtId="0" fontId="23" fillId="39" borderId="3" xfId="55" applyFont="1" applyFill="1" applyAlignment="1">
      <alignment horizontal="left" vertical="center"/>
    </xf>
    <xf numFmtId="2" fontId="23" fillId="4" borderId="3" xfId="55" applyNumberFormat="1" applyFont="1" applyFill="1" applyAlignment="1">
      <alignment horizontal="right" vertical="center"/>
    </xf>
    <xf numFmtId="0" fontId="20" fillId="0" borderId="6" xfId="55" applyFont="1" applyBorder="1" applyAlignment="1">
      <alignment horizontal="left" vertical="center"/>
    </xf>
    <xf numFmtId="2" fontId="23" fillId="4" borderId="16" xfId="55" applyNumberFormat="1" applyFont="1" applyFill="1" applyBorder="1" applyAlignment="1">
      <alignment vertical="center"/>
    </xf>
    <xf numFmtId="167" fontId="50" fillId="4" borderId="3" xfId="55" applyNumberFormat="1" applyFont="1" applyFill="1" applyAlignment="1">
      <alignment vertical="center"/>
    </xf>
    <xf numFmtId="49" fontId="60" fillId="0" borderId="3" xfId="55" applyNumberFormat="1" applyFont="1" applyAlignment="1">
      <alignment horizontal="center" vertical="center"/>
    </xf>
    <xf numFmtId="2" fontId="60" fillId="4" borderId="3" xfId="55" applyNumberFormat="1" applyFont="1" applyFill="1" applyAlignment="1">
      <alignment horizontal="center" vertical="center"/>
    </xf>
    <xf numFmtId="2" fontId="60" fillId="4" borderId="3" xfId="55" applyNumberFormat="1" applyFont="1" applyFill="1" applyAlignment="1">
      <alignment horizontal="right" vertical="center"/>
    </xf>
    <xf numFmtId="0" fontId="50" fillId="4" borderId="16" xfId="55" applyFont="1" applyFill="1" applyBorder="1" applyAlignment="1">
      <alignment vertical="center"/>
    </xf>
    <xf numFmtId="172" fontId="50" fillId="4" borderId="3" xfId="55" applyNumberFormat="1" applyFont="1" applyFill="1" applyAlignment="1">
      <alignment horizontal="center" vertical="center"/>
    </xf>
    <xf numFmtId="2" fontId="50" fillId="4" borderId="3" xfId="55" applyNumberFormat="1" applyFont="1" applyFill="1" applyAlignment="1">
      <alignment horizontal="center" vertical="center"/>
    </xf>
    <xf numFmtId="0" fontId="62" fillId="4" borderId="0" xfId="0" applyFont="1" applyFill="1" applyAlignment="1">
      <alignment vertical="center"/>
    </xf>
    <xf numFmtId="0" fontId="62" fillId="4" borderId="3" xfId="55" applyFont="1" applyFill="1" applyAlignment="1">
      <alignment vertical="center"/>
    </xf>
    <xf numFmtId="172" fontId="50" fillId="4" borderId="16" xfId="55" applyNumberFormat="1" applyFont="1" applyFill="1" applyBorder="1" applyAlignment="1">
      <alignment horizontal="right" vertical="center"/>
    </xf>
    <xf numFmtId="172" fontId="50" fillId="4" borderId="3" xfId="55" applyNumberFormat="1" applyFont="1" applyFill="1" applyAlignment="1">
      <alignment horizontal="right" vertical="center" wrapText="1"/>
    </xf>
    <xf numFmtId="49" fontId="23" fillId="38" borderId="5" xfId="55" applyNumberFormat="1" applyFont="1" applyFill="1" applyBorder="1" applyAlignment="1">
      <alignment horizontal="center" vertical="center"/>
    </xf>
    <xf numFmtId="172" fontId="20" fillId="4" borderId="6" xfId="55" applyNumberFormat="1" applyFont="1" applyFill="1" applyBorder="1" applyAlignment="1">
      <alignment vertical="center"/>
    </xf>
    <xf numFmtId="3" fontId="20" fillId="0" borderId="6" xfId="55" applyNumberFormat="1" applyFont="1" applyBorder="1" applyAlignment="1">
      <alignment vertical="center"/>
    </xf>
    <xf numFmtId="0" fontId="29" fillId="0" borderId="3" xfId="67" applyFont="1" applyAlignment="1">
      <alignment vertical="center"/>
    </xf>
    <xf numFmtId="0" fontId="29" fillId="0" borderId="3" xfId="67" applyFont="1"/>
    <xf numFmtId="0" fontId="23" fillId="4" borderId="3" xfId="55" applyFont="1" applyFill="1" applyAlignment="1">
      <alignment horizontal="left" vertical="center" wrapText="1"/>
    </xf>
    <xf numFmtId="0" fontId="13" fillId="4" borderId="3" xfId="55" applyFont="1" applyFill="1" applyAlignment="1">
      <alignment horizontal="center" vertical="center"/>
    </xf>
    <xf numFmtId="3" fontId="15" fillId="4" borderId="3" xfId="55" applyNumberFormat="1" applyFont="1" applyFill="1" applyAlignment="1">
      <alignment vertical="center"/>
    </xf>
    <xf numFmtId="3" fontId="13" fillId="4" borderId="3" xfId="55" applyNumberFormat="1" applyFont="1" applyFill="1" applyAlignment="1">
      <alignment horizontal="right" vertical="center"/>
    </xf>
    <xf numFmtId="3" fontId="20" fillId="4" borderId="3" xfId="55" applyNumberFormat="1" applyFont="1" applyFill="1" applyAlignment="1">
      <alignment horizontal="right" vertical="center"/>
    </xf>
    <xf numFmtId="3" fontId="20" fillId="4" borderId="3" xfId="55" applyNumberFormat="1" applyFont="1" applyFill="1" applyAlignment="1">
      <alignment vertical="center"/>
    </xf>
    <xf numFmtId="0" fontId="13" fillId="0" borderId="3" xfId="55" applyFont="1" applyAlignment="1">
      <alignment vertical="center"/>
    </xf>
    <xf numFmtId="177" fontId="15" fillId="38" borderId="18" xfId="55" applyNumberFormat="1" applyFont="1" applyFill="1" applyBorder="1" applyAlignment="1">
      <alignment horizontal="center" vertical="center"/>
    </xf>
    <xf numFmtId="177" fontId="15" fillId="38" borderId="19" xfId="55" applyNumberFormat="1" applyFont="1" applyFill="1" applyBorder="1" applyAlignment="1">
      <alignment horizontal="center" vertical="center"/>
    </xf>
    <xf numFmtId="0" fontId="15" fillId="0" borderId="4" xfId="55" applyFont="1" applyBorder="1" applyAlignment="1">
      <alignment horizontal="left" vertical="center" wrapText="1"/>
    </xf>
    <xf numFmtId="4" fontId="13" fillId="3" borderId="6" xfId="55" applyNumberFormat="1" applyFont="1" applyFill="1" applyBorder="1" applyAlignment="1">
      <alignment horizontal="center" vertical="center"/>
    </xf>
    <xf numFmtId="169" fontId="20" fillId="3" borderId="6" xfId="0" applyNumberFormat="1" applyFont="1" applyFill="1" applyBorder="1" applyAlignment="1">
      <alignment horizontal="right" vertical="center"/>
    </xf>
    <xf numFmtId="169" fontId="13" fillId="3" borderId="3" xfId="0" applyNumberFormat="1" applyFont="1" applyFill="1" applyBorder="1" applyAlignment="1">
      <alignment horizontal="center" vertical="center" wrapText="1"/>
    </xf>
    <xf numFmtId="169" fontId="13" fillId="3" borderId="6" xfId="0" applyNumberFormat="1" applyFont="1" applyFill="1" applyBorder="1" applyAlignment="1">
      <alignment horizontal="center" vertical="center" wrapText="1"/>
    </xf>
    <xf numFmtId="169" fontId="13" fillId="3" borderId="3" xfId="0" applyNumberFormat="1" applyFont="1" applyFill="1" applyBorder="1" applyAlignment="1">
      <alignment horizontal="right" vertical="center"/>
    </xf>
    <xf numFmtId="169" fontId="13" fillId="3" borderId="6" xfId="0" applyNumberFormat="1" applyFont="1" applyFill="1" applyBorder="1" applyAlignment="1">
      <alignment horizontal="right" vertical="center"/>
    </xf>
    <xf numFmtId="169" fontId="13" fillId="3" borderId="3" xfId="0" applyNumberFormat="1" applyFont="1" applyFill="1" applyBorder="1" applyAlignment="1">
      <alignment horizontal="center" vertical="center"/>
    </xf>
    <xf numFmtId="187" fontId="13" fillId="3" borderId="6" xfId="3" applyNumberFormat="1" applyFont="1" applyFill="1" applyBorder="1" applyAlignment="1">
      <alignment horizontal="right" vertical="center"/>
    </xf>
    <xf numFmtId="0" fontId="13" fillId="0" borderId="3" xfId="0" applyFont="1" applyBorder="1" applyAlignment="1">
      <alignment vertical="center" wrapText="1"/>
    </xf>
    <xf numFmtId="176" fontId="13" fillId="44" borderId="6" xfId="0" applyNumberFormat="1" applyFont="1" applyFill="1" applyBorder="1" applyAlignment="1">
      <alignment horizontal="center" vertical="center"/>
    </xf>
    <xf numFmtId="167" fontId="13" fillId="44" borderId="3" xfId="0" applyNumberFormat="1" applyFont="1" applyFill="1" applyBorder="1" applyAlignment="1">
      <alignment horizontal="left" vertical="center"/>
    </xf>
    <xf numFmtId="4" fontId="13" fillId="44" borderId="6" xfId="0" applyNumberFormat="1" applyFont="1" applyFill="1" applyBorder="1" applyAlignment="1">
      <alignment horizontal="center" vertical="center"/>
    </xf>
    <xf numFmtId="0" fontId="16" fillId="4" borderId="3" xfId="55" applyFont="1" applyFill="1" applyAlignment="1">
      <alignment horizontal="left"/>
    </xf>
    <xf numFmtId="0" fontId="14" fillId="4" borderId="3" xfId="55" applyFont="1" applyFill="1" applyAlignment="1">
      <alignment horizontal="left"/>
    </xf>
    <xf numFmtId="0" fontId="16" fillId="4" borderId="3" xfId="55" applyFont="1" applyFill="1" applyAlignment="1">
      <alignment horizontal="left" vertical="center"/>
    </xf>
    <xf numFmtId="0" fontId="15" fillId="0" borderId="6" xfId="55" applyFont="1" applyBorder="1" applyAlignment="1">
      <alignment horizontal="left" vertical="center" wrapText="1"/>
    </xf>
    <xf numFmtId="0" fontId="15" fillId="0" borderId="3" xfId="55" applyFont="1" applyAlignment="1">
      <alignment horizontal="left" vertical="center" wrapText="1"/>
    </xf>
    <xf numFmtId="180" fontId="26" fillId="0" borderId="3" xfId="4" applyNumberFormat="1" applyFont="1" applyAlignment="1">
      <alignment horizontal="left" vertical="center" wrapText="1"/>
    </xf>
    <xf numFmtId="0" fontId="16" fillId="0" borderId="3" xfId="55" applyFont="1" applyAlignment="1">
      <alignment vertical="center"/>
    </xf>
    <xf numFmtId="2" fontId="13" fillId="0" borderId="3" xfId="55" applyNumberFormat="1" applyFont="1"/>
    <xf numFmtId="0" fontId="13" fillId="0" borderId="6" xfId="55" applyFont="1" applyBorder="1"/>
    <xf numFmtId="2" fontId="13" fillId="0" borderId="6" xfId="55" applyNumberFormat="1" applyFont="1" applyBorder="1"/>
    <xf numFmtId="0" fontId="13" fillId="0" borderId="16" xfId="55" applyFont="1" applyBorder="1"/>
    <xf numFmtId="0" fontId="15" fillId="0" borderId="6" xfId="55" applyFont="1" applyBorder="1" applyAlignment="1">
      <alignment horizontal="left" vertical="center"/>
    </xf>
    <xf numFmtId="0" fontId="15" fillId="0" borderId="4" xfId="55" applyFont="1" applyBorder="1" applyAlignment="1">
      <alignment vertical="center"/>
    </xf>
    <xf numFmtId="0" fontId="13" fillId="0" borderId="4" xfId="55" applyFont="1" applyBorder="1"/>
    <xf numFmtId="2" fontId="13" fillId="0" borderId="4" xfId="55" applyNumberFormat="1" applyFont="1" applyBorder="1"/>
    <xf numFmtId="1" fontId="13" fillId="0" borderId="6" xfId="55" applyNumberFormat="1" applyFont="1" applyBorder="1"/>
    <xf numFmtId="1" fontId="13" fillId="0" borderId="3" xfId="55" applyNumberFormat="1" applyFont="1"/>
    <xf numFmtId="0" fontId="16" fillId="44" borderId="3" xfId="65" applyFont="1" applyFill="1"/>
    <xf numFmtId="0" fontId="12" fillId="0" borderId="3" xfId="65" applyFont="1"/>
    <xf numFmtId="0" fontId="27" fillId="0" borderId="3" xfId="65" applyFont="1"/>
    <xf numFmtId="0" fontId="14" fillId="0" borderId="3" xfId="65" applyFont="1"/>
    <xf numFmtId="0" fontId="14" fillId="0" borderId="23" xfId="65" applyFont="1" applyBorder="1"/>
    <xf numFmtId="0" fontId="18" fillId="4" borderId="3" xfId="55" applyFont="1" applyFill="1" applyBorder="1" applyAlignment="1">
      <alignment horizontal="left" vertical="center"/>
    </xf>
    <xf numFmtId="0" fontId="13" fillId="4" borderId="3" xfId="55" applyFont="1" applyFill="1" applyBorder="1" applyAlignment="1">
      <alignment horizontal="center" vertical="center"/>
    </xf>
    <xf numFmtId="3" fontId="13" fillId="4" borderId="3" xfId="55" applyNumberFormat="1" applyFont="1" applyFill="1" applyBorder="1" applyAlignment="1">
      <alignment horizontal="right" vertical="center"/>
    </xf>
    <xf numFmtId="3" fontId="20" fillId="4" borderId="3" xfId="55" applyNumberFormat="1" applyFont="1" applyFill="1" applyBorder="1" applyAlignment="1">
      <alignment horizontal="right" vertical="center"/>
    </xf>
    <xf numFmtId="3" fontId="20" fillId="4" borderId="3" xfId="55" applyNumberFormat="1" applyFont="1" applyFill="1" applyBorder="1" applyAlignment="1">
      <alignment vertical="center"/>
    </xf>
    <xf numFmtId="0" fontId="13" fillId="0" borderId="3" xfId="55" applyFont="1" applyBorder="1" applyAlignment="1">
      <alignment horizontal="center" vertical="center"/>
    </xf>
    <xf numFmtId="3" fontId="15" fillId="39" borderId="3" xfId="55" applyNumberFormat="1" applyFont="1" applyFill="1" applyBorder="1" applyAlignment="1">
      <alignment vertical="center"/>
    </xf>
    <xf numFmtId="3" fontId="13" fillId="0" borderId="3" xfId="55" applyNumberFormat="1" applyFont="1" applyBorder="1" applyAlignment="1">
      <alignment horizontal="right" vertical="center"/>
    </xf>
    <xf numFmtId="3" fontId="13" fillId="0" borderId="3" xfId="55" quotePrefix="1" applyNumberFormat="1" applyFont="1" applyBorder="1" applyAlignment="1">
      <alignment horizontal="right" vertical="center"/>
    </xf>
    <xf numFmtId="0" fontId="13" fillId="0" borderId="3" xfId="55" applyFont="1" applyBorder="1" applyAlignment="1">
      <alignment vertical="center"/>
    </xf>
    <xf numFmtId="1" fontId="13" fillId="0" borderId="3" xfId="55" applyNumberFormat="1" applyFont="1" applyBorder="1" applyAlignment="1">
      <alignment vertical="center"/>
    </xf>
    <xf numFmtId="166" fontId="13" fillId="0" borderId="3" xfId="55" applyNumberFormat="1" applyFont="1" applyBorder="1" applyAlignment="1">
      <alignment vertical="center"/>
    </xf>
    <xf numFmtId="169" fontId="13" fillId="4" borderId="0" xfId="0" applyNumberFormat="1" applyFont="1" applyFill="1" applyAlignment="1">
      <alignment horizontal="right" vertical="center"/>
    </xf>
    <xf numFmtId="169" fontId="15" fillId="4" borderId="0" xfId="0" applyNumberFormat="1" applyFont="1" applyFill="1" applyAlignment="1">
      <alignment horizontal="right" vertical="center"/>
    </xf>
    <xf numFmtId="169" fontId="13" fillId="4" borderId="0" xfId="0" applyNumberFormat="1" applyFont="1" applyFill="1" applyAlignment="1">
      <alignment horizontal="center" vertical="center"/>
    </xf>
    <xf numFmtId="169" fontId="15" fillId="4" borderId="0" xfId="0" applyNumberFormat="1" applyFont="1" applyFill="1" applyAlignment="1">
      <alignment horizontal="center" vertical="center"/>
    </xf>
    <xf numFmtId="169" fontId="20" fillId="3" borderId="3" xfId="55" applyNumberFormat="1" applyFont="1" applyFill="1" applyAlignment="1">
      <alignment horizontal="center" vertical="center"/>
    </xf>
    <xf numFmtId="186" fontId="13" fillId="4" borderId="0" xfId="0" applyNumberFormat="1" applyFont="1" applyFill="1" applyAlignment="1">
      <alignment horizontal="right" vertical="center"/>
    </xf>
    <xf numFmtId="186" fontId="20" fillId="3" borderId="3" xfId="55" applyNumberFormat="1" applyFont="1" applyFill="1" applyAlignment="1">
      <alignment horizontal="right" vertical="center"/>
    </xf>
    <xf numFmtId="186" fontId="23" fillId="3" borderId="3" xfId="55" applyNumberFormat="1" applyFont="1" applyFill="1" applyAlignment="1">
      <alignment horizontal="right" vertical="center"/>
    </xf>
    <xf numFmtId="169" fontId="15" fillId="3" borderId="3" xfId="55" applyNumberFormat="1" applyFont="1" applyFill="1" applyAlignment="1">
      <alignment horizontal="right" vertical="center"/>
    </xf>
    <xf numFmtId="169" fontId="15" fillId="4" borderId="3" xfId="55" applyNumberFormat="1" applyFont="1" applyFill="1" applyAlignment="1">
      <alignment horizontal="right" vertical="center"/>
    </xf>
    <xf numFmtId="186" fontId="23" fillId="3" borderId="0" xfId="0" applyNumberFormat="1" applyFont="1" applyFill="1" applyAlignment="1">
      <alignment horizontal="right" vertical="center"/>
    </xf>
    <xf numFmtId="189" fontId="23" fillId="3" borderId="0" xfId="0" applyNumberFormat="1" applyFont="1" applyFill="1" applyAlignment="1">
      <alignment horizontal="right" vertical="center"/>
    </xf>
    <xf numFmtId="186" fontId="20" fillId="3" borderId="0" xfId="0" applyNumberFormat="1" applyFont="1" applyFill="1" applyAlignment="1">
      <alignment horizontal="right" vertical="center"/>
    </xf>
    <xf numFmtId="189" fontId="13" fillId="3" borderId="0" xfId="0" applyNumberFormat="1" applyFont="1" applyFill="1" applyAlignment="1">
      <alignment horizontal="right" vertical="center"/>
    </xf>
    <xf numFmtId="0" fontId="15" fillId="0" borderId="3" xfId="0" applyFont="1" applyFill="1" applyBorder="1" applyAlignment="1">
      <alignment horizontal="center" vertical="center" wrapText="1"/>
    </xf>
    <xf numFmtId="0" fontId="27" fillId="0" borderId="3" xfId="55" applyFont="1" applyFill="1"/>
    <xf numFmtId="0" fontId="15" fillId="0" borderId="3" xfId="0" applyFont="1" applyFill="1" applyBorder="1"/>
    <xf numFmtId="0" fontId="61" fillId="0" borderId="0" xfId="0" applyFont="1" applyAlignment="1"/>
    <xf numFmtId="0" fontId="49" fillId="0" borderId="3" xfId="55" applyFont="1" applyAlignment="1">
      <alignment horizontal="center"/>
    </xf>
    <xf numFmtId="0" fontId="16" fillId="44" borderId="3" xfId="55" applyFont="1" applyFill="1" applyAlignment="1">
      <alignment vertical="center"/>
    </xf>
    <xf numFmtId="0" fontId="64" fillId="0" borderId="3" xfId="55" applyFont="1"/>
    <xf numFmtId="0" fontId="15" fillId="39" borderId="3" xfId="55" applyFont="1" applyFill="1" applyBorder="1" applyAlignment="1">
      <alignment horizontal="left" vertical="center"/>
    </xf>
    <xf numFmtId="2" fontId="15" fillId="4" borderId="3" xfId="55" applyNumberFormat="1" applyFont="1" applyFill="1" applyBorder="1" applyAlignment="1">
      <alignment vertical="center"/>
    </xf>
    <xf numFmtId="0" fontId="13" fillId="4" borderId="3" xfId="55" applyFont="1" applyFill="1" applyBorder="1" applyAlignment="1">
      <alignment vertical="center"/>
    </xf>
    <xf numFmtId="0" fontId="13" fillId="4" borderId="3" xfId="55" applyFont="1" applyFill="1" applyBorder="1" applyAlignment="1">
      <alignment horizontal="left" vertical="center"/>
    </xf>
    <xf numFmtId="2" fontId="13" fillId="4" borderId="3" xfId="55" applyNumberFormat="1" applyFont="1" applyFill="1" applyBorder="1" applyAlignment="1">
      <alignment vertical="center"/>
    </xf>
    <xf numFmtId="165" fontId="17" fillId="4" borderId="3" xfId="55" applyNumberFormat="1" applyFont="1" applyFill="1" applyAlignment="1">
      <alignment horizontal="left" vertical="top"/>
    </xf>
    <xf numFmtId="0" fontId="13" fillId="4" borderId="3" xfId="55" applyFont="1" applyFill="1" applyBorder="1" applyAlignment="1">
      <alignment horizontal="left" vertical="center" indent="1"/>
    </xf>
    <xf numFmtId="172" fontId="20" fillId="4" borderId="3" xfId="55" applyNumberFormat="1" applyFont="1" applyFill="1" applyBorder="1" applyAlignment="1">
      <alignment vertical="center"/>
    </xf>
    <xf numFmtId="172" fontId="13" fillId="4" borderId="3" xfId="55" applyNumberFormat="1" applyFont="1" applyFill="1" applyBorder="1" applyAlignment="1">
      <alignment vertical="center"/>
    </xf>
    <xf numFmtId="2" fontId="60" fillId="4" borderId="3" xfId="55" applyNumberFormat="1" applyFont="1" applyFill="1" applyBorder="1" applyAlignment="1">
      <alignment horizontal="right" vertical="center"/>
    </xf>
    <xf numFmtId="2" fontId="15" fillId="4" borderId="3" xfId="55" applyNumberFormat="1" applyFont="1" applyFill="1" applyBorder="1" applyAlignment="1">
      <alignment horizontal="right" vertical="center"/>
    </xf>
    <xf numFmtId="2" fontId="20" fillId="4" borderId="3" xfId="55" applyNumberFormat="1" applyFont="1" applyFill="1" applyBorder="1" applyAlignment="1">
      <alignment horizontal="right" vertical="center"/>
    </xf>
    <xf numFmtId="0" fontId="50" fillId="4" borderId="0" xfId="0" applyFont="1" applyFill="1" applyAlignment="1">
      <alignment vertical="center"/>
    </xf>
    <xf numFmtId="0" fontId="49" fillId="4" borderId="0" xfId="0" applyFont="1" applyFill="1" applyAlignment="1">
      <alignment vertical="center"/>
    </xf>
    <xf numFmtId="0" fontId="15" fillId="0" borderId="16" xfId="55" applyFont="1" applyBorder="1" applyAlignment="1">
      <alignment vertical="center" wrapText="1"/>
    </xf>
    <xf numFmtId="0" fontId="65" fillId="0" borderId="3" xfId="4" applyFont="1"/>
    <xf numFmtId="0" fontId="65" fillId="0" borderId="3" xfId="4" applyFont="1" applyAlignment="1">
      <alignment vertical="center"/>
    </xf>
    <xf numFmtId="0" fontId="65" fillId="0" borderId="3" xfId="4" applyFont="1" applyAlignment="1">
      <alignment horizontal="center" vertical="center"/>
    </xf>
    <xf numFmtId="0" fontId="66" fillId="0" borderId="3" xfId="4" applyFont="1" applyAlignment="1">
      <alignment vertical="center"/>
    </xf>
    <xf numFmtId="0" fontId="67" fillId="38" borderId="5" xfId="4" applyFont="1" applyFill="1" applyBorder="1" applyAlignment="1">
      <alignment horizontal="center" vertical="center"/>
    </xf>
    <xf numFmtId="0" fontId="67" fillId="38" borderId="5" xfId="4" applyFont="1" applyFill="1" applyBorder="1" applyAlignment="1">
      <alignment horizontal="center" vertical="center" wrapText="1"/>
    </xf>
    <xf numFmtId="0" fontId="68" fillId="39" borderId="3" xfId="55" applyFont="1" applyFill="1" applyAlignment="1">
      <alignment horizontal="left" vertical="center"/>
    </xf>
    <xf numFmtId="0" fontId="68" fillId="0" borderId="3" xfId="55" applyFont="1" applyAlignment="1">
      <alignment horizontal="left" vertical="center" wrapText="1"/>
    </xf>
    <xf numFmtId="0" fontId="68" fillId="0" borderId="3" xfId="55" applyFont="1" applyAlignment="1">
      <alignment horizontal="right" vertical="center" wrapText="1"/>
    </xf>
    <xf numFmtId="3" fontId="69" fillId="0" borderId="3" xfId="55" applyNumberFormat="1" applyFont="1" applyAlignment="1">
      <alignment vertical="center"/>
    </xf>
    <xf numFmtId="184" fontId="69" fillId="0" borderId="3" xfId="55" applyNumberFormat="1" applyFont="1" applyAlignment="1">
      <alignment horizontal="right"/>
    </xf>
    <xf numFmtId="185" fontId="69" fillId="0" borderId="3" xfId="55" applyNumberFormat="1" applyFont="1" applyAlignment="1">
      <alignment horizontal="right"/>
    </xf>
    <xf numFmtId="185" fontId="69" fillId="0" borderId="3" xfId="55" applyNumberFormat="1" applyFont="1"/>
    <xf numFmtId="3" fontId="69" fillId="0" borderId="3" xfId="55" applyNumberFormat="1" applyFont="1" applyAlignment="1">
      <alignment horizontal="left" vertical="center"/>
    </xf>
    <xf numFmtId="3" fontId="68" fillId="39" borderId="3" xfId="55" applyNumberFormat="1" applyFont="1" applyFill="1" applyAlignment="1">
      <alignment horizontal="left" vertical="center"/>
    </xf>
    <xf numFmtId="185" fontId="69" fillId="2" borderId="3" xfId="55" applyNumberFormat="1" applyFont="1" applyFill="1" applyAlignment="1">
      <alignment horizontal="right"/>
    </xf>
    <xf numFmtId="185" fontId="69" fillId="2" borderId="3" xfId="55" applyNumberFormat="1" applyFont="1" applyFill="1"/>
    <xf numFmtId="3" fontId="69" fillId="0" borderId="6" xfId="55" applyNumberFormat="1" applyFont="1" applyBorder="1" applyAlignment="1">
      <alignment vertical="center"/>
    </xf>
    <xf numFmtId="184" fontId="69" fillId="0" borderId="6" xfId="55" applyNumberFormat="1" applyFont="1" applyBorder="1" applyAlignment="1">
      <alignment horizontal="right"/>
    </xf>
    <xf numFmtId="185" fontId="69" fillId="2" borderId="6" xfId="55" applyNumberFormat="1" applyFont="1" applyFill="1" applyBorder="1" applyAlignment="1">
      <alignment horizontal="right"/>
    </xf>
    <xf numFmtId="185" fontId="69" fillId="0" borderId="6" xfId="55" applyNumberFormat="1" applyFont="1" applyBorder="1"/>
    <xf numFmtId="0" fontId="70" fillId="0" borderId="3" xfId="4" applyFont="1"/>
    <xf numFmtId="3" fontId="70" fillId="3" borderId="3" xfId="4" applyNumberFormat="1" applyFont="1" applyFill="1" applyAlignment="1">
      <alignment vertical="center"/>
    </xf>
    <xf numFmtId="3" fontId="70" fillId="3" borderId="3" xfId="4" applyNumberFormat="1" applyFont="1" applyFill="1" applyAlignment="1">
      <alignment horizontal="right" vertical="center"/>
    </xf>
    <xf numFmtId="0" fontId="70" fillId="0" borderId="3" xfId="63" applyFont="1" applyAlignment="1">
      <alignment vertical="center"/>
    </xf>
    <xf numFmtId="168" fontId="70" fillId="0" borderId="3" xfId="1" applyFont="1" applyAlignment="1">
      <alignment horizontal="left" vertical="center"/>
    </xf>
    <xf numFmtId="0" fontId="65" fillId="0" borderId="3" xfId="4" applyFont="1" applyAlignment="1">
      <alignment vertical="center" wrapText="1"/>
    </xf>
    <xf numFmtId="0" fontId="70" fillId="0" borderId="3" xfId="63" applyFont="1"/>
    <xf numFmtId="170" fontId="13" fillId="0" borderId="3" xfId="55" applyNumberFormat="1" applyFont="1"/>
    <xf numFmtId="170" fontId="13" fillId="0" borderId="6" xfId="55" applyNumberFormat="1" applyFont="1" applyBorder="1"/>
    <xf numFmtId="170" fontId="13" fillId="0" borderId="4" xfId="55" applyNumberFormat="1" applyFont="1" applyBorder="1"/>
    <xf numFmtId="182" fontId="20" fillId="0" borderId="3" xfId="4" applyNumberFormat="1" applyFont="1" applyAlignment="1">
      <alignment vertical="center"/>
    </xf>
    <xf numFmtId="181" fontId="13" fillId="0" borderId="3" xfId="53" applyNumberFormat="1" applyFont="1" applyAlignment="1">
      <alignment vertical="center"/>
    </xf>
    <xf numFmtId="182" fontId="13" fillId="0" borderId="3" xfId="55" applyNumberFormat="1" applyFont="1" applyAlignment="1">
      <alignment vertical="center"/>
    </xf>
    <xf numFmtId="0" fontId="13" fillId="0" borderId="6" xfId="55" applyFont="1" applyBorder="1" applyAlignment="1">
      <alignment vertical="center"/>
    </xf>
    <xf numFmtId="182" fontId="13" fillId="0" borderId="6" xfId="55" applyNumberFormat="1" applyFont="1" applyBorder="1" applyAlignment="1">
      <alignment vertical="center"/>
    </xf>
    <xf numFmtId="181" fontId="13" fillId="0" borderId="6" xfId="53" applyNumberFormat="1" applyFont="1" applyBorder="1" applyAlignment="1">
      <alignment vertical="center"/>
    </xf>
    <xf numFmtId="181" fontId="13" fillId="0" borderId="3" xfId="53" applyNumberFormat="1" applyFont="1" applyBorder="1" applyAlignment="1">
      <alignment vertical="center"/>
    </xf>
    <xf numFmtId="0" fontId="13" fillId="0" borderId="4" xfId="55" applyFont="1" applyBorder="1" applyAlignment="1">
      <alignment vertical="center"/>
    </xf>
    <xf numFmtId="182" fontId="13" fillId="0" borderId="4" xfId="55" applyNumberFormat="1" applyFont="1" applyBorder="1" applyAlignment="1">
      <alignment vertical="center"/>
    </xf>
    <xf numFmtId="181" fontId="13" fillId="0" borderId="4" xfId="53" applyNumberFormat="1" applyFont="1" applyBorder="1" applyAlignment="1">
      <alignment vertical="center"/>
    </xf>
    <xf numFmtId="0" fontId="13" fillId="0" borderId="16" xfId="55" applyFont="1" applyBorder="1" applyAlignment="1">
      <alignment vertical="center"/>
    </xf>
    <xf numFmtId="182" fontId="13" fillId="0" borderId="16" xfId="55" applyNumberFormat="1" applyFont="1" applyBorder="1" applyAlignment="1">
      <alignment vertical="center"/>
    </xf>
    <xf numFmtId="181" fontId="13" fillId="0" borderId="16" xfId="53" applyNumberFormat="1" applyFont="1" applyBorder="1" applyAlignment="1">
      <alignment vertical="center"/>
    </xf>
    <xf numFmtId="0" fontId="20" fillId="0" borderId="26" xfId="60" applyFont="1" applyBorder="1" applyAlignment="1">
      <alignment vertical="center" wrapText="1"/>
    </xf>
    <xf numFmtId="0" fontId="20" fillId="0" borderId="27" xfId="60" applyFont="1" applyBorder="1" applyAlignment="1">
      <alignment horizontal="left" vertical="center" wrapText="1"/>
    </xf>
    <xf numFmtId="0" fontId="20" fillId="0" borderId="3" xfId="60" applyFont="1" applyAlignment="1">
      <alignment horizontal="left" vertical="center" wrapText="1"/>
    </xf>
    <xf numFmtId="0" fontId="49" fillId="0" borderId="3" xfId="60" applyFont="1" applyAlignment="1">
      <alignment horizontal="left" vertical="center" wrapText="1"/>
    </xf>
    <xf numFmtId="0" fontId="49" fillId="0" borderId="27" xfId="60" applyFont="1" applyBorder="1" applyAlignment="1">
      <alignment horizontal="left" vertical="center" wrapText="1"/>
    </xf>
    <xf numFmtId="0" fontId="23" fillId="0" borderId="16" xfId="55" applyFont="1" applyBorder="1" applyAlignment="1">
      <alignment horizontal="left" vertical="center" wrapText="1"/>
    </xf>
    <xf numFmtId="0" fontId="23" fillId="0" borderId="3" xfId="55" applyFont="1" applyAlignment="1">
      <alignment horizontal="left" vertical="center" wrapText="1"/>
    </xf>
    <xf numFmtId="0" fontId="23" fillId="0" borderId="6" xfId="55" applyFont="1" applyBorder="1" applyAlignment="1">
      <alignment horizontal="left" vertical="center" wrapText="1"/>
    </xf>
    <xf numFmtId="0" fontId="15" fillId="39" borderId="16" xfId="55" applyFont="1" applyFill="1" applyBorder="1" applyAlignment="1">
      <alignment horizontal="center" vertical="center" wrapText="1"/>
    </xf>
    <xf numFmtId="0" fontId="15" fillId="39" borderId="3" xfId="55" applyFont="1" applyFill="1" applyAlignment="1">
      <alignment horizontal="center" vertical="center" wrapText="1"/>
    </xf>
    <xf numFmtId="0" fontId="15" fillId="39" borderId="6" xfId="55" applyFont="1" applyFill="1" applyBorder="1" applyAlignment="1">
      <alignment horizontal="center" vertical="center" wrapText="1"/>
    </xf>
    <xf numFmtId="0" fontId="23" fillId="0" borderId="3" xfId="55" applyFont="1" applyBorder="1" applyAlignment="1">
      <alignment horizontal="left" vertical="center" wrapText="1"/>
    </xf>
    <xf numFmtId="177" fontId="26" fillId="2" borderId="0" xfId="0" applyNumberFormat="1" applyFont="1" applyFill="1" applyAlignment="1">
      <alignment horizontal="left"/>
    </xf>
    <xf numFmtId="0" fontId="53" fillId="2" borderId="0" xfId="0" applyFont="1" applyFill="1" applyAlignment="1">
      <alignment horizontal="left"/>
    </xf>
    <xf numFmtId="0" fontId="15" fillId="40" borderId="28" xfId="55" applyFont="1" applyFill="1" applyBorder="1" applyAlignment="1">
      <alignment horizontal="center" vertical="center"/>
    </xf>
    <xf numFmtId="0" fontId="21" fillId="38" borderId="32" xfId="55" applyFont="1" applyFill="1" applyBorder="1"/>
    <xf numFmtId="0" fontId="15" fillId="40" borderId="29" xfId="55" applyFont="1" applyFill="1" applyBorder="1" applyAlignment="1">
      <alignment horizontal="center" vertical="center"/>
    </xf>
    <xf numFmtId="0" fontId="21" fillId="38" borderId="30" xfId="55" applyFont="1" applyFill="1" applyBorder="1"/>
    <xf numFmtId="0" fontId="21" fillId="38" borderId="31" xfId="55" applyFont="1" applyFill="1" applyBorder="1"/>
    <xf numFmtId="0" fontId="15" fillId="0" borderId="6" xfId="5" applyFont="1" applyBorder="1" applyAlignment="1">
      <alignment horizontal="left"/>
    </xf>
    <xf numFmtId="0" fontId="21" fillId="40" borderId="32" xfId="55" applyFont="1" applyFill="1" applyBorder="1"/>
    <xf numFmtId="0" fontId="21" fillId="40" borderId="30" xfId="55" applyFont="1" applyFill="1" applyBorder="1"/>
    <xf numFmtId="0" fontId="21" fillId="40" borderId="31" xfId="55" applyFont="1" applyFill="1" applyBorder="1"/>
    <xf numFmtId="0" fontId="15" fillId="0" borderId="3" xfId="5" applyFont="1" applyAlignment="1">
      <alignment horizontal="left"/>
    </xf>
    <xf numFmtId="0" fontId="15" fillId="40" borderId="32" xfId="55" applyFont="1" applyFill="1" applyBorder="1" applyAlignment="1">
      <alignment horizontal="center" vertical="center"/>
    </xf>
    <xf numFmtId="0" fontId="15" fillId="40" borderId="30" xfId="55" applyFont="1" applyFill="1" applyBorder="1" applyAlignment="1">
      <alignment horizontal="center" vertical="center"/>
    </xf>
    <xf numFmtId="0" fontId="15" fillId="40" borderId="31" xfId="55" applyFont="1" applyFill="1" applyBorder="1" applyAlignment="1">
      <alignment horizontal="center" vertical="center"/>
    </xf>
    <xf numFmtId="0" fontId="63" fillId="0" borderId="3" xfId="55" applyFont="1" applyAlignment="1">
      <alignment horizontal="left"/>
    </xf>
    <xf numFmtId="0" fontId="63" fillId="0" borderId="23" xfId="55" applyFont="1" applyBorder="1" applyAlignment="1">
      <alignment horizontal="left"/>
    </xf>
    <xf numFmtId="0" fontId="15" fillId="0" borderId="0" xfId="0" applyFont="1" applyAlignment="1">
      <alignment horizontal="left" vertical="center"/>
    </xf>
    <xf numFmtId="0" fontId="27" fillId="0" borderId="0" xfId="0" applyFont="1"/>
    <xf numFmtId="0" fontId="16" fillId="4" borderId="3" xfId="55" applyFont="1" applyFill="1" applyAlignment="1">
      <alignment horizontal="left"/>
    </xf>
    <xf numFmtId="0" fontId="14" fillId="4" borderId="3" xfId="55" applyFont="1" applyFill="1" applyAlignment="1">
      <alignment horizontal="left"/>
    </xf>
    <xf numFmtId="0" fontId="16" fillId="4" borderId="3" xfId="55" applyFont="1" applyFill="1" applyAlignment="1">
      <alignment horizontal="left" vertical="center"/>
    </xf>
    <xf numFmtId="0" fontId="23" fillId="4" borderId="3" xfId="5" applyFont="1" applyFill="1" applyAlignment="1">
      <alignment horizontal="left" vertical="center"/>
    </xf>
    <xf numFmtId="0" fontId="15" fillId="38" borderId="18" xfId="55" applyFont="1" applyFill="1" applyBorder="1" applyAlignment="1">
      <alignment horizontal="center" vertical="center"/>
    </xf>
    <xf numFmtId="0" fontId="15" fillId="38" borderId="4" xfId="55" applyFont="1" applyFill="1" applyBorder="1" applyAlignment="1">
      <alignment horizontal="center" vertical="center"/>
    </xf>
    <xf numFmtId="0" fontId="15" fillId="38" borderId="19" xfId="55" applyFont="1" applyFill="1" applyBorder="1" applyAlignment="1">
      <alignment horizontal="center" vertical="center"/>
    </xf>
    <xf numFmtId="0" fontId="15" fillId="38" borderId="17" xfId="55" applyFont="1" applyFill="1" applyBorder="1" applyAlignment="1">
      <alignment horizontal="center" vertical="center" wrapText="1"/>
    </xf>
    <xf numFmtId="0" fontId="15" fillId="38" borderId="20" xfId="55" applyFont="1" applyFill="1" applyBorder="1" applyAlignment="1">
      <alignment horizontal="center" vertical="center" wrapText="1"/>
    </xf>
    <xf numFmtId="0" fontId="15" fillId="4" borderId="3" xfId="5" applyFont="1" applyFill="1" applyAlignment="1">
      <alignment horizontal="left" vertical="center"/>
    </xf>
    <xf numFmtId="0" fontId="26" fillId="4" borderId="3" xfId="55" applyFont="1" applyFill="1" applyAlignment="1">
      <alignment horizontal="left"/>
    </xf>
    <xf numFmtId="0" fontId="15" fillId="4" borderId="3" xfId="5" applyFont="1" applyFill="1" applyAlignment="1">
      <alignment horizontal="left"/>
    </xf>
    <xf numFmtId="167" fontId="15" fillId="38" borderId="17" xfId="55" applyNumberFormat="1" applyFont="1" applyFill="1" applyBorder="1" applyAlignment="1">
      <alignment horizontal="center" vertical="center" wrapText="1"/>
    </xf>
    <xf numFmtId="167" fontId="15" fillId="38" borderId="24" xfId="55" applyNumberFormat="1" applyFont="1" applyFill="1" applyBorder="1" applyAlignment="1">
      <alignment horizontal="center" vertical="center" wrapText="1"/>
    </xf>
    <xf numFmtId="167" fontId="15" fillId="38" borderId="18" xfId="55" applyNumberFormat="1" applyFont="1" applyFill="1" applyBorder="1" applyAlignment="1">
      <alignment horizontal="center" vertical="center"/>
    </xf>
    <xf numFmtId="167" fontId="15" fillId="38" borderId="4" xfId="55" applyNumberFormat="1" applyFont="1" applyFill="1" applyBorder="1" applyAlignment="1">
      <alignment horizontal="center" vertical="center"/>
    </xf>
    <xf numFmtId="167" fontId="15" fillId="38" borderId="19" xfId="55" applyNumberFormat="1" applyFont="1" applyFill="1" applyBorder="1" applyAlignment="1">
      <alignment horizontal="center" vertical="center"/>
    </xf>
    <xf numFmtId="0" fontId="15" fillId="0" borderId="16" xfId="55" applyFont="1" applyBorder="1" applyAlignment="1">
      <alignment horizontal="left" vertical="center" wrapText="1"/>
    </xf>
    <xf numFmtId="0" fontId="15" fillId="0" borderId="6" xfId="55" applyFont="1" applyBorder="1" applyAlignment="1">
      <alignment horizontal="left" vertical="center" wrapText="1"/>
    </xf>
    <xf numFmtId="0" fontId="15" fillId="0" borderId="3" xfId="55" applyFont="1" applyAlignment="1">
      <alignment horizontal="left" vertical="center" wrapText="1"/>
    </xf>
    <xf numFmtId="0" fontId="65" fillId="0" borderId="3" xfId="4" applyFont="1" applyAlignment="1">
      <alignment horizontal="left" wrapText="1"/>
    </xf>
    <xf numFmtId="0" fontId="26" fillId="0" borderId="3" xfId="4" applyFont="1" applyAlignment="1">
      <alignment horizontal="left" vertical="center" wrapText="1"/>
    </xf>
    <xf numFmtId="0" fontId="26" fillId="0" borderId="6" xfId="4" applyFont="1" applyBorder="1" applyAlignment="1">
      <alignment horizontal="left" vertical="center" wrapText="1"/>
    </xf>
    <xf numFmtId="0" fontId="15" fillId="0" borderId="16" xfId="55" applyFont="1" applyBorder="1" applyAlignment="1">
      <alignment horizontal="left" vertical="center"/>
    </xf>
    <xf numFmtId="0" fontId="15" fillId="0" borderId="3" xfId="55" applyFont="1" applyAlignment="1">
      <alignment horizontal="left" vertical="center"/>
    </xf>
    <xf numFmtId="0" fontId="15" fillId="0" borderId="6" xfId="55" applyFont="1" applyBorder="1" applyAlignment="1">
      <alignment horizontal="left" vertical="center"/>
    </xf>
    <xf numFmtId="0" fontId="15" fillId="0" borderId="3" xfId="55" applyFont="1" applyAlignment="1">
      <alignment vertical="center"/>
    </xf>
    <xf numFmtId="0" fontId="15" fillId="0" borderId="6" xfId="55" applyFont="1" applyBorder="1" applyAlignment="1">
      <alignment vertical="center"/>
    </xf>
    <xf numFmtId="180" fontId="26" fillId="0" borderId="3" xfId="4" applyNumberFormat="1" applyFont="1" applyAlignment="1">
      <alignment horizontal="left" vertical="center" wrapText="1"/>
    </xf>
    <xf numFmtId="0" fontId="15" fillId="0" borderId="16" xfId="55" applyFont="1" applyBorder="1" applyAlignment="1">
      <alignment vertical="center"/>
    </xf>
  </cellXfs>
  <cellStyles count="68">
    <cellStyle name="20% - Énfasis1 2" xfId="25" xr:uid="{00000000-0005-0000-0000-000000000000}"/>
    <cellStyle name="20% - Énfasis2 2" xfId="29" xr:uid="{00000000-0005-0000-0000-000001000000}"/>
    <cellStyle name="20% - Énfasis3 2" xfId="33" xr:uid="{00000000-0005-0000-0000-000002000000}"/>
    <cellStyle name="20% - Énfasis4 2" xfId="37" xr:uid="{00000000-0005-0000-0000-000003000000}"/>
    <cellStyle name="20% - Énfasis5 2" xfId="41" xr:uid="{00000000-0005-0000-0000-000004000000}"/>
    <cellStyle name="20% - Énfasis6 2" xfId="45" xr:uid="{00000000-0005-0000-0000-000005000000}"/>
    <cellStyle name="40% - Énfasis1 2" xfId="26" xr:uid="{00000000-0005-0000-0000-000006000000}"/>
    <cellStyle name="40% - Énfasis2 2" xfId="30" xr:uid="{00000000-0005-0000-0000-000007000000}"/>
    <cellStyle name="40% - Énfasis3 2" xfId="34" xr:uid="{00000000-0005-0000-0000-000008000000}"/>
    <cellStyle name="40% - Énfasis4 2" xfId="38" xr:uid="{00000000-0005-0000-0000-000009000000}"/>
    <cellStyle name="40% - Énfasis5 2" xfId="42" xr:uid="{00000000-0005-0000-0000-00000A000000}"/>
    <cellStyle name="40% - Énfasis6 2" xfId="46" xr:uid="{00000000-0005-0000-0000-00000B000000}"/>
    <cellStyle name="60% - Énfasis1 2" xfId="27" xr:uid="{00000000-0005-0000-0000-00000C000000}"/>
    <cellStyle name="60% - Énfasis2 2" xfId="31" xr:uid="{00000000-0005-0000-0000-00000D000000}"/>
    <cellStyle name="60% - Énfasis3 2" xfId="35" xr:uid="{00000000-0005-0000-0000-00000E000000}"/>
    <cellStyle name="60% - Énfasis4 2" xfId="39" xr:uid="{00000000-0005-0000-0000-00000F000000}"/>
    <cellStyle name="60% - Énfasis5 2" xfId="43" xr:uid="{00000000-0005-0000-0000-000010000000}"/>
    <cellStyle name="60% - Énfasis6 2" xfId="47" xr:uid="{00000000-0005-0000-0000-000011000000}"/>
    <cellStyle name="Bueno 2" xfId="19" xr:uid="{00000000-0005-0000-0000-000012000000}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7" builtinId="16" customBuiltin="1"/>
    <cellStyle name="Encabezado 4 2" xfId="18" xr:uid="{00000000-0005-0000-0000-000017000000}"/>
    <cellStyle name="Énfasis1 2" xfId="24" xr:uid="{00000000-0005-0000-0000-000018000000}"/>
    <cellStyle name="Énfasis2 2" xfId="28" xr:uid="{00000000-0005-0000-0000-000019000000}"/>
    <cellStyle name="Énfasis3 2" xfId="32" xr:uid="{00000000-0005-0000-0000-00001A000000}"/>
    <cellStyle name="Énfasis4 2" xfId="36" xr:uid="{00000000-0005-0000-0000-00001B000000}"/>
    <cellStyle name="Énfasis5 2" xfId="40" xr:uid="{00000000-0005-0000-0000-00001C000000}"/>
    <cellStyle name="Énfasis6 2" xfId="44" xr:uid="{00000000-0005-0000-0000-00001D000000}"/>
    <cellStyle name="Entrada" xfId="10" builtinId="20" customBuiltin="1"/>
    <cellStyle name="Incorrecto 2" xfId="20" xr:uid="{00000000-0005-0000-0000-00001F000000}"/>
    <cellStyle name="Millares 2" xfId="53" xr:uid="{00000000-0005-0000-0000-000020000000}"/>
    <cellStyle name="Millares 3" xfId="3" xr:uid="{00000000-0005-0000-0000-000021000000}"/>
    <cellStyle name="Moneda 2" xfId="54" xr:uid="{00000000-0005-0000-0000-000022000000}"/>
    <cellStyle name="Neutral 2" xfId="21" xr:uid="{00000000-0005-0000-0000-000023000000}"/>
    <cellStyle name="Normal" xfId="0" builtinId="0"/>
    <cellStyle name="Normal 2" xfId="6" xr:uid="{00000000-0005-0000-0000-000025000000}"/>
    <cellStyle name="Normal 2 2" xfId="48" xr:uid="{00000000-0005-0000-0000-000026000000}"/>
    <cellStyle name="Normal 2 3" xfId="50" xr:uid="{00000000-0005-0000-0000-000027000000}"/>
    <cellStyle name="Normal 2 3 2" xfId="52" xr:uid="{00000000-0005-0000-0000-000028000000}"/>
    <cellStyle name="Normal 2 3 2 2" xfId="56" xr:uid="{00000000-0005-0000-0000-000029000000}"/>
    <cellStyle name="Normal 2 3 2 2 2" xfId="57" xr:uid="{00000000-0005-0000-0000-00002A000000}"/>
    <cellStyle name="Normal 2 3 2 2 2 2" xfId="61" xr:uid="{00000000-0005-0000-0000-00002B000000}"/>
    <cellStyle name="Normal 2 3 2 2 2 3" xfId="63" xr:uid="{00000000-0005-0000-0000-00002C000000}"/>
    <cellStyle name="Normal 2 3 2 2 2 4" xfId="64" xr:uid="{00000000-0005-0000-0000-00002D000000}"/>
    <cellStyle name="Normal 2 3 2 2 3" xfId="59" xr:uid="{00000000-0005-0000-0000-00002E000000}"/>
    <cellStyle name="Normal 2 3 2 2 3 2" xfId="67" xr:uid="{00000000-0005-0000-0000-00002F000000}"/>
    <cellStyle name="Normal 3" xfId="16" xr:uid="{00000000-0005-0000-0000-000030000000}"/>
    <cellStyle name="Normal 3 2" xfId="4" xr:uid="{00000000-0005-0000-0000-000031000000}"/>
    <cellStyle name="Normal 4" xfId="51" xr:uid="{00000000-0005-0000-0000-000032000000}"/>
    <cellStyle name="Normal 4 2" xfId="55" xr:uid="{00000000-0005-0000-0000-000033000000}"/>
    <cellStyle name="Normal 5" xfId="60" xr:uid="{00000000-0005-0000-0000-000034000000}"/>
    <cellStyle name="Normal 5 2" xfId="2" xr:uid="{00000000-0005-0000-0000-000035000000}"/>
    <cellStyle name="Normal 6" xfId="62" xr:uid="{00000000-0005-0000-0000-000036000000}"/>
    <cellStyle name="Normal 6 2" xfId="66" xr:uid="{00000000-0005-0000-0000-000037000000}"/>
    <cellStyle name="Normal 7" xfId="65" xr:uid="{00000000-0005-0000-0000-000038000000}"/>
    <cellStyle name="Normal_C-76-79 Año 20112" xfId="5" xr:uid="{00000000-0005-0000-0000-000039000000}"/>
    <cellStyle name="Normal_cuadro 7" xfId="1" xr:uid="{00000000-0005-0000-0000-00003A000000}"/>
    <cellStyle name="Normal_cuadro 87" xfId="58" xr:uid="{00000000-0005-0000-0000-00003B000000}"/>
    <cellStyle name="Notas 2" xfId="49" xr:uid="{00000000-0005-0000-0000-00003C000000}"/>
    <cellStyle name="Salida" xfId="11" builtinId="21" customBuiltin="1"/>
    <cellStyle name="Texto de advertencia 2" xfId="22" xr:uid="{00000000-0005-0000-0000-00003E000000}"/>
    <cellStyle name="Texto explicativo 2" xfId="23" xr:uid="{00000000-0005-0000-0000-00003F000000}"/>
    <cellStyle name="Título 2" xfId="8" builtinId="17" customBuiltin="1"/>
    <cellStyle name="Título 3" xfId="9" builtinId="18" customBuiltin="1"/>
    <cellStyle name="Título 4" xfId="17" xr:uid="{00000000-0005-0000-0000-000042000000}"/>
    <cellStyle name="Total" xfId="15" builtinId="25" customBuiltin="1"/>
  </cellStyles>
  <dxfs count="61"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4" formatCode="#,##0.0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29" defaultTableStyle="TableStyleMedium2" defaultPivotStyle="PivotStyleLight16">
    <tableStyle name="C,101-style" pivot="0" count="2" xr9:uid="{00000000-0011-0000-FFFF-FFFF00000000}">
      <tableStyleElement type="firstRowStripe" dxfId="60"/>
      <tableStyleElement type="secondRowStripe" dxfId="59"/>
    </tableStyle>
    <tableStyle name="C,98-style" pivot="0" count="2" xr9:uid="{00000000-0011-0000-FFFF-FFFF01000000}">
      <tableStyleElement type="firstRowStripe" dxfId="58"/>
      <tableStyleElement type="secondRowStripe" dxfId="57"/>
    </tableStyle>
    <tableStyle name="C,99-style" pivot="0" count="2" xr9:uid="{00000000-0011-0000-FFFF-FFFF02000000}">
      <tableStyleElement type="firstRowStripe" dxfId="56"/>
      <tableStyleElement type="secondRowStripe" dxfId="55"/>
    </tableStyle>
    <tableStyle name="C.100-style" pivot="0" count="2" xr9:uid="{00000000-0011-0000-FFFF-FFFF03000000}">
      <tableStyleElement type="firstRowStripe" dxfId="54"/>
      <tableStyleElement type="secondRowStripe" dxfId="53"/>
    </tableStyle>
    <tableStyle name="C.100-style 2" pivot="0" count="2" xr9:uid="{00000000-0011-0000-FFFF-FFFF04000000}">
      <tableStyleElement type="firstRowStripe" dxfId="52"/>
      <tableStyleElement type="secondRowStripe" dxfId="51"/>
    </tableStyle>
    <tableStyle name="C.100-style 3" pivot="0" count="2" xr9:uid="{00000000-0011-0000-FFFF-FFFF05000000}">
      <tableStyleElement type="firstRowStripe" dxfId="50"/>
      <tableStyleElement type="secondRowStripe" dxfId="49"/>
    </tableStyle>
    <tableStyle name="C.100-style 4" pivot="0" count="2" xr9:uid="{00000000-0011-0000-FFFF-FFFF06000000}">
      <tableStyleElement type="firstRowStripe" dxfId="48"/>
      <tableStyleElement type="secondRowStripe" dxfId="47"/>
    </tableStyle>
    <tableStyle name="C.101-style" pivot="0" count="2" xr9:uid="{00000000-0011-0000-FFFF-FFFF07000000}">
      <tableStyleElement type="firstRowStripe" dxfId="46"/>
      <tableStyleElement type="secondRowStripe" dxfId="45"/>
    </tableStyle>
    <tableStyle name="C.101-style 2" pivot="0" count="2" xr9:uid="{00000000-0011-0000-FFFF-FFFF08000000}">
      <tableStyleElement type="firstRowStripe" dxfId="44"/>
      <tableStyleElement type="secondRowStripe" dxfId="43"/>
    </tableStyle>
    <tableStyle name="C.101-style 3" pivot="0" count="2" xr9:uid="{00000000-0011-0000-FFFF-FFFF09000000}">
      <tableStyleElement type="firstRowStripe" dxfId="42"/>
      <tableStyleElement type="secondRowStripe" dxfId="41"/>
    </tableStyle>
    <tableStyle name="C.101-style 4" pivot="0" count="2" xr9:uid="{00000000-0011-0000-FFFF-FFFF0A000000}">
      <tableStyleElement type="firstRowStripe" dxfId="40"/>
      <tableStyleElement type="secondRowStripe" dxfId="39"/>
    </tableStyle>
    <tableStyle name="C.96-style" pivot="0" count="3" xr9:uid="{00000000-0011-0000-FFFF-FFFF0B000000}">
      <tableStyleElement type="headerRow" dxfId="38"/>
      <tableStyleElement type="firstRowStripe" dxfId="37"/>
      <tableStyleElement type="secondRowStripe" dxfId="36"/>
    </tableStyle>
    <tableStyle name="C.96-style 2" pivot="0" count="2" xr9:uid="{00000000-0011-0000-FFFF-FFFF0C000000}">
      <tableStyleElement type="firstRowStripe" dxfId="35"/>
      <tableStyleElement type="secondRowStripe" dxfId="34"/>
    </tableStyle>
    <tableStyle name="C.96-style 3" pivot="0" count="2" xr9:uid="{00000000-0011-0000-FFFF-FFFF0D000000}">
      <tableStyleElement type="firstRowStripe" dxfId="33"/>
      <tableStyleElement type="secondRowStripe" dxfId="32"/>
    </tableStyle>
    <tableStyle name="C.96-style 4" pivot="0" count="2" xr9:uid="{00000000-0011-0000-FFFF-FFFF0E000000}">
      <tableStyleElement type="firstRowStripe" dxfId="31"/>
      <tableStyleElement type="secondRowStripe" dxfId="30"/>
    </tableStyle>
    <tableStyle name="C.96-style 5" pivot="0" count="2" xr9:uid="{00000000-0011-0000-FFFF-FFFF0F000000}">
      <tableStyleElement type="firstRowStripe" dxfId="29"/>
      <tableStyleElement type="secondRowStripe" dxfId="28"/>
    </tableStyle>
    <tableStyle name="C.96-style 6" pivot="0" count="2" xr9:uid="{00000000-0011-0000-FFFF-FFFF10000000}">
      <tableStyleElement type="firstRowStripe" dxfId="27"/>
      <tableStyleElement type="secondRowStripe" dxfId="26"/>
    </tableStyle>
    <tableStyle name="C.96-style 7" pivot="0" count="2" xr9:uid="{00000000-0011-0000-FFFF-FFFF11000000}">
      <tableStyleElement type="firstRowStripe" dxfId="25"/>
      <tableStyleElement type="secondRowStripe" dxfId="24"/>
    </tableStyle>
    <tableStyle name="C.96-style 8" pivot="0" count="2" xr9:uid="{00000000-0011-0000-FFFF-FFFF12000000}">
      <tableStyleElement type="firstRowStripe" dxfId="23"/>
      <tableStyleElement type="secondRowStripe" dxfId="22"/>
    </tableStyle>
    <tableStyle name="C.96-style 9" pivot="0" count="2" xr9:uid="{00000000-0011-0000-FFFF-FFFF13000000}">
      <tableStyleElement type="firstRowStripe" dxfId="21"/>
      <tableStyleElement type="secondRowStripe" dxfId="20"/>
    </tableStyle>
    <tableStyle name="C.97-style" pivot="0" count="2" xr9:uid="{00000000-0011-0000-FFFF-FFFF14000000}">
      <tableStyleElement type="firstRowStripe" dxfId="19"/>
      <tableStyleElement type="secondRowStripe" dxfId="18"/>
    </tableStyle>
    <tableStyle name="C.97-style 2" pivot="0" count="2" xr9:uid="{00000000-0011-0000-FFFF-FFFF15000000}">
      <tableStyleElement type="firstRowStripe" dxfId="17"/>
      <tableStyleElement type="secondRowStripe" dxfId="16"/>
    </tableStyle>
    <tableStyle name="C.98-style" pivot="0" count="2" xr9:uid="{00000000-0011-0000-FFFF-FFFF16000000}">
      <tableStyleElement type="firstRowStripe" dxfId="15"/>
      <tableStyleElement type="secondRowStripe" dxfId="14"/>
    </tableStyle>
    <tableStyle name="C.98-style 2" pivot="0" count="2" xr9:uid="{00000000-0011-0000-FFFF-FFFF17000000}">
      <tableStyleElement type="firstRowStripe" dxfId="13"/>
      <tableStyleElement type="secondRowStripe" dxfId="12"/>
    </tableStyle>
    <tableStyle name="C.99-style" pivot="0" count="2" xr9:uid="{00000000-0011-0000-FFFF-FFFF18000000}">
      <tableStyleElement type="firstRowStripe" dxfId="11"/>
      <tableStyleElement type="secondRowStripe" dxfId="10"/>
    </tableStyle>
    <tableStyle name="C.99-style 2" pivot="0" count="2" xr9:uid="{00000000-0011-0000-FFFF-FFFF19000000}">
      <tableStyleElement type="firstRowStripe" dxfId="9"/>
      <tableStyleElement type="secondRowStripe" dxfId="8"/>
    </tableStyle>
    <tableStyle name="C.99-style 3" pivot="0" count="2" xr9:uid="{00000000-0011-0000-FFFF-FFFF1A000000}">
      <tableStyleElement type="firstRowStripe" dxfId="7"/>
      <tableStyleElement type="secondRowStripe" dxfId="6"/>
    </tableStyle>
    <tableStyle name="C.99-style 4" pivot="0" count="2" xr9:uid="{00000000-0011-0000-FFFF-FFFF1B000000}">
      <tableStyleElement type="firstRowStripe" dxfId="5"/>
      <tableStyleElement type="secondRowStripe" dxfId="4"/>
    </tableStyle>
    <tableStyle name="C.99-style 5" pivot="0" count="2" xr9:uid="{00000000-0011-0000-FFFF-FFFF1C000000}">
      <tableStyleElement type="firstRowStripe" dxfId="3"/>
      <tableStyleElement type="secondRowStripe" dxfId="2"/>
    </tableStyle>
  </tableStyles>
  <colors>
    <mruColors>
      <color rgb="FFF1EFDC"/>
      <color rgb="FFA5A0EC"/>
      <color rgb="FFFEF5C2"/>
      <color rgb="FFB5B7D6"/>
      <color rgb="FFDEDFF5"/>
      <color rgb="FFE9E8FF"/>
      <color rgb="FFFFE287"/>
      <color rgb="FFFDE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@/Archivosvm02/estadistica%20de%20insumos/Users/asihuas/Downloads/IND_ECONOMIC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2-3"/>
      <sheetName val="C-4-5-6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_1" displayName="Table_1" ref="B18:B23" headerRowCount="0" totalsRowCount="1">
  <tableColumns count="1">
    <tableColumn id="1" xr3:uid="{00000000-0010-0000-0000-000001000000}" name="Column1" totalsRowFunction="custom">
      <totalsRowFormula>AVERAGE(B24:B30)</totalsRowFormula>
    </tableColumn>
  </tableColumns>
  <tableStyleInfo name="C.9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_2" displayName="Table_2" ref="B15:B25" headerRowCount="0" totalsRowCount="1">
  <tableColumns count="1">
    <tableColumn id="1" xr3:uid="{00000000-0010-0000-0100-000001000000}" name="Column1" totalsRowFunction="custom" totalsRowDxfId="1">
      <totalsRowFormula>AVERAGE(B26:B28)</totalsRowFormula>
    </tableColumn>
  </tableColumns>
  <tableStyleInfo name="C.99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_3" displayName="Table_3" ref="B16:B20" headerRowCount="0">
  <tableColumns count="1">
    <tableColumn id="1" xr3:uid="{00000000-0010-0000-0200-000001000000}" name="Column1"/>
  </tableColumns>
  <tableStyleInfo name="C.100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996"/>
  <sheetViews>
    <sheetView zoomScale="145" zoomScaleNormal="145" workbookViewId="0">
      <selection activeCell="B36" sqref="B36"/>
    </sheetView>
  </sheetViews>
  <sheetFormatPr baseColWidth="10" defaultColWidth="12.6640625" defaultRowHeight="15" customHeight="1" x14ac:dyDescent="0.25"/>
  <cols>
    <col min="1" max="1" width="6.44140625" style="188" customWidth="1"/>
    <col min="2" max="5" width="10.6640625" style="188" customWidth="1"/>
    <col min="6" max="6" width="50" style="188" customWidth="1"/>
    <col min="7" max="13" width="10.6640625" style="188" customWidth="1"/>
    <col min="14" max="16384" width="12.6640625" style="188"/>
  </cols>
  <sheetData>
    <row r="1" spans="1:7" ht="12.75" customHeight="1" x14ac:dyDescent="0.3">
      <c r="A1" s="185" t="s">
        <v>161</v>
      </c>
      <c r="B1" s="186"/>
      <c r="C1" s="186"/>
      <c r="D1" s="186"/>
      <c r="E1" s="186"/>
      <c r="F1" s="186"/>
      <c r="G1" s="187"/>
    </row>
    <row r="2" spans="1:7" ht="12.75" customHeight="1" x14ac:dyDescent="0.3">
      <c r="A2" s="189"/>
      <c r="B2" s="186"/>
      <c r="C2" s="186"/>
      <c r="D2" s="186"/>
      <c r="E2" s="186"/>
      <c r="F2" s="186"/>
      <c r="G2" s="187"/>
    </row>
    <row r="3" spans="1:7" ht="12.75" customHeight="1" x14ac:dyDescent="0.25">
      <c r="A3" s="186"/>
      <c r="B3" s="186"/>
      <c r="C3" s="186"/>
      <c r="D3" s="186"/>
      <c r="E3" s="186"/>
      <c r="F3" s="186"/>
    </row>
    <row r="4" spans="1:7" ht="12.75" customHeight="1" x14ac:dyDescent="0.25">
      <c r="A4" s="186"/>
      <c r="B4" s="190"/>
      <c r="C4" s="186"/>
      <c r="D4" s="186"/>
      <c r="E4" s="186"/>
      <c r="F4" s="186"/>
    </row>
    <row r="5" spans="1:7" ht="12.75" customHeight="1" x14ac:dyDescent="0.25">
      <c r="A5" s="191" t="s">
        <v>162</v>
      </c>
      <c r="B5" s="192" t="s">
        <v>163</v>
      </c>
      <c r="C5" s="192"/>
      <c r="D5" s="192"/>
      <c r="E5" s="192"/>
      <c r="F5" s="193"/>
    </row>
    <row r="6" spans="1:7" ht="20.100000000000001" customHeight="1" x14ac:dyDescent="0.25">
      <c r="A6" s="194" t="s">
        <v>164</v>
      </c>
      <c r="B6" s="391" t="s">
        <v>523</v>
      </c>
      <c r="C6" s="195"/>
      <c r="D6" s="196"/>
      <c r="E6" s="196"/>
      <c r="F6" s="196"/>
      <c r="G6" s="197"/>
    </row>
    <row r="7" spans="1:7" ht="17.25" customHeight="1" x14ac:dyDescent="0.25">
      <c r="A7" s="194" t="s">
        <v>165</v>
      </c>
      <c r="B7" s="194" t="s">
        <v>524</v>
      </c>
      <c r="C7" s="195"/>
      <c r="D7" s="196"/>
      <c r="E7" s="196"/>
      <c r="F7" s="196"/>
      <c r="G7" s="197"/>
    </row>
    <row r="8" spans="1:7" ht="9.9" customHeight="1" x14ac:dyDescent="0.25">
      <c r="A8" s="727" t="s">
        <v>166</v>
      </c>
      <c r="B8" s="728" t="s">
        <v>525</v>
      </c>
      <c r="C8" s="729"/>
      <c r="D8" s="729"/>
      <c r="E8" s="729"/>
      <c r="F8" s="729"/>
      <c r="G8" s="197"/>
    </row>
    <row r="9" spans="1:7" ht="9.9" customHeight="1" x14ac:dyDescent="0.25">
      <c r="A9" s="727"/>
      <c r="B9" s="728"/>
      <c r="C9" s="729"/>
      <c r="D9" s="729"/>
      <c r="E9" s="729"/>
      <c r="F9" s="729"/>
      <c r="G9" s="197"/>
    </row>
    <row r="10" spans="1:7" ht="9.9" customHeight="1" x14ac:dyDescent="0.25">
      <c r="A10" s="727" t="s">
        <v>167</v>
      </c>
      <c r="B10" s="728" t="s">
        <v>526</v>
      </c>
      <c r="C10" s="729"/>
      <c r="D10" s="729"/>
      <c r="E10" s="729"/>
      <c r="F10" s="729"/>
      <c r="G10" s="197"/>
    </row>
    <row r="11" spans="1:7" ht="9.9" customHeight="1" x14ac:dyDescent="0.25">
      <c r="A11" s="727"/>
      <c r="B11" s="728"/>
      <c r="C11" s="729"/>
      <c r="D11" s="729"/>
      <c r="E11" s="729"/>
      <c r="F11" s="729"/>
      <c r="G11" s="197"/>
    </row>
    <row r="12" spans="1:7" ht="9.9" customHeight="1" x14ac:dyDescent="0.25">
      <c r="A12" s="727" t="s">
        <v>168</v>
      </c>
      <c r="B12" s="728" t="s">
        <v>527</v>
      </c>
      <c r="C12" s="729"/>
      <c r="D12" s="729"/>
      <c r="E12" s="729"/>
      <c r="F12" s="729"/>
      <c r="G12" s="197"/>
    </row>
    <row r="13" spans="1:7" ht="9.9" customHeight="1" x14ac:dyDescent="0.25">
      <c r="A13" s="727"/>
      <c r="B13" s="728"/>
      <c r="C13" s="729"/>
      <c r="D13" s="729"/>
      <c r="E13" s="729"/>
      <c r="F13" s="729"/>
      <c r="G13" s="197"/>
    </row>
    <row r="14" spans="1:7" ht="9.9" customHeight="1" x14ac:dyDescent="0.25">
      <c r="A14" s="727" t="s">
        <v>169</v>
      </c>
      <c r="B14" s="728" t="s">
        <v>528</v>
      </c>
      <c r="C14" s="730"/>
      <c r="D14" s="730"/>
      <c r="E14" s="730"/>
      <c r="F14" s="730"/>
      <c r="G14" s="197"/>
    </row>
    <row r="15" spans="1:7" ht="9.9" customHeight="1" x14ac:dyDescent="0.25">
      <c r="A15" s="727"/>
      <c r="B15" s="731"/>
      <c r="C15" s="730"/>
      <c r="D15" s="730"/>
      <c r="E15" s="730"/>
      <c r="F15" s="730"/>
      <c r="G15" s="197"/>
    </row>
    <row r="16" spans="1:7" ht="9.9" customHeight="1" x14ac:dyDescent="0.25">
      <c r="A16" s="727" t="s">
        <v>170</v>
      </c>
      <c r="B16" s="728" t="s">
        <v>529</v>
      </c>
      <c r="C16" s="730"/>
      <c r="D16" s="730"/>
      <c r="E16" s="730"/>
      <c r="F16" s="730"/>
      <c r="G16" s="197"/>
    </row>
    <row r="17" spans="1:7" ht="9.9" customHeight="1" x14ac:dyDescent="0.25">
      <c r="A17" s="727"/>
      <c r="B17" s="731"/>
      <c r="C17" s="730"/>
      <c r="D17" s="730"/>
      <c r="E17" s="730"/>
      <c r="F17" s="730"/>
      <c r="G17" s="197"/>
    </row>
    <row r="18" spans="1:7" ht="9.9" customHeight="1" x14ac:dyDescent="0.25">
      <c r="A18" s="727" t="s">
        <v>171</v>
      </c>
      <c r="B18" s="728" t="s">
        <v>530</v>
      </c>
      <c r="C18" s="730"/>
      <c r="D18" s="730"/>
      <c r="E18" s="730"/>
      <c r="F18" s="730"/>
      <c r="G18" s="197"/>
    </row>
    <row r="19" spans="1:7" ht="9.9" customHeight="1" x14ac:dyDescent="0.25">
      <c r="A19" s="727"/>
      <c r="B19" s="731"/>
      <c r="C19" s="730"/>
      <c r="D19" s="730"/>
      <c r="E19" s="730"/>
      <c r="F19" s="730"/>
      <c r="G19" s="197"/>
    </row>
    <row r="20" spans="1:7" ht="9.9" customHeight="1" x14ac:dyDescent="0.25">
      <c r="A20" s="727" t="s">
        <v>172</v>
      </c>
      <c r="B20" s="728" t="s">
        <v>531</v>
      </c>
      <c r="C20" s="730"/>
      <c r="D20" s="730"/>
      <c r="E20" s="730"/>
      <c r="F20" s="730"/>
      <c r="G20" s="197"/>
    </row>
    <row r="21" spans="1:7" ht="9.9" customHeight="1" x14ac:dyDescent="0.25">
      <c r="A21" s="727"/>
      <c r="B21" s="731"/>
      <c r="C21" s="730"/>
      <c r="D21" s="730"/>
      <c r="E21" s="730"/>
      <c r="F21" s="730"/>
      <c r="G21" s="197"/>
    </row>
    <row r="22" spans="1:7" ht="9.9" customHeight="1" x14ac:dyDescent="0.25">
      <c r="A22" s="727" t="s">
        <v>173</v>
      </c>
      <c r="B22" s="728" t="s">
        <v>532</v>
      </c>
      <c r="C22" s="730"/>
      <c r="D22" s="730"/>
      <c r="E22" s="730"/>
      <c r="F22" s="730"/>
      <c r="G22" s="197"/>
    </row>
    <row r="23" spans="1:7" ht="9.9" customHeight="1" x14ac:dyDescent="0.25">
      <c r="A23" s="727"/>
      <c r="B23" s="731"/>
      <c r="C23" s="730"/>
      <c r="D23" s="730"/>
      <c r="E23" s="730"/>
      <c r="F23" s="730"/>
      <c r="G23" s="197"/>
    </row>
    <row r="24" spans="1:7" ht="9.9" customHeight="1" x14ac:dyDescent="0.25">
      <c r="A24" s="727" t="s">
        <v>174</v>
      </c>
      <c r="B24" s="728" t="s">
        <v>533</v>
      </c>
      <c r="C24" s="730"/>
      <c r="D24" s="730"/>
      <c r="E24" s="730"/>
      <c r="F24" s="730"/>
      <c r="G24" s="197"/>
    </row>
    <row r="25" spans="1:7" ht="9.9" customHeight="1" x14ac:dyDescent="0.25">
      <c r="A25" s="727"/>
      <c r="B25" s="731"/>
      <c r="C25" s="730"/>
      <c r="D25" s="730"/>
      <c r="E25" s="730"/>
      <c r="F25" s="730"/>
      <c r="G25" s="197"/>
    </row>
    <row r="26" spans="1:7" ht="9.9" customHeight="1" x14ac:dyDescent="0.25">
      <c r="A26" s="727" t="s">
        <v>175</v>
      </c>
      <c r="B26" s="728" t="s">
        <v>534</v>
      </c>
      <c r="C26" s="730"/>
      <c r="D26" s="730"/>
      <c r="E26" s="730"/>
      <c r="F26" s="730"/>
      <c r="G26" s="197"/>
    </row>
    <row r="27" spans="1:7" ht="9.9" customHeight="1" x14ac:dyDescent="0.25">
      <c r="A27" s="727"/>
      <c r="B27" s="731"/>
      <c r="C27" s="730"/>
      <c r="D27" s="730"/>
      <c r="E27" s="730"/>
      <c r="F27" s="730"/>
      <c r="G27" s="197"/>
    </row>
    <row r="28" spans="1:7" ht="20.100000000000001" customHeight="1" x14ac:dyDescent="0.25">
      <c r="A28" s="466" t="s">
        <v>176</v>
      </c>
      <c r="B28" s="195" t="s">
        <v>535</v>
      </c>
      <c r="C28" s="195"/>
      <c r="D28" s="196"/>
      <c r="E28" s="196"/>
      <c r="F28" s="196"/>
      <c r="G28" s="197"/>
    </row>
    <row r="29" spans="1:7" ht="20.100000000000001" customHeight="1" x14ac:dyDescent="0.25">
      <c r="A29" s="466" t="s">
        <v>177</v>
      </c>
      <c r="B29" s="195" t="s">
        <v>536</v>
      </c>
      <c r="C29" s="195"/>
      <c r="D29" s="196"/>
      <c r="E29" s="196"/>
      <c r="F29" s="196"/>
      <c r="G29" s="197"/>
    </row>
    <row r="30" spans="1:7" ht="20.100000000000001" customHeight="1" x14ac:dyDescent="0.25">
      <c r="A30" s="466" t="s">
        <v>178</v>
      </c>
      <c r="B30" s="195" t="s">
        <v>537</v>
      </c>
      <c r="C30" s="195"/>
      <c r="D30" s="196"/>
      <c r="E30" s="196"/>
      <c r="F30" s="196"/>
      <c r="G30" s="197"/>
    </row>
    <row r="31" spans="1:7" ht="20.100000000000001" customHeight="1" x14ac:dyDescent="0.25">
      <c r="A31" s="466" t="s">
        <v>179</v>
      </c>
      <c r="B31" s="195" t="s">
        <v>538</v>
      </c>
      <c r="C31" s="195"/>
      <c r="D31" s="196"/>
      <c r="E31" s="196"/>
      <c r="F31" s="196"/>
      <c r="G31" s="197"/>
    </row>
    <row r="32" spans="1:7" ht="20.100000000000001" customHeight="1" x14ac:dyDescent="0.25">
      <c r="A32" s="466" t="s">
        <v>180</v>
      </c>
      <c r="B32" s="195" t="s">
        <v>539</v>
      </c>
      <c r="C32" s="195"/>
      <c r="D32" s="196"/>
      <c r="E32" s="196"/>
      <c r="F32" s="196"/>
      <c r="G32" s="197"/>
    </row>
    <row r="33" spans="1:7" ht="20.100000000000001" customHeight="1" x14ac:dyDescent="0.25">
      <c r="A33" s="466" t="s">
        <v>181</v>
      </c>
      <c r="B33" s="195" t="s">
        <v>540</v>
      </c>
      <c r="C33" s="195"/>
      <c r="D33" s="196"/>
      <c r="E33" s="196"/>
      <c r="F33" s="196"/>
      <c r="G33" s="197"/>
    </row>
    <row r="34" spans="1:7" ht="20.100000000000001" customHeight="1" x14ac:dyDescent="0.25">
      <c r="A34" s="466" t="s">
        <v>182</v>
      </c>
      <c r="B34" s="195" t="s">
        <v>541</v>
      </c>
      <c r="C34" s="195"/>
      <c r="D34" s="196"/>
      <c r="E34" s="196"/>
      <c r="F34" s="196"/>
      <c r="G34" s="197"/>
    </row>
    <row r="35" spans="1:7" ht="20.100000000000001" customHeight="1" x14ac:dyDescent="0.25">
      <c r="A35" s="466" t="s">
        <v>183</v>
      </c>
      <c r="B35" s="195" t="s">
        <v>542</v>
      </c>
      <c r="C35" s="195"/>
      <c r="D35" s="196"/>
      <c r="E35" s="196"/>
      <c r="F35" s="196"/>
      <c r="G35" s="197"/>
    </row>
    <row r="36" spans="1:7" ht="20.100000000000001" customHeight="1" x14ac:dyDescent="0.25">
      <c r="A36" s="466" t="s">
        <v>184</v>
      </c>
      <c r="B36" s="195" t="s">
        <v>543</v>
      </c>
      <c r="C36" s="195"/>
      <c r="D36" s="196"/>
      <c r="E36" s="196"/>
      <c r="F36" s="196"/>
      <c r="G36" s="197"/>
    </row>
    <row r="37" spans="1:7" ht="20.100000000000001" customHeight="1" x14ac:dyDescent="0.3">
      <c r="A37" s="198"/>
      <c r="B37" s="199"/>
      <c r="C37" s="199"/>
      <c r="D37" s="199"/>
      <c r="E37" s="199"/>
      <c r="F37" s="199"/>
      <c r="G37" s="197"/>
    </row>
    <row r="38" spans="1:7" ht="20.100000000000001" customHeight="1" x14ac:dyDescent="0.3">
      <c r="A38" s="198"/>
      <c r="B38" s="199"/>
      <c r="C38" s="199"/>
      <c r="D38" s="199"/>
      <c r="E38" s="199"/>
      <c r="F38" s="199"/>
      <c r="G38" s="197"/>
    </row>
    <row r="39" spans="1:7" ht="20.100000000000001" customHeight="1" x14ac:dyDescent="0.3">
      <c r="A39" s="198"/>
      <c r="B39" s="199"/>
      <c r="C39" s="199"/>
      <c r="D39" s="199"/>
      <c r="E39" s="199"/>
      <c r="F39" s="199"/>
      <c r="G39" s="197"/>
    </row>
    <row r="40" spans="1:7" ht="20.100000000000001" customHeight="1" x14ac:dyDescent="0.3">
      <c r="A40" s="198"/>
      <c r="B40" s="199"/>
      <c r="C40" s="199"/>
      <c r="D40" s="199"/>
      <c r="E40" s="199"/>
      <c r="F40" s="199"/>
      <c r="G40" s="197"/>
    </row>
    <row r="41" spans="1:7" ht="12.75" customHeight="1" x14ac:dyDescent="0.3">
      <c r="A41" s="198"/>
      <c r="B41" s="199"/>
      <c r="C41" s="199"/>
      <c r="D41" s="199"/>
      <c r="E41" s="199"/>
      <c r="F41" s="199"/>
      <c r="G41" s="197"/>
    </row>
    <row r="42" spans="1:7" ht="12.75" customHeight="1" x14ac:dyDescent="0.3">
      <c r="A42" s="198"/>
      <c r="B42" s="199"/>
      <c r="C42" s="199"/>
      <c r="D42" s="199"/>
      <c r="E42" s="199"/>
      <c r="F42" s="199"/>
      <c r="G42" s="197"/>
    </row>
    <row r="43" spans="1:7" ht="12.75" customHeight="1" x14ac:dyDescent="0.25">
      <c r="B43" s="197"/>
      <c r="C43" s="197"/>
      <c r="D43" s="197"/>
      <c r="E43" s="197"/>
      <c r="F43" s="197"/>
      <c r="G43" s="197"/>
    </row>
    <row r="44" spans="1:7" ht="12.75" customHeight="1" x14ac:dyDescent="0.25"/>
    <row r="45" spans="1:7" ht="12.75" customHeight="1" x14ac:dyDescent="0.25"/>
    <row r="46" spans="1:7" ht="12.75" customHeight="1" x14ac:dyDescent="0.25"/>
    <row r="47" spans="1:7" ht="12.75" customHeight="1" x14ac:dyDescent="0.25"/>
    <row r="48" spans="1:7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</sheetData>
  <mergeCells count="20">
    <mergeCell ref="B20:F21"/>
    <mergeCell ref="B22:F23"/>
    <mergeCell ref="B24:F25"/>
    <mergeCell ref="B26:F27"/>
    <mergeCell ref="B18:F19"/>
    <mergeCell ref="B8:F9"/>
    <mergeCell ref="B10:F11"/>
    <mergeCell ref="B12:F13"/>
    <mergeCell ref="B14:F15"/>
    <mergeCell ref="B16:F17"/>
    <mergeCell ref="A8:A9"/>
    <mergeCell ref="A10:A11"/>
    <mergeCell ref="A12:A13"/>
    <mergeCell ref="A14:A15"/>
    <mergeCell ref="A16:A17"/>
    <mergeCell ref="A22:A23"/>
    <mergeCell ref="A24:A25"/>
    <mergeCell ref="A26:A27"/>
    <mergeCell ref="A18:A19"/>
    <mergeCell ref="A20:A21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1"/>
  <sheetViews>
    <sheetView showGridLines="0" topLeftCell="A40" zoomScaleNormal="100" workbookViewId="0">
      <selection activeCell="A60" sqref="A60"/>
    </sheetView>
  </sheetViews>
  <sheetFormatPr baseColWidth="10" defaultColWidth="12.44140625" defaultRowHeight="13.8" x14ac:dyDescent="0.3"/>
  <cols>
    <col min="1" max="1" width="12.5546875" style="2" customWidth="1"/>
    <col min="2" max="2" width="5.33203125" style="2" customWidth="1"/>
    <col min="3" max="3" width="7.88671875" style="2" customWidth="1"/>
    <col min="4" max="15" width="6.44140625" style="2" customWidth="1"/>
    <col min="16" max="16384" width="12.44140625" style="2"/>
  </cols>
  <sheetData>
    <row r="1" spans="1:15" ht="18" customHeight="1" x14ac:dyDescent="0.3">
      <c r="A1" s="73" t="s">
        <v>571</v>
      </c>
      <c r="B1" s="74"/>
      <c r="C1" s="74"/>
      <c r="D1" s="75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5.0999999999999996" customHeight="1" x14ac:dyDescent="0.3">
      <c r="A2" s="76"/>
      <c r="B2" s="74"/>
      <c r="C2" s="74"/>
      <c r="D2" s="75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ht="18" customHeight="1" x14ac:dyDescent="0.3">
      <c r="A3" s="204" t="s">
        <v>56</v>
      </c>
      <c r="B3" s="205" t="s">
        <v>95</v>
      </c>
      <c r="C3" s="206" t="s">
        <v>570</v>
      </c>
      <c r="D3" s="207" t="s">
        <v>96</v>
      </c>
      <c r="E3" s="204" t="s">
        <v>97</v>
      </c>
      <c r="F3" s="204" t="s">
        <v>98</v>
      </c>
      <c r="G3" s="204" t="s">
        <v>99</v>
      </c>
      <c r="H3" s="204" t="s">
        <v>100</v>
      </c>
      <c r="I3" s="204" t="s">
        <v>101</v>
      </c>
      <c r="J3" s="204" t="s">
        <v>102</v>
      </c>
      <c r="K3" s="204" t="s">
        <v>103</v>
      </c>
      <c r="L3" s="204" t="s">
        <v>104</v>
      </c>
      <c r="M3" s="204" t="s">
        <v>105</v>
      </c>
      <c r="N3" s="204" t="s">
        <v>106</v>
      </c>
      <c r="O3" s="204" t="s">
        <v>107</v>
      </c>
    </row>
    <row r="4" spans="1:15" ht="11.1" customHeight="1" x14ac:dyDescent="0.3">
      <c r="A4" s="735" t="s">
        <v>128</v>
      </c>
      <c r="B4" s="208">
        <v>2015</v>
      </c>
      <c r="C4" s="209">
        <f t="shared" ref="C4:C14" si="0">SUM(D4:K4)</f>
        <v>662372.17163999996</v>
      </c>
      <c r="D4" s="210">
        <f t="shared" ref="D4:O4" si="1">SUM(D15,D26,D37,D48,D64,D75,D86,D97)</f>
        <v>107453.84950000001</v>
      </c>
      <c r="E4" s="210">
        <f t="shared" si="1"/>
        <v>80187.48559099999</v>
      </c>
      <c r="F4" s="210">
        <f t="shared" si="1"/>
        <v>93405.832999999984</v>
      </c>
      <c r="G4" s="210">
        <f t="shared" si="1"/>
        <v>82563.778928999993</v>
      </c>
      <c r="H4" s="210">
        <f t="shared" si="1"/>
        <v>63602.246119999989</v>
      </c>
      <c r="I4" s="210">
        <f t="shared" si="1"/>
        <v>110816.413</v>
      </c>
      <c r="J4" s="210">
        <f t="shared" si="1"/>
        <v>58324.169000000002</v>
      </c>
      <c r="K4" s="210">
        <f t="shared" si="1"/>
        <v>66018.396500000003</v>
      </c>
      <c r="L4" s="210">
        <f t="shared" si="1"/>
        <v>106905.41649999999</v>
      </c>
      <c r="M4" s="210">
        <f t="shared" si="1"/>
        <v>68972.104000000007</v>
      </c>
      <c r="N4" s="210">
        <f t="shared" si="1"/>
        <v>44188.361120999994</v>
      </c>
      <c r="O4" s="210">
        <f t="shared" si="1"/>
        <v>119693.065</v>
      </c>
    </row>
    <row r="5" spans="1:15" ht="11.1" customHeight="1" x14ac:dyDescent="0.3">
      <c r="A5" s="736"/>
      <c r="B5" s="211">
        <v>2016</v>
      </c>
      <c r="C5" s="209">
        <f t="shared" si="0"/>
        <v>575396.79550700006</v>
      </c>
      <c r="D5" s="209">
        <f t="shared" ref="D5:O5" si="2">SUM(D16,D27,D38,D49,D65,D76,D87,D98)</f>
        <v>68094.185099999988</v>
      </c>
      <c r="E5" s="209">
        <f t="shared" si="2"/>
        <v>98670.593000000008</v>
      </c>
      <c r="F5" s="209">
        <f t="shared" si="2"/>
        <v>51947.345899</v>
      </c>
      <c r="G5" s="209">
        <f t="shared" si="2"/>
        <v>36936.814810000003</v>
      </c>
      <c r="H5" s="209">
        <f t="shared" si="2"/>
        <v>49775.575720000001</v>
      </c>
      <c r="I5" s="209">
        <f t="shared" si="2"/>
        <v>89995.391478000005</v>
      </c>
      <c r="J5" s="209">
        <f t="shared" si="2"/>
        <v>78813.739499999996</v>
      </c>
      <c r="K5" s="209">
        <f t="shared" si="2"/>
        <v>101163.15000000001</v>
      </c>
      <c r="L5" s="209">
        <f t="shared" si="2"/>
        <v>84900.840533999988</v>
      </c>
      <c r="M5" s="209">
        <f t="shared" si="2"/>
        <v>154564.05161299999</v>
      </c>
      <c r="N5" s="209">
        <f t="shared" si="2"/>
        <v>106835.90216599999</v>
      </c>
      <c r="O5" s="209">
        <f t="shared" si="2"/>
        <v>126523.012</v>
      </c>
    </row>
    <row r="6" spans="1:15" ht="11.1" customHeight="1" x14ac:dyDescent="0.3">
      <c r="A6" s="736"/>
      <c r="B6" s="211">
        <v>2017</v>
      </c>
      <c r="C6" s="209">
        <f t="shared" si="0"/>
        <v>807898.27756200009</v>
      </c>
      <c r="D6" s="209">
        <f t="shared" ref="D6:O6" si="3">SUM(D17,D28,D39,D50,D66,D77,D88,D99)</f>
        <v>92723.36778</v>
      </c>
      <c r="E6" s="209">
        <f t="shared" si="3"/>
        <v>35583.096400000002</v>
      </c>
      <c r="F6" s="209">
        <f t="shared" si="3"/>
        <v>131335.15</v>
      </c>
      <c r="G6" s="209">
        <f t="shared" si="3"/>
        <v>131448.990552</v>
      </c>
      <c r="H6" s="209">
        <f t="shared" si="3"/>
        <v>105002.94959999999</v>
      </c>
      <c r="I6" s="209">
        <f t="shared" si="3"/>
        <v>108320.33707199999</v>
      </c>
      <c r="J6" s="209">
        <f t="shared" si="3"/>
        <v>77715.872100000008</v>
      </c>
      <c r="K6" s="209">
        <f t="shared" si="3"/>
        <v>125768.514058</v>
      </c>
      <c r="L6" s="209">
        <f t="shared" si="3"/>
        <v>48153.560132999999</v>
      </c>
      <c r="M6" s="209">
        <f t="shared" si="3"/>
        <v>108077.72999999998</v>
      </c>
      <c r="N6" s="209">
        <f t="shared" si="3"/>
        <v>92771.465691999998</v>
      </c>
      <c r="O6" s="209">
        <f t="shared" si="3"/>
        <v>203804.95549999998</v>
      </c>
    </row>
    <row r="7" spans="1:15" ht="11.1" customHeight="1" x14ac:dyDescent="0.3">
      <c r="A7" s="736"/>
      <c r="B7" s="211">
        <v>2018</v>
      </c>
      <c r="C7" s="209">
        <f t="shared" si="0"/>
        <v>626178.77551599999</v>
      </c>
      <c r="D7" s="209">
        <f t="shared" ref="D7:O7" si="4">SUM(D18,D29,D40,D51,D67,D78,D89,D100)</f>
        <v>49484.383000000002</v>
      </c>
      <c r="E7" s="209">
        <f t="shared" si="4"/>
        <v>58261.469059000003</v>
      </c>
      <c r="F7" s="209">
        <f t="shared" si="4"/>
        <v>128480.7025</v>
      </c>
      <c r="G7" s="209">
        <f t="shared" si="4"/>
        <v>64754.514219999997</v>
      </c>
      <c r="H7" s="209">
        <f t="shared" si="4"/>
        <v>68527.326499999996</v>
      </c>
      <c r="I7" s="209">
        <f t="shared" si="4"/>
        <v>27569.705000000002</v>
      </c>
      <c r="J7" s="209">
        <f t="shared" si="4"/>
        <v>112890.64899999999</v>
      </c>
      <c r="K7" s="209">
        <f t="shared" si="4"/>
        <v>116210.026237</v>
      </c>
      <c r="L7" s="209">
        <f t="shared" si="4"/>
        <v>89880.993999999992</v>
      </c>
      <c r="M7" s="209">
        <f t="shared" si="4"/>
        <v>159047.40380500001</v>
      </c>
      <c r="N7" s="209">
        <f t="shared" si="4"/>
        <v>39801.206959999996</v>
      </c>
      <c r="O7" s="209">
        <f t="shared" si="4"/>
        <v>72860.983999999997</v>
      </c>
    </row>
    <row r="8" spans="1:15" ht="11.1" customHeight="1" x14ac:dyDescent="0.3">
      <c r="A8" s="736"/>
      <c r="B8" s="211">
        <v>2019</v>
      </c>
      <c r="C8" s="209">
        <f t="shared" si="0"/>
        <v>751433.20149500004</v>
      </c>
      <c r="D8" s="209">
        <f t="shared" ref="D8:O8" si="5">SUM(D19,D30,D41,D52,D68,D79,D90,D101)</f>
        <v>28102.462500000001</v>
      </c>
      <c r="E8" s="209">
        <f t="shared" si="5"/>
        <v>150143.17700000003</v>
      </c>
      <c r="F8" s="209">
        <f t="shared" si="5"/>
        <v>80767.448500000013</v>
      </c>
      <c r="G8" s="209">
        <f t="shared" si="5"/>
        <v>155149.28037399999</v>
      </c>
      <c r="H8" s="209">
        <f t="shared" si="5"/>
        <v>160924.85224199999</v>
      </c>
      <c r="I8" s="209">
        <f t="shared" si="5"/>
        <v>62410.352499999994</v>
      </c>
      <c r="J8" s="209">
        <f t="shared" si="5"/>
        <v>51947.361713999999</v>
      </c>
      <c r="K8" s="209">
        <f t="shared" si="5"/>
        <v>61988.266665000003</v>
      </c>
      <c r="L8" s="209">
        <f t="shared" si="5"/>
        <v>144081.15729599999</v>
      </c>
      <c r="M8" s="209">
        <f t="shared" si="5"/>
        <v>65257.217950000006</v>
      </c>
      <c r="N8" s="209">
        <f t="shared" si="5"/>
        <v>130538.64549999998</v>
      </c>
      <c r="O8" s="209">
        <f t="shared" si="5"/>
        <v>111354.298429</v>
      </c>
    </row>
    <row r="9" spans="1:15" ht="11.1" customHeight="1" x14ac:dyDescent="0.3">
      <c r="A9" s="736"/>
      <c r="B9" s="211">
        <v>2020</v>
      </c>
      <c r="C9" s="209">
        <f t="shared" si="0"/>
        <v>758318.92052599997</v>
      </c>
      <c r="D9" s="209">
        <f t="shared" ref="D9:O9" si="6">SUM(D20,D31,D42,D53,D69,D80,D91,D102)</f>
        <v>44090.572</v>
      </c>
      <c r="E9" s="209">
        <f t="shared" si="6"/>
        <v>80768.157580000014</v>
      </c>
      <c r="F9" s="209">
        <f t="shared" si="6"/>
        <v>61774.391999999993</v>
      </c>
      <c r="G9" s="209">
        <f t="shared" si="6"/>
        <v>113917.280036</v>
      </c>
      <c r="H9" s="209">
        <f t="shared" si="6"/>
        <v>90072.00529999999</v>
      </c>
      <c r="I9" s="209">
        <f t="shared" si="6"/>
        <v>90446.288</v>
      </c>
      <c r="J9" s="209">
        <f t="shared" si="6"/>
        <v>200418.50399999999</v>
      </c>
      <c r="K9" s="209">
        <f t="shared" si="6"/>
        <v>76831.721609999993</v>
      </c>
      <c r="L9" s="209">
        <f t="shared" si="6"/>
        <v>62321.084000000003</v>
      </c>
      <c r="M9" s="209">
        <f t="shared" si="6"/>
        <v>167820.02308000001</v>
      </c>
      <c r="N9" s="209">
        <f t="shared" si="6"/>
        <v>103355.895</v>
      </c>
      <c r="O9" s="209">
        <f t="shared" si="6"/>
        <v>175630.94399999999</v>
      </c>
    </row>
    <row r="10" spans="1:15" ht="11.1" customHeight="1" x14ac:dyDescent="0.3">
      <c r="A10" s="736"/>
      <c r="B10" s="211">
        <v>2021</v>
      </c>
      <c r="C10" s="209">
        <f t="shared" si="0"/>
        <v>733950.43608999997</v>
      </c>
      <c r="D10" s="209">
        <f t="shared" ref="D10:O10" si="7">SUM(D21,D32,D43,D54,D70,D81,D92,D103)</f>
        <v>46729.076999999997</v>
      </c>
      <c r="E10" s="209">
        <f t="shared" si="7"/>
        <v>53232.084000000003</v>
      </c>
      <c r="F10" s="209">
        <f t="shared" si="7"/>
        <v>132208.62749999997</v>
      </c>
      <c r="G10" s="209">
        <f t="shared" si="7"/>
        <v>93833.010999999999</v>
      </c>
      <c r="H10" s="209">
        <f t="shared" si="7"/>
        <v>109433.54399999999</v>
      </c>
      <c r="I10" s="209">
        <f t="shared" si="7"/>
        <v>101062.514</v>
      </c>
      <c r="J10" s="209">
        <f t="shared" si="7"/>
        <v>120553.962</v>
      </c>
      <c r="K10" s="209">
        <f t="shared" si="7"/>
        <v>76897.616590000005</v>
      </c>
      <c r="L10" s="209">
        <f t="shared" si="7"/>
        <v>116950.61664999998</v>
      </c>
      <c r="M10" s="209">
        <f t="shared" si="7"/>
        <v>115622.65899999999</v>
      </c>
      <c r="N10" s="209">
        <f t="shared" si="7"/>
        <v>114810.10629999998</v>
      </c>
      <c r="O10" s="209">
        <f t="shared" si="7"/>
        <v>125672.42701</v>
      </c>
    </row>
    <row r="11" spans="1:15" ht="11.1" customHeight="1" x14ac:dyDescent="0.3">
      <c r="A11" s="736"/>
      <c r="B11" s="211">
        <v>2022</v>
      </c>
      <c r="C11" s="209">
        <f t="shared" si="0"/>
        <v>677383.52737000003</v>
      </c>
      <c r="D11" s="209">
        <f t="shared" ref="D11:O11" si="8">SUM(D22,D33,D44,D55,D71,D82,D93,D104)</f>
        <v>57584.665210000006</v>
      </c>
      <c r="E11" s="209">
        <f t="shared" si="8"/>
        <v>57323.518119999993</v>
      </c>
      <c r="F11" s="209">
        <f t="shared" si="8"/>
        <v>83657.985499999995</v>
      </c>
      <c r="G11" s="209">
        <f t="shared" si="8"/>
        <v>64792.617560000006</v>
      </c>
      <c r="H11" s="209">
        <f t="shared" si="8"/>
        <v>86914.500780000002</v>
      </c>
      <c r="I11" s="209">
        <f t="shared" si="8"/>
        <v>75939.010330000019</v>
      </c>
      <c r="J11" s="209">
        <f t="shared" si="8"/>
        <v>110065.02743999999</v>
      </c>
      <c r="K11" s="209">
        <f t="shared" si="8"/>
        <v>141106.20243</v>
      </c>
      <c r="L11" s="209">
        <f t="shared" si="8"/>
        <v>94921.134919999997</v>
      </c>
      <c r="M11" s="209">
        <f t="shared" si="8"/>
        <v>62887.413089999995</v>
      </c>
      <c r="N11" s="209">
        <f t="shared" si="8"/>
        <v>47229.510719999998</v>
      </c>
      <c r="O11" s="209">
        <f t="shared" si="8"/>
        <v>148891.00518999997</v>
      </c>
    </row>
    <row r="12" spans="1:15" ht="11.1" customHeight="1" x14ac:dyDescent="0.3">
      <c r="A12" s="736"/>
      <c r="B12" s="211">
        <v>2023</v>
      </c>
      <c r="C12" s="209">
        <f t="shared" si="0"/>
        <v>543097.26352000004</v>
      </c>
      <c r="D12" s="209">
        <f t="shared" ref="D12:O12" si="9">SUM(D23,D34,D45,D56,D72,D83,D94,D105)</f>
        <v>103335.45329999999</v>
      </c>
      <c r="E12" s="209">
        <f t="shared" si="9"/>
        <v>64074.903240000007</v>
      </c>
      <c r="F12" s="209">
        <f t="shared" si="9"/>
        <v>90092.891419999985</v>
      </c>
      <c r="G12" s="209">
        <f t="shared" si="9"/>
        <v>74674.905869999988</v>
      </c>
      <c r="H12" s="209">
        <f t="shared" si="9"/>
        <v>9303.82</v>
      </c>
      <c r="I12" s="209">
        <f t="shared" si="9"/>
        <v>66548.69445000001</v>
      </c>
      <c r="J12" s="209">
        <f t="shared" si="9"/>
        <v>44419.74912</v>
      </c>
      <c r="K12" s="209">
        <f t="shared" si="9"/>
        <v>90646.846120000002</v>
      </c>
      <c r="L12" s="209">
        <f t="shared" si="9"/>
        <v>102310.46058000001</v>
      </c>
      <c r="M12" s="209">
        <f t="shared" si="9"/>
        <v>52298.631389999995</v>
      </c>
      <c r="N12" s="209">
        <f t="shared" si="9"/>
        <v>115443.42012000002</v>
      </c>
      <c r="O12" s="209">
        <f t="shared" si="9"/>
        <v>99727.028999999995</v>
      </c>
    </row>
    <row r="13" spans="1:15" ht="11.1" customHeight="1" x14ac:dyDescent="0.3">
      <c r="A13" s="736"/>
      <c r="B13" s="211">
        <v>2024</v>
      </c>
      <c r="C13" s="209">
        <f t="shared" si="0"/>
        <v>912839.02917999995</v>
      </c>
      <c r="D13" s="209">
        <f t="shared" ref="D13:O13" si="10">SUM(D24,D35,D46,D57,D73,D84,D95,D106)</f>
        <v>114431.01999999999</v>
      </c>
      <c r="E13" s="209">
        <f t="shared" si="10"/>
        <v>211799.45475999996</v>
      </c>
      <c r="F13" s="209">
        <f t="shared" si="10"/>
        <v>97481.727249999996</v>
      </c>
      <c r="G13" s="209">
        <f t="shared" si="10"/>
        <v>69761.763489999983</v>
      </c>
      <c r="H13" s="209">
        <f t="shared" si="10"/>
        <v>83930.565040000001</v>
      </c>
      <c r="I13" s="209">
        <f t="shared" si="10"/>
        <v>91778.589260000008</v>
      </c>
      <c r="J13" s="209">
        <f t="shared" si="10"/>
        <v>148023.35738</v>
      </c>
      <c r="K13" s="209">
        <f t="shared" si="10"/>
        <v>95632.552000000011</v>
      </c>
      <c r="L13" s="209">
        <f t="shared" si="10"/>
        <v>121662.72899999999</v>
      </c>
      <c r="M13" s="209">
        <f t="shared" si="10"/>
        <v>127703.97500000001</v>
      </c>
      <c r="N13" s="209">
        <f t="shared" si="10"/>
        <v>97364.06</v>
      </c>
      <c r="O13" s="209">
        <f t="shared" si="10"/>
        <v>73289</v>
      </c>
    </row>
    <row r="14" spans="1:15" ht="11.1" customHeight="1" x14ac:dyDescent="0.3">
      <c r="A14" s="737"/>
      <c r="B14" s="211">
        <v>2025</v>
      </c>
      <c r="C14" s="212">
        <f t="shared" si="0"/>
        <v>702513.22756000003</v>
      </c>
      <c r="D14" s="209">
        <f t="shared" ref="D14:K14" si="11">SUM(D25,D36,D47,D58,D74,D85,D96,D107)</f>
        <v>165924.87800000003</v>
      </c>
      <c r="E14" s="209">
        <f t="shared" si="11"/>
        <v>51035.388059999997</v>
      </c>
      <c r="F14" s="209">
        <f t="shared" si="11"/>
        <v>86937.136160000009</v>
      </c>
      <c r="G14" s="209">
        <f t="shared" si="11"/>
        <v>68331.454530000003</v>
      </c>
      <c r="H14" s="209">
        <f t="shared" si="11"/>
        <v>101478.67847000001</v>
      </c>
      <c r="I14" s="209">
        <f t="shared" si="11"/>
        <v>105319.07799999999</v>
      </c>
      <c r="J14" s="209">
        <f t="shared" si="11"/>
        <v>96359.597720000005</v>
      </c>
      <c r="K14" s="209">
        <f t="shared" si="11"/>
        <v>27127.016619999999</v>
      </c>
      <c r="L14" s="209"/>
      <c r="M14" s="209"/>
      <c r="N14" s="209"/>
      <c r="O14" s="212"/>
    </row>
    <row r="15" spans="1:15" ht="12" customHeight="1" x14ac:dyDescent="0.3">
      <c r="A15" s="732" t="s">
        <v>129</v>
      </c>
      <c r="B15" s="77">
        <v>2015</v>
      </c>
      <c r="C15" s="209">
        <f t="shared" ref="C15:C73" si="12">SUM(D15:K15)</f>
        <v>282849.21500000003</v>
      </c>
      <c r="D15" s="78">
        <v>20142.518</v>
      </c>
      <c r="E15" s="79">
        <v>34887.99</v>
      </c>
      <c r="F15" s="79">
        <v>63697.8</v>
      </c>
      <c r="G15" s="79">
        <v>32069.08</v>
      </c>
      <c r="H15" s="79">
        <v>24125.11</v>
      </c>
      <c r="I15" s="79">
        <v>45333.54</v>
      </c>
      <c r="J15" s="79">
        <v>40801.019999999997</v>
      </c>
      <c r="K15" s="79">
        <v>21792.156999999999</v>
      </c>
      <c r="L15" s="79">
        <v>20164.055</v>
      </c>
      <c r="M15" s="79">
        <v>68521.278000000006</v>
      </c>
      <c r="N15" s="79">
        <v>4362.91</v>
      </c>
      <c r="O15" s="82">
        <v>48411.44</v>
      </c>
    </row>
    <row r="16" spans="1:15" ht="12" customHeight="1" x14ac:dyDescent="0.3">
      <c r="A16" s="733"/>
      <c r="B16" s="80">
        <v>2016</v>
      </c>
      <c r="C16" s="209">
        <f t="shared" si="12"/>
        <v>204814.88178200001</v>
      </c>
      <c r="D16" s="81">
        <v>29334.712</v>
      </c>
      <c r="E16" s="82">
        <v>48120.77</v>
      </c>
      <c r="F16" s="82">
        <v>10318.824000000001</v>
      </c>
      <c r="G16" s="82">
        <v>18763.096000000001</v>
      </c>
      <c r="H16" s="82">
        <v>12701.21</v>
      </c>
      <c r="I16" s="82">
        <v>5748.589782</v>
      </c>
      <c r="J16" s="82">
        <v>32731.17</v>
      </c>
      <c r="K16" s="82">
        <v>47096.51</v>
      </c>
      <c r="L16" s="82">
        <v>17188.25</v>
      </c>
      <c r="M16" s="82">
        <v>22901.482613</v>
      </c>
      <c r="N16" s="82">
        <v>55502.26</v>
      </c>
      <c r="O16" s="82">
        <v>57647.26</v>
      </c>
    </row>
    <row r="17" spans="1:15" ht="12" customHeight="1" x14ac:dyDescent="0.3">
      <c r="A17" s="733"/>
      <c r="B17" s="80">
        <v>2017</v>
      </c>
      <c r="C17" s="209">
        <f t="shared" si="12"/>
        <v>280216.39400000003</v>
      </c>
      <c r="D17" s="81">
        <v>2863.82</v>
      </c>
      <c r="E17" s="82">
        <v>18136.439999999999</v>
      </c>
      <c r="F17" s="82">
        <v>32720.14</v>
      </c>
      <c r="G17" s="82">
        <v>58983.3</v>
      </c>
      <c r="H17" s="82">
        <v>54269.59</v>
      </c>
      <c r="I17" s="82">
        <v>57058.563999999998</v>
      </c>
      <c r="J17" s="82">
        <v>40290.89</v>
      </c>
      <c r="K17" s="82">
        <v>15893.65</v>
      </c>
      <c r="L17" s="82">
        <v>27926.710999999999</v>
      </c>
      <c r="M17" s="82">
        <v>5899.77</v>
      </c>
      <c r="N17" s="82">
        <v>36304.802000000003</v>
      </c>
      <c r="O17" s="82">
        <v>63341.123</v>
      </c>
    </row>
    <row r="18" spans="1:15" ht="12" customHeight="1" x14ac:dyDescent="0.3">
      <c r="A18" s="733"/>
      <c r="B18" s="80">
        <v>2018</v>
      </c>
      <c r="C18" s="209">
        <f t="shared" si="12"/>
        <v>145929.49692000001</v>
      </c>
      <c r="D18" s="81">
        <v>19507.517</v>
      </c>
      <c r="E18" s="82">
        <v>14270.177</v>
      </c>
      <c r="F18" s="82">
        <v>36168.949999999997</v>
      </c>
      <c r="G18" s="82">
        <v>0</v>
      </c>
      <c r="H18" s="82">
        <v>18482.18</v>
      </c>
      <c r="I18" s="82">
        <v>14245.05</v>
      </c>
      <c r="J18" s="82">
        <v>12814.61</v>
      </c>
      <c r="K18" s="82">
        <v>30441.012920000001</v>
      </c>
      <c r="L18" s="82">
        <v>43806.485000000001</v>
      </c>
      <c r="M18" s="82">
        <v>42351.240325000006</v>
      </c>
      <c r="N18" s="82">
        <v>3522.7620000000002</v>
      </c>
      <c r="O18" s="82">
        <v>21290.560000000001</v>
      </c>
    </row>
    <row r="19" spans="1:15" ht="12" customHeight="1" x14ac:dyDescent="0.3">
      <c r="A19" s="733"/>
      <c r="B19" s="80">
        <v>2019</v>
      </c>
      <c r="C19" s="209">
        <f t="shared" si="12"/>
        <v>273233.66466500005</v>
      </c>
      <c r="D19" s="81">
        <v>83.4</v>
      </c>
      <c r="E19" s="82">
        <v>64448.69</v>
      </c>
      <c r="F19" s="82">
        <v>22929.98</v>
      </c>
      <c r="G19" s="82">
        <v>57947.76</v>
      </c>
      <c r="H19" s="82">
        <v>76256.649999999994</v>
      </c>
      <c r="I19" s="82">
        <v>63.01</v>
      </c>
      <c r="J19" s="82">
        <v>31460.23</v>
      </c>
      <c r="K19" s="82">
        <v>20043.944664999999</v>
      </c>
      <c r="L19" s="82">
        <v>44880.097545999997</v>
      </c>
      <c r="M19" s="82">
        <v>10259.129999999999</v>
      </c>
      <c r="N19" s="82">
        <v>35640.904999999999</v>
      </c>
      <c r="O19" s="82">
        <v>34990.29</v>
      </c>
    </row>
    <row r="20" spans="1:15" ht="12" customHeight="1" x14ac:dyDescent="0.3">
      <c r="A20" s="733"/>
      <c r="B20" s="80">
        <v>2020</v>
      </c>
      <c r="C20" s="209">
        <f t="shared" si="12"/>
        <v>257731.08429</v>
      </c>
      <c r="D20" s="81">
        <v>10205.470000000001</v>
      </c>
      <c r="E20" s="82">
        <v>40386.874990000004</v>
      </c>
      <c r="F20" s="82">
        <v>147.91800000000001</v>
      </c>
      <c r="G20" s="82">
        <v>49777.279000000002</v>
      </c>
      <c r="H20" s="82">
        <v>9773.2672999999995</v>
      </c>
      <c r="I20" s="82">
        <v>22797.53</v>
      </c>
      <c r="J20" s="82">
        <v>111215.495</v>
      </c>
      <c r="K20" s="82">
        <v>13427.25</v>
      </c>
      <c r="L20" s="82">
        <v>14957.990000000002</v>
      </c>
      <c r="M20" s="82">
        <v>39719.240000000005</v>
      </c>
      <c r="N20" s="82">
        <v>3127.52</v>
      </c>
      <c r="O20" s="82">
        <v>58064.187999999995</v>
      </c>
    </row>
    <row r="21" spans="1:15" ht="12" customHeight="1" x14ac:dyDescent="0.3">
      <c r="A21" s="733"/>
      <c r="B21" s="80">
        <v>2021</v>
      </c>
      <c r="C21" s="209">
        <f t="shared" si="12"/>
        <v>201316.11304000003</v>
      </c>
      <c r="D21" s="81">
        <v>4610.16</v>
      </c>
      <c r="E21" s="82">
        <v>32199.059000000001</v>
      </c>
      <c r="F21" s="82">
        <v>60077.06</v>
      </c>
      <c r="G21" s="82">
        <v>12945.6</v>
      </c>
      <c r="H21" s="82">
        <v>9229.86</v>
      </c>
      <c r="I21" s="82">
        <v>34595</v>
      </c>
      <c r="J21" s="82">
        <v>22753.260000000002</v>
      </c>
      <c r="K21" s="82">
        <v>24906.11404</v>
      </c>
      <c r="L21" s="82">
        <v>33606.99</v>
      </c>
      <c r="M21" s="82">
        <v>52030.149999999987</v>
      </c>
      <c r="N21" s="82">
        <v>20340.78</v>
      </c>
      <c r="O21" s="82">
        <v>18137.2</v>
      </c>
    </row>
    <row r="22" spans="1:15" ht="12" customHeight="1" x14ac:dyDescent="0.3">
      <c r="A22" s="733"/>
      <c r="B22" s="80">
        <v>2022</v>
      </c>
      <c r="C22" s="209">
        <f t="shared" si="12"/>
        <v>188398.29298999999</v>
      </c>
      <c r="D22" s="81">
        <v>12634.89</v>
      </c>
      <c r="E22" s="81">
        <v>528.65</v>
      </c>
      <c r="F22" s="82">
        <v>2101.6909999999998</v>
      </c>
      <c r="G22" s="82">
        <v>37896.707669999996</v>
      </c>
      <c r="H22" s="82">
        <v>7527.716999999996</v>
      </c>
      <c r="I22" s="82">
        <v>42028.459330000005</v>
      </c>
      <c r="J22" s="82">
        <v>26867.431</v>
      </c>
      <c r="K22" s="82">
        <v>58812.74699</v>
      </c>
      <c r="L22" s="82">
        <v>17358.323289999997</v>
      </c>
      <c r="M22" s="82">
        <v>24949.995999999999</v>
      </c>
      <c r="N22" s="82">
        <v>22203.17</v>
      </c>
      <c r="O22" s="82">
        <v>77377.01999999999</v>
      </c>
    </row>
    <row r="23" spans="1:15" ht="12" customHeight="1" x14ac:dyDescent="0.3">
      <c r="A23" s="733"/>
      <c r="B23" s="80">
        <v>2023</v>
      </c>
      <c r="C23" s="209">
        <f t="shared" si="12"/>
        <v>153741.93680999998</v>
      </c>
      <c r="D23" s="81">
        <v>42422.149299999997</v>
      </c>
      <c r="E23" s="81">
        <v>2.2120000000000001E-2</v>
      </c>
      <c r="F23" s="82">
        <v>38940.31</v>
      </c>
      <c r="G23" s="82">
        <v>42527.927139999985</v>
      </c>
      <c r="H23" s="82">
        <v>282.98</v>
      </c>
      <c r="I23" s="82">
        <v>4277.9582499999988</v>
      </c>
      <c r="J23" s="82">
        <v>10585.77</v>
      </c>
      <c r="K23" s="82">
        <v>14704.82</v>
      </c>
      <c r="L23" s="82">
        <v>34167.340000000004</v>
      </c>
      <c r="M23" s="82">
        <v>30517.813499999997</v>
      </c>
      <c r="N23" s="82">
        <v>22173.8</v>
      </c>
      <c r="O23" s="82">
        <v>14957.94</v>
      </c>
    </row>
    <row r="24" spans="1:15" ht="12" customHeight="1" x14ac:dyDescent="0.3">
      <c r="A24" s="733"/>
      <c r="B24" s="80">
        <v>2024</v>
      </c>
      <c r="C24" s="209">
        <f t="shared" si="12"/>
        <v>308650.16150000005</v>
      </c>
      <c r="D24" s="81">
        <v>39338.629999999997</v>
      </c>
      <c r="E24" s="81">
        <v>85021.95</v>
      </c>
      <c r="F24" s="81">
        <v>23247.01</v>
      </c>
      <c r="G24" s="81">
        <v>16427.479999999996</v>
      </c>
      <c r="H24" s="81">
        <v>28531.670000000002</v>
      </c>
      <c r="I24" s="82">
        <v>18630.010000000002</v>
      </c>
      <c r="J24" s="82">
        <v>47896.645499999984</v>
      </c>
      <c r="K24" s="82">
        <v>49556.766000000003</v>
      </c>
      <c r="L24" s="82">
        <v>61598.754999999997</v>
      </c>
      <c r="M24" s="82">
        <v>10503.195</v>
      </c>
      <c r="N24" s="82">
        <v>39440</v>
      </c>
      <c r="O24" s="82">
        <v>21679</v>
      </c>
    </row>
    <row r="25" spans="1:15" ht="12" customHeight="1" x14ac:dyDescent="0.3">
      <c r="A25" s="733"/>
      <c r="B25" s="80">
        <v>2025</v>
      </c>
      <c r="C25" s="212">
        <f t="shared" si="12"/>
        <v>201992.74713</v>
      </c>
      <c r="D25" s="83">
        <v>35231.090000000004</v>
      </c>
      <c r="E25" s="83">
        <v>35203.12674</v>
      </c>
      <c r="F25" s="83">
        <v>31383.449860000001</v>
      </c>
      <c r="G25" s="81">
        <v>7969.7355299999999</v>
      </c>
      <c r="H25" s="81">
        <v>25152.994000000006</v>
      </c>
      <c r="I25" s="81">
        <v>27642.157999999999</v>
      </c>
      <c r="J25" s="81">
        <v>27918.652999999995</v>
      </c>
      <c r="K25" s="81">
        <v>11491.54</v>
      </c>
    </row>
    <row r="26" spans="1:15" ht="12" customHeight="1" x14ac:dyDescent="0.3">
      <c r="A26" s="732" t="s">
        <v>130</v>
      </c>
      <c r="B26" s="77">
        <v>2015</v>
      </c>
      <c r="C26" s="209">
        <f t="shared" si="12"/>
        <v>50571.97</v>
      </c>
      <c r="D26" s="81">
        <v>10887.08</v>
      </c>
      <c r="E26" s="81">
        <v>0</v>
      </c>
      <c r="F26" s="82">
        <v>0</v>
      </c>
      <c r="G26" s="79">
        <v>30705.66</v>
      </c>
      <c r="H26" s="79">
        <v>8979.23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</row>
    <row r="27" spans="1:15" ht="12" customHeight="1" x14ac:dyDescent="0.3">
      <c r="A27" s="733"/>
      <c r="B27" s="80">
        <v>2016</v>
      </c>
      <c r="C27" s="209">
        <f t="shared" si="12"/>
        <v>35962.320500000002</v>
      </c>
      <c r="D27" s="81">
        <v>0</v>
      </c>
      <c r="E27" s="82">
        <v>0</v>
      </c>
      <c r="F27" s="82">
        <v>0</v>
      </c>
      <c r="G27" s="82">
        <v>0</v>
      </c>
      <c r="H27" s="82">
        <v>5.0000000000000001E-4</v>
      </c>
      <c r="I27" s="82">
        <v>23639.71</v>
      </c>
      <c r="J27" s="82">
        <v>12322.61</v>
      </c>
      <c r="K27" s="82">
        <v>0</v>
      </c>
      <c r="L27" s="82">
        <v>25454.42</v>
      </c>
      <c r="M27" s="82">
        <v>33083.11</v>
      </c>
      <c r="N27" s="82">
        <v>0</v>
      </c>
      <c r="O27" s="82">
        <v>33505.699999999997</v>
      </c>
    </row>
    <row r="28" spans="1:15" ht="12" customHeight="1" x14ac:dyDescent="0.3">
      <c r="A28" s="733"/>
      <c r="B28" s="80">
        <v>2017</v>
      </c>
      <c r="C28" s="209">
        <f t="shared" si="12"/>
        <v>98976.643000000011</v>
      </c>
      <c r="D28" s="81">
        <v>0</v>
      </c>
      <c r="E28" s="82">
        <v>0</v>
      </c>
      <c r="F28" s="82">
        <v>32894.26</v>
      </c>
      <c r="G28" s="82">
        <v>5012.6499999999996</v>
      </c>
      <c r="H28" s="82">
        <v>27996.473000000002</v>
      </c>
      <c r="I28" s="82">
        <v>0</v>
      </c>
      <c r="J28" s="82">
        <v>0</v>
      </c>
      <c r="K28" s="82">
        <v>33073.26</v>
      </c>
      <c r="L28" s="82">
        <v>0</v>
      </c>
      <c r="M28" s="82">
        <v>32127.71</v>
      </c>
      <c r="N28" s="82">
        <v>0</v>
      </c>
      <c r="O28" s="82">
        <v>22005.119999999999</v>
      </c>
    </row>
    <row r="29" spans="1:15" ht="12" customHeight="1" x14ac:dyDescent="0.3">
      <c r="A29" s="733"/>
      <c r="B29" s="80">
        <v>2018</v>
      </c>
      <c r="C29" s="209">
        <f t="shared" si="12"/>
        <v>105813.67000000001</v>
      </c>
      <c r="D29" s="81">
        <v>8025.15</v>
      </c>
      <c r="E29" s="81">
        <v>30279.35</v>
      </c>
      <c r="F29" s="81">
        <v>0.6</v>
      </c>
      <c r="G29" s="81">
        <v>32928.31</v>
      </c>
      <c r="H29" s="82">
        <v>0</v>
      </c>
      <c r="I29" s="82">
        <v>0</v>
      </c>
      <c r="J29" s="81">
        <v>13323.29</v>
      </c>
      <c r="K29" s="82">
        <v>21256.97</v>
      </c>
      <c r="L29" s="82">
        <v>13996.56</v>
      </c>
      <c r="M29" s="82">
        <v>32065.786</v>
      </c>
      <c r="N29" s="82">
        <v>19140.38</v>
      </c>
      <c r="O29" s="82">
        <v>0</v>
      </c>
    </row>
    <row r="30" spans="1:15" ht="12" customHeight="1" x14ac:dyDescent="0.3">
      <c r="A30" s="733"/>
      <c r="B30" s="80">
        <v>2019</v>
      </c>
      <c r="C30" s="209">
        <f t="shared" si="12"/>
        <v>97433.93769999998</v>
      </c>
      <c r="D30" s="81">
        <v>12990.8</v>
      </c>
      <c r="E30" s="81">
        <v>19808.98</v>
      </c>
      <c r="F30" s="81">
        <v>13750.1</v>
      </c>
      <c r="G30" s="81">
        <v>19280.64</v>
      </c>
      <c r="H30" s="82">
        <v>8600.3696999999993</v>
      </c>
      <c r="I30" s="82">
        <v>23003</v>
      </c>
      <c r="J30" s="81">
        <v>4.8000000000000001E-2</v>
      </c>
      <c r="K30" s="82">
        <v>0</v>
      </c>
      <c r="L30" s="82">
        <v>35859.300000000003</v>
      </c>
      <c r="M30" s="82">
        <v>17496.59</v>
      </c>
      <c r="N30" s="82">
        <v>18546.98</v>
      </c>
      <c r="O30" s="82">
        <v>0</v>
      </c>
    </row>
    <row r="31" spans="1:15" ht="12" customHeight="1" x14ac:dyDescent="0.3">
      <c r="A31" s="733"/>
      <c r="B31" s="80">
        <v>2020</v>
      </c>
      <c r="C31" s="209">
        <f t="shared" si="12"/>
        <v>66726.420000000013</v>
      </c>
      <c r="D31" s="82">
        <v>2.5000000000000001E-2</v>
      </c>
      <c r="E31" s="82">
        <v>2.5000000000000001E-2</v>
      </c>
      <c r="F31" s="81">
        <v>7608.29</v>
      </c>
      <c r="G31" s="81">
        <v>9998.93</v>
      </c>
      <c r="H31" s="82">
        <v>0</v>
      </c>
      <c r="I31" s="82">
        <v>20389.919999999998</v>
      </c>
      <c r="J31" s="81">
        <v>7021.83</v>
      </c>
      <c r="K31" s="82">
        <v>21707.4</v>
      </c>
      <c r="L31" s="82">
        <v>11996.65</v>
      </c>
      <c r="M31" s="82">
        <v>12015</v>
      </c>
      <c r="N31" s="82">
        <v>28514.12</v>
      </c>
      <c r="O31" s="82">
        <v>8001.02</v>
      </c>
    </row>
    <row r="32" spans="1:15" ht="12" customHeight="1" x14ac:dyDescent="0.3">
      <c r="A32" s="733"/>
      <c r="B32" s="80">
        <v>2021</v>
      </c>
      <c r="C32" s="209">
        <f t="shared" si="12"/>
        <v>182678.89</v>
      </c>
      <c r="D32" s="82">
        <v>29083.55</v>
      </c>
      <c r="E32" s="82">
        <v>15412.470000000001</v>
      </c>
      <c r="F32" s="81">
        <v>13500</v>
      </c>
      <c r="G32" s="81">
        <v>13677.57</v>
      </c>
      <c r="H32" s="82">
        <v>25764.17</v>
      </c>
      <c r="I32" s="82">
        <v>11000</v>
      </c>
      <c r="J32" s="81">
        <v>30971</v>
      </c>
      <c r="K32" s="82">
        <v>43270.130000000005</v>
      </c>
      <c r="L32" s="82">
        <v>7009.3899999999994</v>
      </c>
      <c r="M32" s="82">
        <v>21589.33</v>
      </c>
      <c r="N32" s="82">
        <v>41365.279999999999</v>
      </c>
      <c r="O32" s="82">
        <v>59836.44</v>
      </c>
    </row>
    <row r="33" spans="1:15" ht="12" customHeight="1" x14ac:dyDescent="0.3">
      <c r="A33" s="733"/>
      <c r="B33" s="80">
        <v>2022</v>
      </c>
      <c r="C33" s="209">
        <f t="shared" si="12"/>
        <v>108788.96511999999</v>
      </c>
      <c r="D33" s="82">
        <v>1010</v>
      </c>
      <c r="E33" s="81">
        <v>2.2120000000000001E-2</v>
      </c>
      <c r="F33" s="81">
        <v>11929.880000000001</v>
      </c>
      <c r="G33" s="81">
        <v>797.90000000000009</v>
      </c>
      <c r="H33" s="82">
        <v>42762.13</v>
      </c>
      <c r="I33" s="82">
        <v>18511.34</v>
      </c>
      <c r="J33" s="81">
        <v>14986.86</v>
      </c>
      <c r="K33" s="82">
        <v>18790.832999999995</v>
      </c>
      <c r="L33" s="82">
        <v>8216.6200000000008</v>
      </c>
      <c r="M33" s="82">
        <v>6009.66</v>
      </c>
      <c r="N33" s="82">
        <v>10505.14</v>
      </c>
      <c r="O33" s="81">
        <v>2.2120000000000001E-2</v>
      </c>
    </row>
    <row r="34" spans="1:15" ht="12" customHeight="1" x14ac:dyDescent="0.3">
      <c r="A34" s="733"/>
      <c r="B34" s="80">
        <v>2023</v>
      </c>
      <c r="C34" s="209">
        <f t="shared" si="12"/>
        <v>9968.0748599999988</v>
      </c>
      <c r="D34" s="82">
        <v>7198.21</v>
      </c>
      <c r="E34" s="81">
        <v>2.2120000000000001E-2</v>
      </c>
      <c r="F34" s="81">
        <v>2.2120000000000001E-2</v>
      </c>
      <c r="G34" s="81">
        <v>2734.82</v>
      </c>
      <c r="H34" s="81">
        <v>2.2120000000000001E-2</v>
      </c>
      <c r="I34" s="82">
        <v>34.934260000000002</v>
      </c>
      <c r="J34" s="81">
        <v>2.2120000000000001E-2</v>
      </c>
      <c r="K34" s="81">
        <v>2.2120000000000001E-2</v>
      </c>
      <c r="L34" s="82">
        <v>180</v>
      </c>
      <c r="M34" s="82">
        <v>6454.7799999999988</v>
      </c>
      <c r="N34" s="81">
        <v>2.2120000000000001E-2</v>
      </c>
      <c r="O34" s="81">
        <v>40926.69</v>
      </c>
    </row>
    <row r="35" spans="1:15" ht="12" customHeight="1" x14ac:dyDescent="0.3">
      <c r="A35" s="733"/>
      <c r="B35" s="80">
        <v>2024</v>
      </c>
      <c r="C35" s="209">
        <f t="shared" si="12"/>
        <v>83626.801999999996</v>
      </c>
      <c r="D35" s="82">
        <v>0</v>
      </c>
      <c r="E35" s="82">
        <v>26457.32</v>
      </c>
      <c r="F35" s="81">
        <v>14998.83</v>
      </c>
      <c r="G35" s="81">
        <v>14206.81</v>
      </c>
      <c r="H35" s="81">
        <v>2963.41</v>
      </c>
      <c r="I35" s="81">
        <v>0</v>
      </c>
      <c r="J35" s="81">
        <v>0.432</v>
      </c>
      <c r="K35" s="81">
        <v>25000</v>
      </c>
      <c r="L35" s="82">
        <v>0</v>
      </c>
      <c r="M35" s="82">
        <v>17536.25</v>
      </c>
      <c r="N35" s="81">
        <v>6961.61</v>
      </c>
      <c r="O35" s="81">
        <v>0</v>
      </c>
    </row>
    <row r="36" spans="1:15" ht="12" customHeight="1" x14ac:dyDescent="0.3">
      <c r="A36" s="734"/>
      <c r="B36" s="80">
        <v>2025</v>
      </c>
      <c r="C36" s="212">
        <f t="shared" si="12"/>
        <v>10313.69</v>
      </c>
      <c r="D36" s="82">
        <v>0</v>
      </c>
      <c r="E36" s="82">
        <v>0</v>
      </c>
      <c r="F36" s="81">
        <v>1433.2</v>
      </c>
      <c r="G36" s="81">
        <v>5599.17</v>
      </c>
      <c r="H36" s="82">
        <v>0</v>
      </c>
      <c r="I36" s="82">
        <v>0</v>
      </c>
      <c r="J36" s="82">
        <v>0</v>
      </c>
      <c r="K36" s="81">
        <v>3281.32</v>
      </c>
      <c r="L36" s="82"/>
      <c r="M36" s="82"/>
      <c r="N36" s="81"/>
      <c r="O36" s="81"/>
    </row>
    <row r="37" spans="1:15" ht="12" customHeight="1" x14ac:dyDescent="0.3">
      <c r="A37" s="732" t="s">
        <v>131</v>
      </c>
      <c r="B37" s="77">
        <v>2015</v>
      </c>
      <c r="C37" s="209">
        <f t="shared" si="12"/>
        <v>116891.52480100001</v>
      </c>
      <c r="D37" s="78">
        <v>24430.514500000001</v>
      </c>
      <c r="E37" s="78">
        <v>27865.295590999998</v>
      </c>
      <c r="F37" s="78">
        <v>7013.95</v>
      </c>
      <c r="G37" s="78">
        <v>4751.7489289999994</v>
      </c>
      <c r="H37" s="78">
        <v>11672.289280999999</v>
      </c>
      <c r="I37" s="78">
        <v>23958.5445</v>
      </c>
      <c r="J37" s="78">
        <v>3141.7809999999999</v>
      </c>
      <c r="K37" s="79">
        <v>14057.401</v>
      </c>
      <c r="L37" s="78">
        <v>30690.030500000001</v>
      </c>
      <c r="M37" s="79">
        <v>0</v>
      </c>
      <c r="N37" s="78">
        <v>15408.231</v>
      </c>
      <c r="O37" s="78">
        <v>24739.759999999998</v>
      </c>
    </row>
    <row r="38" spans="1:15" ht="12" customHeight="1" x14ac:dyDescent="0.3">
      <c r="A38" s="733"/>
      <c r="B38" s="80">
        <v>2016</v>
      </c>
      <c r="C38" s="209">
        <f t="shared" si="12"/>
        <v>144015.63169500005</v>
      </c>
      <c r="D38" s="81">
        <v>34701.6201</v>
      </c>
      <c r="E38" s="81">
        <v>14537.72</v>
      </c>
      <c r="F38" s="81">
        <v>27590.754000000001</v>
      </c>
      <c r="G38" s="81">
        <v>295.01559499999996</v>
      </c>
      <c r="H38" s="81">
        <v>8992.4599999999991</v>
      </c>
      <c r="I38" s="81">
        <v>34738.942000000003</v>
      </c>
      <c r="J38" s="81">
        <v>10675.98</v>
      </c>
      <c r="K38" s="82">
        <v>12483.14</v>
      </c>
      <c r="L38" s="81">
        <v>4759.6205339999997</v>
      </c>
      <c r="M38" s="81">
        <v>55882.002999999997</v>
      </c>
      <c r="N38" s="81">
        <v>5704.6295470000005</v>
      </c>
      <c r="O38" s="81">
        <v>16842.439999999999</v>
      </c>
    </row>
    <row r="39" spans="1:15" ht="12" customHeight="1" x14ac:dyDescent="0.3">
      <c r="A39" s="733"/>
      <c r="B39" s="80">
        <v>2017</v>
      </c>
      <c r="C39" s="209">
        <f t="shared" si="12"/>
        <v>149505.51126900001</v>
      </c>
      <c r="D39" s="81">
        <v>27103.393596999998</v>
      </c>
      <c r="E39" s="82">
        <v>0</v>
      </c>
      <c r="F39" s="81">
        <v>24859.02</v>
      </c>
      <c r="G39" s="81">
        <v>32481.697499999998</v>
      </c>
      <c r="H39" s="81">
        <v>5044.04</v>
      </c>
      <c r="I39" s="81">
        <v>9170.2380720000001</v>
      </c>
      <c r="J39" s="81">
        <v>33385.590100000001</v>
      </c>
      <c r="K39" s="81">
        <v>17461.531999999999</v>
      </c>
      <c r="L39" s="81">
        <v>1277.951153</v>
      </c>
      <c r="M39" s="82">
        <v>16584.281999999999</v>
      </c>
      <c r="N39" s="81">
        <v>19656.273000000001</v>
      </c>
      <c r="O39" s="81">
        <v>47925.47</v>
      </c>
    </row>
    <row r="40" spans="1:15" ht="12" customHeight="1" x14ac:dyDescent="0.3">
      <c r="A40" s="733"/>
      <c r="B40" s="80">
        <v>2018</v>
      </c>
      <c r="C40" s="209">
        <f t="shared" si="12"/>
        <v>148453.10853700002</v>
      </c>
      <c r="D40" s="81">
        <v>0</v>
      </c>
      <c r="E40" s="82">
        <v>0</v>
      </c>
      <c r="F40" s="82">
        <v>30582.49</v>
      </c>
      <c r="G40" s="82">
        <v>24722.997719999999</v>
      </c>
      <c r="H40" s="82">
        <v>30169.5105</v>
      </c>
      <c r="I40" s="82">
        <v>0</v>
      </c>
      <c r="J40" s="82">
        <v>32617.5</v>
      </c>
      <c r="K40" s="81">
        <v>30360.610317000002</v>
      </c>
      <c r="L40" s="81">
        <v>5614.4</v>
      </c>
      <c r="M40" s="82">
        <v>41531.129999999997</v>
      </c>
      <c r="N40" s="81">
        <v>751.822</v>
      </c>
      <c r="O40" s="81">
        <v>360.76800000000003</v>
      </c>
    </row>
    <row r="41" spans="1:15" ht="12" customHeight="1" x14ac:dyDescent="0.3">
      <c r="A41" s="733"/>
      <c r="B41" s="80">
        <v>2019</v>
      </c>
      <c r="C41" s="209">
        <f t="shared" si="12"/>
        <v>159511.92747600001</v>
      </c>
      <c r="D41" s="81">
        <v>6802.6040000000003</v>
      </c>
      <c r="E41" s="81">
        <v>45682.03</v>
      </c>
      <c r="F41" s="82">
        <v>22209.3</v>
      </c>
      <c r="G41" s="82">
        <v>34192.199000000001</v>
      </c>
      <c r="H41" s="82">
        <v>18678.310541999999</v>
      </c>
      <c r="I41" s="81">
        <v>30938.184000000001</v>
      </c>
      <c r="J41" s="82">
        <v>17.609934000000003</v>
      </c>
      <c r="K41" s="81">
        <v>991.69</v>
      </c>
      <c r="L41" s="81">
        <v>21736.754000000001</v>
      </c>
      <c r="M41" s="82">
        <v>2526.1025</v>
      </c>
      <c r="N41" s="81">
        <v>33298.32</v>
      </c>
      <c r="O41" s="81">
        <v>47216.24</v>
      </c>
    </row>
    <row r="42" spans="1:15" ht="12" customHeight="1" x14ac:dyDescent="0.3">
      <c r="A42" s="733"/>
      <c r="B42" s="80">
        <v>2020</v>
      </c>
      <c r="C42" s="209">
        <f t="shared" si="12"/>
        <v>147908.89825599999</v>
      </c>
      <c r="D42" s="81">
        <v>22481.86</v>
      </c>
      <c r="E42" s="3">
        <v>3253.92</v>
      </c>
      <c r="F42" s="82">
        <v>31845.703000000001</v>
      </c>
      <c r="G42" s="82">
        <v>16711.072255999999</v>
      </c>
      <c r="H42" s="82">
        <v>20547.150000000001</v>
      </c>
      <c r="I42" s="81">
        <v>33323.247000000003</v>
      </c>
      <c r="J42" s="82">
        <v>14353.795999999998</v>
      </c>
      <c r="K42" s="81">
        <v>5392.15</v>
      </c>
      <c r="L42" s="81">
        <v>1381.88</v>
      </c>
      <c r="M42" s="82">
        <v>30170.75</v>
      </c>
      <c r="N42" s="81">
        <v>31071.623999999996</v>
      </c>
      <c r="O42" s="81">
        <v>40278.552999999993</v>
      </c>
    </row>
    <row r="43" spans="1:15" ht="12" customHeight="1" x14ac:dyDescent="0.3">
      <c r="A43" s="733"/>
      <c r="B43" s="80">
        <v>2021</v>
      </c>
      <c r="C43" s="209">
        <f t="shared" si="12"/>
        <v>161603.72855000003</v>
      </c>
      <c r="D43" s="3">
        <v>312</v>
      </c>
      <c r="E43" s="3">
        <v>231.91499999999999</v>
      </c>
      <c r="F43" s="82">
        <v>51278.99</v>
      </c>
      <c r="G43" s="82">
        <v>37105.481</v>
      </c>
      <c r="H43" s="82">
        <v>23530.035</v>
      </c>
      <c r="I43" s="81">
        <v>1430</v>
      </c>
      <c r="J43" s="82">
        <v>47655.131999999998</v>
      </c>
      <c r="K43" s="81">
        <v>60.175550000000001</v>
      </c>
      <c r="L43" s="81">
        <v>20668.918239999995</v>
      </c>
      <c r="M43" s="82">
        <v>31906.489999999998</v>
      </c>
      <c r="N43" s="81">
        <v>16368.991</v>
      </c>
      <c r="O43" s="81">
        <v>25993.802</v>
      </c>
    </row>
    <row r="44" spans="1:15" ht="12" customHeight="1" x14ac:dyDescent="0.3">
      <c r="A44" s="733"/>
      <c r="B44" s="80">
        <v>2022</v>
      </c>
      <c r="C44" s="209">
        <f t="shared" si="12"/>
        <v>238335.99180999998</v>
      </c>
      <c r="D44" s="81">
        <v>31217.99</v>
      </c>
      <c r="E44" s="3">
        <v>46381.099999999991</v>
      </c>
      <c r="F44" s="82">
        <v>65133.850000000006</v>
      </c>
      <c r="G44" s="82">
        <v>336.97218999999996</v>
      </c>
      <c r="H44" s="82">
        <v>31559.257999999998</v>
      </c>
      <c r="I44" s="81">
        <v>1348.732</v>
      </c>
      <c r="J44" s="82">
        <v>39149.36961999999</v>
      </c>
      <c r="K44" s="81">
        <v>23208.720000000001</v>
      </c>
      <c r="L44" s="81">
        <v>31454.190000000002</v>
      </c>
      <c r="M44" s="82">
        <v>15256.006090000001</v>
      </c>
      <c r="N44" s="81">
        <v>2.2120000000000001E-2</v>
      </c>
      <c r="O44" s="81">
        <v>30459.893039999999</v>
      </c>
    </row>
    <row r="45" spans="1:15" ht="12" customHeight="1" x14ac:dyDescent="0.3">
      <c r="A45" s="733"/>
      <c r="B45" s="80">
        <v>2023</v>
      </c>
      <c r="C45" s="209">
        <f t="shared" si="12"/>
        <v>180653.00198999999</v>
      </c>
      <c r="D45" s="81">
        <v>44357.65</v>
      </c>
      <c r="E45" s="3">
        <v>41562.362000000001</v>
      </c>
      <c r="F45" s="82">
        <v>30988.637050000001</v>
      </c>
      <c r="G45" s="82">
        <v>27</v>
      </c>
      <c r="H45" s="82">
        <v>260.95999999999998</v>
      </c>
      <c r="I45" s="81">
        <v>37847.442940000001</v>
      </c>
      <c r="J45" s="82">
        <v>10601.649999999998</v>
      </c>
      <c r="K45" s="81">
        <v>15007.300000000001</v>
      </c>
      <c r="L45" s="81">
        <v>26740.232580000004</v>
      </c>
      <c r="M45" s="82">
        <v>148.02726999999999</v>
      </c>
      <c r="N45" s="81">
        <v>48907.558000000012</v>
      </c>
      <c r="O45" s="81">
        <v>37183.449999999997</v>
      </c>
    </row>
    <row r="46" spans="1:15" ht="12" customHeight="1" x14ac:dyDescent="0.3">
      <c r="A46" s="733"/>
      <c r="B46" s="80">
        <v>2024</v>
      </c>
      <c r="C46" s="209">
        <f t="shared" si="12"/>
        <v>230021.14741000001</v>
      </c>
      <c r="D46" s="81">
        <v>30866.730000000003</v>
      </c>
      <c r="E46" s="81">
        <v>64936.147260000005</v>
      </c>
      <c r="F46" s="82">
        <v>30612.11</v>
      </c>
      <c r="G46" s="82">
        <v>4635.9799999999996</v>
      </c>
      <c r="H46" s="82">
        <v>20665.714499999998</v>
      </c>
      <c r="I46" s="81">
        <v>49376.35</v>
      </c>
      <c r="J46" s="82">
        <v>28632.515649999998</v>
      </c>
      <c r="K46" s="81">
        <v>295.60000000000002</v>
      </c>
      <c r="L46" s="81">
        <v>30928.04</v>
      </c>
      <c r="M46" s="82">
        <v>37542.630000000005</v>
      </c>
      <c r="N46" s="81">
        <v>27426</v>
      </c>
      <c r="O46" s="81">
        <v>28537</v>
      </c>
    </row>
    <row r="47" spans="1:15" ht="12" customHeight="1" x14ac:dyDescent="0.3">
      <c r="A47" s="734"/>
      <c r="B47" s="80">
        <v>2025</v>
      </c>
      <c r="C47" s="212">
        <f t="shared" si="12"/>
        <v>202614.54614000002</v>
      </c>
      <c r="D47" s="81">
        <v>65301.180000000008</v>
      </c>
      <c r="E47" s="81">
        <v>48</v>
      </c>
      <c r="F47" s="82">
        <v>30439.216919999999</v>
      </c>
      <c r="G47" s="82">
        <v>1600</v>
      </c>
      <c r="H47" s="82">
        <v>45018.510000000017</v>
      </c>
      <c r="I47" s="81">
        <v>52355.360000000001</v>
      </c>
      <c r="J47" s="82">
        <v>1182.2792199999999</v>
      </c>
      <c r="K47" s="81">
        <v>6670</v>
      </c>
      <c r="L47" s="81"/>
      <c r="M47" s="82"/>
      <c r="N47" s="81"/>
      <c r="O47" s="81"/>
    </row>
    <row r="48" spans="1:15" ht="12" customHeight="1" x14ac:dyDescent="0.3">
      <c r="A48" s="732" t="s">
        <v>48</v>
      </c>
      <c r="B48" s="77">
        <v>2015</v>
      </c>
      <c r="C48" s="209">
        <f t="shared" si="12"/>
        <v>98707.025999999998</v>
      </c>
      <c r="D48" s="78">
        <v>29358.352999999999</v>
      </c>
      <c r="E48" s="79">
        <v>429.04</v>
      </c>
      <c r="F48" s="79">
        <v>10337.530000000001</v>
      </c>
      <c r="G48" s="79">
        <v>0</v>
      </c>
      <c r="H48" s="79">
        <v>15253.703</v>
      </c>
      <c r="I48" s="79">
        <v>23797.249500000002</v>
      </c>
      <c r="J48" s="79">
        <v>8428.5820000000003</v>
      </c>
      <c r="K48" s="78">
        <v>11102.568499999999</v>
      </c>
      <c r="L48" s="79">
        <v>26141.469000000001</v>
      </c>
      <c r="M48" s="79">
        <v>0</v>
      </c>
      <c r="N48" s="78">
        <v>14252.7225</v>
      </c>
      <c r="O48" s="78">
        <v>30797.675999999999</v>
      </c>
    </row>
    <row r="49" spans="1:15" ht="12" customHeight="1" x14ac:dyDescent="0.3">
      <c r="A49" s="733"/>
      <c r="B49" s="80">
        <v>2016</v>
      </c>
      <c r="C49" s="209">
        <f t="shared" si="12"/>
        <v>91878.8995</v>
      </c>
      <c r="D49" s="81">
        <v>1982.723</v>
      </c>
      <c r="E49" s="82">
        <v>16567.873</v>
      </c>
      <c r="F49" s="82">
        <v>1985.9860000000001</v>
      </c>
      <c r="G49" s="82">
        <v>7860.11</v>
      </c>
      <c r="H49" s="82">
        <v>16685.990000000002</v>
      </c>
      <c r="I49" s="82">
        <v>18429.669999999998</v>
      </c>
      <c r="J49" s="82">
        <v>16093.307500000001</v>
      </c>
      <c r="K49" s="81">
        <v>12273.24</v>
      </c>
      <c r="L49" s="82">
        <v>16111.181</v>
      </c>
      <c r="M49" s="82">
        <v>32953.256000000001</v>
      </c>
      <c r="N49" s="81">
        <v>40039.656000000003</v>
      </c>
      <c r="O49" s="81">
        <v>8021.2950000000001</v>
      </c>
    </row>
    <row r="50" spans="1:15" ht="12" customHeight="1" x14ac:dyDescent="0.3">
      <c r="A50" s="733"/>
      <c r="B50" s="80">
        <v>2017</v>
      </c>
      <c r="C50" s="209">
        <f t="shared" si="12"/>
        <v>122573.42165199999</v>
      </c>
      <c r="D50" s="81">
        <v>17523.392183</v>
      </c>
      <c r="E50" s="82">
        <v>0</v>
      </c>
      <c r="F50" s="82">
        <v>34518.31</v>
      </c>
      <c r="G50" s="82">
        <v>16275.191999999999</v>
      </c>
      <c r="H50" s="82">
        <v>5507.3760000000002</v>
      </c>
      <c r="I50" s="82">
        <v>10922.05</v>
      </c>
      <c r="J50" s="82">
        <v>529.53</v>
      </c>
      <c r="K50" s="81">
        <v>37297.571468999995</v>
      </c>
      <c r="L50" s="82">
        <v>6675.4930000000004</v>
      </c>
      <c r="M50" s="82">
        <v>33016.31</v>
      </c>
      <c r="N50" s="81">
        <v>7342.6210000000001</v>
      </c>
      <c r="O50" s="81">
        <v>47840.451999999997</v>
      </c>
    </row>
    <row r="51" spans="1:15" ht="12" customHeight="1" x14ac:dyDescent="0.3">
      <c r="A51" s="733"/>
      <c r="B51" s="80">
        <v>2018</v>
      </c>
      <c r="C51" s="209">
        <f t="shared" si="12"/>
        <v>106784.29199999999</v>
      </c>
      <c r="D51" s="81">
        <v>19.399999999999999</v>
      </c>
      <c r="E51" s="82">
        <v>0</v>
      </c>
      <c r="F51" s="81">
        <v>32964.381999999998</v>
      </c>
      <c r="G51" s="81">
        <v>2584.886</v>
      </c>
      <c r="H51" s="82">
        <v>0</v>
      </c>
      <c r="I51" s="81">
        <v>49.712000000000003</v>
      </c>
      <c r="J51" s="81">
        <v>47347.360999999997</v>
      </c>
      <c r="K51" s="81">
        <v>23818.550999999999</v>
      </c>
      <c r="L51" s="82">
        <v>4603.3890000000001</v>
      </c>
      <c r="M51" s="82">
        <v>16292.180279999999</v>
      </c>
      <c r="N51" s="81">
        <v>4491.1899999999996</v>
      </c>
      <c r="O51" s="81">
        <v>30449.463</v>
      </c>
    </row>
    <row r="52" spans="1:15" ht="12" customHeight="1" x14ac:dyDescent="0.3">
      <c r="A52" s="733"/>
      <c r="B52" s="80">
        <v>2019</v>
      </c>
      <c r="C52" s="209">
        <f t="shared" si="12"/>
        <v>124670.175</v>
      </c>
      <c r="D52" s="81">
        <v>1403.8215</v>
      </c>
      <c r="E52" s="82">
        <v>10498.653</v>
      </c>
      <c r="F52" s="81">
        <v>16493.317500000001</v>
      </c>
      <c r="G52" s="82">
        <v>36559.428999999996</v>
      </c>
      <c r="H52" s="82">
        <v>28747.01</v>
      </c>
      <c r="I52" s="81">
        <v>2679.0320000000002</v>
      </c>
      <c r="J52" s="82">
        <v>25</v>
      </c>
      <c r="K52" s="81">
        <v>28263.912</v>
      </c>
      <c r="L52" s="82">
        <v>13236.504000000001</v>
      </c>
      <c r="M52" s="82">
        <v>6058.8360499999999</v>
      </c>
      <c r="N52" s="81">
        <v>36510.410000000003</v>
      </c>
      <c r="O52" s="81">
        <v>9252.7984290000004</v>
      </c>
    </row>
    <row r="53" spans="1:15" ht="12" customHeight="1" x14ac:dyDescent="0.3">
      <c r="A53" s="733"/>
      <c r="B53" s="80">
        <v>2020</v>
      </c>
      <c r="C53" s="209">
        <f t="shared" si="12"/>
        <v>130202.78200000001</v>
      </c>
      <c r="D53" s="81">
        <v>2901.91</v>
      </c>
      <c r="E53" s="81">
        <v>19022.465</v>
      </c>
      <c r="F53" s="81">
        <v>1E-3</v>
      </c>
      <c r="G53" s="82">
        <v>14047.47</v>
      </c>
      <c r="H53" s="82">
        <v>43832.156000000003</v>
      </c>
      <c r="I53" s="81">
        <v>2205.77</v>
      </c>
      <c r="J53" s="82">
        <v>17609.760000000002</v>
      </c>
      <c r="K53" s="81">
        <v>30583.25</v>
      </c>
      <c r="L53" s="82">
        <v>15579.98</v>
      </c>
      <c r="M53" s="82">
        <v>55212.966</v>
      </c>
      <c r="N53" s="81">
        <v>24899.940000000002</v>
      </c>
      <c r="O53" s="81">
        <v>22422.070000000003</v>
      </c>
    </row>
    <row r="54" spans="1:15" ht="12" customHeight="1" x14ac:dyDescent="0.3">
      <c r="A54" s="733"/>
      <c r="B54" s="80">
        <v>2021</v>
      </c>
      <c r="C54" s="209">
        <f t="shared" si="12"/>
        <v>42443.519</v>
      </c>
      <c r="D54" s="81">
        <v>3.0000000000000001E-3</v>
      </c>
      <c r="E54" s="81">
        <v>3.0000000000000001E-3</v>
      </c>
      <c r="F54" s="81">
        <v>3.0000000000000001E-3</v>
      </c>
      <c r="G54" s="81">
        <v>3073</v>
      </c>
      <c r="H54" s="82">
        <v>16332.480000000001</v>
      </c>
      <c r="I54" s="81">
        <v>14501</v>
      </c>
      <c r="J54" s="3">
        <v>8468.0300000000007</v>
      </c>
      <c r="K54" s="3">
        <v>69</v>
      </c>
      <c r="L54" s="82">
        <v>42479.409999999996</v>
      </c>
      <c r="M54" s="82">
        <v>2233.6</v>
      </c>
      <c r="N54" s="81">
        <v>19971.319999999992</v>
      </c>
      <c r="O54" s="81">
        <v>20253.820000000003</v>
      </c>
    </row>
    <row r="55" spans="1:15" ht="12" customHeight="1" x14ac:dyDescent="0.3">
      <c r="A55" s="733"/>
      <c r="B55" s="80">
        <v>2022</v>
      </c>
      <c r="C55" s="209">
        <f t="shared" si="12"/>
        <v>48637.179499999998</v>
      </c>
      <c r="D55" s="81">
        <v>3.0000000000000001E-3</v>
      </c>
      <c r="E55" s="84">
        <v>800</v>
      </c>
      <c r="F55" s="84">
        <v>500.03849999999983</v>
      </c>
      <c r="G55" s="84">
        <v>73.08</v>
      </c>
      <c r="H55" s="84">
        <v>29.37</v>
      </c>
      <c r="I55" s="84">
        <v>4145.9360000000006</v>
      </c>
      <c r="J55" s="85">
        <v>26332.262000000002</v>
      </c>
      <c r="K55" s="84">
        <v>16756.490000000002</v>
      </c>
      <c r="L55" s="84">
        <v>6339.692</v>
      </c>
      <c r="M55" s="84">
        <v>10843.004999999999</v>
      </c>
      <c r="N55" s="85">
        <v>3953.89</v>
      </c>
      <c r="O55" s="84">
        <v>25320.909769999998</v>
      </c>
    </row>
    <row r="56" spans="1:15" ht="12" customHeight="1" x14ac:dyDescent="0.3">
      <c r="A56" s="733"/>
      <c r="B56" s="80">
        <v>2023</v>
      </c>
      <c r="C56" s="209">
        <f t="shared" si="12"/>
        <v>86966.096999999994</v>
      </c>
      <c r="D56" s="81">
        <v>1038.8860000000002</v>
      </c>
      <c r="E56" s="84">
        <v>12681</v>
      </c>
      <c r="F56" s="84">
        <v>3431.1800000000003</v>
      </c>
      <c r="G56" s="84">
        <v>6669.9199999999992</v>
      </c>
      <c r="H56" s="84">
        <v>6699.8600000000006</v>
      </c>
      <c r="I56" s="84">
        <v>17847.251</v>
      </c>
      <c r="J56" s="85">
        <v>13494.51</v>
      </c>
      <c r="K56" s="84">
        <v>25103.49</v>
      </c>
      <c r="L56" s="84">
        <v>28137.472000000002</v>
      </c>
      <c r="M56" s="84">
        <v>947.77320000000009</v>
      </c>
      <c r="N56" s="85">
        <v>15424.625999999998</v>
      </c>
      <c r="O56" s="84">
        <v>2.12262</v>
      </c>
    </row>
    <row r="57" spans="1:15" ht="12" customHeight="1" x14ac:dyDescent="0.3">
      <c r="A57" s="733"/>
      <c r="B57" s="80">
        <v>2024</v>
      </c>
      <c r="C57" s="209">
        <f t="shared" si="12"/>
        <v>138054.17927999998</v>
      </c>
      <c r="D57" s="81">
        <v>25022.5</v>
      </c>
      <c r="E57" s="81">
        <v>22202.2935</v>
      </c>
      <c r="F57" s="84">
        <v>11124.428779999998</v>
      </c>
      <c r="G57" s="84">
        <v>24457.689999999995</v>
      </c>
      <c r="H57" s="84">
        <v>1</v>
      </c>
      <c r="I57" s="84">
        <v>17863.586999999996</v>
      </c>
      <c r="J57" s="85">
        <v>31491.600000000006</v>
      </c>
      <c r="K57" s="84">
        <v>5891.08</v>
      </c>
      <c r="L57" s="84">
        <v>6920.42</v>
      </c>
      <c r="M57" s="84">
        <v>24459.75</v>
      </c>
      <c r="N57" s="85">
        <v>8557</v>
      </c>
      <c r="O57" s="84">
        <v>7397</v>
      </c>
    </row>
    <row r="58" spans="1:15" ht="12" customHeight="1" x14ac:dyDescent="0.3">
      <c r="A58" s="734"/>
      <c r="B58" s="86">
        <v>2025</v>
      </c>
      <c r="C58" s="212">
        <f t="shared" si="12"/>
        <v>123466.24372000001</v>
      </c>
      <c r="D58" s="83">
        <v>56308.89</v>
      </c>
      <c r="E58" s="83">
        <v>25</v>
      </c>
      <c r="F58" s="87">
        <v>6069.3850000000002</v>
      </c>
      <c r="G58" s="87">
        <v>26013.030000000002</v>
      </c>
      <c r="H58" s="87">
        <v>1879.16</v>
      </c>
      <c r="I58" s="87">
        <v>500</v>
      </c>
      <c r="J58" s="87">
        <v>29970.7631</v>
      </c>
      <c r="K58" s="87">
        <v>2700.0156200000001</v>
      </c>
      <c r="L58" s="87"/>
      <c r="M58" s="87"/>
      <c r="N58" s="588"/>
      <c r="O58" s="87"/>
    </row>
    <row r="59" spans="1:15" ht="12" customHeight="1" x14ac:dyDescent="0.3">
      <c r="A59" s="591"/>
      <c r="B59" s="592"/>
      <c r="C59" s="593"/>
      <c r="D59" s="594"/>
      <c r="E59" s="594"/>
      <c r="F59" s="595"/>
      <c r="G59" s="595"/>
      <c r="H59" s="595"/>
      <c r="I59" s="595"/>
      <c r="J59" s="595"/>
      <c r="K59" s="595"/>
      <c r="L59" s="595"/>
      <c r="M59" s="595"/>
      <c r="N59" s="596"/>
      <c r="O59" s="355" t="s">
        <v>26</v>
      </c>
    </row>
    <row r="60" spans="1:15" ht="12" customHeight="1" x14ac:dyDescent="0.3">
      <c r="A60" s="88" t="s">
        <v>132</v>
      </c>
      <c r="B60" s="592"/>
      <c r="C60" s="593"/>
      <c r="D60" s="594"/>
      <c r="E60" s="594"/>
      <c r="F60" s="595"/>
      <c r="G60" s="595"/>
      <c r="H60" s="595"/>
      <c r="I60" s="595"/>
      <c r="J60" s="595"/>
      <c r="K60" s="595"/>
      <c r="L60" s="595"/>
      <c r="M60" s="595"/>
      <c r="N60" s="596"/>
      <c r="O60" s="595"/>
    </row>
    <row r="61" spans="1:15" ht="18" customHeight="1" x14ac:dyDescent="0.3">
      <c r="A61" s="206" t="s">
        <v>56</v>
      </c>
      <c r="B61" s="598" t="s">
        <v>95</v>
      </c>
      <c r="C61" s="206" t="s">
        <v>570</v>
      </c>
      <c r="D61" s="599" t="s">
        <v>96</v>
      </c>
      <c r="E61" s="206" t="s">
        <v>97</v>
      </c>
      <c r="F61" s="206" t="s">
        <v>98</v>
      </c>
      <c r="G61" s="206" t="s">
        <v>99</v>
      </c>
      <c r="H61" s="206" t="s">
        <v>100</v>
      </c>
      <c r="I61" s="206" t="s">
        <v>101</v>
      </c>
      <c r="J61" s="206" t="s">
        <v>102</v>
      </c>
      <c r="K61" s="206" t="s">
        <v>103</v>
      </c>
      <c r="L61" s="206" t="s">
        <v>104</v>
      </c>
      <c r="M61" s="206" t="s">
        <v>105</v>
      </c>
      <c r="N61" s="206" t="s">
        <v>106</v>
      </c>
      <c r="O61" s="206" t="s">
        <v>107</v>
      </c>
    </row>
    <row r="62" spans="1:15" ht="1.5" customHeight="1" x14ac:dyDescent="0.3">
      <c r="A62" s="274"/>
      <c r="B62" s="592"/>
      <c r="C62" s="641">
        <f>SUM(D62:K62)</f>
        <v>0</v>
      </c>
      <c r="D62" s="594"/>
      <c r="E62" s="594"/>
      <c r="F62" s="595"/>
      <c r="G62" s="595"/>
      <c r="H62" s="595"/>
      <c r="I62" s="595"/>
      <c r="J62" s="595"/>
      <c r="K62" s="595"/>
      <c r="L62" s="595"/>
      <c r="M62" s="595"/>
      <c r="N62" s="596"/>
      <c r="O62" s="595"/>
    </row>
    <row r="63" spans="1:15" ht="1.5" customHeight="1" x14ac:dyDescent="0.3">
      <c r="A63" s="635"/>
      <c r="B63" s="636"/>
      <c r="C63" s="641">
        <f>SUM(D63:K63)</f>
        <v>0</v>
      </c>
      <c r="D63" s="637"/>
      <c r="E63" s="637"/>
      <c r="F63" s="638"/>
      <c r="G63" s="638"/>
      <c r="H63" s="638"/>
      <c r="I63" s="638"/>
      <c r="J63" s="638"/>
      <c r="K63" s="638"/>
      <c r="L63" s="638"/>
      <c r="M63" s="638"/>
      <c r="N63" s="639"/>
      <c r="O63" s="638"/>
    </row>
    <row r="64" spans="1:15" ht="12" customHeight="1" x14ac:dyDescent="0.3">
      <c r="A64" s="738" t="s">
        <v>133</v>
      </c>
      <c r="B64" s="640">
        <v>2015</v>
      </c>
      <c r="C64" s="641">
        <f>SUM(D64:K64)</f>
        <v>2006.1439999999998</v>
      </c>
      <c r="D64" s="642">
        <v>0</v>
      </c>
      <c r="E64" s="643">
        <v>407.005</v>
      </c>
      <c r="F64" s="643">
        <v>121.51</v>
      </c>
      <c r="G64" s="643">
        <v>236.79</v>
      </c>
      <c r="H64" s="643">
        <v>419.66300000000001</v>
      </c>
      <c r="I64" s="643">
        <v>4.0640000000000001</v>
      </c>
      <c r="J64" s="643">
        <v>547.11199999999997</v>
      </c>
      <c r="K64" s="643">
        <v>270</v>
      </c>
      <c r="L64" s="643">
        <v>0</v>
      </c>
      <c r="M64" s="643">
        <v>164.86</v>
      </c>
      <c r="N64" s="643">
        <v>0</v>
      </c>
      <c r="O64" s="643">
        <v>0</v>
      </c>
    </row>
    <row r="65" spans="1:15" ht="12" customHeight="1" x14ac:dyDescent="0.3">
      <c r="A65" s="738"/>
      <c r="B65" s="640">
        <v>2016</v>
      </c>
      <c r="C65" s="641">
        <f t="shared" si="12"/>
        <v>2390.9641470000001</v>
      </c>
      <c r="D65" s="642">
        <v>215.60499999999999</v>
      </c>
      <c r="E65" s="644">
        <v>0</v>
      </c>
      <c r="F65" s="643">
        <v>24.869147000000002</v>
      </c>
      <c r="G65" s="643">
        <v>100</v>
      </c>
      <c r="H65" s="643">
        <v>804.76499999999999</v>
      </c>
      <c r="I65" s="643">
        <v>714.08500000000004</v>
      </c>
      <c r="J65" s="643">
        <v>531.64</v>
      </c>
      <c r="K65" s="644">
        <v>0</v>
      </c>
      <c r="L65" s="643">
        <v>471.74</v>
      </c>
      <c r="M65" s="643">
        <v>750.84500000000003</v>
      </c>
      <c r="N65" s="643">
        <v>125.18161900000001</v>
      </c>
      <c r="O65" s="644">
        <v>0</v>
      </c>
    </row>
    <row r="66" spans="1:15" ht="12" customHeight="1" x14ac:dyDescent="0.3">
      <c r="A66" s="738"/>
      <c r="B66" s="640">
        <v>2017</v>
      </c>
      <c r="C66" s="641">
        <f t="shared" si="12"/>
        <v>4236.0330519999998</v>
      </c>
      <c r="D66" s="642">
        <v>1157.0700000000002</v>
      </c>
      <c r="E66" s="643">
        <v>1077.27</v>
      </c>
      <c r="F66" s="643">
        <v>673.06600000000003</v>
      </c>
      <c r="G66" s="643">
        <v>314.65705200000002</v>
      </c>
      <c r="H66" s="643">
        <v>504.34</v>
      </c>
      <c r="I66" s="643">
        <v>360</v>
      </c>
      <c r="J66" s="643">
        <v>149.63</v>
      </c>
      <c r="K66" s="644">
        <v>0</v>
      </c>
      <c r="L66" s="643">
        <v>168</v>
      </c>
      <c r="M66" s="642">
        <v>25.21</v>
      </c>
      <c r="N66" s="643">
        <v>253.66769199999999</v>
      </c>
      <c r="O66" s="643">
        <v>624.16999999999996</v>
      </c>
    </row>
    <row r="67" spans="1:15" ht="12" customHeight="1" x14ac:dyDescent="0.3">
      <c r="A67" s="738"/>
      <c r="B67" s="640">
        <v>2018</v>
      </c>
      <c r="C67" s="641">
        <f t="shared" si="12"/>
        <v>1485.951</v>
      </c>
      <c r="D67" s="642">
        <v>191.76499999999999</v>
      </c>
      <c r="E67" s="643">
        <v>0</v>
      </c>
      <c r="F67" s="643">
        <v>0</v>
      </c>
      <c r="G67" s="643">
        <v>0</v>
      </c>
      <c r="H67" s="643">
        <v>0</v>
      </c>
      <c r="I67" s="642">
        <v>309</v>
      </c>
      <c r="J67" s="643">
        <v>604.60599999999999</v>
      </c>
      <c r="K67" s="642">
        <v>380.58000000000004</v>
      </c>
      <c r="L67" s="643">
        <v>71.650000000000006</v>
      </c>
      <c r="M67" s="642">
        <v>995.03</v>
      </c>
      <c r="N67" s="642">
        <v>1.01</v>
      </c>
      <c r="O67" s="643">
        <v>349.61</v>
      </c>
    </row>
    <row r="68" spans="1:15" ht="12" customHeight="1" x14ac:dyDescent="0.3">
      <c r="A68" s="738"/>
      <c r="B68" s="640">
        <v>2019</v>
      </c>
      <c r="C68" s="641">
        <f t="shared" si="12"/>
        <v>1347.89678</v>
      </c>
      <c r="D68" s="645">
        <v>365.52</v>
      </c>
      <c r="E68" s="644">
        <v>24</v>
      </c>
      <c r="F68" s="645">
        <v>373.97</v>
      </c>
      <c r="G68" s="645">
        <v>226.595</v>
      </c>
      <c r="H68" s="645">
        <v>103.96</v>
      </c>
      <c r="I68" s="645">
        <v>250.52</v>
      </c>
      <c r="J68" s="645">
        <v>3.3317800000000002</v>
      </c>
      <c r="K68" s="644">
        <v>0</v>
      </c>
      <c r="L68" s="645">
        <v>1953.31</v>
      </c>
      <c r="M68" s="645">
        <v>148.80000000000001</v>
      </c>
      <c r="N68" s="645">
        <v>48.036000000000001</v>
      </c>
      <c r="O68" s="644">
        <v>0</v>
      </c>
    </row>
    <row r="69" spans="1:15" ht="12" customHeight="1" x14ac:dyDescent="0.3">
      <c r="A69" s="738"/>
      <c r="B69" s="640">
        <v>2020</v>
      </c>
      <c r="C69" s="641">
        <f t="shared" si="12"/>
        <v>1498.6399999999999</v>
      </c>
      <c r="D69" s="644">
        <v>104</v>
      </c>
      <c r="E69" s="643">
        <v>0</v>
      </c>
      <c r="F69" s="643">
        <v>0</v>
      </c>
      <c r="G69" s="645">
        <v>199.4</v>
      </c>
      <c r="H69" s="644">
        <v>24</v>
      </c>
      <c r="I69" s="646">
        <v>470.53999999999996</v>
      </c>
      <c r="J69" s="645">
        <v>700.7</v>
      </c>
      <c r="K69" s="643">
        <v>0</v>
      </c>
      <c r="L69" s="645">
        <v>5072.37</v>
      </c>
      <c r="M69" s="645">
        <v>2324.92</v>
      </c>
      <c r="N69" s="645">
        <v>24.4</v>
      </c>
      <c r="O69" s="644">
        <v>250</v>
      </c>
    </row>
    <row r="70" spans="1:15" ht="12" customHeight="1" x14ac:dyDescent="0.3">
      <c r="A70" s="738"/>
      <c r="B70" s="640">
        <v>2021</v>
      </c>
      <c r="C70" s="641">
        <f t="shared" si="12"/>
        <v>0</v>
      </c>
      <c r="D70" s="643">
        <v>0</v>
      </c>
      <c r="E70" s="643">
        <v>0</v>
      </c>
      <c r="F70" s="643">
        <v>0</v>
      </c>
      <c r="G70" s="643">
        <v>0</v>
      </c>
      <c r="H70" s="643">
        <v>0</v>
      </c>
      <c r="I70" s="643">
        <v>0</v>
      </c>
      <c r="J70" s="643">
        <v>0</v>
      </c>
      <c r="K70" s="643">
        <v>0</v>
      </c>
      <c r="L70" s="645">
        <v>0</v>
      </c>
      <c r="M70" s="645">
        <v>0</v>
      </c>
      <c r="N70" s="645">
        <v>0</v>
      </c>
      <c r="O70" s="645">
        <v>0</v>
      </c>
    </row>
    <row r="71" spans="1:15" ht="12" customHeight="1" x14ac:dyDescent="0.3">
      <c r="A71" s="738"/>
      <c r="B71" s="640">
        <v>2022</v>
      </c>
      <c r="C71" s="641">
        <f t="shared" si="12"/>
        <v>0</v>
      </c>
      <c r="D71" s="643">
        <v>0</v>
      </c>
      <c r="E71" s="643">
        <v>0</v>
      </c>
      <c r="F71" s="643">
        <v>0</v>
      </c>
      <c r="G71" s="643">
        <v>0</v>
      </c>
      <c r="H71" s="643">
        <v>0</v>
      </c>
      <c r="I71" s="643">
        <v>0</v>
      </c>
      <c r="J71" s="643">
        <v>0</v>
      </c>
      <c r="K71" s="643">
        <v>0</v>
      </c>
      <c r="L71" s="643">
        <v>0</v>
      </c>
      <c r="M71" s="643">
        <v>0</v>
      </c>
      <c r="N71" s="643">
        <v>0</v>
      </c>
      <c r="O71" s="643">
        <v>0</v>
      </c>
    </row>
    <row r="72" spans="1:15" ht="12" customHeight="1" x14ac:dyDescent="0.3">
      <c r="A72" s="738"/>
      <c r="B72" s="640">
        <v>2023</v>
      </c>
      <c r="C72" s="641">
        <f t="shared" si="12"/>
        <v>0</v>
      </c>
      <c r="D72" s="643">
        <v>0</v>
      </c>
      <c r="E72" s="643">
        <v>0</v>
      </c>
      <c r="F72" s="643">
        <v>0</v>
      </c>
      <c r="G72" s="643">
        <v>0</v>
      </c>
      <c r="H72" s="643">
        <v>0</v>
      </c>
      <c r="I72" s="643">
        <v>0</v>
      </c>
      <c r="J72" s="643">
        <v>0</v>
      </c>
      <c r="K72" s="643">
        <v>0</v>
      </c>
      <c r="L72" s="643">
        <v>0</v>
      </c>
      <c r="M72" s="643">
        <v>0</v>
      </c>
      <c r="N72" s="643">
        <v>0</v>
      </c>
      <c r="O72" s="643">
        <v>0</v>
      </c>
    </row>
    <row r="73" spans="1:15" ht="12" customHeight="1" x14ac:dyDescent="0.3">
      <c r="A73" s="738"/>
      <c r="B73" s="640">
        <v>2024</v>
      </c>
      <c r="C73" s="641">
        <f t="shared" si="12"/>
        <v>0</v>
      </c>
      <c r="D73" s="643">
        <v>0</v>
      </c>
      <c r="E73" s="643">
        <v>0</v>
      </c>
      <c r="F73" s="643">
        <v>0</v>
      </c>
      <c r="G73" s="643">
        <v>0</v>
      </c>
      <c r="H73" s="643">
        <v>0</v>
      </c>
      <c r="I73" s="643">
        <v>0</v>
      </c>
      <c r="J73" s="643">
        <v>0</v>
      </c>
      <c r="K73" s="643">
        <v>0</v>
      </c>
      <c r="L73" s="643">
        <v>0</v>
      </c>
      <c r="M73" s="643">
        <v>0</v>
      </c>
      <c r="N73" s="643">
        <v>0</v>
      </c>
      <c r="O73" s="643">
        <v>0</v>
      </c>
    </row>
    <row r="74" spans="1:15" ht="12" customHeight="1" x14ac:dyDescent="0.3">
      <c r="A74" s="734"/>
      <c r="B74" s="86">
        <v>2025</v>
      </c>
      <c r="C74" s="212">
        <f t="shared" ref="C74:C106" si="13">SUM(D74:K74)</f>
        <v>9134.4249999999993</v>
      </c>
      <c r="D74" s="90">
        <v>249.58499999999998</v>
      </c>
      <c r="E74" s="90">
        <v>0</v>
      </c>
      <c r="F74" s="90">
        <v>0</v>
      </c>
      <c r="G74" s="90">
        <v>7890.11</v>
      </c>
      <c r="H74" s="90">
        <v>994.73</v>
      </c>
      <c r="I74" s="90">
        <v>0</v>
      </c>
      <c r="J74" s="90">
        <v>0</v>
      </c>
      <c r="K74" s="90">
        <v>0</v>
      </c>
      <c r="L74" s="90"/>
      <c r="M74" s="90"/>
      <c r="N74" s="90"/>
      <c r="O74" s="90"/>
    </row>
    <row r="75" spans="1:15" ht="12" customHeight="1" x14ac:dyDescent="0.3">
      <c r="A75" s="732" t="s">
        <v>50</v>
      </c>
      <c r="B75" s="77">
        <v>2015</v>
      </c>
      <c r="C75" s="209">
        <f t="shared" si="13"/>
        <v>76688.386999999988</v>
      </c>
      <c r="D75" s="78">
        <v>19613.815999999999</v>
      </c>
      <c r="E75" s="78">
        <v>8985.3649999999998</v>
      </c>
      <c r="F75" s="78">
        <v>8710.0400000000009</v>
      </c>
      <c r="G75" s="78">
        <v>11939.27</v>
      </c>
      <c r="H75" s="78">
        <v>1108.3399999999999</v>
      </c>
      <c r="I75" s="78">
        <v>13300.304</v>
      </c>
      <c r="J75" s="78">
        <v>0</v>
      </c>
      <c r="K75" s="78">
        <v>13031.252</v>
      </c>
      <c r="L75" s="78">
        <v>26926.34</v>
      </c>
      <c r="M75" s="79">
        <v>0</v>
      </c>
      <c r="N75" s="78">
        <v>4049.2806209999999</v>
      </c>
      <c r="O75" s="79">
        <v>0</v>
      </c>
    </row>
    <row r="76" spans="1:15" ht="12" customHeight="1" x14ac:dyDescent="0.3">
      <c r="A76" s="733"/>
      <c r="B76" s="80">
        <v>2016</v>
      </c>
      <c r="C76" s="209">
        <f t="shared" si="13"/>
        <v>66545.274751999998</v>
      </c>
      <c r="D76" s="81">
        <v>0</v>
      </c>
      <c r="E76" s="82">
        <v>16112.46</v>
      </c>
      <c r="F76" s="82">
        <v>8914.6027520000007</v>
      </c>
      <c r="G76" s="82">
        <v>7424.8019999999997</v>
      </c>
      <c r="H76" s="82">
        <v>2474.1799999999998</v>
      </c>
      <c r="I76" s="82">
        <v>3554.42</v>
      </c>
      <c r="J76" s="82">
        <v>2859.38</v>
      </c>
      <c r="K76" s="82">
        <v>25205.43</v>
      </c>
      <c r="L76" s="82">
        <v>9995.4140000000007</v>
      </c>
      <c r="M76" s="82">
        <v>0</v>
      </c>
      <c r="N76" s="82">
        <v>0</v>
      </c>
      <c r="O76" s="82">
        <v>3231.21</v>
      </c>
    </row>
    <row r="77" spans="1:15" ht="12" customHeight="1" x14ac:dyDescent="0.3">
      <c r="A77" s="733"/>
      <c r="B77" s="80">
        <v>2017</v>
      </c>
      <c r="C77" s="209">
        <f t="shared" si="13"/>
        <v>105766.856589</v>
      </c>
      <c r="D77" s="81">
        <v>33344.730000000003</v>
      </c>
      <c r="E77" s="82">
        <v>9573.6119999999992</v>
      </c>
      <c r="F77" s="82">
        <v>0</v>
      </c>
      <c r="G77" s="82">
        <v>15881.07</v>
      </c>
      <c r="H77" s="82">
        <v>4229.83</v>
      </c>
      <c r="I77" s="82">
        <v>23269.144</v>
      </c>
      <c r="J77" s="82">
        <v>0</v>
      </c>
      <c r="K77" s="82">
        <v>19468.470589</v>
      </c>
      <c r="L77" s="82">
        <v>1112.3339799999999</v>
      </c>
      <c r="M77" s="82">
        <v>0</v>
      </c>
      <c r="N77" s="82">
        <v>9420.7019999999993</v>
      </c>
      <c r="O77" s="82">
        <v>13954.87</v>
      </c>
    </row>
    <row r="78" spans="1:15" ht="12" customHeight="1" x14ac:dyDescent="0.3">
      <c r="A78" s="733"/>
      <c r="B78" s="80">
        <v>2018</v>
      </c>
      <c r="C78" s="209">
        <f t="shared" si="13"/>
        <v>70071.071058999994</v>
      </c>
      <c r="D78" s="81">
        <v>13129.72</v>
      </c>
      <c r="E78" s="82">
        <v>11800.787059</v>
      </c>
      <c r="F78" s="82">
        <v>22933.363499999999</v>
      </c>
      <c r="G78" s="82">
        <v>80.005499999999998</v>
      </c>
      <c r="H78" s="82">
        <v>14494.45</v>
      </c>
      <c r="I78" s="82">
        <v>1632.1189999999999</v>
      </c>
      <c r="J78" s="82">
        <v>1775.9680000000001</v>
      </c>
      <c r="K78" s="82">
        <v>4224.6580000000004</v>
      </c>
      <c r="L78" s="82">
        <v>16176.498</v>
      </c>
      <c r="M78" s="82">
        <v>18606.939200000001</v>
      </c>
      <c r="N78" s="82">
        <v>6500.6909599999999</v>
      </c>
      <c r="O78" s="82">
        <v>16800.101999999999</v>
      </c>
    </row>
    <row r="79" spans="1:15" ht="12" customHeight="1" x14ac:dyDescent="0.3">
      <c r="A79" s="733"/>
      <c r="B79" s="80">
        <v>2019</v>
      </c>
      <c r="C79" s="209">
        <f t="shared" si="13"/>
        <v>31662.080373999997</v>
      </c>
      <c r="D79" s="81">
        <v>310.22699999999998</v>
      </c>
      <c r="E79" s="82">
        <v>4763.5150000000003</v>
      </c>
      <c r="F79" s="82">
        <v>130</v>
      </c>
      <c r="G79" s="82">
        <v>22.472373999999999</v>
      </c>
      <c r="H79" s="82">
        <v>4013.2015000000001</v>
      </c>
      <c r="I79" s="82">
        <v>5.0000000000000001E-4</v>
      </c>
      <c r="J79" s="82">
        <v>14929.884</v>
      </c>
      <c r="K79" s="82">
        <v>7492.78</v>
      </c>
      <c r="L79" s="82">
        <v>19970.751499999998</v>
      </c>
      <c r="M79" s="82">
        <v>24208.75</v>
      </c>
      <c r="N79" s="82">
        <v>0</v>
      </c>
      <c r="O79" s="82">
        <v>9497.9699999999993</v>
      </c>
    </row>
    <row r="80" spans="1:15" ht="12" customHeight="1" x14ac:dyDescent="0.3">
      <c r="A80" s="733"/>
      <c r="B80" s="80">
        <v>2020</v>
      </c>
      <c r="C80" s="209">
        <f t="shared" si="13"/>
        <v>98489.858200000002</v>
      </c>
      <c r="D80" s="81">
        <v>604.48</v>
      </c>
      <c r="E80" s="82">
        <v>9239.6425899999995</v>
      </c>
      <c r="F80" s="82">
        <v>19151.810000000001</v>
      </c>
      <c r="G80" s="82">
        <v>20908.078000000001</v>
      </c>
      <c r="H80" s="82">
        <v>8714.5969999999998</v>
      </c>
      <c r="I80" s="82">
        <v>4358.0200000000004</v>
      </c>
      <c r="J80" s="82">
        <v>34578.06</v>
      </c>
      <c r="K80" s="82">
        <v>935.17061000000001</v>
      </c>
      <c r="L80" s="82">
        <v>5944.9000000000005</v>
      </c>
      <c r="M80" s="82">
        <v>1888.66</v>
      </c>
      <c r="N80" s="82">
        <v>140</v>
      </c>
      <c r="O80" s="82">
        <v>37275.767999999996</v>
      </c>
    </row>
    <row r="81" spans="1:15" ht="12" customHeight="1" x14ac:dyDescent="0.3">
      <c r="A81" s="733"/>
      <c r="B81" s="80">
        <v>2021</v>
      </c>
      <c r="C81" s="209">
        <f t="shared" si="13"/>
        <v>77767.88900000001</v>
      </c>
      <c r="D81" s="81">
        <v>7692.98</v>
      </c>
      <c r="E81" s="82">
        <v>1490</v>
      </c>
      <c r="F81" s="89">
        <v>504</v>
      </c>
      <c r="G81" s="82">
        <v>20261.723999999998</v>
      </c>
      <c r="H81" s="82">
        <v>8101.5</v>
      </c>
      <c r="I81" s="82">
        <v>30955</v>
      </c>
      <c r="J81" s="82">
        <v>7035.2250000000004</v>
      </c>
      <c r="K81" s="82">
        <v>1727.46</v>
      </c>
      <c r="L81" s="82">
        <v>1.2E-2</v>
      </c>
      <c r="M81" s="82">
        <v>1678.3779999999999</v>
      </c>
      <c r="N81" s="82">
        <v>5766.8071899999995</v>
      </c>
      <c r="O81" s="82">
        <v>1.0000000000000001E-5</v>
      </c>
    </row>
    <row r="82" spans="1:15" ht="12" customHeight="1" x14ac:dyDescent="0.3">
      <c r="A82" s="733"/>
      <c r="B82" s="80">
        <v>2022</v>
      </c>
      <c r="C82" s="209">
        <f t="shared" si="13"/>
        <v>32688.109</v>
      </c>
      <c r="D82" s="82">
        <v>0</v>
      </c>
      <c r="E82" s="82">
        <v>458.8</v>
      </c>
      <c r="F82" s="89">
        <v>168</v>
      </c>
      <c r="G82" s="82">
        <v>11649.472</v>
      </c>
      <c r="H82" s="82">
        <v>611.35</v>
      </c>
      <c r="I82" s="82">
        <v>8363.0319999999992</v>
      </c>
      <c r="J82" s="82">
        <v>508.71299999999997</v>
      </c>
      <c r="K82" s="82">
        <v>10928.742000000002</v>
      </c>
      <c r="L82" s="82">
        <v>16562.835829999996</v>
      </c>
      <c r="M82" s="82">
        <v>881.72700000000009</v>
      </c>
      <c r="N82" s="82">
        <v>7911.2710000000006</v>
      </c>
      <c r="O82" s="82">
        <v>7889.25</v>
      </c>
    </row>
    <row r="83" spans="1:15" ht="12" customHeight="1" x14ac:dyDescent="0.3">
      <c r="A83" s="733"/>
      <c r="B83" s="80">
        <v>2023</v>
      </c>
      <c r="C83" s="209">
        <f t="shared" si="13"/>
        <v>82875.441879999998</v>
      </c>
      <c r="D83" s="82">
        <v>3932.5549999999998</v>
      </c>
      <c r="E83" s="82">
        <v>9016.5</v>
      </c>
      <c r="F83" s="82">
        <v>7917.2800000000007</v>
      </c>
      <c r="G83" s="82">
        <v>20560.34</v>
      </c>
      <c r="H83" s="82">
        <v>432.00188000000003</v>
      </c>
      <c r="I83" s="82">
        <v>2161.2600000000002</v>
      </c>
      <c r="J83" s="82">
        <v>7275.6849999999995</v>
      </c>
      <c r="K83" s="82">
        <v>31579.819999999996</v>
      </c>
      <c r="L83" s="82">
        <v>2401.7600000000002</v>
      </c>
      <c r="M83" s="82">
        <v>5025.7929799999984</v>
      </c>
      <c r="N83" s="82">
        <v>15320</v>
      </c>
      <c r="O83" s="82">
        <v>1.2470000000000001</v>
      </c>
    </row>
    <row r="84" spans="1:15" ht="12" customHeight="1" x14ac:dyDescent="0.3">
      <c r="A84" s="733"/>
      <c r="B84" s="80">
        <v>2024</v>
      </c>
      <c r="C84" s="209">
        <f t="shared" si="13"/>
        <v>88093.680229999998</v>
      </c>
      <c r="D84" s="82">
        <v>10993.810000000001</v>
      </c>
      <c r="E84" s="82">
        <v>4670.523000000001</v>
      </c>
      <c r="F84" s="82">
        <v>8770.81</v>
      </c>
      <c r="G84" s="82">
        <v>5337.2910000000002</v>
      </c>
      <c r="H84" s="82">
        <v>25309.670000000002</v>
      </c>
      <c r="I84" s="82">
        <v>1136.47</v>
      </c>
      <c r="J84" s="82">
        <v>25652.001229999998</v>
      </c>
      <c r="K84" s="82">
        <v>6223.1050000000005</v>
      </c>
      <c r="L84" s="82">
        <v>13126.855000000001</v>
      </c>
      <c r="M84" s="82">
        <v>19032.34</v>
      </c>
      <c r="N84" s="82">
        <v>4968</v>
      </c>
      <c r="O84" s="82">
        <v>6860</v>
      </c>
    </row>
    <row r="85" spans="1:15" ht="12" customHeight="1" x14ac:dyDescent="0.3">
      <c r="A85" s="734"/>
      <c r="B85" s="86">
        <v>2025</v>
      </c>
      <c r="C85" s="212">
        <f t="shared" si="13"/>
        <v>76788.146170000007</v>
      </c>
      <c r="D85" s="90">
        <v>554.96499999999992</v>
      </c>
      <c r="E85" s="90">
        <v>9537.885000000002</v>
      </c>
      <c r="F85" s="90">
        <v>6147.9750000000004</v>
      </c>
      <c r="G85" s="90">
        <v>13587.300000000001</v>
      </c>
      <c r="H85" s="90">
        <v>18211.97</v>
      </c>
      <c r="I85" s="90">
        <v>2574.2599999999998</v>
      </c>
      <c r="J85" s="90">
        <v>25865.791170000004</v>
      </c>
      <c r="K85" s="90">
        <v>308</v>
      </c>
      <c r="L85" s="90"/>
      <c r="M85" s="90"/>
      <c r="N85" s="90"/>
      <c r="O85" s="90"/>
    </row>
    <row r="86" spans="1:15" ht="12" customHeight="1" x14ac:dyDescent="0.3">
      <c r="A86" s="732" t="s">
        <v>51</v>
      </c>
      <c r="B86" s="80">
        <v>2015</v>
      </c>
      <c r="C86" s="209">
        <f t="shared" si="13"/>
        <v>30117.764838999999</v>
      </c>
      <c r="D86" s="81">
        <v>3007.6480000000001</v>
      </c>
      <c r="E86" s="82">
        <v>7612.79</v>
      </c>
      <c r="F86" s="82">
        <v>3525.0030000000002</v>
      </c>
      <c r="G86" s="82">
        <v>2861.23</v>
      </c>
      <c r="H86" s="82">
        <v>2043.9108389999999</v>
      </c>
      <c r="I86" s="82">
        <v>4422.7110000000002</v>
      </c>
      <c r="J86" s="82">
        <v>5405.674</v>
      </c>
      <c r="K86" s="82">
        <v>1238.798</v>
      </c>
      <c r="L86" s="82">
        <v>2983.5219999999999</v>
      </c>
      <c r="M86" s="82">
        <v>285.96600000000001</v>
      </c>
      <c r="N86" s="82">
        <v>6115.2169999999996</v>
      </c>
      <c r="O86" s="82">
        <v>1458.835</v>
      </c>
    </row>
    <row r="87" spans="1:15" ht="12" customHeight="1" x14ac:dyDescent="0.3">
      <c r="A87" s="733"/>
      <c r="B87" s="80">
        <v>2016</v>
      </c>
      <c r="C87" s="209">
        <f t="shared" si="13"/>
        <v>25692.341131000001</v>
      </c>
      <c r="D87" s="81">
        <v>1859.5250000000001</v>
      </c>
      <c r="E87" s="81">
        <v>3276.33</v>
      </c>
      <c r="F87" s="81">
        <v>3056.83</v>
      </c>
      <c r="G87" s="81">
        <v>2493.7912149999997</v>
      </c>
      <c r="H87" s="81">
        <v>4638.0102200000001</v>
      </c>
      <c r="I87" s="81">
        <v>3075.792696</v>
      </c>
      <c r="J87" s="81">
        <v>3352.5920000000001</v>
      </c>
      <c r="K87" s="81">
        <v>3939.47</v>
      </c>
      <c r="L87" s="81">
        <v>4877.5349999999999</v>
      </c>
      <c r="M87" s="81">
        <v>3037.5549999999998</v>
      </c>
      <c r="N87" s="81">
        <v>5296.8850000000002</v>
      </c>
      <c r="O87" s="81">
        <v>7275.107</v>
      </c>
    </row>
    <row r="88" spans="1:15" ht="12" customHeight="1" x14ac:dyDescent="0.3">
      <c r="A88" s="733"/>
      <c r="B88" s="80">
        <v>2017</v>
      </c>
      <c r="C88" s="209">
        <f t="shared" si="13"/>
        <v>36616.657999999996</v>
      </c>
      <c r="D88" s="81">
        <v>3422.1419999999998</v>
      </c>
      <c r="E88" s="82">
        <v>6795.7744000000002</v>
      </c>
      <c r="F88" s="82">
        <v>3080.4140000000002</v>
      </c>
      <c r="G88" s="82">
        <v>2500.424</v>
      </c>
      <c r="H88" s="82">
        <v>7451.3005999999996</v>
      </c>
      <c r="I88" s="82">
        <v>7432.3410000000003</v>
      </c>
      <c r="J88" s="82">
        <v>3360.232</v>
      </c>
      <c r="K88" s="81">
        <v>2574.0300000000002</v>
      </c>
      <c r="L88" s="81">
        <v>4411.6409999999996</v>
      </c>
      <c r="M88" s="81">
        <v>5909.2179999999998</v>
      </c>
      <c r="N88" s="81">
        <v>6867.36</v>
      </c>
      <c r="O88" s="81">
        <v>8113.7505000000001</v>
      </c>
    </row>
    <row r="89" spans="1:15" ht="12" customHeight="1" x14ac:dyDescent="0.3">
      <c r="A89" s="733"/>
      <c r="B89" s="80">
        <v>2018</v>
      </c>
      <c r="C89" s="209">
        <f t="shared" si="13"/>
        <v>47641.186000000002</v>
      </c>
      <c r="D89" s="81">
        <v>8610.8310000000001</v>
      </c>
      <c r="E89" s="82">
        <v>1911.155</v>
      </c>
      <c r="F89" s="82">
        <v>5830.9170000000004</v>
      </c>
      <c r="G89" s="82">
        <v>4438.3149999999996</v>
      </c>
      <c r="H89" s="82">
        <v>5381.1859999999997</v>
      </c>
      <c r="I89" s="82">
        <v>11333.824000000001</v>
      </c>
      <c r="J89" s="82">
        <v>4407.3140000000003</v>
      </c>
      <c r="K89" s="81">
        <v>5727.6440000000002</v>
      </c>
      <c r="L89" s="81">
        <v>5612.0119999999997</v>
      </c>
      <c r="M89" s="81">
        <v>7205.098</v>
      </c>
      <c r="N89" s="81">
        <v>5393.3519999999999</v>
      </c>
      <c r="O89" s="81">
        <v>3610.4810000000007</v>
      </c>
    </row>
    <row r="90" spans="1:15" ht="12" customHeight="1" x14ac:dyDescent="0.3">
      <c r="A90" s="733"/>
      <c r="B90" s="80">
        <v>2019</v>
      </c>
      <c r="C90" s="209">
        <f t="shared" si="13"/>
        <v>48268.87950000001</v>
      </c>
      <c r="D90" s="81">
        <v>6146.09</v>
      </c>
      <c r="E90" s="82">
        <v>4917.3090000000002</v>
      </c>
      <c r="F90" s="82">
        <v>4880.7809999999999</v>
      </c>
      <c r="G90" s="82">
        <v>6920.1850000000004</v>
      </c>
      <c r="H90" s="82">
        <v>9713.3004999999994</v>
      </c>
      <c r="I90" s="82">
        <v>4984.0159999999996</v>
      </c>
      <c r="J90" s="82">
        <v>5511.2579999999998</v>
      </c>
      <c r="K90" s="81">
        <v>5195.9399999999996</v>
      </c>
      <c r="L90" s="81">
        <v>6444.4402499999997</v>
      </c>
      <c r="M90" s="81">
        <v>4559.0094000000008</v>
      </c>
      <c r="N90" s="81">
        <v>6493.9944999999998</v>
      </c>
      <c r="O90" s="81">
        <v>10397</v>
      </c>
    </row>
    <row r="91" spans="1:15" ht="12" customHeight="1" x14ac:dyDescent="0.3">
      <c r="A91" s="733"/>
      <c r="B91" s="80">
        <v>2020</v>
      </c>
      <c r="C91" s="209">
        <f t="shared" si="13"/>
        <v>46163.887780000005</v>
      </c>
      <c r="D91" s="81">
        <v>7792.8269999999993</v>
      </c>
      <c r="E91" s="3">
        <v>6485.18</v>
      </c>
      <c r="F91" s="82">
        <v>3020.67</v>
      </c>
      <c r="G91" s="82">
        <v>2275.05078</v>
      </c>
      <c r="H91" s="82">
        <v>7180.8349999999991</v>
      </c>
      <c r="I91" s="82">
        <v>4886.3209999999999</v>
      </c>
      <c r="J91" s="82">
        <v>9850.9030000000002</v>
      </c>
      <c r="K91" s="81">
        <v>4672.1009999999997</v>
      </c>
      <c r="L91" s="81">
        <v>7387.3140000000003</v>
      </c>
      <c r="M91" s="81">
        <v>7161.8044300000001</v>
      </c>
      <c r="N91" s="81">
        <v>15272.771000000001</v>
      </c>
      <c r="O91" s="81">
        <v>9339.3450000000012</v>
      </c>
    </row>
    <row r="92" spans="1:15" ht="12" customHeight="1" x14ac:dyDescent="0.3">
      <c r="A92" s="733"/>
      <c r="B92" s="80">
        <v>2021</v>
      </c>
      <c r="C92" s="209">
        <f t="shared" si="13"/>
        <v>46142.23550000001</v>
      </c>
      <c r="D92" s="81">
        <v>5030.3840000000009</v>
      </c>
      <c r="E92" s="3">
        <v>3898.6369999999997</v>
      </c>
      <c r="F92" s="82">
        <v>6848.5745000000006</v>
      </c>
      <c r="G92" s="82">
        <v>6769.6360000000004</v>
      </c>
      <c r="H92" s="82">
        <v>8127.4380000000001</v>
      </c>
      <c r="I92" s="82">
        <v>4931.5140000000001</v>
      </c>
      <c r="J92" s="82">
        <v>3671.3150000000005</v>
      </c>
      <c r="K92" s="81">
        <v>6864.7369999999992</v>
      </c>
      <c r="L92" s="81">
        <v>13185.896410000001</v>
      </c>
      <c r="M92" s="81">
        <v>5932.2710000000006</v>
      </c>
      <c r="N92" s="81">
        <v>10996.928110000003</v>
      </c>
      <c r="O92" s="81">
        <v>1451.165</v>
      </c>
    </row>
    <row r="93" spans="1:15" ht="12" customHeight="1" x14ac:dyDescent="0.3">
      <c r="A93" s="733"/>
      <c r="B93" s="80">
        <v>2022</v>
      </c>
      <c r="C93" s="209">
        <f t="shared" si="13"/>
        <v>59334.228950000004</v>
      </c>
      <c r="D93" s="81">
        <v>12696.98221</v>
      </c>
      <c r="E93" s="3">
        <v>9154.9459999999999</v>
      </c>
      <c r="F93" s="82">
        <v>3824.5260000000003</v>
      </c>
      <c r="G93" s="82">
        <v>13988.6957</v>
      </c>
      <c r="H93" s="82">
        <v>4424.1757799999996</v>
      </c>
      <c r="I93" s="82">
        <v>1415.8410000000001</v>
      </c>
      <c r="J93" s="82">
        <v>2220.3918200000007</v>
      </c>
      <c r="K93" s="81">
        <v>11608.67044</v>
      </c>
      <c r="L93" s="81">
        <v>14291.0738</v>
      </c>
      <c r="M93" s="81">
        <v>2224.319</v>
      </c>
      <c r="N93" s="81">
        <v>2655.0176000000001</v>
      </c>
      <c r="O93" s="81">
        <v>4236.3702599999997</v>
      </c>
    </row>
    <row r="94" spans="1:15" ht="12" customHeight="1" x14ac:dyDescent="0.3">
      <c r="A94" s="733"/>
      <c r="B94" s="80">
        <v>2023</v>
      </c>
      <c r="C94" s="209">
        <f t="shared" si="13"/>
        <v>20293.73098</v>
      </c>
      <c r="D94" s="81">
        <v>4386.0030000000006</v>
      </c>
      <c r="E94" s="3">
        <v>814.99699999999996</v>
      </c>
      <c r="F94" s="82">
        <v>3563.5122499999998</v>
      </c>
      <c r="G94" s="82">
        <v>2142.8987299999999</v>
      </c>
      <c r="H94" s="82">
        <v>1627.9960000000001</v>
      </c>
      <c r="I94" s="82">
        <v>1242.1379999999999</v>
      </c>
      <c r="J94" s="82">
        <v>2364.7919999999999</v>
      </c>
      <c r="K94" s="81">
        <v>4151.3940000000002</v>
      </c>
      <c r="L94" s="81">
        <v>5337.5159999999996</v>
      </c>
      <c r="M94" s="81">
        <v>4403.4844400000002</v>
      </c>
      <c r="N94" s="81">
        <v>3341.8340000000003</v>
      </c>
      <c r="O94" s="81">
        <v>6654.1753799999997</v>
      </c>
    </row>
    <row r="95" spans="1:15" ht="12" customHeight="1" x14ac:dyDescent="0.3">
      <c r="A95" s="733"/>
      <c r="B95" s="80">
        <v>2024</v>
      </c>
      <c r="C95" s="209">
        <f t="shared" si="13"/>
        <v>58761.368759999998</v>
      </c>
      <c r="D95" s="81">
        <v>8207.3499999999985</v>
      </c>
      <c r="E95" s="81">
        <v>8459.2209999999995</v>
      </c>
      <c r="F95" s="82">
        <v>8728.5384699999995</v>
      </c>
      <c r="G95" s="82">
        <v>4696.5124900000001</v>
      </c>
      <c r="H95" s="82">
        <v>6459.1005399999995</v>
      </c>
      <c r="I95" s="82">
        <v>4693.9322599999996</v>
      </c>
      <c r="J95" s="82">
        <v>8850.7129999999997</v>
      </c>
      <c r="K95" s="81">
        <v>8666.001000000002</v>
      </c>
      <c r="L95" s="81">
        <v>3946.0389999999998</v>
      </c>
      <c r="M95" s="81">
        <v>8433.4000000000015</v>
      </c>
      <c r="N95" s="81">
        <v>10009</v>
      </c>
      <c r="O95" s="81">
        <v>8816</v>
      </c>
    </row>
    <row r="96" spans="1:15" ht="12" customHeight="1" x14ac:dyDescent="0.3">
      <c r="A96" s="734"/>
      <c r="B96" s="86">
        <v>2025</v>
      </c>
      <c r="C96" s="212">
        <f t="shared" si="13"/>
        <v>56086.079400000002</v>
      </c>
      <c r="D96" s="83">
        <v>8279.1680000000015</v>
      </c>
      <c r="E96" s="83">
        <v>6221.3763199999994</v>
      </c>
      <c r="F96" s="90">
        <v>11443.919380000001</v>
      </c>
      <c r="G96" s="90">
        <v>5672.1090000000004</v>
      </c>
      <c r="H96" s="90">
        <v>10221.314470000001</v>
      </c>
      <c r="I96" s="90">
        <v>3551.1400000000003</v>
      </c>
      <c r="J96" s="90">
        <v>8030.9112300000006</v>
      </c>
      <c r="K96" s="83">
        <v>2666.1410000000001</v>
      </c>
      <c r="L96" s="83"/>
      <c r="M96" s="83"/>
      <c r="N96" s="83"/>
      <c r="O96" s="83"/>
    </row>
    <row r="97" spans="1:15" ht="12" customHeight="1" x14ac:dyDescent="0.3">
      <c r="A97" s="732" t="s">
        <v>134</v>
      </c>
      <c r="B97" s="80">
        <v>2015</v>
      </c>
      <c r="C97" s="209">
        <f t="shared" si="13"/>
        <v>4540.1400000000003</v>
      </c>
      <c r="D97" s="81">
        <v>13.92</v>
      </c>
      <c r="E97" s="82">
        <v>0</v>
      </c>
      <c r="F97" s="82">
        <v>0</v>
      </c>
      <c r="G97" s="82">
        <v>0</v>
      </c>
      <c r="H97" s="82">
        <v>0</v>
      </c>
      <c r="I97" s="82">
        <v>0</v>
      </c>
      <c r="J97" s="82">
        <v>0</v>
      </c>
      <c r="K97" s="82">
        <v>4526.22</v>
      </c>
      <c r="L97" s="82">
        <v>0</v>
      </c>
      <c r="M97" s="82">
        <v>0</v>
      </c>
      <c r="N97" s="82">
        <v>0</v>
      </c>
      <c r="O97" s="82">
        <v>14285.353999999999</v>
      </c>
    </row>
    <row r="98" spans="1:15" ht="12" customHeight="1" x14ac:dyDescent="0.3">
      <c r="A98" s="733"/>
      <c r="B98" s="80">
        <v>2016</v>
      </c>
      <c r="C98" s="209">
        <f t="shared" si="13"/>
        <v>4096.482</v>
      </c>
      <c r="D98" s="82">
        <v>0</v>
      </c>
      <c r="E98" s="82">
        <v>55.44</v>
      </c>
      <c r="F98" s="82">
        <v>55.48</v>
      </c>
      <c r="G98" s="82">
        <v>0</v>
      </c>
      <c r="H98" s="82">
        <v>3478.96</v>
      </c>
      <c r="I98" s="82">
        <v>94.182000000000002</v>
      </c>
      <c r="J98" s="82">
        <v>247.06</v>
      </c>
      <c r="K98" s="82">
        <v>165.36</v>
      </c>
      <c r="L98" s="82">
        <v>6042.68</v>
      </c>
      <c r="M98" s="82">
        <v>5955.8</v>
      </c>
      <c r="N98" s="82">
        <v>167.29</v>
      </c>
      <c r="O98" s="82">
        <v>0</v>
      </c>
    </row>
    <row r="99" spans="1:15" ht="12" customHeight="1" x14ac:dyDescent="0.3">
      <c r="A99" s="733"/>
      <c r="B99" s="80">
        <v>2017</v>
      </c>
      <c r="C99" s="209">
        <f t="shared" si="13"/>
        <v>10006.76</v>
      </c>
      <c r="D99" s="81">
        <v>7308.82</v>
      </c>
      <c r="E99" s="82">
        <v>0</v>
      </c>
      <c r="F99" s="82">
        <v>2589.94</v>
      </c>
      <c r="G99" s="82">
        <v>0</v>
      </c>
      <c r="H99" s="82">
        <v>0</v>
      </c>
      <c r="I99" s="82">
        <v>108</v>
      </c>
      <c r="J99" s="82">
        <v>0</v>
      </c>
      <c r="K99" s="82">
        <v>0</v>
      </c>
      <c r="L99" s="82">
        <v>6581.43</v>
      </c>
      <c r="M99" s="82">
        <v>14515.23</v>
      </c>
      <c r="N99" s="82">
        <v>12926.04</v>
      </c>
      <c r="O99" s="82">
        <v>0</v>
      </c>
    </row>
    <row r="100" spans="1:15" ht="12" customHeight="1" x14ac:dyDescent="0.3">
      <c r="A100" s="733"/>
      <c r="B100" s="80">
        <v>2018</v>
      </c>
      <c r="C100" s="209">
        <f t="shared" si="13"/>
        <v>0</v>
      </c>
      <c r="D100" s="82">
        <v>0</v>
      </c>
      <c r="E100" s="82">
        <v>0</v>
      </c>
      <c r="F100" s="82">
        <v>0</v>
      </c>
      <c r="G100" s="82">
        <v>0</v>
      </c>
      <c r="H100" s="82">
        <v>0</v>
      </c>
      <c r="I100" s="82">
        <v>0</v>
      </c>
      <c r="J100" s="82">
        <v>0</v>
      </c>
      <c r="K100" s="82">
        <v>0</v>
      </c>
      <c r="L100" s="82">
        <v>0</v>
      </c>
      <c r="M100" s="82">
        <v>0</v>
      </c>
      <c r="N100" s="82">
        <v>0</v>
      </c>
      <c r="O100" s="82">
        <v>0</v>
      </c>
    </row>
    <row r="101" spans="1:15" ht="12" customHeight="1" x14ac:dyDescent="0.3">
      <c r="A101" s="733"/>
      <c r="B101" s="80">
        <v>2019</v>
      </c>
      <c r="C101" s="209">
        <f t="shared" si="13"/>
        <v>15304.64</v>
      </c>
      <c r="D101" s="82">
        <v>0</v>
      </c>
      <c r="E101" s="82">
        <v>0</v>
      </c>
      <c r="F101" s="82">
        <v>0</v>
      </c>
      <c r="G101" s="82">
        <v>0</v>
      </c>
      <c r="H101" s="82">
        <v>14812.05</v>
      </c>
      <c r="I101" s="82">
        <v>492.59</v>
      </c>
      <c r="J101" s="82">
        <v>0</v>
      </c>
      <c r="K101" s="82">
        <v>0</v>
      </c>
      <c r="L101" s="82">
        <v>0</v>
      </c>
      <c r="M101" s="82">
        <v>0</v>
      </c>
      <c r="N101" s="82">
        <v>0</v>
      </c>
      <c r="O101" s="82">
        <v>0</v>
      </c>
    </row>
    <row r="102" spans="1:15" ht="12" customHeight="1" x14ac:dyDescent="0.3">
      <c r="A102" s="733"/>
      <c r="B102" s="80">
        <v>2020</v>
      </c>
      <c r="C102" s="209">
        <f t="shared" si="13"/>
        <v>9597.35</v>
      </c>
      <c r="D102" s="82">
        <v>0</v>
      </c>
      <c r="E102" s="82">
        <v>2380.0500000000002</v>
      </c>
      <c r="F102" s="82">
        <v>0</v>
      </c>
      <c r="G102" s="82">
        <v>0</v>
      </c>
      <c r="H102" s="82">
        <v>0</v>
      </c>
      <c r="I102" s="82">
        <v>2014.94</v>
      </c>
      <c r="J102" s="82">
        <v>5087.96</v>
      </c>
      <c r="K102" s="82">
        <v>114.4</v>
      </c>
      <c r="L102" s="82">
        <v>0</v>
      </c>
      <c r="M102" s="82">
        <v>19326.682649999999</v>
      </c>
      <c r="N102" s="82">
        <v>305.52</v>
      </c>
      <c r="O102" s="82">
        <v>0</v>
      </c>
    </row>
    <row r="103" spans="1:15" ht="12" customHeight="1" x14ac:dyDescent="0.3">
      <c r="A103" s="733"/>
      <c r="B103" s="80">
        <v>2021</v>
      </c>
      <c r="C103" s="209">
        <f t="shared" si="13"/>
        <v>21998.061000000002</v>
      </c>
      <c r="D103" s="82">
        <v>0</v>
      </c>
      <c r="E103" s="82">
        <v>0</v>
      </c>
      <c r="F103" s="82">
        <v>0</v>
      </c>
      <c r="G103" s="82">
        <v>0</v>
      </c>
      <c r="H103" s="82">
        <v>18348.061000000002</v>
      </c>
      <c r="I103" s="82">
        <v>3650</v>
      </c>
      <c r="J103" s="82">
        <v>0</v>
      </c>
      <c r="K103" s="82">
        <v>0</v>
      </c>
      <c r="L103" s="82">
        <v>0</v>
      </c>
      <c r="M103" s="82">
        <v>252.44</v>
      </c>
      <c r="N103" s="82">
        <v>0</v>
      </c>
      <c r="O103" s="82">
        <v>0</v>
      </c>
    </row>
    <row r="104" spans="1:15" ht="12" customHeight="1" x14ac:dyDescent="0.3">
      <c r="A104" s="733"/>
      <c r="B104" s="80">
        <v>2022</v>
      </c>
      <c r="C104" s="209">
        <f t="shared" si="13"/>
        <v>1200.76</v>
      </c>
      <c r="D104" s="82">
        <v>24.8</v>
      </c>
      <c r="E104" s="82">
        <v>0</v>
      </c>
      <c r="F104" s="82">
        <v>0</v>
      </c>
      <c r="G104" s="82">
        <v>49.79</v>
      </c>
      <c r="H104" s="82">
        <v>0.5</v>
      </c>
      <c r="I104" s="82">
        <v>125.67</v>
      </c>
      <c r="J104" s="82">
        <v>0</v>
      </c>
      <c r="K104" s="82">
        <v>1000</v>
      </c>
      <c r="L104" s="82">
        <v>698.4</v>
      </c>
      <c r="M104" s="82">
        <v>2722.7</v>
      </c>
      <c r="N104" s="82">
        <v>1</v>
      </c>
      <c r="O104" s="82">
        <v>3607.54</v>
      </c>
    </row>
    <row r="105" spans="1:15" ht="12" customHeight="1" x14ac:dyDescent="0.3">
      <c r="A105" s="733"/>
      <c r="B105" s="80">
        <v>2023</v>
      </c>
      <c r="C105" s="209">
        <f t="shared" si="13"/>
        <v>8598.98</v>
      </c>
      <c r="D105" s="82">
        <v>0</v>
      </c>
      <c r="E105" s="82">
        <v>0</v>
      </c>
      <c r="F105" s="82">
        <v>5251.95</v>
      </c>
      <c r="G105" s="82">
        <v>12</v>
      </c>
      <c r="H105" s="82">
        <v>0</v>
      </c>
      <c r="I105" s="82">
        <v>3137.7099999999996</v>
      </c>
      <c r="J105" s="82">
        <v>97.32</v>
      </c>
      <c r="K105" s="82">
        <v>100</v>
      </c>
      <c r="L105" s="82">
        <v>5346.1399999999994</v>
      </c>
      <c r="M105" s="82">
        <v>4800.96</v>
      </c>
      <c r="N105" s="82">
        <v>10275.58</v>
      </c>
      <c r="O105" s="82">
        <v>1.4039999999999999</v>
      </c>
    </row>
    <row r="106" spans="1:15" ht="12" customHeight="1" x14ac:dyDescent="0.3">
      <c r="A106" s="733"/>
      <c r="B106" s="80">
        <v>2024</v>
      </c>
      <c r="C106" s="209">
        <f t="shared" si="13"/>
        <v>5631.69</v>
      </c>
      <c r="D106" s="82">
        <v>2</v>
      </c>
      <c r="E106" s="82">
        <v>52</v>
      </c>
      <c r="F106" s="82">
        <v>0</v>
      </c>
      <c r="G106" s="82">
        <v>0</v>
      </c>
      <c r="H106" s="82">
        <v>0</v>
      </c>
      <c r="I106" s="82">
        <v>78.240000000000009</v>
      </c>
      <c r="J106" s="82">
        <v>5499.45</v>
      </c>
      <c r="K106" s="82">
        <v>0</v>
      </c>
      <c r="L106" s="82">
        <v>5142.62</v>
      </c>
      <c r="M106" s="82">
        <v>10196.41</v>
      </c>
      <c r="N106" s="82">
        <v>2.4500000000000002</v>
      </c>
      <c r="O106" s="82">
        <v>0</v>
      </c>
    </row>
    <row r="107" spans="1:15" ht="12" customHeight="1" x14ac:dyDescent="0.3">
      <c r="A107" s="734"/>
      <c r="B107" s="86">
        <v>2025</v>
      </c>
      <c r="C107" s="212">
        <f>SUM(D107:K107)</f>
        <v>22117.350000000006</v>
      </c>
      <c r="D107" s="90">
        <v>0</v>
      </c>
      <c r="E107" s="90">
        <v>0</v>
      </c>
      <c r="F107" s="90">
        <v>19.989999999999998</v>
      </c>
      <c r="G107" s="90">
        <v>0</v>
      </c>
      <c r="H107" s="90">
        <v>0</v>
      </c>
      <c r="I107" s="90">
        <v>18696.160000000003</v>
      </c>
      <c r="J107" s="90">
        <v>3391.2</v>
      </c>
      <c r="K107" s="90">
        <v>10</v>
      </c>
      <c r="L107" s="90"/>
      <c r="M107" s="90"/>
      <c r="N107" s="90"/>
      <c r="O107" s="90"/>
    </row>
    <row r="108" spans="1:15" ht="9" customHeight="1" x14ac:dyDescent="0.3">
      <c r="A108" s="200" t="s">
        <v>135</v>
      </c>
      <c r="B108" s="91"/>
      <c r="C108" s="92"/>
      <c r="D108" s="81"/>
      <c r="E108" s="93"/>
      <c r="F108" s="93"/>
      <c r="G108" s="94"/>
      <c r="H108" s="95"/>
      <c r="I108" s="95"/>
      <c r="J108" s="95"/>
      <c r="K108" s="96"/>
      <c r="L108" s="95"/>
      <c r="M108" s="95"/>
      <c r="N108" s="95"/>
      <c r="O108" s="95"/>
    </row>
    <row r="109" spans="1:15" ht="9" customHeight="1" x14ac:dyDescent="0.3">
      <c r="A109" s="589" t="s">
        <v>67</v>
      </c>
      <c r="B109" s="97"/>
      <c r="C109" s="97"/>
      <c r="D109" s="97"/>
      <c r="E109" s="97"/>
      <c r="F109" s="97"/>
      <c r="G109" s="97"/>
      <c r="H109" s="98"/>
      <c r="I109" s="98"/>
      <c r="J109" s="98"/>
      <c r="K109" s="98"/>
      <c r="L109" s="98"/>
      <c r="M109" s="98"/>
      <c r="N109" s="98"/>
      <c r="O109" s="98"/>
    </row>
    <row r="110" spans="1:15" ht="9" customHeight="1" x14ac:dyDescent="0.3">
      <c r="A110" s="590" t="s">
        <v>68</v>
      </c>
    </row>
    <row r="111" spans="1:15" ht="9.75" customHeight="1" x14ac:dyDescent="0.3">
      <c r="A111" s="590"/>
    </row>
  </sheetData>
  <mergeCells count="9">
    <mergeCell ref="A75:A85"/>
    <mergeCell ref="A86:A96"/>
    <mergeCell ref="A97:A107"/>
    <mergeCell ref="A4:A14"/>
    <mergeCell ref="A15:A25"/>
    <mergeCell ref="A26:A36"/>
    <mergeCell ref="A37:A47"/>
    <mergeCell ref="A48:A58"/>
    <mergeCell ref="A64:A74"/>
  </mergeCells>
  <pageMargins left="0.27559055118110237" right="0.27559055118110237" top="0.39370078740157483" bottom="0.39370078740157483" header="0" footer="0"/>
  <pageSetup paperSize="9" orientation="portrait" r:id="rId1"/>
  <ignoredErrors>
    <ignoredError sqref="C15:C61 C64:C10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N20"/>
  <sheetViews>
    <sheetView showGridLines="0" zoomScaleNormal="100" workbookViewId="0">
      <selection activeCell="A2" sqref="A2:N21"/>
    </sheetView>
  </sheetViews>
  <sheetFormatPr baseColWidth="10" defaultColWidth="11.44140625" defaultRowHeight="13.8" x14ac:dyDescent="0.3"/>
  <cols>
    <col min="1" max="1" width="7.109375" style="119" customWidth="1"/>
    <col min="2" max="2" width="5.6640625" style="119" bestFit="1" customWidth="1"/>
    <col min="3" max="14" width="5.88671875" style="119" customWidth="1"/>
    <col min="15" max="16384" width="11.44140625" style="119"/>
  </cols>
  <sheetData>
    <row r="2" spans="1:14" x14ac:dyDescent="0.3">
      <c r="A2" s="739" t="s">
        <v>569</v>
      </c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</row>
    <row r="3" spans="1:14" ht="12" customHeight="1" x14ac:dyDescent="0.3">
      <c r="A3" s="740" t="s">
        <v>136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740"/>
    </row>
    <row r="4" spans="1:14" ht="5.0999999999999996" customHeight="1" x14ac:dyDescent="0.3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100"/>
    </row>
    <row r="5" spans="1:14" ht="15.9" customHeight="1" x14ac:dyDescent="0.3">
      <c r="A5" s="213" t="s">
        <v>95</v>
      </c>
      <c r="B5" s="214" t="s">
        <v>137</v>
      </c>
      <c r="C5" s="214" t="s">
        <v>96</v>
      </c>
      <c r="D5" s="214" t="s">
        <v>97</v>
      </c>
      <c r="E5" s="214" t="s">
        <v>98</v>
      </c>
      <c r="F5" s="214" t="s">
        <v>99</v>
      </c>
      <c r="G5" s="214" t="s">
        <v>100</v>
      </c>
      <c r="H5" s="214" t="s">
        <v>101</v>
      </c>
      <c r="I5" s="214" t="s">
        <v>102</v>
      </c>
      <c r="J5" s="214" t="s">
        <v>103</v>
      </c>
      <c r="K5" s="214" t="s">
        <v>104</v>
      </c>
      <c r="L5" s="214" t="s">
        <v>105</v>
      </c>
      <c r="M5" s="214" t="s">
        <v>106</v>
      </c>
      <c r="N5" s="214" t="s">
        <v>107</v>
      </c>
    </row>
    <row r="6" spans="1:14" ht="14.1" customHeight="1" x14ac:dyDescent="0.3">
      <c r="A6" s="101">
        <v>2015</v>
      </c>
      <c r="B6" s="215">
        <f>SUM(C6:N6)</f>
        <v>20275.95</v>
      </c>
      <c r="C6" s="107">
        <v>2289.25</v>
      </c>
      <c r="D6" s="107">
        <v>157.9</v>
      </c>
      <c r="E6" s="108">
        <v>0</v>
      </c>
      <c r="F6" s="108">
        <v>0</v>
      </c>
      <c r="G6" s="107">
        <v>193.25</v>
      </c>
      <c r="H6" s="107">
        <v>1030.05</v>
      </c>
      <c r="I6" s="107">
        <v>1228</v>
      </c>
      <c r="J6" s="107">
        <v>1910.2</v>
      </c>
      <c r="K6" s="107">
        <v>2626</v>
      </c>
      <c r="L6" s="107">
        <v>4184.05</v>
      </c>
      <c r="M6" s="107">
        <v>3914.75</v>
      </c>
      <c r="N6" s="107">
        <v>2742.5</v>
      </c>
    </row>
    <row r="7" spans="1:14" ht="14.1" customHeight="1" x14ac:dyDescent="0.3">
      <c r="A7" s="102">
        <v>2016</v>
      </c>
      <c r="B7" s="215">
        <f t="shared" ref="B7:B14" si="0">SUM(C7:N7)</f>
        <v>28394.95</v>
      </c>
      <c r="C7" s="109">
        <v>3791</v>
      </c>
      <c r="D7" s="109">
        <v>2970</v>
      </c>
      <c r="E7" s="109">
        <v>1809.3</v>
      </c>
      <c r="F7" s="109">
        <v>1518</v>
      </c>
      <c r="G7" s="109">
        <v>2723.85</v>
      </c>
      <c r="H7" s="109">
        <v>2024</v>
      </c>
      <c r="I7" s="109">
        <v>2429</v>
      </c>
      <c r="J7" s="109">
        <v>4448</v>
      </c>
      <c r="K7" s="109">
        <v>3661.45</v>
      </c>
      <c r="L7" s="109">
        <v>1025</v>
      </c>
      <c r="M7" s="109">
        <v>1627.5</v>
      </c>
      <c r="N7" s="109">
        <v>367.85</v>
      </c>
    </row>
    <row r="8" spans="1:14" ht="14.1" customHeight="1" x14ac:dyDescent="0.3">
      <c r="A8" s="102">
        <v>2017</v>
      </c>
      <c r="B8" s="215">
        <f t="shared" si="0"/>
        <v>22952.5</v>
      </c>
      <c r="C8" s="103">
        <v>0</v>
      </c>
      <c r="D8" s="109">
        <v>2410</v>
      </c>
      <c r="E8" s="109">
        <v>3630.8</v>
      </c>
      <c r="F8" s="109">
        <v>1009.2</v>
      </c>
      <c r="G8" s="109">
        <v>285</v>
      </c>
      <c r="H8" s="109">
        <v>1200</v>
      </c>
      <c r="I8" s="109">
        <v>2497.0500000000002</v>
      </c>
      <c r="J8" s="109">
        <v>400.25</v>
      </c>
      <c r="K8" s="109">
        <v>2518.9</v>
      </c>
      <c r="L8" s="109">
        <v>3977.1</v>
      </c>
      <c r="M8" s="109">
        <v>3454.4</v>
      </c>
      <c r="N8" s="109">
        <v>1569.8</v>
      </c>
    </row>
    <row r="9" spans="1:14" ht="14.1" customHeight="1" x14ac:dyDescent="0.3">
      <c r="A9" s="102">
        <v>2018</v>
      </c>
      <c r="B9" s="215">
        <f t="shared" si="0"/>
        <v>25542.400000000001</v>
      </c>
      <c r="C9" s="109">
        <v>862.4</v>
      </c>
      <c r="D9" s="103">
        <v>0</v>
      </c>
      <c r="E9" s="109">
        <v>4100</v>
      </c>
      <c r="F9" s="110">
        <v>4350</v>
      </c>
      <c r="G9" s="109">
        <v>4505</v>
      </c>
      <c r="H9" s="109">
        <v>3200</v>
      </c>
      <c r="I9" s="109">
        <v>1613</v>
      </c>
      <c r="J9" s="109">
        <v>5800</v>
      </c>
      <c r="K9" s="103">
        <v>0</v>
      </c>
      <c r="L9" s="103">
        <v>0</v>
      </c>
      <c r="M9" s="109">
        <v>250</v>
      </c>
      <c r="N9" s="109">
        <v>862</v>
      </c>
    </row>
    <row r="10" spans="1:14" ht="14.1" customHeight="1" x14ac:dyDescent="0.3">
      <c r="A10" s="102">
        <v>2019</v>
      </c>
      <c r="B10" s="215">
        <f t="shared" si="0"/>
        <v>28787.5</v>
      </c>
      <c r="C10" s="103">
        <v>0</v>
      </c>
      <c r="D10" s="103">
        <v>100</v>
      </c>
      <c r="E10" s="109">
        <v>4065</v>
      </c>
      <c r="F10" s="110">
        <v>2110.85</v>
      </c>
      <c r="G10" s="109">
        <v>2963</v>
      </c>
      <c r="H10" s="109">
        <v>2501</v>
      </c>
      <c r="I10" s="109">
        <f>13615-11740</f>
        <v>1875</v>
      </c>
      <c r="J10" s="109">
        <v>2900</v>
      </c>
      <c r="K10" s="103">
        <v>2984.65</v>
      </c>
      <c r="L10" s="103">
        <v>2949</v>
      </c>
      <c r="M10" s="109">
        <v>4724</v>
      </c>
      <c r="N10" s="109">
        <v>1615</v>
      </c>
    </row>
    <row r="11" spans="1:14" ht="14.1" customHeight="1" x14ac:dyDescent="0.3">
      <c r="A11" s="102">
        <v>2020</v>
      </c>
      <c r="B11" s="215">
        <f t="shared" si="0"/>
        <v>10029</v>
      </c>
      <c r="C11" s="103">
        <v>0</v>
      </c>
      <c r="D11" s="103">
        <v>975</v>
      </c>
      <c r="E11" s="109">
        <f>1575-975</f>
        <v>600</v>
      </c>
      <c r="F11" s="110">
        <v>400</v>
      </c>
      <c r="G11" s="109">
        <f>2835-1975</f>
        <v>860</v>
      </c>
      <c r="H11" s="109">
        <v>760</v>
      </c>
      <c r="I11" s="109">
        <f>4804-3595</f>
        <v>1209</v>
      </c>
      <c r="J11" s="109">
        <f>5416-4804</f>
        <v>612</v>
      </c>
      <c r="K11" s="103">
        <f>6416-5416</f>
        <v>1000</v>
      </c>
      <c r="L11" s="103">
        <f>7916-6416</f>
        <v>1500</v>
      </c>
      <c r="M11" s="109">
        <f>8666-7916</f>
        <v>750</v>
      </c>
      <c r="N11" s="109">
        <v>1363</v>
      </c>
    </row>
    <row r="12" spans="1:14" ht="14.1" customHeight="1" x14ac:dyDescent="0.3">
      <c r="A12" s="102">
        <v>2021</v>
      </c>
      <c r="B12" s="215">
        <f t="shared" si="0"/>
        <v>23086.75</v>
      </c>
      <c r="C12" s="103">
        <v>2050</v>
      </c>
      <c r="D12" s="103">
        <f>3950-2050</f>
        <v>1900</v>
      </c>
      <c r="E12" s="103">
        <f>8350.3-3950</f>
        <v>4400.2999999999993</v>
      </c>
      <c r="F12" s="110">
        <v>3354.45</v>
      </c>
      <c r="G12" s="103">
        <v>1600</v>
      </c>
      <c r="H12" s="109">
        <f>14331-13305</f>
        <v>1026</v>
      </c>
      <c r="I12" s="109">
        <f>16311-14331</f>
        <v>1980</v>
      </c>
      <c r="J12" s="109">
        <v>3165</v>
      </c>
      <c r="K12" s="103">
        <v>1350</v>
      </c>
      <c r="L12" s="103">
        <v>1646</v>
      </c>
      <c r="M12" s="109">
        <v>253</v>
      </c>
      <c r="N12" s="109">
        <v>362</v>
      </c>
    </row>
    <row r="13" spans="1:14" ht="14.1" customHeight="1" x14ac:dyDescent="0.3">
      <c r="A13" s="102">
        <v>2022</v>
      </c>
      <c r="B13" s="215">
        <f t="shared" si="0"/>
        <v>19808.900000000001</v>
      </c>
      <c r="C13" s="103">
        <v>0</v>
      </c>
      <c r="D13" s="103">
        <v>0</v>
      </c>
      <c r="E13" s="104">
        <v>2278</v>
      </c>
      <c r="F13" s="105">
        <v>3993</v>
      </c>
      <c r="G13" s="104">
        <f>8375-6271</f>
        <v>2104</v>
      </c>
      <c r="H13" s="104">
        <f>9946-8375</f>
        <v>1571</v>
      </c>
      <c r="I13" s="104">
        <f>13246.2-9946</f>
        <v>3300.2000000000007</v>
      </c>
      <c r="J13" s="104">
        <f>16146.2-13246</f>
        <v>2900.2000000000007</v>
      </c>
      <c r="K13" s="103">
        <v>3268</v>
      </c>
      <c r="L13" s="103">
        <f>21684.35-21584</f>
        <v>100.34999999999854</v>
      </c>
      <c r="M13" s="104">
        <f>21766.15-21685</f>
        <v>81.150000000001455</v>
      </c>
      <c r="N13" s="104">
        <v>213</v>
      </c>
    </row>
    <row r="14" spans="1:14" ht="14.1" customHeight="1" x14ac:dyDescent="0.3">
      <c r="A14" s="102">
        <v>2023</v>
      </c>
      <c r="B14" s="215">
        <f t="shared" si="0"/>
        <v>13351</v>
      </c>
      <c r="C14" s="103">
        <v>0</v>
      </c>
      <c r="D14" s="103">
        <v>0</v>
      </c>
      <c r="E14" s="103">
        <v>0</v>
      </c>
      <c r="F14" s="110">
        <v>1345</v>
      </c>
      <c r="G14" s="103">
        <v>1674</v>
      </c>
      <c r="H14" s="109">
        <v>3052</v>
      </c>
      <c r="I14" s="109">
        <v>3345</v>
      </c>
      <c r="J14" s="109">
        <v>2386</v>
      </c>
      <c r="K14" s="103">
        <v>1065</v>
      </c>
      <c r="L14" s="103">
        <v>484</v>
      </c>
      <c r="M14" s="109">
        <v>0</v>
      </c>
      <c r="N14" s="109">
        <v>0</v>
      </c>
    </row>
    <row r="15" spans="1:14" ht="14.1" customHeight="1" x14ac:dyDescent="0.3">
      <c r="A15" s="102">
        <v>2024</v>
      </c>
      <c r="B15" s="215">
        <f>SUM(C15:N15)</f>
        <v>22288.899999999998</v>
      </c>
      <c r="C15" s="103">
        <v>0</v>
      </c>
      <c r="D15" s="103">
        <v>0</v>
      </c>
      <c r="E15" s="103">
        <v>2040</v>
      </c>
      <c r="F15" s="110">
        <v>1638</v>
      </c>
      <c r="G15" s="103">
        <v>2476</v>
      </c>
      <c r="H15" s="109">
        <v>3901</v>
      </c>
      <c r="I15" s="109">
        <v>3806.1</v>
      </c>
      <c r="J15" s="109">
        <v>2237</v>
      </c>
      <c r="K15" s="103">
        <v>906</v>
      </c>
      <c r="L15" s="103">
        <v>1010.8</v>
      </c>
      <c r="M15" s="109">
        <v>3363</v>
      </c>
      <c r="N15" s="109">
        <v>911</v>
      </c>
    </row>
    <row r="16" spans="1:14" ht="14.1" customHeight="1" x14ac:dyDescent="0.3">
      <c r="A16" s="106">
        <v>2025</v>
      </c>
      <c r="B16" s="216">
        <f>SUM(C16:N16)</f>
        <v>10618.759999999998</v>
      </c>
      <c r="C16" s="111">
        <v>0</v>
      </c>
      <c r="D16" s="111">
        <v>0</v>
      </c>
      <c r="E16" s="111">
        <v>195</v>
      </c>
      <c r="F16" s="112">
        <v>494.01</v>
      </c>
      <c r="G16" s="111">
        <v>2881.73</v>
      </c>
      <c r="H16" s="113">
        <v>2854.13</v>
      </c>
      <c r="I16" s="113">
        <v>2577.6</v>
      </c>
      <c r="J16" s="113">
        <v>1616.29</v>
      </c>
      <c r="K16" s="111"/>
      <c r="L16" s="111"/>
      <c r="M16" s="113"/>
      <c r="N16" s="113"/>
    </row>
    <row r="17" spans="1:14" ht="9" customHeight="1" x14ac:dyDescent="0.3">
      <c r="A17" s="120" t="s">
        <v>138</v>
      </c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</row>
    <row r="18" spans="1:14" ht="9" customHeight="1" x14ac:dyDescent="0.3">
      <c r="A18" s="118" t="s">
        <v>67</v>
      </c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5"/>
    </row>
    <row r="19" spans="1:14" ht="9" customHeight="1" x14ac:dyDescent="0.3">
      <c r="A19" s="118" t="s">
        <v>68</v>
      </c>
      <c r="B19" s="116"/>
      <c r="C19" s="116"/>
      <c r="D19" s="116"/>
      <c r="E19" s="116"/>
      <c r="F19" s="116"/>
      <c r="G19" s="116"/>
      <c r="H19" s="117"/>
      <c r="I19" s="117"/>
      <c r="J19" s="117"/>
      <c r="K19" s="117"/>
      <c r="L19" s="117"/>
      <c r="M19" s="117"/>
      <c r="N19" s="117"/>
    </row>
    <row r="20" spans="1:14" ht="9" customHeight="1" x14ac:dyDescent="0.3">
      <c r="A20" s="118" t="s">
        <v>191</v>
      </c>
      <c r="B20" s="118"/>
      <c r="C20" s="118"/>
      <c r="D20" s="118"/>
      <c r="E20" s="118"/>
      <c r="F20" s="118"/>
      <c r="G20" s="118"/>
    </row>
  </sheetData>
  <mergeCells count="2">
    <mergeCell ref="A2:N2"/>
    <mergeCell ref="A3:N3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1"/>
  <sheetViews>
    <sheetView showGridLines="0" topLeftCell="A47" zoomScaleNormal="100" workbookViewId="0">
      <selection activeCell="A70" sqref="A70:J132"/>
    </sheetView>
  </sheetViews>
  <sheetFormatPr baseColWidth="10" defaultColWidth="12.6640625" defaultRowHeight="15" customHeight="1" x14ac:dyDescent="0.3"/>
  <cols>
    <col min="1" max="1" width="19.6640625" style="2" customWidth="1"/>
    <col min="2" max="3" width="7.6640625" style="2" customWidth="1"/>
    <col min="4" max="4" width="5.6640625" style="2" customWidth="1"/>
    <col min="5" max="6" width="7.6640625" style="2" customWidth="1"/>
    <col min="7" max="7" width="5.6640625" style="2" customWidth="1"/>
    <col min="8" max="9" width="7.6640625" style="2" customWidth="1"/>
    <col min="10" max="10" width="5.6640625" style="2" customWidth="1"/>
    <col min="11" max="16384" width="12.6640625" style="2"/>
  </cols>
  <sheetData>
    <row r="1" spans="1:10" ht="18" customHeight="1" x14ac:dyDescent="0.3">
      <c r="A1" s="339" t="s">
        <v>593</v>
      </c>
      <c r="B1" s="340"/>
      <c r="C1" s="340"/>
      <c r="D1" s="340"/>
      <c r="E1" s="340"/>
      <c r="F1" s="340"/>
      <c r="G1" s="340"/>
      <c r="H1" s="315"/>
      <c r="I1" s="373"/>
      <c r="J1" s="315"/>
    </row>
    <row r="2" spans="1:10" ht="12" customHeight="1" x14ac:dyDescent="0.3">
      <c r="A2" s="374" t="s">
        <v>592</v>
      </c>
      <c r="B2" s="340"/>
      <c r="C2" s="340"/>
      <c r="D2" s="340"/>
      <c r="E2" s="340"/>
      <c r="F2" s="340"/>
      <c r="G2" s="340"/>
      <c r="H2" s="315"/>
      <c r="I2" s="373"/>
      <c r="J2" s="315"/>
    </row>
    <row r="3" spans="1:10" ht="12" customHeight="1" x14ac:dyDescent="0.3">
      <c r="A3" s="375" t="s">
        <v>391</v>
      </c>
      <c r="B3" s="340"/>
      <c r="C3" s="340"/>
      <c r="D3" s="316"/>
      <c r="E3" s="316"/>
      <c r="F3" s="316"/>
      <c r="G3" s="316"/>
      <c r="H3" s="318"/>
      <c r="I3" s="341"/>
      <c r="J3" s="318"/>
    </row>
    <row r="4" spans="1:10" ht="6" customHeight="1" x14ac:dyDescent="0.3">
      <c r="A4" s="619"/>
      <c r="B4" s="340"/>
      <c r="C4" s="340"/>
      <c r="D4" s="316"/>
      <c r="E4" s="316"/>
      <c r="F4" s="316"/>
      <c r="G4" s="316"/>
      <c r="H4" s="318"/>
      <c r="I4" s="341"/>
      <c r="J4" s="318"/>
    </row>
    <row r="5" spans="1:10" ht="13.5" customHeight="1" x14ac:dyDescent="0.3">
      <c r="A5" s="741" t="s">
        <v>0</v>
      </c>
      <c r="B5" s="743" t="s">
        <v>418</v>
      </c>
      <c r="C5" s="744"/>
      <c r="D5" s="745"/>
      <c r="E5" s="743" t="s">
        <v>419</v>
      </c>
      <c r="F5" s="744"/>
      <c r="G5" s="745"/>
      <c r="H5" s="743" t="s">
        <v>420</v>
      </c>
      <c r="I5" s="744"/>
      <c r="J5" s="745"/>
    </row>
    <row r="6" spans="1:10" ht="13.5" customHeight="1" x14ac:dyDescent="0.3">
      <c r="A6" s="742"/>
      <c r="B6" s="319">
        <v>2024</v>
      </c>
      <c r="C6" s="319">
        <v>2025</v>
      </c>
      <c r="D6" s="319" t="s">
        <v>1</v>
      </c>
      <c r="E6" s="319">
        <v>2024</v>
      </c>
      <c r="F6" s="319">
        <v>2025</v>
      </c>
      <c r="G6" s="319" t="s">
        <v>1</v>
      </c>
      <c r="H6" s="319">
        <v>2024</v>
      </c>
      <c r="I6" s="319">
        <v>2025</v>
      </c>
      <c r="J6" s="319" t="s">
        <v>1</v>
      </c>
    </row>
    <row r="7" spans="1:10" ht="3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ht="11.1" customHeight="1" x14ac:dyDescent="0.3">
      <c r="A8" s="410" t="s">
        <v>473</v>
      </c>
      <c r="B8" s="395">
        <f>AVERAGE(B9:B9)</f>
        <v>2070</v>
      </c>
      <c r="C8" s="650">
        <f>AVERAGE(C9:C9)</f>
        <v>1950</v>
      </c>
      <c r="D8" s="349">
        <f t="shared" ref="D8:D45" si="0">((C8/B8) -   1)*100</f>
        <v>-5.7971014492753659</v>
      </c>
      <c r="E8" s="468" t="s">
        <v>410</v>
      </c>
      <c r="F8" s="468" t="s">
        <v>410</v>
      </c>
      <c r="G8" s="536" t="s">
        <v>3</v>
      </c>
      <c r="H8" s="468" t="s">
        <v>410</v>
      </c>
      <c r="I8" s="468" t="s">
        <v>410</v>
      </c>
      <c r="J8" s="392" t="s">
        <v>413</v>
      </c>
    </row>
    <row r="9" spans="1:10" ht="11.1" customHeight="1" x14ac:dyDescent="0.3">
      <c r="A9" s="515" t="s">
        <v>476</v>
      </c>
      <c r="B9" s="396">
        <v>2070</v>
      </c>
      <c r="C9" s="649">
        <v>1950</v>
      </c>
      <c r="D9" s="351">
        <v>-5.7971014492753659</v>
      </c>
      <c r="E9" s="394" t="s">
        <v>410</v>
      </c>
      <c r="F9" s="394" t="s">
        <v>410</v>
      </c>
      <c r="G9" s="518" t="s">
        <v>3</v>
      </c>
      <c r="H9" s="397" t="s">
        <v>410</v>
      </c>
      <c r="I9" s="397" t="s">
        <v>410</v>
      </c>
      <c r="J9" s="393" t="s">
        <v>413</v>
      </c>
    </row>
    <row r="10" spans="1:10" ht="11.1" customHeight="1" x14ac:dyDescent="0.3">
      <c r="A10" s="370" t="s">
        <v>426</v>
      </c>
      <c r="B10" s="360" t="s">
        <v>410</v>
      </c>
      <c r="C10" s="650">
        <f>AVERAGE(C11:C19)</f>
        <v>2376.6666666666665</v>
      </c>
      <c r="D10" s="333" t="s">
        <v>396</v>
      </c>
      <c r="E10" s="360" t="s">
        <v>410</v>
      </c>
      <c r="F10" s="654">
        <f>AVERAGE(F11:F19)</f>
        <v>2442</v>
      </c>
      <c r="G10" s="333" t="s">
        <v>396</v>
      </c>
      <c r="H10" s="360" t="s">
        <v>410</v>
      </c>
      <c r="I10" s="655">
        <f>AVERAGE(I11:I19)</f>
        <v>1876.2</v>
      </c>
      <c r="J10" s="392" t="s">
        <v>413</v>
      </c>
    </row>
    <row r="11" spans="1:10" ht="11.1" customHeight="1" x14ac:dyDescent="0.3">
      <c r="A11" s="326" t="s">
        <v>427</v>
      </c>
      <c r="B11" s="359" t="s">
        <v>410</v>
      </c>
      <c r="C11" s="651">
        <v>2300</v>
      </c>
      <c r="D11" s="329" t="s">
        <v>396</v>
      </c>
      <c r="E11" s="359" t="s">
        <v>410</v>
      </c>
      <c r="F11" s="653">
        <v>2260</v>
      </c>
      <c r="G11" s="329" t="s">
        <v>396</v>
      </c>
      <c r="H11" s="359" t="s">
        <v>410</v>
      </c>
      <c r="I11" s="359" t="s">
        <v>410</v>
      </c>
      <c r="J11" s="393" t="s">
        <v>413</v>
      </c>
    </row>
    <row r="12" spans="1:10" ht="11.1" customHeight="1" x14ac:dyDescent="0.3">
      <c r="A12" s="326" t="s">
        <v>509</v>
      </c>
      <c r="B12" s="394" t="s">
        <v>410</v>
      </c>
      <c r="C12" s="649">
        <v>2240</v>
      </c>
      <c r="D12" s="518" t="s">
        <v>3</v>
      </c>
      <c r="E12" s="394" t="s">
        <v>410</v>
      </c>
      <c r="F12" s="394" t="s">
        <v>410</v>
      </c>
      <c r="G12" s="518" t="s">
        <v>3</v>
      </c>
      <c r="H12" s="397" t="s">
        <v>410</v>
      </c>
      <c r="I12" s="397" t="s">
        <v>410</v>
      </c>
      <c r="J12" s="393" t="s">
        <v>413</v>
      </c>
    </row>
    <row r="13" spans="1:10" ht="11.1" customHeight="1" x14ac:dyDescent="0.3">
      <c r="A13" s="326" t="s">
        <v>584</v>
      </c>
      <c r="B13" s="394" t="s">
        <v>410</v>
      </c>
      <c r="C13" s="649">
        <v>1910</v>
      </c>
      <c r="D13" s="518" t="s">
        <v>3</v>
      </c>
      <c r="E13" s="394" t="s">
        <v>410</v>
      </c>
      <c r="F13" s="652">
        <v>1896</v>
      </c>
      <c r="G13" s="518" t="s">
        <v>3</v>
      </c>
      <c r="H13" s="397" t="s">
        <v>410</v>
      </c>
      <c r="I13" s="396">
        <v>1068</v>
      </c>
      <c r="J13" s="393" t="s">
        <v>413</v>
      </c>
    </row>
    <row r="14" spans="1:10" ht="11.1" customHeight="1" x14ac:dyDescent="0.3">
      <c r="A14" s="371" t="s">
        <v>428</v>
      </c>
      <c r="B14" s="359" t="s">
        <v>410</v>
      </c>
      <c r="C14" s="651">
        <v>2100</v>
      </c>
      <c r="D14" s="372" t="s">
        <v>3</v>
      </c>
      <c r="E14" s="359" t="s">
        <v>410</v>
      </c>
      <c r="F14" s="653">
        <v>2100</v>
      </c>
      <c r="G14" s="329" t="s">
        <v>396</v>
      </c>
      <c r="H14" s="359" t="s">
        <v>410</v>
      </c>
      <c r="I14" s="163">
        <v>1933</v>
      </c>
      <c r="J14" s="393" t="s">
        <v>413</v>
      </c>
    </row>
    <row r="15" spans="1:10" ht="11.1" customHeight="1" x14ac:dyDescent="0.3">
      <c r="A15" s="371" t="s">
        <v>507</v>
      </c>
      <c r="B15" s="394" t="s">
        <v>410</v>
      </c>
      <c r="C15" s="649">
        <v>2600</v>
      </c>
      <c r="D15" s="518" t="s">
        <v>3</v>
      </c>
      <c r="E15" s="394" t="s">
        <v>410</v>
      </c>
      <c r="F15" s="652">
        <v>2800</v>
      </c>
      <c r="G15" s="518" t="s">
        <v>3</v>
      </c>
      <c r="H15" s="397" t="s">
        <v>410</v>
      </c>
      <c r="I15" s="396">
        <v>2800</v>
      </c>
      <c r="J15" s="393" t="s">
        <v>413</v>
      </c>
    </row>
    <row r="16" spans="1:10" ht="11.1" customHeight="1" x14ac:dyDescent="0.3">
      <c r="A16" s="326" t="s">
        <v>429</v>
      </c>
      <c r="B16" s="359" t="s">
        <v>410</v>
      </c>
      <c r="C16" s="651">
        <v>2500</v>
      </c>
      <c r="D16" s="329" t="s">
        <v>396</v>
      </c>
      <c r="E16" s="359" t="s">
        <v>410</v>
      </c>
      <c r="F16" s="653">
        <v>2700</v>
      </c>
      <c r="G16" s="329" t="s">
        <v>396</v>
      </c>
      <c r="H16" s="359" t="s">
        <v>410</v>
      </c>
      <c r="I16" s="359" t="s">
        <v>410</v>
      </c>
      <c r="J16" s="393" t="s">
        <v>413</v>
      </c>
    </row>
    <row r="17" spans="1:10" ht="11.1" customHeight="1" x14ac:dyDescent="0.3">
      <c r="A17" s="326" t="s">
        <v>585</v>
      </c>
      <c r="B17" s="394" t="s">
        <v>410</v>
      </c>
      <c r="C17" s="649">
        <v>3380</v>
      </c>
      <c r="D17" s="518" t="s">
        <v>3</v>
      </c>
      <c r="E17" s="394" t="s">
        <v>410</v>
      </c>
      <c r="F17" s="652">
        <v>3130</v>
      </c>
      <c r="G17" s="518" t="s">
        <v>3</v>
      </c>
      <c r="H17" s="397" t="s">
        <v>410</v>
      </c>
      <c r="I17" s="396">
        <v>1380</v>
      </c>
      <c r="J17" s="393" t="s">
        <v>413</v>
      </c>
    </row>
    <row r="18" spans="1:10" ht="11.1" customHeight="1" x14ac:dyDescent="0.3">
      <c r="A18" s="326" t="s">
        <v>586</v>
      </c>
      <c r="B18" s="394" t="s">
        <v>410</v>
      </c>
      <c r="C18" s="649">
        <v>2260</v>
      </c>
      <c r="D18" s="518" t="s">
        <v>3</v>
      </c>
      <c r="E18" s="394" t="s">
        <v>410</v>
      </c>
      <c r="F18" s="652">
        <v>2550</v>
      </c>
      <c r="G18" s="518" t="s">
        <v>3</v>
      </c>
      <c r="H18" s="397" t="s">
        <v>410</v>
      </c>
      <c r="I18" s="397" t="s">
        <v>410</v>
      </c>
      <c r="J18" s="393" t="s">
        <v>413</v>
      </c>
    </row>
    <row r="19" spans="1:10" ht="11.1" customHeight="1" x14ac:dyDescent="0.3">
      <c r="A19" s="326" t="s">
        <v>449</v>
      </c>
      <c r="B19" s="359" t="s">
        <v>410</v>
      </c>
      <c r="C19" s="651">
        <v>2100</v>
      </c>
      <c r="D19" s="368" t="s">
        <v>3</v>
      </c>
      <c r="E19" s="359" t="s">
        <v>410</v>
      </c>
      <c r="F19" s="653">
        <v>2100</v>
      </c>
      <c r="G19" s="329" t="s">
        <v>396</v>
      </c>
      <c r="H19" s="359" t="s">
        <v>410</v>
      </c>
      <c r="I19" s="163">
        <v>2200</v>
      </c>
      <c r="J19" s="393" t="s">
        <v>413</v>
      </c>
    </row>
    <row r="20" spans="1:10" ht="11.1" customHeight="1" x14ac:dyDescent="0.3">
      <c r="A20" s="410" t="s">
        <v>482</v>
      </c>
      <c r="B20" s="360" t="s">
        <v>410</v>
      </c>
      <c r="C20" s="648">
        <f>AVERAGE(C21:C25)</f>
        <v>3057.5499999999997</v>
      </c>
      <c r="D20" s="333" t="s">
        <v>396</v>
      </c>
      <c r="E20" s="360" t="s">
        <v>410</v>
      </c>
      <c r="F20" s="654">
        <f>AVERAGE(F21:F25)</f>
        <v>3270.25</v>
      </c>
      <c r="G20" s="333" t="s">
        <v>396</v>
      </c>
      <c r="H20" s="395">
        <f>AVERAGE(H21:H25)</f>
        <v>4300</v>
      </c>
      <c r="I20" s="656">
        <f>AVERAGE(I21:I25)</f>
        <v>4290</v>
      </c>
      <c r="J20" s="392">
        <f t="shared" ref="J20" si="1">((I20/H20) -   1)*100</f>
        <v>-0.23255813953488857</v>
      </c>
    </row>
    <row r="21" spans="1:10" ht="11.1" customHeight="1" x14ac:dyDescent="0.3">
      <c r="A21" s="515" t="s">
        <v>153</v>
      </c>
      <c r="B21" s="394" t="s">
        <v>410</v>
      </c>
      <c r="C21" s="396">
        <v>2513.4</v>
      </c>
      <c r="D21" s="518" t="s">
        <v>3</v>
      </c>
      <c r="E21" s="359" t="s">
        <v>410</v>
      </c>
      <c r="F21" s="653">
        <v>2983.4</v>
      </c>
      <c r="G21" s="329" t="s">
        <v>396</v>
      </c>
      <c r="H21" s="359" t="s">
        <v>410</v>
      </c>
      <c r="I21" s="163">
        <v>4400</v>
      </c>
      <c r="J21" s="393" t="s">
        <v>413</v>
      </c>
    </row>
    <row r="22" spans="1:10" ht="11.1" customHeight="1" x14ac:dyDescent="0.3">
      <c r="A22" s="515" t="s">
        <v>503</v>
      </c>
      <c r="B22" s="394" t="s">
        <v>410</v>
      </c>
      <c r="C22" s="359" t="s">
        <v>410</v>
      </c>
      <c r="D22" s="518" t="s">
        <v>3</v>
      </c>
      <c r="E22" s="359" t="s">
        <v>410</v>
      </c>
      <c r="F22" s="359" t="s">
        <v>410</v>
      </c>
      <c r="G22" s="329" t="s">
        <v>396</v>
      </c>
      <c r="H22" s="359" t="s">
        <v>410</v>
      </c>
      <c r="I22" s="397" t="s">
        <v>410</v>
      </c>
      <c r="J22" s="393" t="s">
        <v>413</v>
      </c>
    </row>
    <row r="23" spans="1:10" ht="11.1" customHeight="1" x14ac:dyDescent="0.3">
      <c r="A23" s="515" t="s">
        <v>505</v>
      </c>
      <c r="B23" s="394" t="s">
        <v>410</v>
      </c>
      <c r="C23" s="396">
        <v>3630</v>
      </c>
      <c r="D23" s="518" t="s">
        <v>3</v>
      </c>
      <c r="E23" s="359" t="s">
        <v>410</v>
      </c>
      <c r="F23" s="473">
        <v>3630</v>
      </c>
      <c r="G23" s="329" t="s">
        <v>396</v>
      </c>
      <c r="H23" s="397" t="s">
        <v>410</v>
      </c>
      <c r="I23" s="397" t="s">
        <v>410</v>
      </c>
      <c r="J23" s="398" t="s">
        <v>510</v>
      </c>
    </row>
    <row r="24" spans="1:10" ht="11.1" customHeight="1" x14ac:dyDescent="0.3">
      <c r="A24" s="515" t="s">
        <v>397</v>
      </c>
      <c r="B24" s="394" t="s">
        <v>410</v>
      </c>
      <c r="C24" s="396">
        <v>2773.4</v>
      </c>
      <c r="D24" s="518" t="s">
        <v>3</v>
      </c>
      <c r="E24" s="359" t="s">
        <v>410</v>
      </c>
      <c r="F24" s="473">
        <v>2897.6</v>
      </c>
      <c r="G24" s="329" t="s">
        <v>396</v>
      </c>
      <c r="H24" s="396">
        <v>4300</v>
      </c>
      <c r="I24" s="163">
        <v>4180</v>
      </c>
      <c r="J24" s="393">
        <f t="shared" ref="J24" si="2">((I24/H24) -   1)*100</f>
        <v>-2.7906976744186074</v>
      </c>
    </row>
    <row r="25" spans="1:10" ht="11.1" customHeight="1" x14ac:dyDescent="0.3">
      <c r="A25" s="515" t="s">
        <v>159</v>
      </c>
      <c r="B25" s="397" t="s">
        <v>410</v>
      </c>
      <c r="C25" s="396">
        <v>3313.4</v>
      </c>
      <c r="D25" s="518" t="s">
        <v>3</v>
      </c>
      <c r="E25" s="359" t="s">
        <v>410</v>
      </c>
      <c r="F25" s="473">
        <v>3570</v>
      </c>
      <c r="G25" s="329" t="s">
        <v>396</v>
      </c>
      <c r="H25" s="397" t="s">
        <v>410</v>
      </c>
      <c r="I25" s="397" t="s">
        <v>410</v>
      </c>
      <c r="J25" s="398" t="s">
        <v>510</v>
      </c>
    </row>
    <row r="26" spans="1:10" ht="11.1" customHeight="1" x14ac:dyDescent="0.3">
      <c r="A26" s="379" t="s">
        <v>2</v>
      </c>
      <c r="B26" s="648">
        <f>AVERAGE(B27:B33)</f>
        <v>2112.9428571428571</v>
      </c>
      <c r="C26" s="648">
        <f>AVERAGE(C27:C33)</f>
        <v>2122.1666666666665</v>
      </c>
      <c r="D26" s="404">
        <f t="shared" si="0"/>
        <v>0.43653852221454681</v>
      </c>
      <c r="E26" s="395">
        <f>AVERAGE(E27:E33)</f>
        <v>2348.3333333333335</v>
      </c>
      <c r="F26" s="395">
        <f>AVERAGE(F27:F33)</f>
        <v>2094.8333333333335</v>
      </c>
      <c r="G26" s="404">
        <f t="shared" ref="G26" si="3">((F26/E26) -   1)*100</f>
        <v>-10.794889992902768</v>
      </c>
      <c r="H26" s="489" t="s">
        <v>410</v>
      </c>
      <c r="I26" s="489" t="s">
        <v>410</v>
      </c>
      <c r="J26" s="406" t="s">
        <v>510</v>
      </c>
    </row>
    <row r="27" spans="1:10" ht="11.1" customHeight="1" x14ac:dyDescent="0.3">
      <c r="A27" s="515" t="s">
        <v>5</v>
      </c>
      <c r="B27" s="396">
        <v>1910</v>
      </c>
      <c r="C27" s="396">
        <v>2060</v>
      </c>
      <c r="D27" s="405">
        <v>7.8534031413612482</v>
      </c>
      <c r="E27" s="396">
        <v>2040</v>
      </c>
      <c r="F27" s="396">
        <v>2100</v>
      </c>
      <c r="G27" s="405">
        <v>2.9411764705882248</v>
      </c>
      <c r="H27" s="477" t="s">
        <v>410</v>
      </c>
      <c r="I27" s="477" t="s">
        <v>410</v>
      </c>
      <c r="J27" s="398" t="s">
        <v>510</v>
      </c>
    </row>
    <row r="28" spans="1:10" ht="11.1" customHeight="1" x14ac:dyDescent="0.3">
      <c r="A28" s="515" t="s">
        <v>78</v>
      </c>
      <c r="B28" s="396">
        <v>1845</v>
      </c>
      <c r="C28" s="396">
        <v>1930</v>
      </c>
      <c r="D28" s="405">
        <v>4.6070460704606964</v>
      </c>
      <c r="E28" s="396">
        <v>2100</v>
      </c>
      <c r="F28" s="396">
        <v>1930</v>
      </c>
      <c r="G28" s="405">
        <v>-8.0952380952381002</v>
      </c>
      <c r="H28" s="477" t="s">
        <v>410</v>
      </c>
      <c r="I28" s="477" t="s">
        <v>410</v>
      </c>
      <c r="J28" s="398" t="s">
        <v>510</v>
      </c>
    </row>
    <row r="29" spans="1:10" ht="11.1" customHeight="1" x14ac:dyDescent="0.3">
      <c r="A29" s="515" t="s">
        <v>405</v>
      </c>
      <c r="B29" s="396">
        <v>2120</v>
      </c>
      <c r="C29" s="396">
        <v>2080</v>
      </c>
      <c r="D29" s="405">
        <v>-1.8867924528301883</v>
      </c>
      <c r="E29" s="396">
        <v>2100</v>
      </c>
      <c r="F29" s="396">
        <v>1980</v>
      </c>
      <c r="G29" s="405">
        <v>-5.7142857142857162</v>
      </c>
      <c r="H29" s="477" t="s">
        <v>410</v>
      </c>
      <c r="I29" s="477" t="s">
        <v>410</v>
      </c>
      <c r="J29" s="398" t="s">
        <v>510</v>
      </c>
    </row>
    <row r="30" spans="1:10" ht="11.1" customHeight="1" x14ac:dyDescent="0.3">
      <c r="A30" s="515" t="s">
        <v>508</v>
      </c>
      <c r="B30" s="396">
        <v>2155</v>
      </c>
      <c r="C30" s="359" t="s">
        <v>410</v>
      </c>
      <c r="D30" s="518" t="s">
        <v>3</v>
      </c>
      <c r="E30" s="396">
        <v>2870</v>
      </c>
      <c r="F30" s="359" t="s">
        <v>410</v>
      </c>
      <c r="G30" s="329" t="s">
        <v>396</v>
      </c>
      <c r="H30" s="477" t="s">
        <v>410</v>
      </c>
      <c r="I30" s="477" t="s">
        <v>410</v>
      </c>
      <c r="J30" s="398" t="s">
        <v>510</v>
      </c>
    </row>
    <row r="31" spans="1:10" ht="11.1" customHeight="1" x14ac:dyDescent="0.3">
      <c r="A31" s="515" t="s">
        <v>61</v>
      </c>
      <c r="B31" s="396">
        <v>2147.6</v>
      </c>
      <c r="C31" s="396">
        <v>2063</v>
      </c>
      <c r="D31" s="405">
        <v>-3.9392810579251258</v>
      </c>
      <c r="E31" s="396">
        <v>2380</v>
      </c>
      <c r="F31" s="396">
        <v>2029</v>
      </c>
      <c r="G31" s="405">
        <v>-14.747899159663868</v>
      </c>
      <c r="H31" s="477" t="s">
        <v>410</v>
      </c>
      <c r="I31" s="477" t="s">
        <v>410</v>
      </c>
      <c r="J31" s="398" t="s">
        <v>510</v>
      </c>
    </row>
    <row r="32" spans="1:10" ht="11.1" customHeight="1" x14ac:dyDescent="0.3">
      <c r="A32" s="515" t="s">
        <v>587</v>
      </c>
      <c r="B32" s="396">
        <v>2800</v>
      </c>
      <c r="C32" s="396">
        <v>2700</v>
      </c>
      <c r="D32" s="405">
        <v>-3.5714285714285698</v>
      </c>
      <c r="E32" s="396">
        <v>2600</v>
      </c>
      <c r="F32" s="396">
        <v>2600</v>
      </c>
      <c r="G32" s="405">
        <v>0</v>
      </c>
      <c r="H32" s="477" t="s">
        <v>410</v>
      </c>
      <c r="I32" s="477" t="s">
        <v>410</v>
      </c>
      <c r="J32" s="398" t="s">
        <v>510</v>
      </c>
    </row>
    <row r="33" spans="1:10" ht="11.1" customHeight="1" x14ac:dyDescent="0.3">
      <c r="A33" s="515" t="s">
        <v>188</v>
      </c>
      <c r="B33" s="396">
        <v>1813</v>
      </c>
      <c r="C33" s="396">
        <v>1900</v>
      </c>
      <c r="D33" s="405">
        <v>4.7986762272476557</v>
      </c>
      <c r="E33" s="359" t="s">
        <v>410</v>
      </c>
      <c r="F33" s="396">
        <v>1930</v>
      </c>
      <c r="G33" s="329" t="s">
        <v>396</v>
      </c>
      <c r="H33" s="477" t="s">
        <v>410</v>
      </c>
      <c r="I33" s="477" t="s">
        <v>410</v>
      </c>
      <c r="J33" s="398" t="s">
        <v>510</v>
      </c>
    </row>
    <row r="34" spans="1:10" ht="11.1" customHeight="1" x14ac:dyDescent="0.3">
      <c r="A34" s="379" t="s">
        <v>6</v>
      </c>
      <c r="B34" s="395">
        <f>AVERAGE(B35:B44)</f>
        <v>3155.9</v>
      </c>
      <c r="C34" s="395">
        <f>AVERAGE(C35:C44)</f>
        <v>2853.0571428571429</v>
      </c>
      <c r="D34" s="404">
        <f t="shared" si="0"/>
        <v>-9.5960853367615293</v>
      </c>
      <c r="E34" s="395">
        <f>AVERAGE(E35:E44)</f>
        <v>3015.6749999999997</v>
      </c>
      <c r="F34" s="395">
        <f>AVERAGE(F35:F44)</f>
        <v>2513</v>
      </c>
      <c r="G34" s="404">
        <f>((F34/E34) -   1)*100</f>
        <v>-16.668739171163992</v>
      </c>
      <c r="H34" s="489" t="s">
        <v>410</v>
      </c>
      <c r="I34" s="402" t="s">
        <v>410</v>
      </c>
      <c r="J34" s="406" t="s">
        <v>510</v>
      </c>
    </row>
    <row r="35" spans="1:10" ht="11.1" customHeight="1" x14ac:dyDescent="0.3">
      <c r="A35" s="515" t="s">
        <v>7</v>
      </c>
      <c r="B35" s="396">
        <v>2470</v>
      </c>
      <c r="C35" s="359" t="s">
        <v>410</v>
      </c>
      <c r="D35" s="518" t="s">
        <v>3</v>
      </c>
      <c r="E35" s="396">
        <v>2485</v>
      </c>
      <c r="F35" s="359" t="s">
        <v>410</v>
      </c>
      <c r="G35" s="405" t="s">
        <v>3</v>
      </c>
      <c r="H35" s="397" t="s">
        <v>410</v>
      </c>
      <c r="I35" s="397" t="s">
        <v>410</v>
      </c>
      <c r="J35" s="398" t="s">
        <v>510</v>
      </c>
    </row>
    <row r="36" spans="1:10" ht="11.1" customHeight="1" x14ac:dyDescent="0.3">
      <c r="A36" s="515" t="s">
        <v>8</v>
      </c>
      <c r="B36" s="396">
        <v>2173</v>
      </c>
      <c r="C36" s="396">
        <v>2186</v>
      </c>
      <c r="D36" s="405">
        <v>0.59825126553152419</v>
      </c>
      <c r="E36" s="396">
        <v>2500</v>
      </c>
      <c r="F36" s="396">
        <v>2213.4</v>
      </c>
      <c r="G36" s="405">
        <v>-11.463999999999997</v>
      </c>
      <c r="H36" s="397" t="s">
        <v>410</v>
      </c>
      <c r="I36" s="397" t="s">
        <v>410</v>
      </c>
      <c r="J36" s="398" t="s">
        <v>510</v>
      </c>
    </row>
    <row r="37" spans="1:10" ht="11.1" customHeight="1" x14ac:dyDescent="0.3">
      <c r="A37" s="515" t="s">
        <v>9</v>
      </c>
      <c r="B37" s="396">
        <v>2173</v>
      </c>
      <c r="C37" s="396">
        <v>2213.4</v>
      </c>
      <c r="D37" s="405">
        <v>1.859180855959508</v>
      </c>
      <c r="E37" s="396">
        <v>2266.6</v>
      </c>
      <c r="F37" s="359" t="s">
        <v>410</v>
      </c>
      <c r="G37" s="405" t="s">
        <v>3</v>
      </c>
      <c r="H37" s="397" t="s">
        <v>410</v>
      </c>
      <c r="I37" s="397" t="s">
        <v>410</v>
      </c>
      <c r="J37" s="398" t="s">
        <v>510</v>
      </c>
    </row>
    <row r="38" spans="1:10" ht="11.1" customHeight="1" x14ac:dyDescent="0.3">
      <c r="A38" s="515" t="s">
        <v>10</v>
      </c>
      <c r="B38" s="396">
        <v>2360</v>
      </c>
      <c r="C38" s="396">
        <v>2000</v>
      </c>
      <c r="D38" s="405">
        <v>-15.254237288135597</v>
      </c>
      <c r="E38" s="396">
        <v>2474.1999999999998</v>
      </c>
      <c r="F38" s="396">
        <v>2400</v>
      </c>
      <c r="G38" s="405">
        <v>-2.9989491552825043</v>
      </c>
      <c r="H38" s="397" t="s">
        <v>410</v>
      </c>
      <c r="I38" s="397" t="s">
        <v>410</v>
      </c>
      <c r="J38" s="398" t="s">
        <v>510</v>
      </c>
    </row>
    <row r="39" spans="1:10" ht="11.1" customHeight="1" x14ac:dyDescent="0.3">
      <c r="A39" s="515" t="s">
        <v>11</v>
      </c>
      <c r="B39" s="396">
        <v>2690</v>
      </c>
      <c r="C39" s="396">
        <v>2866</v>
      </c>
      <c r="D39" s="405">
        <v>6.5427509293680242</v>
      </c>
      <c r="E39" s="396">
        <v>3493</v>
      </c>
      <c r="F39" s="396">
        <v>2932</v>
      </c>
      <c r="G39" s="405">
        <v>-16.060692814199829</v>
      </c>
      <c r="H39" s="397" t="s">
        <v>410</v>
      </c>
      <c r="I39" s="397" t="s">
        <v>410</v>
      </c>
      <c r="J39" s="398" t="s">
        <v>510</v>
      </c>
    </row>
    <row r="40" spans="1:10" ht="11.1" customHeight="1" x14ac:dyDescent="0.3">
      <c r="A40" s="515" t="s">
        <v>12</v>
      </c>
      <c r="B40" s="396">
        <v>5150</v>
      </c>
      <c r="C40" s="359" t="s">
        <v>410</v>
      </c>
      <c r="D40" s="518" t="s">
        <v>3</v>
      </c>
      <c r="E40" s="396">
        <v>4800</v>
      </c>
      <c r="F40" s="467" t="s">
        <v>410</v>
      </c>
      <c r="G40" s="518" t="s">
        <v>3</v>
      </c>
      <c r="H40" s="397" t="s">
        <v>410</v>
      </c>
      <c r="I40" s="477" t="s">
        <v>410</v>
      </c>
      <c r="J40" s="398" t="s">
        <v>510</v>
      </c>
    </row>
    <row r="41" spans="1:10" ht="11.1" customHeight="1" x14ac:dyDescent="0.3">
      <c r="A41" s="515" t="s">
        <v>13</v>
      </c>
      <c r="B41" s="396">
        <v>5550</v>
      </c>
      <c r="C41" s="396">
        <v>5000</v>
      </c>
      <c r="D41" s="405">
        <v>-9.9099099099099082</v>
      </c>
      <c r="E41" s="396">
        <v>3600</v>
      </c>
      <c r="F41" s="467" t="s">
        <v>410</v>
      </c>
      <c r="G41" s="518" t="s">
        <v>3</v>
      </c>
      <c r="H41" s="397" t="s">
        <v>410</v>
      </c>
      <c r="I41" s="477" t="s">
        <v>410</v>
      </c>
      <c r="J41" s="398" t="s">
        <v>510</v>
      </c>
    </row>
    <row r="42" spans="1:10" ht="11.1" customHeight="1" x14ac:dyDescent="0.3">
      <c r="A42" s="515" t="s">
        <v>79</v>
      </c>
      <c r="B42" s="396">
        <v>3400</v>
      </c>
      <c r="C42" s="359" t="s">
        <v>410</v>
      </c>
      <c r="D42" s="518" t="s">
        <v>3</v>
      </c>
      <c r="E42" s="540" t="s">
        <v>410</v>
      </c>
      <c r="F42" s="540" t="s">
        <v>410</v>
      </c>
      <c r="G42" s="518" t="s">
        <v>3</v>
      </c>
      <c r="H42" s="397" t="s">
        <v>410</v>
      </c>
      <c r="I42" s="477" t="s">
        <v>410</v>
      </c>
      <c r="J42" s="398" t="s">
        <v>510</v>
      </c>
    </row>
    <row r="43" spans="1:10" ht="11.1" customHeight="1" x14ac:dyDescent="0.3">
      <c r="A43" s="515" t="s">
        <v>398</v>
      </c>
      <c r="B43" s="396">
        <v>2593</v>
      </c>
      <c r="C43" s="396">
        <v>2506</v>
      </c>
      <c r="D43" s="405">
        <v>-3.3551870420362562</v>
      </c>
      <c r="E43" s="396">
        <v>2506.6</v>
      </c>
      <c r="F43" s="396">
        <v>2506.6</v>
      </c>
      <c r="G43" s="405">
        <v>0</v>
      </c>
      <c r="H43" s="397" t="s">
        <v>410</v>
      </c>
      <c r="I43" s="477" t="s">
        <v>410</v>
      </c>
      <c r="J43" s="398" t="s">
        <v>510</v>
      </c>
    </row>
    <row r="44" spans="1:10" ht="11.1" customHeight="1" x14ac:dyDescent="0.3">
      <c r="A44" s="515" t="s">
        <v>14</v>
      </c>
      <c r="B44" s="396">
        <v>3000</v>
      </c>
      <c r="C44" s="396">
        <v>3200</v>
      </c>
      <c r="D44" s="405">
        <v>6.6666666666666652</v>
      </c>
      <c r="E44" s="540" t="s">
        <v>410</v>
      </c>
      <c r="F44" s="540" t="s">
        <v>410</v>
      </c>
      <c r="G44" s="518" t="s">
        <v>3</v>
      </c>
      <c r="H44" s="397" t="s">
        <v>410</v>
      </c>
      <c r="I44" s="477" t="s">
        <v>410</v>
      </c>
      <c r="J44" s="398" t="s">
        <v>510</v>
      </c>
    </row>
    <row r="45" spans="1:10" ht="11.1" customHeight="1" x14ac:dyDescent="0.3">
      <c r="A45" s="381" t="s">
        <v>15</v>
      </c>
      <c r="B45" s="395">
        <f>AVERAGE(B46:B48)</f>
        <v>2571.6</v>
      </c>
      <c r="C45" s="395">
        <f>AVERAGE(C46:C48)</f>
        <v>2766.6666666666665</v>
      </c>
      <c r="D45" s="404">
        <f t="shared" si="0"/>
        <v>7.5854202312438446</v>
      </c>
      <c r="E45" s="395">
        <f>AVERAGE(E46:E48)</f>
        <v>2808</v>
      </c>
      <c r="F45" s="395">
        <f>AVERAGE(F46:F48)</f>
        <v>2100</v>
      </c>
      <c r="G45" s="404">
        <f>((F45/E45) -   1)*100</f>
        <v>-25.213675213675213</v>
      </c>
      <c r="H45" s="402" t="s">
        <v>410</v>
      </c>
      <c r="I45" s="489" t="s">
        <v>410</v>
      </c>
      <c r="J45" s="559" t="s">
        <v>413</v>
      </c>
    </row>
    <row r="46" spans="1:10" ht="11.1" customHeight="1" x14ac:dyDescent="0.3">
      <c r="A46" s="515" t="s">
        <v>189</v>
      </c>
      <c r="B46" s="396">
        <v>2571.6</v>
      </c>
      <c r="C46" s="396">
        <v>2800</v>
      </c>
      <c r="D46" s="405">
        <f>((C46/B46) -   1)*100</f>
        <v>8.8816301135479883</v>
      </c>
      <c r="E46" s="396">
        <v>2808</v>
      </c>
      <c r="F46" s="396">
        <v>2500</v>
      </c>
      <c r="G46" s="407">
        <f>((F46/E46) -   1)*100</f>
        <v>-10.96866096866097</v>
      </c>
      <c r="H46" s="397" t="s">
        <v>410</v>
      </c>
      <c r="I46" s="477" t="s">
        <v>410</v>
      </c>
      <c r="J46" s="542" t="s">
        <v>413</v>
      </c>
    </row>
    <row r="47" spans="1:10" ht="11.1" customHeight="1" x14ac:dyDescent="0.3">
      <c r="A47" s="515" t="s">
        <v>70</v>
      </c>
      <c r="B47" s="467" t="s">
        <v>410</v>
      </c>
      <c r="C47" s="396">
        <v>2200</v>
      </c>
      <c r="D47" s="518" t="s">
        <v>3</v>
      </c>
      <c r="E47" s="540" t="s">
        <v>410</v>
      </c>
      <c r="F47" s="396">
        <v>1700</v>
      </c>
      <c r="G47" s="518" t="s">
        <v>3</v>
      </c>
      <c r="H47" s="397" t="s">
        <v>410</v>
      </c>
      <c r="I47" s="477" t="s">
        <v>410</v>
      </c>
      <c r="J47" s="542" t="s">
        <v>413</v>
      </c>
    </row>
    <row r="48" spans="1:10" ht="11.1" customHeight="1" x14ac:dyDescent="0.3">
      <c r="A48" s="515" t="s">
        <v>69</v>
      </c>
      <c r="B48" s="467" t="s">
        <v>410</v>
      </c>
      <c r="C48" s="396">
        <v>3300</v>
      </c>
      <c r="D48" s="518" t="s">
        <v>3</v>
      </c>
      <c r="E48" s="540" t="s">
        <v>410</v>
      </c>
      <c r="F48" s="540" t="s">
        <v>410</v>
      </c>
      <c r="G48" s="518" t="s">
        <v>3</v>
      </c>
      <c r="H48" s="397" t="s">
        <v>410</v>
      </c>
      <c r="I48" s="477" t="s">
        <v>410</v>
      </c>
      <c r="J48" s="542" t="s">
        <v>413</v>
      </c>
    </row>
    <row r="49" spans="1:10" ht="11.1" customHeight="1" x14ac:dyDescent="0.3">
      <c r="A49" s="401" t="s">
        <v>16</v>
      </c>
      <c r="B49" s="395">
        <f>AVERAGE(B50:B53)</f>
        <v>2606.25</v>
      </c>
      <c r="C49" s="395">
        <f>AVERAGE(C50:C53)</f>
        <v>2555</v>
      </c>
      <c r="D49" s="404">
        <f t="shared" ref="D49:D62" si="4">((C49/B49) -   1)*100</f>
        <v>-1.9664268585131928</v>
      </c>
      <c r="E49" s="395">
        <f>AVERAGE(E50:E53)</f>
        <v>2547.9499999999998</v>
      </c>
      <c r="F49" s="395">
        <f>AVERAGE(F50:F53)</f>
        <v>2572.0749999999998</v>
      </c>
      <c r="G49" s="404">
        <f t="shared" ref="G49:G59" si="5">((F49/E49 -   1)*100)</f>
        <v>0.94683961616202073</v>
      </c>
      <c r="H49" s="402" t="s">
        <v>410</v>
      </c>
      <c r="I49" s="402" t="s">
        <v>410</v>
      </c>
      <c r="J49" s="392" t="s">
        <v>413</v>
      </c>
    </row>
    <row r="50" spans="1:10" ht="11.1" customHeight="1" x14ac:dyDescent="0.3">
      <c r="A50" s="515" t="s">
        <v>494</v>
      </c>
      <c r="B50" s="396">
        <v>2466.6</v>
      </c>
      <c r="C50" s="396">
        <v>2200</v>
      </c>
      <c r="D50" s="405">
        <f t="shared" si="4"/>
        <v>-10.808400227033154</v>
      </c>
      <c r="E50" s="396">
        <v>2333.4</v>
      </c>
      <c r="F50" s="396">
        <v>2300</v>
      </c>
      <c r="G50" s="405">
        <f t="shared" ref="G50" si="6">((F50/E50) -   1)*100</f>
        <v>-1.431387674637874</v>
      </c>
      <c r="H50" s="397" t="s">
        <v>410</v>
      </c>
      <c r="I50" s="477" t="s">
        <v>410</v>
      </c>
      <c r="J50" s="398" t="s">
        <v>510</v>
      </c>
    </row>
    <row r="51" spans="1:10" ht="11.1" customHeight="1" x14ac:dyDescent="0.3">
      <c r="A51" s="515" t="s">
        <v>472</v>
      </c>
      <c r="B51" s="396">
        <v>2333.4</v>
      </c>
      <c r="C51" s="396">
        <v>3060</v>
      </c>
      <c r="D51" s="405">
        <f t="shared" si="4"/>
        <v>31.139110311133965</v>
      </c>
      <c r="E51" s="396">
        <v>2333.4</v>
      </c>
      <c r="F51" s="396">
        <v>3255</v>
      </c>
      <c r="G51" s="407">
        <f t="shared" si="5"/>
        <v>39.496014399588589</v>
      </c>
      <c r="H51" s="397" t="s">
        <v>410</v>
      </c>
      <c r="I51" s="477" t="s">
        <v>410</v>
      </c>
      <c r="J51" s="398" t="s">
        <v>510</v>
      </c>
    </row>
    <row r="52" spans="1:10" ht="11.1" customHeight="1" x14ac:dyDescent="0.3">
      <c r="A52" s="515" t="s">
        <v>479</v>
      </c>
      <c r="B52" s="396">
        <v>2750</v>
      </c>
      <c r="C52" s="396">
        <v>2500</v>
      </c>
      <c r="D52" s="405">
        <f t="shared" si="4"/>
        <v>-9.0909090909090935</v>
      </c>
      <c r="E52" s="396">
        <v>2650</v>
      </c>
      <c r="F52" s="396">
        <v>2400</v>
      </c>
      <c r="G52" s="405">
        <f t="shared" ref="G52" si="7">((F52/E52) -   1)*100</f>
        <v>-9.4339622641509422</v>
      </c>
      <c r="H52" s="397" t="s">
        <v>410</v>
      </c>
      <c r="I52" s="477" t="s">
        <v>410</v>
      </c>
      <c r="J52" s="398" t="s">
        <v>510</v>
      </c>
    </row>
    <row r="53" spans="1:10" ht="11.1" customHeight="1" x14ac:dyDescent="0.3">
      <c r="A53" s="515" t="s">
        <v>17</v>
      </c>
      <c r="B53" s="396">
        <v>2875</v>
      </c>
      <c r="C53" s="396">
        <v>2460</v>
      </c>
      <c r="D53" s="405">
        <f t="shared" si="4"/>
        <v>-14.434782608695651</v>
      </c>
      <c r="E53" s="396">
        <v>2875</v>
      </c>
      <c r="F53" s="396">
        <v>2333.3000000000002</v>
      </c>
      <c r="G53" s="407">
        <f t="shared" si="5"/>
        <v>-18.841739130434775</v>
      </c>
      <c r="H53" s="397" t="s">
        <v>410</v>
      </c>
      <c r="I53" s="477" t="s">
        <v>410</v>
      </c>
      <c r="J53" s="398" t="s">
        <v>510</v>
      </c>
    </row>
    <row r="54" spans="1:10" ht="11.1" customHeight="1" x14ac:dyDescent="0.3">
      <c r="A54" s="401" t="s">
        <v>18</v>
      </c>
      <c r="B54" s="395">
        <f>AVERAGE(B55:B62)</f>
        <v>2633.75</v>
      </c>
      <c r="C54" s="395">
        <f>AVERAGE(C55:C62)</f>
        <v>2412.125</v>
      </c>
      <c r="D54" s="404">
        <f t="shared" si="4"/>
        <v>-8.4148077835785493</v>
      </c>
      <c r="E54" s="395">
        <f>AVERAGE(E55:E62)</f>
        <v>2481</v>
      </c>
      <c r="F54" s="395">
        <f>AVERAGE(F55:F62)</f>
        <v>2305.08</v>
      </c>
      <c r="G54" s="404">
        <f t="shared" si="5"/>
        <v>-7.0906892382104019</v>
      </c>
      <c r="H54" s="402" t="s">
        <v>410</v>
      </c>
      <c r="I54" s="402" t="s">
        <v>410</v>
      </c>
      <c r="J54" s="559" t="s">
        <v>413</v>
      </c>
    </row>
    <row r="55" spans="1:10" ht="11.1" customHeight="1" x14ac:dyDescent="0.3">
      <c r="A55" s="515" t="s">
        <v>19</v>
      </c>
      <c r="B55" s="396">
        <v>2200</v>
      </c>
      <c r="C55" s="396">
        <v>2466</v>
      </c>
      <c r="D55" s="405">
        <f t="shared" si="4"/>
        <v>12.090909090909086</v>
      </c>
      <c r="E55" s="396">
        <v>2300</v>
      </c>
      <c r="F55" s="396">
        <v>2266</v>
      </c>
      <c r="G55" s="407">
        <f t="shared" si="5"/>
        <v>-1.4782608695652177</v>
      </c>
      <c r="H55" s="397" t="s">
        <v>410</v>
      </c>
      <c r="I55" s="477" t="s">
        <v>410</v>
      </c>
      <c r="J55" s="542" t="s">
        <v>413</v>
      </c>
    </row>
    <row r="56" spans="1:10" ht="11.1" customHeight="1" x14ac:dyDescent="0.3">
      <c r="A56" s="515" t="s">
        <v>406</v>
      </c>
      <c r="B56" s="396">
        <v>3200</v>
      </c>
      <c r="C56" s="396">
        <v>2600</v>
      </c>
      <c r="D56" s="405">
        <f t="shared" si="4"/>
        <v>-18.75</v>
      </c>
      <c r="E56" s="396">
        <v>3400</v>
      </c>
      <c r="F56" s="396">
        <v>2700</v>
      </c>
      <c r="G56" s="407">
        <f t="shared" si="5"/>
        <v>-20.588235294117652</v>
      </c>
      <c r="H56" s="397" t="s">
        <v>410</v>
      </c>
      <c r="I56" s="397" t="s">
        <v>410</v>
      </c>
      <c r="J56" s="542" t="s">
        <v>413</v>
      </c>
    </row>
    <row r="57" spans="1:10" ht="11.1" customHeight="1" x14ac:dyDescent="0.3">
      <c r="A57" s="515" t="s">
        <v>80</v>
      </c>
      <c r="B57" s="396">
        <v>2500</v>
      </c>
      <c r="C57" s="396">
        <v>2332</v>
      </c>
      <c r="D57" s="405">
        <f t="shared" si="4"/>
        <v>-6.7200000000000042</v>
      </c>
      <c r="E57" s="396">
        <v>2550</v>
      </c>
      <c r="F57" s="396">
        <v>2466</v>
      </c>
      <c r="G57" s="407">
        <f t="shared" si="5"/>
        <v>-3.2941176470588251</v>
      </c>
      <c r="H57" s="397" t="s">
        <v>410</v>
      </c>
      <c r="I57" s="397" t="s">
        <v>410</v>
      </c>
      <c r="J57" s="542" t="s">
        <v>413</v>
      </c>
    </row>
    <row r="58" spans="1:10" ht="11.1" customHeight="1" x14ac:dyDescent="0.3">
      <c r="A58" s="515" t="s">
        <v>124</v>
      </c>
      <c r="B58" s="396">
        <v>2500</v>
      </c>
      <c r="C58" s="396">
        <v>2480</v>
      </c>
      <c r="D58" s="405">
        <f t="shared" si="4"/>
        <v>-0.80000000000000071</v>
      </c>
      <c r="E58" s="539" t="s">
        <v>410</v>
      </c>
      <c r="F58" s="539" t="s">
        <v>410</v>
      </c>
      <c r="G58" s="518" t="s">
        <v>3</v>
      </c>
      <c r="H58" s="397" t="s">
        <v>410</v>
      </c>
      <c r="I58" s="397" t="s">
        <v>410</v>
      </c>
      <c r="J58" s="542" t="s">
        <v>413</v>
      </c>
    </row>
    <row r="59" spans="1:10" ht="11.1" customHeight="1" x14ac:dyDescent="0.3">
      <c r="A59" s="515" t="s">
        <v>22</v>
      </c>
      <c r="B59" s="396">
        <v>2385</v>
      </c>
      <c r="C59" s="396">
        <v>2225</v>
      </c>
      <c r="D59" s="405">
        <f t="shared" si="4"/>
        <v>-6.7085953878406652</v>
      </c>
      <c r="E59" s="396">
        <v>1450</v>
      </c>
      <c r="F59" s="396">
        <v>1453.4</v>
      </c>
      <c r="G59" s="407">
        <f t="shared" si="5"/>
        <v>0.23448275862070211</v>
      </c>
      <c r="H59" s="397" t="s">
        <v>410</v>
      </c>
      <c r="I59" s="397" t="s">
        <v>410</v>
      </c>
      <c r="J59" s="542" t="s">
        <v>413</v>
      </c>
    </row>
    <row r="60" spans="1:10" ht="11.1" customHeight="1" x14ac:dyDescent="0.3">
      <c r="A60" s="515" t="s">
        <v>23</v>
      </c>
      <c r="B60" s="396">
        <v>3000</v>
      </c>
      <c r="C60" s="396">
        <v>2600</v>
      </c>
      <c r="D60" s="405">
        <f t="shared" si="4"/>
        <v>-13.33333333333333</v>
      </c>
      <c r="E60" s="540" t="s">
        <v>410</v>
      </c>
      <c r="F60" s="540" t="s">
        <v>410</v>
      </c>
      <c r="G60" s="518" t="s">
        <v>3</v>
      </c>
      <c r="H60" s="397" t="s">
        <v>410</v>
      </c>
      <c r="I60" s="397" t="s">
        <v>410</v>
      </c>
      <c r="J60" s="542" t="s">
        <v>413</v>
      </c>
    </row>
    <row r="61" spans="1:10" ht="11.1" customHeight="1" x14ac:dyDescent="0.3">
      <c r="A61" s="515" t="s">
        <v>24</v>
      </c>
      <c r="B61" s="396">
        <v>2685</v>
      </c>
      <c r="C61" s="396">
        <v>2174</v>
      </c>
      <c r="D61" s="405">
        <f t="shared" si="4"/>
        <v>-19.031657355679698</v>
      </c>
      <c r="E61" s="396">
        <v>2705</v>
      </c>
      <c r="F61" s="396">
        <v>2640</v>
      </c>
      <c r="G61" s="407">
        <f t="shared" ref="G61" si="8">((F61/E61) -   1)*100</f>
        <v>-2.4029574861367808</v>
      </c>
      <c r="H61" s="397" t="s">
        <v>410</v>
      </c>
      <c r="I61" s="397" t="s">
        <v>410</v>
      </c>
      <c r="J61" s="542" t="s">
        <v>413</v>
      </c>
    </row>
    <row r="62" spans="1:10" ht="11.1" customHeight="1" x14ac:dyDescent="0.3">
      <c r="A62" s="515" t="s">
        <v>63</v>
      </c>
      <c r="B62" s="396">
        <v>2600</v>
      </c>
      <c r="C62" s="396">
        <v>2420</v>
      </c>
      <c r="D62" s="405">
        <f t="shared" si="4"/>
        <v>-6.9230769230769207</v>
      </c>
      <c r="E62" s="540" t="s">
        <v>410</v>
      </c>
      <c r="F62" s="540" t="s">
        <v>410</v>
      </c>
      <c r="G62" s="518" t="s">
        <v>3</v>
      </c>
      <c r="H62" s="397" t="s">
        <v>410</v>
      </c>
      <c r="I62" s="397" t="s">
        <v>410</v>
      </c>
      <c r="J62" s="542" t="s">
        <v>413</v>
      </c>
    </row>
    <row r="63" spans="1:10" ht="11.1" customHeight="1" x14ac:dyDescent="0.3">
      <c r="A63" s="401" t="s">
        <v>25</v>
      </c>
      <c r="B63" s="395">
        <f>AVERAGE(B64:B68)</f>
        <v>2004.6799999999998</v>
      </c>
      <c r="C63" s="395">
        <f>AVERAGE(C64:C68)</f>
        <v>2054.96</v>
      </c>
      <c r="D63" s="404">
        <f t="shared" ref="D63" si="9">((C63/B63)-      1)*100</f>
        <v>2.5081309735219603</v>
      </c>
      <c r="E63" s="395">
        <f>AVERAGE(E64:E68)</f>
        <v>2250.06</v>
      </c>
      <c r="F63" s="395">
        <f>AVERAGE(F64:F68)</f>
        <v>2118.7200000000003</v>
      </c>
      <c r="G63" s="404">
        <f t="shared" ref="G63" si="10">((F63/E63)-      1)*100</f>
        <v>-5.8371776752619837</v>
      </c>
      <c r="H63" s="479">
        <f>AVERAGE(H64:H68)</f>
        <v>1311.52</v>
      </c>
      <c r="I63" s="479">
        <f>AVERAGE(I64:I68)</f>
        <v>1315.52</v>
      </c>
      <c r="J63" s="392">
        <f t="shared" ref="J63:J64" si="11">((I63/H63)-      1)*100</f>
        <v>0.3049896303525701</v>
      </c>
    </row>
    <row r="64" spans="1:10" ht="11.1" customHeight="1" x14ac:dyDescent="0.3">
      <c r="A64" s="515" t="s">
        <v>564</v>
      </c>
      <c r="B64" s="396">
        <v>1973.4</v>
      </c>
      <c r="C64" s="396">
        <v>2033.4</v>
      </c>
      <c r="D64" s="405">
        <f t="shared" ref="D64:D68" si="12">((C64/B64) -   1)*100</f>
        <v>3.0404378230465268</v>
      </c>
      <c r="E64" s="396">
        <v>2200</v>
      </c>
      <c r="F64" s="396">
        <v>2066.6</v>
      </c>
      <c r="G64" s="407">
        <f t="shared" ref="G64:G68" si="13">((F64/E64 -   1)*100)</f>
        <v>-6.0636363636363715</v>
      </c>
      <c r="H64" s="476">
        <v>1426.6</v>
      </c>
      <c r="I64" s="476">
        <v>1386.6</v>
      </c>
      <c r="J64" s="542">
        <f t="shared" si="11"/>
        <v>-2.8038693396887693</v>
      </c>
    </row>
    <row r="65" spans="1:10" ht="11.1" customHeight="1" x14ac:dyDescent="0.3">
      <c r="A65" s="515" t="s">
        <v>53</v>
      </c>
      <c r="B65" s="396">
        <v>1945</v>
      </c>
      <c r="C65" s="396">
        <v>1908</v>
      </c>
      <c r="D65" s="405">
        <f t="shared" si="12"/>
        <v>-1.9023136246786643</v>
      </c>
      <c r="E65" s="396">
        <v>2017</v>
      </c>
      <c r="F65" s="396">
        <v>2167</v>
      </c>
      <c r="G65" s="407">
        <f t="shared" si="13"/>
        <v>7.4367873078829971</v>
      </c>
      <c r="H65" s="476">
        <v>1508</v>
      </c>
      <c r="I65" s="476">
        <v>1421</v>
      </c>
      <c r="J65" s="542">
        <f t="shared" ref="J65:J68" si="14">((I65/H65)-      1)*100</f>
        <v>-5.7692307692307709</v>
      </c>
    </row>
    <row r="66" spans="1:10" ht="11.1" customHeight="1" x14ac:dyDescent="0.3">
      <c r="A66" s="515" t="s">
        <v>565</v>
      </c>
      <c r="B66" s="396">
        <v>2105</v>
      </c>
      <c r="C66" s="396">
        <v>2260</v>
      </c>
      <c r="D66" s="405">
        <f t="shared" si="12"/>
        <v>7.3634204275534465</v>
      </c>
      <c r="E66" s="396">
        <v>2513</v>
      </c>
      <c r="F66" s="396">
        <v>2260</v>
      </c>
      <c r="G66" s="407">
        <f t="shared" si="13"/>
        <v>-10.067648229208114</v>
      </c>
      <c r="H66" s="476">
        <v>1330</v>
      </c>
      <c r="I66" s="476">
        <v>1430</v>
      </c>
      <c r="J66" s="542">
        <f t="shared" si="14"/>
        <v>7.5187969924812137</v>
      </c>
    </row>
    <row r="67" spans="1:10" ht="11.1" customHeight="1" x14ac:dyDescent="0.3">
      <c r="A67" s="515" t="s">
        <v>566</v>
      </c>
      <c r="B67" s="396">
        <v>2000</v>
      </c>
      <c r="C67" s="396">
        <v>2073.4</v>
      </c>
      <c r="D67" s="405">
        <f t="shared" si="12"/>
        <v>3.6699999999999955</v>
      </c>
      <c r="E67" s="396">
        <v>2333.3000000000002</v>
      </c>
      <c r="F67" s="396">
        <v>2000</v>
      </c>
      <c r="G67" s="407">
        <f t="shared" si="13"/>
        <v>-14.284489778425414</v>
      </c>
      <c r="H67" s="476">
        <v>1380</v>
      </c>
      <c r="I67" s="476">
        <v>1240</v>
      </c>
      <c r="J67" s="542">
        <f t="shared" si="14"/>
        <v>-10.144927536231885</v>
      </c>
    </row>
    <row r="68" spans="1:10" ht="11.1" customHeight="1" x14ac:dyDescent="0.3">
      <c r="A68" s="515" t="s">
        <v>58</v>
      </c>
      <c r="B68" s="396">
        <v>2000</v>
      </c>
      <c r="C68" s="396">
        <v>2000</v>
      </c>
      <c r="D68" s="405">
        <f t="shared" si="12"/>
        <v>0</v>
      </c>
      <c r="E68" s="396">
        <v>2187</v>
      </c>
      <c r="F68" s="396">
        <v>2100</v>
      </c>
      <c r="G68" s="407">
        <f t="shared" si="13"/>
        <v>-3.978052126200271</v>
      </c>
      <c r="H68" s="476">
        <v>913</v>
      </c>
      <c r="I68" s="476">
        <v>1100</v>
      </c>
      <c r="J68" s="542">
        <f t="shared" si="14"/>
        <v>20.481927710843383</v>
      </c>
    </row>
    <row r="69" spans="1:10" ht="13.5" customHeight="1" x14ac:dyDescent="0.3">
      <c r="A69" s="521"/>
      <c r="B69" s="522"/>
      <c r="C69" s="523"/>
      <c r="D69" s="523"/>
      <c r="E69" s="523"/>
      <c r="F69" s="523"/>
      <c r="G69" s="523"/>
      <c r="H69" s="523"/>
      <c r="I69" s="523"/>
      <c r="J69" s="524" t="s">
        <v>26</v>
      </c>
    </row>
    <row r="70" spans="1:10" ht="13.5" customHeight="1" x14ac:dyDescent="0.3">
      <c r="A70" s="746" t="s">
        <v>421</v>
      </c>
      <c r="B70" s="746"/>
      <c r="C70" s="746"/>
      <c r="D70" s="746"/>
      <c r="E70" s="746"/>
      <c r="F70" s="746"/>
      <c r="G70" s="356"/>
      <c r="H70" s="356"/>
      <c r="I70" s="357"/>
      <c r="J70" s="369"/>
    </row>
    <row r="71" spans="1:10" ht="13.5" customHeight="1" x14ac:dyDescent="0.3">
      <c r="A71" s="741" t="s">
        <v>0</v>
      </c>
      <c r="B71" s="743" t="s">
        <v>418</v>
      </c>
      <c r="C71" s="744"/>
      <c r="D71" s="745"/>
      <c r="E71" s="743" t="s">
        <v>419</v>
      </c>
      <c r="F71" s="744"/>
      <c r="G71" s="745"/>
      <c r="H71" s="743" t="s">
        <v>420</v>
      </c>
      <c r="I71" s="744"/>
      <c r="J71" s="745"/>
    </row>
    <row r="72" spans="1:10" ht="13.5" customHeight="1" x14ac:dyDescent="0.3">
      <c r="A72" s="742"/>
      <c r="B72" s="319">
        <v>2024</v>
      </c>
      <c r="C72" s="319">
        <v>2025</v>
      </c>
      <c r="D72" s="319" t="s">
        <v>1</v>
      </c>
      <c r="E72" s="319">
        <v>2024</v>
      </c>
      <c r="F72" s="319">
        <v>2025</v>
      </c>
      <c r="G72" s="319" t="s">
        <v>1</v>
      </c>
      <c r="H72" s="319">
        <v>2024</v>
      </c>
      <c r="I72" s="319">
        <v>2025</v>
      </c>
      <c r="J72" s="319" t="s">
        <v>1</v>
      </c>
    </row>
    <row r="73" spans="1:10" ht="4.5" customHeight="1" x14ac:dyDescent="0.3">
      <c r="A73" s="326"/>
      <c r="B73" s="377"/>
      <c r="C73" s="347"/>
      <c r="D73" s="331"/>
      <c r="E73" s="378"/>
      <c r="F73" s="352"/>
      <c r="G73" s="382"/>
      <c r="H73" s="327"/>
      <c r="I73" s="347"/>
      <c r="J73" s="362"/>
    </row>
    <row r="74" spans="1:10" ht="11.1" customHeight="1" x14ac:dyDescent="0.3">
      <c r="A74" s="401" t="s">
        <v>81</v>
      </c>
      <c r="B74" s="395">
        <f>AVERAGE(B75:B78)</f>
        <v>2043</v>
      </c>
      <c r="C74" s="395">
        <f>AVERAGE(C75:C78)</f>
        <v>2134.5</v>
      </c>
      <c r="D74" s="404">
        <f>((C74/B74)-      1)*100</f>
        <v>4.4787077826725419</v>
      </c>
      <c r="E74" s="395">
        <f>AVERAGE(E75:E78)</f>
        <v>2241.5</v>
      </c>
      <c r="F74" s="395">
        <f>AVERAGE(F75:F78)</f>
        <v>2190</v>
      </c>
      <c r="G74" s="404">
        <f t="shared" ref="G74:G79" si="15">((F74/E74)-      1)*100</f>
        <v>-2.2975685924604083</v>
      </c>
      <c r="H74" s="402" t="s">
        <v>410</v>
      </c>
      <c r="I74" s="395">
        <f>AVERAGE(I75:I78)</f>
        <v>2190</v>
      </c>
      <c r="J74" s="559" t="s">
        <v>413</v>
      </c>
    </row>
    <row r="75" spans="1:10" ht="11.1" customHeight="1" x14ac:dyDescent="0.3">
      <c r="A75" s="515" t="s">
        <v>411</v>
      </c>
      <c r="B75" s="396">
        <v>2132</v>
      </c>
      <c r="C75" s="396">
        <v>2330</v>
      </c>
      <c r="D75" s="405">
        <f>((C75/B75)-      1)*100</f>
        <v>9.2870544090056342</v>
      </c>
      <c r="E75" s="539">
        <v>2366</v>
      </c>
      <c r="F75" s="539">
        <v>2490</v>
      </c>
      <c r="G75" s="407">
        <f t="shared" si="15"/>
        <v>5.2409129332206206</v>
      </c>
      <c r="H75" s="397" t="s">
        <v>410</v>
      </c>
      <c r="I75" s="397">
        <v>2460</v>
      </c>
      <c r="J75" s="542" t="s">
        <v>413</v>
      </c>
    </row>
    <row r="76" spans="1:10" ht="11.1" customHeight="1" x14ac:dyDescent="0.3">
      <c r="A76" s="515" t="s">
        <v>399</v>
      </c>
      <c r="B76" s="396">
        <v>2140</v>
      </c>
      <c r="C76" s="396">
        <v>2132</v>
      </c>
      <c r="D76" s="405">
        <f>((C76/B76)-      1)*100</f>
        <v>-0.37383177570093906</v>
      </c>
      <c r="E76" s="539">
        <v>2260</v>
      </c>
      <c r="F76" s="539">
        <v>2130</v>
      </c>
      <c r="G76" s="407">
        <f t="shared" si="15"/>
        <v>-5.7522123893805288</v>
      </c>
      <c r="H76" s="397" t="s">
        <v>410</v>
      </c>
      <c r="I76" s="397" t="s">
        <v>410</v>
      </c>
      <c r="J76" s="542" t="s">
        <v>413</v>
      </c>
    </row>
    <row r="77" spans="1:10" ht="11.1" customHeight="1" x14ac:dyDescent="0.3">
      <c r="A77" s="515" t="s">
        <v>553</v>
      </c>
      <c r="B77" s="396">
        <v>1900</v>
      </c>
      <c r="C77" s="396">
        <v>2176</v>
      </c>
      <c r="D77" s="405">
        <f t="shared" ref="D77" si="16">((C77/B77)-      1)*100</f>
        <v>14.526315789473676</v>
      </c>
      <c r="E77" s="539">
        <v>2140</v>
      </c>
      <c r="F77" s="539">
        <v>2140</v>
      </c>
      <c r="G77" s="407">
        <f t="shared" si="15"/>
        <v>0</v>
      </c>
      <c r="H77" s="397" t="s">
        <v>410</v>
      </c>
      <c r="I77" s="397">
        <v>1920</v>
      </c>
      <c r="J77" s="542" t="s">
        <v>413</v>
      </c>
    </row>
    <row r="78" spans="1:10" ht="11.1" customHeight="1" x14ac:dyDescent="0.3">
      <c r="A78" s="515" t="s">
        <v>555</v>
      </c>
      <c r="B78" s="396">
        <v>2000</v>
      </c>
      <c r="C78" s="396">
        <v>1900</v>
      </c>
      <c r="D78" s="405">
        <f>((C78/B78)-      1)*100</f>
        <v>-5.0000000000000044</v>
      </c>
      <c r="E78" s="539">
        <v>2200</v>
      </c>
      <c r="F78" s="539">
        <v>2000</v>
      </c>
      <c r="G78" s="407">
        <f t="shared" si="15"/>
        <v>-9.0909090909090935</v>
      </c>
      <c r="H78" s="397" t="s">
        <v>410</v>
      </c>
      <c r="I78" s="397" t="s">
        <v>410</v>
      </c>
      <c r="J78" s="542" t="s">
        <v>413</v>
      </c>
    </row>
    <row r="79" spans="1:10" ht="11.1" customHeight="1" x14ac:dyDescent="0.3">
      <c r="A79" s="379" t="s">
        <v>400</v>
      </c>
      <c r="B79" s="395">
        <f>AVERAGE(B80:B91)</f>
        <v>2054.3833333333332</v>
      </c>
      <c r="C79" s="395">
        <f>AVERAGE(C80:C91)</f>
        <v>2215.5666666666671</v>
      </c>
      <c r="D79" s="404">
        <f t="shared" ref="D79:D86" si="17">((C79/B79)-      1)*100</f>
        <v>7.845825592432476</v>
      </c>
      <c r="E79" s="395">
        <f>AVERAGE(E80:E91)</f>
        <v>2260.7333333333331</v>
      </c>
      <c r="F79" s="395">
        <f>AVERAGE(F80:F91)</f>
        <v>2155.5</v>
      </c>
      <c r="G79" s="407">
        <f t="shared" si="15"/>
        <v>-4.6548317655038085</v>
      </c>
      <c r="H79" s="395">
        <f>AVERAGE(H80:H91)</f>
        <v>1236.0999999999999</v>
      </c>
      <c r="I79" s="395">
        <f>AVERAGE(I80:I91)</f>
        <v>1262.1799999999998</v>
      </c>
      <c r="J79" s="392">
        <f>((I79/H79)-      1)*100</f>
        <v>2.1098616616778587</v>
      </c>
    </row>
    <row r="80" spans="1:10" ht="11.1" customHeight="1" x14ac:dyDescent="0.3">
      <c r="A80" s="515" t="s">
        <v>28</v>
      </c>
      <c r="B80" s="649">
        <v>1873.4</v>
      </c>
      <c r="C80" s="396">
        <v>2126.6</v>
      </c>
      <c r="D80" s="405">
        <f t="shared" si="17"/>
        <v>13.515533255044287</v>
      </c>
      <c r="E80" s="396">
        <v>2120</v>
      </c>
      <c r="F80" s="396">
        <v>2100</v>
      </c>
      <c r="G80" s="407">
        <f t="shared" ref="G80" si="18">((F80/E80)-      1)*100</f>
        <v>-0.94339622641509413</v>
      </c>
      <c r="H80" s="396">
        <v>1133.4000000000001</v>
      </c>
      <c r="I80" s="396">
        <v>1160</v>
      </c>
      <c r="J80" s="393">
        <f>((I80/H80)-      1)*100</f>
        <v>2.3469207693664895</v>
      </c>
    </row>
    <row r="81" spans="1:10" ht="11.1" customHeight="1" x14ac:dyDescent="0.3">
      <c r="A81" s="515" t="s">
        <v>82</v>
      </c>
      <c r="B81" s="649">
        <v>2530</v>
      </c>
      <c r="C81" s="396">
        <v>2600</v>
      </c>
      <c r="D81" s="405">
        <f t="shared" si="17"/>
        <v>2.7667984189723382</v>
      </c>
      <c r="E81" s="539" t="s">
        <v>410</v>
      </c>
      <c r="F81" s="539" t="s">
        <v>410</v>
      </c>
      <c r="G81" s="518" t="s">
        <v>3</v>
      </c>
      <c r="H81" s="394" t="s">
        <v>410</v>
      </c>
      <c r="I81" s="394" t="s">
        <v>410</v>
      </c>
      <c r="J81" s="542" t="s">
        <v>413</v>
      </c>
    </row>
    <row r="82" spans="1:10" ht="11.1" customHeight="1" x14ac:dyDescent="0.3">
      <c r="A82" s="515" t="s">
        <v>29</v>
      </c>
      <c r="B82" s="396">
        <v>1832.6</v>
      </c>
      <c r="C82" s="396">
        <v>2106.6</v>
      </c>
      <c r="D82" s="405">
        <f t="shared" si="17"/>
        <v>14.951435119502342</v>
      </c>
      <c r="E82" s="396">
        <v>2010</v>
      </c>
      <c r="F82" s="396">
        <v>2086.6</v>
      </c>
      <c r="G82" s="407">
        <f>((F82/E82)-      1)*100</f>
        <v>3.8109452736318383</v>
      </c>
      <c r="H82" s="396">
        <v>1065</v>
      </c>
      <c r="I82" s="396">
        <v>1113.4000000000001</v>
      </c>
      <c r="J82" s="393">
        <f>((I82/H82)-      1)*100</f>
        <v>4.544600938967136</v>
      </c>
    </row>
    <row r="83" spans="1:10" ht="11.1" customHeight="1" x14ac:dyDescent="0.3">
      <c r="A83" s="515" t="s">
        <v>30</v>
      </c>
      <c r="B83" s="396">
        <v>2130</v>
      </c>
      <c r="C83" s="396">
        <v>2275</v>
      </c>
      <c r="D83" s="405">
        <f t="shared" si="17"/>
        <v>6.8075117370892002</v>
      </c>
      <c r="E83" s="396">
        <v>2865</v>
      </c>
      <c r="F83" s="396">
        <v>2345</v>
      </c>
      <c r="G83" s="407">
        <f t="shared" ref="G83" si="19">((F83/E83)-      1)*100</f>
        <v>-18.150087260034908</v>
      </c>
      <c r="H83" s="396">
        <v>1295</v>
      </c>
      <c r="I83" s="396">
        <v>1340</v>
      </c>
      <c r="J83" s="393">
        <f>((I83/H83)-      1)*100</f>
        <v>3.474903474903468</v>
      </c>
    </row>
    <row r="84" spans="1:10" ht="11.1" customHeight="1" x14ac:dyDescent="0.3">
      <c r="A84" s="515" t="s">
        <v>64</v>
      </c>
      <c r="B84" s="396">
        <v>2000</v>
      </c>
      <c r="C84" s="396">
        <v>2133.4</v>
      </c>
      <c r="D84" s="405">
        <f t="shared" si="17"/>
        <v>6.6699999999999982</v>
      </c>
      <c r="E84" s="396">
        <v>2200</v>
      </c>
      <c r="F84" s="396">
        <v>2050</v>
      </c>
      <c r="G84" s="518" t="s">
        <v>3</v>
      </c>
      <c r="H84" s="396">
        <v>1400</v>
      </c>
      <c r="I84" s="396">
        <v>1600</v>
      </c>
      <c r="J84" s="393">
        <f>((I84/H84)-      1)*100</f>
        <v>14.285714285714279</v>
      </c>
    </row>
    <row r="85" spans="1:10" ht="11.1" customHeight="1" x14ac:dyDescent="0.3">
      <c r="A85" s="515" t="s">
        <v>31</v>
      </c>
      <c r="B85" s="396">
        <v>1920</v>
      </c>
      <c r="C85" s="396">
        <v>2153.4</v>
      </c>
      <c r="D85" s="405">
        <f t="shared" si="17"/>
        <v>12.156250000000002</v>
      </c>
      <c r="E85" s="396">
        <v>2060</v>
      </c>
      <c r="F85" s="396">
        <v>2100</v>
      </c>
      <c r="G85" s="407">
        <f t="shared" ref="G85:G87" si="20">((F85/E85)-      1)*100</f>
        <v>1.9417475728155331</v>
      </c>
      <c r="H85" s="396">
        <v>1160</v>
      </c>
      <c r="I85" s="396">
        <v>1180</v>
      </c>
      <c r="J85" s="393">
        <f>((I85/H85)-      1)*100</f>
        <v>1.7241379310344751</v>
      </c>
    </row>
    <row r="86" spans="1:10" ht="11.1" customHeight="1" x14ac:dyDescent="0.3">
      <c r="A86" s="515" t="s">
        <v>54</v>
      </c>
      <c r="B86" s="396">
        <v>1846.6</v>
      </c>
      <c r="C86" s="396">
        <v>2073.4</v>
      </c>
      <c r="D86" s="405">
        <f t="shared" si="17"/>
        <v>12.282031842304786</v>
      </c>
      <c r="E86" s="396">
        <v>2046.6</v>
      </c>
      <c r="F86" s="396">
        <v>2053.4</v>
      </c>
      <c r="G86" s="407">
        <f t="shared" si="20"/>
        <v>0.33225837975179306</v>
      </c>
      <c r="H86" s="396">
        <v>1046.5999999999999</v>
      </c>
      <c r="I86" s="396">
        <v>1113.4000000000001</v>
      </c>
      <c r="J86" s="393">
        <f t="shared" ref="J86:J87" si="21">((I86/H86)-      1)*100</f>
        <v>6.3825721383527823</v>
      </c>
    </row>
    <row r="87" spans="1:10" ht="11.1" customHeight="1" x14ac:dyDescent="0.3">
      <c r="A87" s="515" t="s">
        <v>83</v>
      </c>
      <c r="B87" s="396">
        <v>2600</v>
      </c>
      <c r="C87" s="396">
        <v>2500</v>
      </c>
      <c r="D87" s="405">
        <f>((C87/B87)-      1)*100</f>
        <v>-3.8461538461538436</v>
      </c>
      <c r="E87" s="396">
        <v>2800</v>
      </c>
      <c r="F87" s="396">
        <v>2600</v>
      </c>
      <c r="G87" s="405">
        <f t="shared" si="20"/>
        <v>-7.1428571428571397</v>
      </c>
      <c r="H87" s="396">
        <v>1960</v>
      </c>
      <c r="I87" s="396">
        <v>1600</v>
      </c>
      <c r="J87" s="393">
        <f t="shared" si="21"/>
        <v>-18.367346938775508</v>
      </c>
    </row>
    <row r="88" spans="1:10" ht="11.1" customHeight="1" x14ac:dyDescent="0.3">
      <c r="A88" s="515" t="s">
        <v>32</v>
      </c>
      <c r="B88" s="396">
        <v>1880</v>
      </c>
      <c r="C88" s="396">
        <v>2175</v>
      </c>
      <c r="D88" s="405">
        <f>((C88/B88)-      1)*100</f>
        <v>15.691489361702127</v>
      </c>
      <c r="E88" s="539" t="s">
        <v>410</v>
      </c>
      <c r="F88" s="396">
        <v>2200</v>
      </c>
      <c r="G88" s="518" t="s">
        <v>3</v>
      </c>
      <c r="H88" s="396">
        <v>1145</v>
      </c>
      <c r="I88" s="396">
        <v>1185</v>
      </c>
      <c r="J88" s="393">
        <f>((I88/H88)-      1)*100</f>
        <v>3.4934497816593968</v>
      </c>
    </row>
    <row r="89" spans="1:10" ht="11.1" customHeight="1" x14ac:dyDescent="0.3">
      <c r="A89" s="515" t="s">
        <v>33</v>
      </c>
      <c r="B89" s="396">
        <v>2290</v>
      </c>
      <c r="C89" s="396">
        <v>2233.4</v>
      </c>
      <c r="D89" s="405">
        <f>((C89/B89)-      1)*100</f>
        <v>-2.4716157205240119</v>
      </c>
      <c r="E89" s="539" t="s">
        <v>410</v>
      </c>
      <c r="F89" s="539" t="s">
        <v>410</v>
      </c>
      <c r="G89" s="518" t="s">
        <v>3</v>
      </c>
      <c r="H89" s="398" t="s">
        <v>410</v>
      </c>
      <c r="I89" s="398" t="s">
        <v>410</v>
      </c>
      <c r="J89" s="393" t="s">
        <v>413</v>
      </c>
    </row>
    <row r="90" spans="1:10" ht="11.1" customHeight="1" x14ac:dyDescent="0.3">
      <c r="A90" s="515" t="s">
        <v>66</v>
      </c>
      <c r="B90" s="396">
        <v>1930</v>
      </c>
      <c r="C90" s="396">
        <v>2080</v>
      </c>
      <c r="D90" s="405">
        <f>((C90/B90)-      1)*100</f>
        <v>7.7720207253886064</v>
      </c>
      <c r="E90" s="396">
        <v>2190</v>
      </c>
      <c r="F90" s="396">
        <v>1970</v>
      </c>
      <c r="G90" s="405">
        <f>((F90/E90)-      1)*100</f>
        <v>-10.045662100456621</v>
      </c>
      <c r="H90" s="396">
        <v>1060</v>
      </c>
      <c r="I90" s="396">
        <v>1110</v>
      </c>
      <c r="J90" s="393">
        <f>((I90/H90)-      1)*100</f>
        <v>4.7169811320754818</v>
      </c>
    </row>
    <row r="91" spans="1:10" ht="11.1" customHeight="1" x14ac:dyDescent="0.3">
      <c r="A91" s="515" t="s">
        <v>34</v>
      </c>
      <c r="B91" s="396">
        <v>1820</v>
      </c>
      <c r="C91" s="396">
        <v>2130</v>
      </c>
      <c r="D91" s="405">
        <f>((C91/B91)-      1)*100</f>
        <v>17.03296703296704</v>
      </c>
      <c r="E91" s="396">
        <v>2055</v>
      </c>
      <c r="F91" s="396">
        <v>2050</v>
      </c>
      <c r="G91" s="405">
        <f>((F91/E91)-      1)*100</f>
        <v>-0.24330900243308973</v>
      </c>
      <c r="H91" s="647">
        <v>1096</v>
      </c>
      <c r="I91" s="647">
        <v>1220</v>
      </c>
      <c r="J91" s="393">
        <f>((I91/H91)-      1)*100</f>
        <v>11.313868613138677</v>
      </c>
    </row>
    <row r="92" spans="1:10" ht="11.1" customHeight="1" x14ac:dyDescent="0.3">
      <c r="A92" s="560" t="s">
        <v>35</v>
      </c>
      <c r="B92" s="395">
        <f>AVERAGE(B93:B95)</f>
        <v>2021.6666666666667</v>
      </c>
      <c r="C92" s="395">
        <f>AVERAGE(C93:C95)</f>
        <v>2148.3333333333335</v>
      </c>
      <c r="D92" s="404">
        <f t="shared" ref="D92:D98" si="22">((C92/B92)-1)*100</f>
        <v>6.2654575432811166</v>
      </c>
      <c r="E92" s="395">
        <f>AVERAGE(E93:E95)</f>
        <v>2305</v>
      </c>
      <c r="F92" s="395">
        <f>AVERAGE(F93:F95)</f>
        <v>2156.6666666666665</v>
      </c>
      <c r="G92" s="409">
        <f>((F92/E92)-1)*100</f>
        <v>-6.4352856109906043</v>
      </c>
      <c r="H92" s="395">
        <f>AVERAGE(H93:H95)</f>
        <v>1308.3333333333333</v>
      </c>
      <c r="I92" s="395">
        <f>AVERAGE(I93:I95)</f>
        <v>1271.6666666666667</v>
      </c>
      <c r="J92" s="392">
        <f>((I92/H92)-1)*100</f>
        <v>-2.8025477707006252</v>
      </c>
    </row>
    <row r="93" spans="1:10" ht="11.1" customHeight="1" x14ac:dyDescent="0.3">
      <c r="A93" s="515" t="s">
        <v>36</v>
      </c>
      <c r="B93" s="396">
        <v>1980</v>
      </c>
      <c r="C93" s="396">
        <v>2110</v>
      </c>
      <c r="D93" s="405">
        <f t="shared" si="22"/>
        <v>6.5656565656565746</v>
      </c>
      <c r="E93" s="396">
        <v>2270</v>
      </c>
      <c r="F93" s="396">
        <v>2110</v>
      </c>
      <c r="G93" s="405">
        <f>((F93/E93)-1)*100</f>
        <v>-7.0484581497797354</v>
      </c>
      <c r="H93" s="396">
        <v>1250</v>
      </c>
      <c r="I93" s="396">
        <v>1230</v>
      </c>
      <c r="J93" s="393">
        <f>((I93/H93)-1)*100</f>
        <v>-1.6000000000000014</v>
      </c>
    </row>
    <row r="94" spans="1:10" ht="11.1" customHeight="1" x14ac:dyDescent="0.3">
      <c r="A94" s="515" t="s">
        <v>37</v>
      </c>
      <c r="B94" s="396">
        <v>2090</v>
      </c>
      <c r="C94" s="396">
        <v>2210</v>
      </c>
      <c r="D94" s="405">
        <f t="shared" si="22"/>
        <v>5.741626794258381</v>
      </c>
      <c r="E94" s="396">
        <v>2360</v>
      </c>
      <c r="F94" s="396">
        <v>2230</v>
      </c>
      <c r="G94" s="405">
        <f>((F94/E94)-1)*100</f>
        <v>-5.5084745762711833</v>
      </c>
      <c r="H94" s="647">
        <v>1385</v>
      </c>
      <c r="I94" s="647">
        <v>1315</v>
      </c>
      <c r="J94" s="393">
        <f>((I94/H94)-1)*100</f>
        <v>-5.0541516245487417</v>
      </c>
    </row>
    <row r="95" spans="1:10" ht="11.1" customHeight="1" x14ac:dyDescent="0.3">
      <c r="A95" s="515" t="s">
        <v>38</v>
      </c>
      <c r="B95" s="396">
        <v>1995</v>
      </c>
      <c r="C95" s="396">
        <v>2125</v>
      </c>
      <c r="D95" s="405">
        <f t="shared" si="22"/>
        <v>6.5162907268170533</v>
      </c>
      <c r="E95" s="396">
        <v>2285</v>
      </c>
      <c r="F95" s="396">
        <v>2130</v>
      </c>
      <c r="G95" s="405">
        <f>((F95/E95)-1)*100</f>
        <v>-6.7833698030634544</v>
      </c>
      <c r="H95" s="396">
        <v>1290</v>
      </c>
      <c r="I95" s="396">
        <v>1270</v>
      </c>
      <c r="J95" s="393">
        <f>((I95/H95)-1)*100</f>
        <v>-1.5503875968992276</v>
      </c>
    </row>
    <row r="96" spans="1:10" ht="11.1" customHeight="1" x14ac:dyDescent="0.3">
      <c r="A96" s="403" t="s">
        <v>187</v>
      </c>
      <c r="B96" s="395">
        <v>2050</v>
      </c>
      <c r="C96" s="395">
        <v>2090</v>
      </c>
      <c r="D96" s="404">
        <f t="shared" si="22"/>
        <v>1.9512195121951237</v>
      </c>
      <c r="E96" s="395">
        <v>1930</v>
      </c>
      <c r="F96" s="395">
        <v>2086.6</v>
      </c>
      <c r="G96" s="404">
        <f t="shared" ref="G96:G101" si="23">((F96/E96)-1)*100</f>
        <v>8.1139896373056963</v>
      </c>
      <c r="H96" s="406" t="s">
        <v>410</v>
      </c>
      <c r="I96" s="406" t="s">
        <v>410</v>
      </c>
      <c r="J96" s="392" t="s">
        <v>413</v>
      </c>
    </row>
    <row r="97" spans="1:10" ht="11.1" customHeight="1" x14ac:dyDescent="0.3">
      <c r="A97" s="403" t="s">
        <v>560</v>
      </c>
      <c r="B97" s="395">
        <f>AVERAGE(B98)</f>
        <v>2476</v>
      </c>
      <c r="C97" s="395">
        <f>AVERAGE(C98)</f>
        <v>2300</v>
      </c>
      <c r="D97" s="404">
        <f t="shared" si="22"/>
        <v>-7.1082390953150281</v>
      </c>
      <c r="E97" s="538" t="s">
        <v>410</v>
      </c>
      <c r="F97" s="538" t="s">
        <v>410</v>
      </c>
      <c r="G97" s="536" t="s">
        <v>3</v>
      </c>
      <c r="H97" s="395">
        <f t="shared" ref="H97:I97" si="24">AVERAGE(H98)</f>
        <v>1578</v>
      </c>
      <c r="I97" s="395">
        <f t="shared" si="24"/>
        <v>1448</v>
      </c>
      <c r="J97" s="392">
        <f>((I97/H97)-1)*100</f>
        <v>-8.2382762991128011</v>
      </c>
    </row>
    <row r="98" spans="1:10" ht="11.1" customHeight="1" x14ac:dyDescent="0.3">
      <c r="A98" s="515" t="s">
        <v>563</v>
      </c>
      <c r="B98" s="396">
        <v>2476</v>
      </c>
      <c r="C98" s="396">
        <v>2300</v>
      </c>
      <c r="D98" s="405">
        <f t="shared" si="22"/>
        <v>-7.1082390953150281</v>
      </c>
      <c r="E98" s="539" t="s">
        <v>410</v>
      </c>
      <c r="F98" s="539" t="s">
        <v>410</v>
      </c>
      <c r="G98" s="518" t="s">
        <v>3</v>
      </c>
      <c r="H98" s="396">
        <v>1578</v>
      </c>
      <c r="I98" s="396">
        <v>1448</v>
      </c>
      <c r="J98" s="393">
        <f>((I98/H98)-1)*100</f>
        <v>-8.2382762991128011</v>
      </c>
    </row>
    <row r="99" spans="1:10" ht="11.1" customHeight="1" x14ac:dyDescent="0.3">
      <c r="A99" s="403" t="s">
        <v>192</v>
      </c>
      <c r="B99" s="395">
        <f>AVERAGE(B100:B101)</f>
        <v>2400</v>
      </c>
      <c r="C99" s="395">
        <f>AVERAGE(C100:C101)</f>
        <v>2466.6999999999998</v>
      </c>
      <c r="D99" s="404">
        <f t="shared" ref="D99:D101" si="25">((C99/B99)-1)*100</f>
        <v>2.7791666666666659</v>
      </c>
      <c r="E99" s="395">
        <f>AVERAGE(E100:E101)</f>
        <v>2760</v>
      </c>
      <c r="F99" s="395">
        <f>AVERAGE(F100:F101)</f>
        <v>2516.6999999999998</v>
      </c>
      <c r="G99" s="404">
        <f t="shared" si="23"/>
        <v>-8.815217391304353</v>
      </c>
      <c r="H99" s="395">
        <f>AVERAGE(H100:H101)</f>
        <v>1800</v>
      </c>
      <c r="I99" s="395">
        <f>AVERAGE(I100:I101)</f>
        <v>1366.6</v>
      </c>
      <c r="J99" s="392">
        <f>((I99/H99)-1)*100</f>
        <v>-24.077777777777786</v>
      </c>
    </row>
    <row r="100" spans="1:10" ht="11.1" customHeight="1" x14ac:dyDescent="0.3">
      <c r="A100" s="515" t="s">
        <v>195</v>
      </c>
      <c r="B100" s="396">
        <v>2200</v>
      </c>
      <c r="C100" s="396">
        <v>2133.4</v>
      </c>
      <c r="D100" s="405">
        <f t="shared" si="25"/>
        <v>-3.0272727272727229</v>
      </c>
      <c r="E100" s="396">
        <v>2720</v>
      </c>
      <c r="F100" s="396">
        <v>2133.4</v>
      </c>
      <c r="G100" s="405">
        <f t="shared" si="23"/>
        <v>-21.566176470588228</v>
      </c>
      <c r="H100" s="396">
        <v>1800</v>
      </c>
      <c r="I100" s="396">
        <v>1366.6</v>
      </c>
      <c r="J100" s="393">
        <f>((I100/H100)-1)*100</f>
        <v>-24.077777777777786</v>
      </c>
    </row>
    <row r="101" spans="1:10" ht="11.1" customHeight="1" x14ac:dyDescent="0.3">
      <c r="A101" s="515" t="s">
        <v>194</v>
      </c>
      <c r="B101" s="396">
        <v>2600</v>
      </c>
      <c r="C101" s="396">
        <v>2800</v>
      </c>
      <c r="D101" s="405">
        <f t="shared" si="25"/>
        <v>7.6923076923076872</v>
      </c>
      <c r="E101" s="396">
        <v>2800</v>
      </c>
      <c r="F101" s="396">
        <v>2900</v>
      </c>
      <c r="G101" s="405">
        <f t="shared" si="23"/>
        <v>3.5714285714285809</v>
      </c>
      <c r="H101" s="398" t="s">
        <v>410</v>
      </c>
      <c r="I101" s="398" t="s">
        <v>410</v>
      </c>
      <c r="J101" s="393" t="s">
        <v>413</v>
      </c>
    </row>
    <row r="102" spans="1:10" ht="11.1" customHeight="1" x14ac:dyDescent="0.3">
      <c r="A102" s="403" t="s">
        <v>39</v>
      </c>
      <c r="B102" s="395">
        <f>AVERAGE(B103:B105)</f>
        <v>2691.6666666666665</v>
      </c>
      <c r="C102" s="395">
        <f>AVERAGE(C103:C105)</f>
        <v>2404.9</v>
      </c>
      <c r="D102" s="404">
        <f t="shared" ref="D102:D120" si="26">((C102/B102) -   1)*100</f>
        <v>-10.653869969040242</v>
      </c>
      <c r="E102" s="395">
        <f>AVERAGE(E103:E105)</f>
        <v>2757.5</v>
      </c>
      <c r="F102" s="395">
        <f>AVERAGE(F103:F105)</f>
        <v>2362</v>
      </c>
      <c r="G102" s="404">
        <f>((F102/E102) -   1)*100</f>
        <v>-14.342701722574791</v>
      </c>
      <c r="H102" s="395">
        <f>AVERAGE(H103:H105)</f>
        <v>3122.5</v>
      </c>
      <c r="I102" s="395">
        <f>AVERAGE(I103:I105)</f>
        <v>2145</v>
      </c>
      <c r="J102" s="392">
        <f>((I102/H102) -   1)*100</f>
        <v>-31.305044035228178</v>
      </c>
    </row>
    <row r="103" spans="1:10" ht="11.1" customHeight="1" x14ac:dyDescent="0.3">
      <c r="A103" s="515" t="s">
        <v>40</v>
      </c>
      <c r="B103" s="396">
        <v>2830</v>
      </c>
      <c r="C103" s="396">
        <v>2292.6999999999998</v>
      </c>
      <c r="D103" s="405">
        <f t="shared" si="26"/>
        <v>-18.985865724381632</v>
      </c>
      <c r="E103" s="396">
        <v>2845</v>
      </c>
      <c r="F103" s="396">
        <v>2313</v>
      </c>
      <c r="G103" s="405">
        <f>((F103/E103) -   1)*100</f>
        <v>-18.699472759226708</v>
      </c>
      <c r="H103" s="396">
        <v>2840</v>
      </c>
      <c r="I103" s="396">
        <v>1880</v>
      </c>
      <c r="J103" s="393">
        <f>((I103/H103) -   1)*100</f>
        <v>-33.802816901408448</v>
      </c>
    </row>
    <row r="104" spans="1:10" ht="11.1" customHeight="1" x14ac:dyDescent="0.3">
      <c r="A104" s="515" t="s">
        <v>401</v>
      </c>
      <c r="B104" s="396">
        <v>2600</v>
      </c>
      <c r="C104" s="396">
        <v>2550</v>
      </c>
      <c r="D104" s="405">
        <f t="shared" si="26"/>
        <v>-1.9230769230769273</v>
      </c>
      <c r="E104" s="539" t="s">
        <v>410</v>
      </c>
      <c r="F104" s="539" t="s">
        <v>410</v>
      </c>
      <c r="G104" s="518" t="s">
        <v>3</v>
      </c>
      <c r="H104" s="398" t="s">
        <v>410</v>
      </c>
      <c r="I104" s="398" t="s">
        <v>410</v>
      </c>
      <c r="J104" s="393" t="s">
        <v>413</v>
      </c>
    </row>
    <row r="105" spans="1:10" ht="11.1" customHeight="1" x14ac:dyDescent="0.3">
      <c r="A105" s="515" t="s">
        <v>41</v>
      </c>
      <c r="B105" s="396">
        <v>2645</v>
      </c>
      <c r="C105" s="396">
        <v>2372</v>
      </c>
      <c r="D105" s="405">
        <f t="shared" si="26"/>
        <v>-10.321361058601131</v>
      </c>
      <c r="E105" s="396">
        <v>2670</v>
      </c>
      <c r="F105" s="396">
        <v>2411</v>
      </c>
      <c r="G105" s="405">
        <f>((F105/E105) -   1)*100</f>
        <v>-9.7003745318352088</v>
      </c>
      <c r="H105" s="396">
        <v>3405</v>
      </c>
      <c r="I105" s="396">
        <v>2410</v>
      </c>
      <c r="J105" s="393">
        <f t="shared" ref="J105" si="27">((I105/H105) -   1)*100</f>
        <v>-29.221732745961827</v>
      </c>
    </row>
    <row r="106" spans="1:10" ht="11.1" customHeight="1" x14ac:dyDescent="0.3">
      <c r="A106" s="379" t="s">
        <v>42</v>
      </c>
      <c r="B106" s="395">
        <f>AVERAGE(B108:B109)</f>
        <v>2483.1999999999998</v>
      </c>
      <c r="C106" s="395">
        <f>AVERAGE(C108:C109)</f>
        <v>2110</v>
      </c>
      <c r="D106" s="404">
        <f t="shared" si="26"/>
        <v>-15.02899484536082</v>
      </c>
      <c r="E106" s="395">
        <f>AVERAGE(E108:E109)</f>
        <v>2400</v>
      </c>
      <c r="F106" s="395">
        <f>AVERAGE(F108:F109)</f>
        <v>1930</v>
      </c>
      <c r="G106" s="404">
        <f>((F106/E106) -   1)*100</f>
        <v>-19.583333333333329</v>
      </c>
      <c r="H106" s="406" t="s">
        <v>410</v>
      </c>
      <c r="I106" s="406" t="s">
        <v>410</v>
      </c>
      <c r="J106" s="392" t="s">
        <v>413</v>
      </c>
    </row>
    <row r="107" spans="1:10" ht="11.1" customHeight="1" x14ac:dyDescent="0.3">
      <c r="A107" s="515" t="s">
        <v>43</v>
      </c>
      <c r="B107" s="396">
        <v>2307</v>
      </c>
      <c r="C107" s="396">
        <v>2220</v>
      </c>
      <c r="D107" s="405">
        <f t="shared" ref="D107" si="28">((C107/B107) -   1)*100</f>
        <v>-3.7711313394018231</v>
      </c>
      <c r="E107" s="398" t="s">
        <v>410</v>
      </c>
      <c r="F107" s="398" t="s">
        <v>410</v>
      </c>
      <c r="G107" s="518" t="s">
        <v>3</v>
      </c>
      <c r="H107" s="398" t="s">
        <v>410</v>
      </c>
      <c r="I107" s="398" t="s">
        <v>410</v>
      </c>
      <c r="J107" s="393" t="s">
        <v>413</v>
      </c>
    </row>
    <row r="108" spans="1:10" ht="11.1" customHeight="1" x14ac:dyDescent="0.3">
      <c r="A108" s="515" t="s">
        <v>44</v>
      </c>
      <c r="B108" s="396">
        <v>2933</v>
      </c>
      <c r="C108" s="396">
        <v>2200</v>
      </c>
      <c r="D108" s="405">
        <f t="shared" si="26"/>
        <v>-24.99147630412547</v>
      </c>
      <c r="E108" s="398" t="s">
        <v>410</v>
      </c>
      <c r="F108" s="398" t="s">
        <v>410</v>
      </c>
      <c r="G108" s="518" t="s">
        <v>3</v>
      </c>
      <c r="H108" s="398" t="s">
        <v>410</v>
      </c>
      <c r="I108" s="398" t="s">
        <v>410</v>
      </c>
      <c r="J108" s="393" t="s">
        <v>413</v>
      </c>
    </row>
    <row r="109" spans="1:10" ht="11.1" customHeight="1" x14ac:dyDescent="0.3">
      <c r="A109" s="515" t="s">
        <v>414</v>
      </c>
      <c r="B109" s="396">
        <v>2033.4</v>
      </c>
      <c r="C109" s="396">
        <v>2020</v>
      </c>
      <c r="D109" s="405">
        <f t="shared" si="26"/>
        <v>-0.65899478705616632</v>
      </c>
      <c r="E109" s="396">
        <v>2400</v>
      </c>
      <c r="F109" s="396">
        <v>1930</v>
      </c>
      <c r="G109" s="405">
        <f>((F109/E109) -   1)*100</f>
        <v>-19.583333333333329</v>
      </c>
      <c r="H109" s="398" t="s">
        <v>410</v>
      </c>
      <c r="I109" s="398" t="s">
        <v>410</v>
      </c>
      <c r="J109" s="393" t="s">
        <v>413</v>
      </c>
    </row>
    <row r="110" spans="1:10" ht="11.1" customHeight="1" x14ac:dyDescent="0.3">
      <c r="A110" s="379" t="s">
        <v>196</v>
      </c>
      <c r="B110" s="561" t="s">
        <v>410</v>
      </c>
      <c r="C110" s="395">
        <f>AVERAGE(C112:C115)</f>
        <v>2390</v>
      </c>
      <c r="D110" s="392" t="s">
        <v>413</v>
      </c>
      <c r="E110" s="350" t="s">
        <v>409</v>
      </c>
      <c r="F110" s="395">
        <f>AVERAGE(F112:F115)</f>
        <v>2367.5</v>
      </c>
      <c r="G110" s="392" t="s">
        <v>413</v>
      </c>
      <c r="H110" s="406" t="s">
        <v>410</v>
      </c>
      <c r="I110" s="406" t="s">
        <v>410</v>
      </c>
      <c r="J110" s="392" t="s">
        <v>413</v>
      </c>
    </row>
    <row r="111" spans="1:10" ht="11.1" customHeight="1" x14ac:dyDescent="0.3">
      <c r="A111" s="326" t="s">
        <v>204</v>
      </c>
      <c r="B111" s="380" t="s">
        <v>410</v>
      </c>
      <c r="C111" s="396">
        <v>2400</v>
      </c>
      <c r="D111" s="393" t="s">
        <v>413</v>
      </c>
      <c r="E111" s="352" t="s">
        <v>409</v>
      </c>
      <c r="F111" s="398" t="s">
        <v>410</v>
      </c>
      <c r="G111" s="393" t="s">
        <v>413</v>
      </c>
      <c r="H111" s="398" t="s">
        <v>410</v>
      </c>
      <c r="I111" s="398" t="s">
        <v>410</v>
      </c>
      <c r="J111" s="393" t="s">
        <v>413</v>
      </c>
    </row>
    <row r="112" spans="1:10" ht="11.1" customHeight="1" x14ac:dyDescent="0.3">
      <c r="A112" s="326" t="s">
        <v>198</v>
      </c>
      <c r="B112" s="380" t="s">
        <v>410</v>
      </c>
      <c r="C112" s="396">
        <v>2600</v>
      </c>
      <c r="D112" s="393" t="s">
        <v>413</v>
      </c>
      <c r="E112" s="352" t="s">
        <v>409</v>
      </c>
      <c r="F112" s="396">
        <v>2400</v>
      </c>
      <c r="G112" s="393" t="s">
        <v>413</v>
      </c>
      <c r="H112" s="398" t="s">
        <v>410</v>
      </c>
      <c r="I112" s="398" t="s">
        <v>410</v>
      </c>
      <c r="J112" s="393" t="s">
        <v>413</v>
      </c>
    </row>
    <row r="113" spans="1:10" ht="11.1" customHeight="1" x14ac:dyDescent="0.3">
      <c r="A113" s="326" t="s">
        <v>557</v>
      </c>
      <c r="B113" s="380" t="s">
        <v>410</v>
      </c>
      <c r="C113" s="396">
        <v>2120</v>
      </c>
      <c r="D113" s="393" t="s">
        <v>413</v>
      </c>
      <c r="E113" s="352" t="s">
        <v>409</v>
      </c>
      <c r="F113" s="396">
        <v>2200</v>
      </c>
      <c r="G113" s="393" t="s">
        <v>413</v>
      </c>
      <c r="H113" s="398" t="s">
        <v>410</v>
      </c>
      <c r="I113" s="398" t="s">
        <v>410</v>
      </c>
      <c r="J113" s="393" t="s">
        <v>413</v>
      </c>
    </row>
    <row r="114" spans="1:10" ht="11.1" customHeight="1" x14ac:dyDescent="0.3">
      <c r="A114" s="326" t="s">
        <v>65</v>
      </c>
      <c r="B114" s="380" t="s">
        <v>410</v>
      </c>
      <c r="C114" s="380" t="s">
        <v>410</v>
      </c>
      <c r="D114" s="393" t="s">
        <v>413</v>
      </c>
      <c r="E114" s="352" t="s">
        <v>409</v>
      </c>
      <c r="F114" s="396">
        <v>2570</v>
      </c>
      <c r="G114" s="393" t="s">
        <v>413</v>
      </c>
      <c r="H114" s="398" t="s">
        <v>410</v>
      </c>
      <c r="I114" s="398" t="s">
        <v>410</v>
      </c>
      <c r="J114" s="393" t="s">
        <v>413</v>
      </c>
    </row>
    <row r="115" spans="1:10" ht="11.1" customHeight="1" x14ac:dyDescent="0.3">
      <c r="A115" s="326" t="s">
        <v>199</v>
      </c>
      <c r="B115" s="380" t="s">
        <v>410</v>
      </c>
      <c r="C115" s="396">
        <v>2450</v>
      </c>
      <c r="D115" s="393" t="s">
        <v>413</v>
      </c>
      <c r="E115" s="352" t="s">
        <v>409</v>
      </c>
      <c r="F115" s="396">
        <v>2300</v>
      </c>
      <c r="G115" s="393" t="s">
        <v>413</v>
      </c>
      <c r="H115" s="398" t="s">
        <v>410</v>
      </c>
      <c r="I115" s="398" t="s">
        <v>410</v>
      </c>
      <c r="J115" s="393" t="s">
        <v>413</v>
      </c>
    </row>
    <row r="116" spans="1:10" ht="11.1" customHeight="1" x14ac:dyDescent="0.3">
      <c r="A116" s="379" t="s">
        <v>84</v>
      </c>
      <c r="B116" s="395">
        <f>AVERAGE(B117:B119)</f>
        <v>2206.2000000000003</v>
      </c>
      <c r="C116" s="395">
        <f>AVERAGE(C117:C119)</f>
        <v>2279.7999999999997</v>
      </c>
      <c r="D116" s="404">
        <f t="shared" si="26"/>
        <v>3.3360529417097107</v>
      </c>
      <c r="E116" s="350" t="s">
        <v>409</v>
      </c>
      <c r="F116" s="538" t="s">
        <v>410</v>
      </c>
      <c r="G116" s="536" t="s">
        <v>3</v>
      </c>
      <c r="H116" s="406" t="s">
        <v>410</v>
      </c>
      <c r="I116" s="406" t="s">
        <v>410</v>
      </c>
      <c r="J116" s="392" t="s">
        <v>413</v>
      </c>
    </row>
    <row r="117" spans="1:10" ht="11.1" customHeight="1" x14ac:dyDescent="0.3">
      <c r="A117" s="515" t="s">
        <v>481</v>
      </c>
      <c r="B117" s="396">
        <v>2066.6</v>
      </c>
      <c r="C117" s="396">
        <v>2306</v>
      </c>
      <c r="D117" s="405">
        <f t="shared" si="26"/>
        <v>11.584244653053322</v>
      </c>
      <c r="E117" s="352" t="s">
        <v>409</v>
      </c>
      <c r="F117" s="398" t="s">
        <v>410</v>
      </c>
      <c r="G117" s="518" t="s">
        <v>3</v>
      </c>
      <c r="H117" s="398" t="s">
        <v>410</v>
      </c>
      <c r="I117" s="398" t="s">
        <v>410</v>
      </c>
      <c r="J117" s="393" t="s">
        <v>413</v>
      </c>
    </row>
    <row r="118" spans="1:10" ht="11.1" customHeight="1" x14ac:dyDescent="0.3">
      <c r="A118" s="515" t="s">
        <v>558</v>
      </c>
      <c r="B118" s="396">
        <v>2487</v>
      </c>
      <c r="C118" s="396">
        <v>2233.4</v>
      </c>
      <c r="D118" s="405">
        <f t="shared" si="26"/>
        <v>-10.197024527543219</v>
      </c>
      <c r="E118" s="352" t="s">
        <v>409</v>
      </c>
      <c r="F118" s="398" t="s">
        <v>410</v>
      </c>
      <c r="G118" s="518" t="s">
        <v>3</v>
      </c>
      <c r="H118" s="398" t="s">
        <v>410</v>
      </c>
      <c r="I118" s="398" t="s">
        <v>410</v>
      </c>
      <c r="J118" s="393" t="s">
        <v>413</v>
      </c>
    </row>
    <row r="119" spans="1:10" ht="11.1" customHeight="1" x14ac:dyDescent="0.3">
      <c r="A119" s="515" t="s">
        <v>60</v>
      </c>
      <c r="B119" s="396">
        <v>2065</v>
      </c>
      <c r="C119" s="396">
        <v>2300</v>
      </c>
      <c r="D119" s="405">
        <f t="shared" si="26"/>
        <v>11.380145278450371</v>
      </c>
      <c r="E119" s="352" t="s">
        <v>409</v>
      </c>
      <c r="F119" s="398" t="s">
        <v>410</v>
      </c>
      <c r="G119" s="518" t="s">
        <v>3</v>
      </c>
      <c r="H119" s="398" t="s">
        <v>410</v>
      </c>
      <c r="I119" s="398" t="s">
        <v>410</v>
      </c>
      <c r="J119" s="393" t="s">
        <v>413</v>
      </c>
    </row>
    <row r="120" spans="1:10" ht="11.1" customHeight="1" x14ac:dyDescent="0.3">
      <c r="A120" s="410" t="s">
        <v>89</v>
      </c>
      <c r="B120" s="395">
        <f>AVERAGE(B121:B123)</f>
        <v>1987</v>
      </c>
      <c r="C120" s="395">
        <f>AVERAGE(C121:C123)</f>
        <v>2073.3333333333335</v>
      </c>
      <c r="D120" s="404">
        <f t="shared" si="26"/>
        <v>4.344908572387185</v>
      </c>
      <c r="E120" s="352" t="s">
        <v>409</v>
      </c>
      <c r="F120" s="395">
        <f>AVERAGE(F121:F123)</f>
        <v>2125</v>
      </c>
      <c r="G120" s="518" t="s">
        <v>3</v>
      </c>
      <c r="H120" s="406" t="s">
        <v>410</v>
      </c>
      <c r="I120" s="406" t="s">
        <v>410</v>
      </c>
      <c r="J120" s="392" t="s">
        <v>413</v>
      </c>
    </row>
    <row r="121" spans="1:10" ht="11.1" customHeight="1" x14ac:dyDescent="0.3">
      <c r="A121" s="515" t="s">
        <v>450</v>
      </c>
      <c r="B121" s="380" t="s">
        <v>410</v>
      </c>
      <c r="C121" s="396">
        <v>2200</v>
      </c>
      <c r="D121" s="393" t="s">
        <v>413</v>
      </c>
      <c r="E121" s="352" t="s">
        <v>409</v>
      </c>
      <c r="F121" s="396">
        <v>2300</v>
      </c>
      <c r="G121" s="518" t="s">
        <v>3</v>
      </c>
      <c r="H121" s="398" t="s">
        <v>410</v>
      </c>
      <c r="I121" s="398" t="s">
        <v>410</v>
      </c>
      <c r="J121" s="393" t="s">
        <v>413</v>
      </c>
    </row>
    <row r="122" spans="1:10" ht="11.1" customHeight="1" x14ac:dyDescent="0.3">
      <c r="A122" s="515" t="s">
        <v>559</v>
      </c>
      <c r="B122" s="380" t="s">
        <v>410</v>
      </c>
      <c r="C122" s="396">
        <v>2000</v>
      </c>
      <c r="D122" s="393" t="s">
        <v>413</v>
      </c>
      <c r="E122" s="352" t="s">
        <v>409</v>
      </c>
      <c r="F122" s="396">
        <v>1950</v>
      </c>
      <c r="G122" s="518" t="s">
        <v>3</v>
      </c>
      <c r="H122" s="398" t="s">
        <v>410</v>
      </c>
      <c r="I122" s="398" t="s">
        <v>410</v>
      </c>
      <c r="J122" s="393" t="s">
        <v>413</v>
      </c>
    </row>
    <row r="123" spans="1:10" ht="11.1" customHeight="1" x14ac:dyDescent="0.3">
      <c r="A123" s="515" t="s">
        <v>90</v>
      </c>
      <c r="B123" s="396">
        <v>1987</v>
      </c>
      <c r="C123" s="396">
        <v>2020</v>
      </c>
      <c r="D123" s="405">
        <f t="shared" ref="D123" si="29">((C123/B123) -   1)*100</f>
        <v>1.6607951685958744</v>
      </c>
      <c r="E123" s="352" t="s">
        <v>409</v>
      </c>
      <c r="F123" s="398" t="s">
        <v>410</v>
      </c>
      <c r="G123" s="393" t="s">
        <v>413</v>
      </c>
      <c r="H123" s="398" t="s">
        <v>410</v>
      </c>
      <c r="I123" s="398" t="s">
        <v>410</v>
      </c>
      <c r="J123" s="393" t="s">
        <v>413</v>
      </c>
    </row>
    <row r="124" spans="1:10" ht="11.1" customHeight="1" x14ac:dyDescent="0.3">
      <c r="A124" s="410" t="s">
        <v>71</v>
      </c>
      <c r="B124" s="395">
        <f>AVERAGE(B125:B127)</f>
        <v>2157.7999999999997</v>
      </c>
      <c r="C124" s="395">
        <f>AVERAGE(C125:C127)</f>
        <v>2056.6666666666665</v>
      </c>
      <c r="D124" s="404">
        <f t="shared" ref="D124:D129" si="30">((C124/B124)-1)*100</f>
        <v>-4.6868724317978172</v>
      </c>
      <c r="E124" s="395">
        <f>AVERAGE(E125:E127)</f>
        <v>2386.6999999999998</v>
      </c>
      <c r="F124" s="395">
        <f>AVERAGE(F125:F127)</f>
        <v>2450</v>
      </c>
      <c r="G124" s="404">
        <f>((F124/E124 -1)*100)</f>
        <v>2.6521975950056564</v>
      </c>
      <c r="H124" s="648">
        <f>AVERAGE(H125:H127)</f>
        <v>1297.8</v>
      </c>
      <c r="I124" s="648">
        <f>AVERAGE(I125:I127)</f>
        <v>1268.8666666666666</v>
      </c>
      <c r="J124" s="392">
        <f>((I124/H124 -1)*100)</f>
        <v>-2.2294138798993224</v>
      </c>
    </row>
    <row r="125" spans="1:10" ht="11.1" customHeight="1" x14ac:dyDescent="0.3">
      <c r="A125" s="515" t="s">
        <v>452</v>
      </c>
      <c r="B125" s="396">
        <v>2160</v>
      </c>
      <c r="C125" s="396">
        <v>2120</v>
      </c>
      <c r="D125" s="405">
        <f t="shared" si="30"/>
        <v>-1.851851851851849</v>
      </c>
      <c r="E125" s="352" t="s">
        <v>409</v>
      </c>
      <c r="F125" s="467" t="s">
        <v>410</v>
      </c>
      <c r="G125" s="518" t="s">
        <v>3</v>
      </c>
      <c r="H125" s="396">
        <v>1320</v>
      </c>
      <c r="I125" s="647">
        <v>1260</v>
      </c>
      <c r="J125" s="393">
        <f>((I125/H125 -1)*100)</f>
        <v>-4.5454545454545414</v>
      </c>
    </row>
    <row r="126" spans="1:10" ht="11.1" customHeight="1" x14ac:dyDescent="0.3">
      <c r="A126" s="515" t="s">
        <v>72</v>
      </c>
      <c r="B126" s="396">
        <v>2113.4</v>
      </c>
      <c r="C126" s="396">
        <v>2050</v>
      </c>
      <c r="D126" s="405">
        <f t="shared" si="30"/>
        <v>-2.999905365761335</v>
      </c>
      <c r="E126" s="396">
        <v>2273.4</v>
      </c>
      <c r="F126" s="396">
        <v>1900</v>
      </c>
      <c r="G126" s="405">
        <f>((F126/E126 -1)*100)</f>
        <v>-16.424738277469874</v>
      </c>
      <c r="H126" s="396">
        <v>1213.4000000000001</v>
      </c>
      <c r="I126" s="647">
        <v>1186.5999999999999</v>
      </c>
      <c r="J126" s="393">
        <f>((I126/H126 -1)*100)</f>
        <v>-2.2086698533047788</v>
      </c>
    </row>
    <row r="127" spans="1:10" ht="11.1" customHeight="1" x14ac:dyDescent="0.3">
      <c r="A127" s="515" t="s">
        <v>73</v>
      </c>
      <c r="B127" s="396">
        <v>2200</v>
      </c>
      <c r="C127" s="396">
        <v>2000</v>
      </c>
      <c r="D127" s="405">
        <f t="shared" si="30"/>
        <v>-9.0909090909090935</v>
      </c>
      <c r="E127" s="396">
        <v>2500</v>
      </c>
      <c r="F127" s="396">
        <v>3000</v>
      </c>
      <c r="G127" s="405">
        <f>((F127/E127 -1)*100)</f>
        <v>19.999999999999996</v>
      </c>
      <c r="H127" s="396">
        <v>1360</v>
      </c>
      <c r="I127" s="647">
        <v>1360</v>
      </c>
      <c r="J127" s="393">
        <f>((I127/H127 -1)*100)</f>
        <v>0</v>
      </c>
    </row>
    <row r="128" spans="1:10" ht="11.1" customHeight="1" x14ac:dyDescent="0.3">
      <c r="A128" s="403" t="s">
        <v>46</v>
      </c>
      <c r="B128" s="395">
        <f>AVERAGE(B129:B129)</f>
        <v>2050</v>
      </c>
      <c r="C128" s="395">
        <f>AVERAGE(C129:C129)</f>
        <v>1940</v>
      </c>
      <c r="D128" s="404">
        <f t="shared" si="30"/>
        <v>-5.3658536585365901</v>
      </c>
      <c r="E128" s="350" t="s">
        <v>409</v>
      </c>
      <c r="F128" s="469" t="s">
        <v>410</v>
      </c>
      <c r="G128" s="536" t="s">
        <v>3</v>
      </c>
      <c r="H128" s="406" t="s">
        <v>410</v>
      </c>
      <c r="I128" s="406" t="s">
        <v>410</v>
      </c>
      <c r="J128" s="392" t="s">
        <v>413</v>
      </c>
    </row>
    <row r="129" spans="1:10" ht="11.1" customHeight="1" x14ac:dyDescent="0.3">
      <c r="A129" s="484" t="s">
        <v>47</v>
      </c>
      <c r="B129" s="606">
        <v>2050</v>
      </c>
      <c r="C129" s="606">
        <v>1940</v>
      </c>
      <c r="D129" s="405">
        <f t="shared" si="30"/>
        <v>-5.3658536585365901</v>
      </c>
      <c r="E129" s="601" t="s">
        <v>409</v>
      </c>
      <c r="F129" s="467" t="s">
        <v>410</v>
      </c>
      <c r="G129" s="518" t="s">
        <v>3</v>
      </c>
      <c r="H129" s="545" t="s">
        <v>410</v>
      </c>
      <c r="I129" s="398" t="s">
        <v>410</v>
      </c>
      <c r="J129" s="393" t="s">
        <v>413</v>
      </c>
    </row>
    <row r="130" spans="1:10" ht="9" customHeight="1" x14ac:dyDescent="0.3">
      <c r="A130" s="534" t="s">
        <v>87</v>
      </c>
      <c r="D130" s="4"/>
      <c r="F130" s="4"/>
      <c r="G130" s="4"/>
      <c r="I130" s="4"/>
      <c r="J130" s="4"/>
    </row>
    <row r="131" spans="1:10" ht="9" customHeight="1" x14ac:dyDescent="0.3">
      <c r="A131" s="535" t="s">
        <v>504</v>
      </c>
    </row>
    <row r="132" spans="1:10" ht="9" customHeight="1" x14ac:dyDescent="0.3">
      <c r="A132" s="535" t="s">
        <v>68</v>
      </c>
    </row>
    <row r="133" spans="1:10" ht="13.5" customHeight="1" x14ac:dyDescent="0.3"/>
    <row r="134" spans="1:10" ht="13.5" customHeight="1" x14ac:dyDescent="0.3"/>
    <row r="135" spans="1:10" ht="13.5" customHeight="1" x14ac:dyDescent="0.3"/>
    <row r="136" spans="1:10" ht="13.5" customHeight="1" x14ac:dyDescent="0.3"/>
    <row r="137" spans="1:10" ht="13.5" customHeight="1" x14ac:dyDescent="0.3"/>
    <row r="138" spans="1:10" ht="13.5" customHeight="1" x14ac:dyDescent="0.3"/>
    <row r="139" spans="1:10" ht="13.5" customHeight="1" x14ac:dyDescent="0.3"/>
    <row r="140" spans="1:10" ht="13.5" customHeight="1" x14ac:dyDescent="0.3"/>
    <row r="141" spans="1:10" ht="13.5" customHeight="1" x14ac:dyDescent="0.3"/>
    <row r="142" spans="1:10" ht="13.5" customHeight="1" x14ac:dyDescent="0.3"/>
    <row r="143" spans="1:10" ht="13.5" customHeight="1" x14ac:dyDescent="0.3"/>
    <row r="144" spans="1:10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</sheetData>
  <mergeCells count="9">
    <mergeCell ref="A71:A72"/>
    <mergeCell ref="B71:D71"/>
    <mergeCell ref="E71:G71"/>
    <mergeCell ref="H71:J71"/>
    <mergeCell ref="A5:A6"/>
    <mergeCell ref="B5:D5"/>
    <mergeCell ref="E5:G5"/>
    <mergeCell ref="H5:J5"/>
    <mergeCell ref="A70:F70"/>
  </mergeCells>
  <conditionalFormatting sqref="A2:A4">
    <cfRule type="containsText" dxfId="0" priority="1" operator="containsText" text="C.86  PERÚ: PRECIO DE VENTA MINORISTA DE FERTILIZANTES NITROGENADOS POR DEPARTAMENTO Y PROVINCIA, ">
      <formula>NOT(ISERROR(SEARCH(("C.86  PERÚ: PRECIO DE VENTA MINORISTA DE FERTILIZANTES NITROGENADOS POR DEPARTAMENTO Y PROVINCIA, "),(A2))))</formula>
    </cfRule>
  </conditionalFormatting>
  <pageMargins left="0.27559055118110237" right="0.27559055118110237" top="0.39370078740157483" bottom="0.39370078740157483" header="0" footer="0"/>
  <pageSetup paperSize="9" orientation="portrait" r:id="rId1"/>
  <ignoredErrors>
    <ignoredError sqref="A26:L91 A130:L340 A92:A129 L92:L129" formula="1"/>
    <ignoredError sqref="B92:K129" formula="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J364"/>
  <sheetViews>
    <sheetView showGridLines="0" topLeftCell="A76" zoomScaleNormal="100" workbookViewId="0">
      <selection activeCell="A64" sqref="A64:J126"/>
    </sheetView>
  </sheetViews>
  <sheetFormatPr baseColWidth="10" defaultColWidth="12.6640625" defaultRowHeight="15" customHeight="1" x14ac:dyDescent="0.3"/>
  <cols>
    <col min="1" max="1" width="18.33203125" style="2" customWidth="1"/>
    <col min="2" max="3" width="7.33203125" style="2" customWidth="1"/>
    <col min="4" max="4" width="6.6640625" style="2" customWidth="1"/>
    <col min="5" max="6" width="7.33203125" style="2" customWidth="1"/>
    <col min="7" max="7" width="6.6640625" style="2" customWidth="1"/>
    <col min="8" max="9" width="7.33203125" style="2" customWidth="1"/>
    <col min="10" max="10" width="6.6640625" style="2" customWidth="1"/>
    <col min="11" max="16384" width="12.6640625" style="2"/>
  </cols>
  <sheetData>
    <row r="1" spans="1:10" ht="18" customHeight="1" x14ac:dyDescent="0.3">
      <c r="A1" s="314" t="s">
        <v>417</v>
      </c>
      <c r="B1" s="340"/>
      <c r="C1" s="340"/>
      <c r="D1" s="340"/>
      <c r="E1" s="340"/>
      <c r="F1" s="340"/>
      <c r="G1" s="340"/>
      <c r="H1" s="340"/>
      <c r="I1" s="315"/>
      <c r="J1" s="340"/>
    </row>
    <row r="2" spans="1:10" ht="12" customHeight="1" x14ac:dyDescent="0.3">
      <c r="A2" s="317" t="s">
        <v>594</v>
      </c>
      <c r="B2" s="340"/>
      <c r="C2" s="340"/>
      <c r="D2" s="340"/>
      <c r="E2" s="340"/>
      <c r="F2" s="340"/>
      <c r="G2" s="340"/>
      <c r="H2" s="340"/>
      <c r="I2" s="315"/>
      <c r="J2" s="340"/>
    </row>
    <row r="3" spans="1:10" ht="12" customHeight="1" x14ac:dyDescent="0.3">
      <c r="A3" s="364" t="s">
        <v>595</v>
      </c>
      <c r="B3" s="340"/>
      <c r="C3" s="340"/>
      <c r="D3" s="316"/>
      <c r="E3" s="316"/>
      <c r="F3" s="316"/>
      <c r="G3" s="316"/>
      <c r="H3" s="316"/>
      <c r="I3" s="318"/>
      <c r="J3" s="316"/>
    </row>
    <row r="4" spans="1:10" ht="4.95" customHeight="1" x14ac:dyDescent="0.3">
      <c r="A4" s="316"/>
      <c r="B4" s="316"/>
      <c r="C4" s="316"/>
      <c r="D4" s="316"/>
      <c r="E4" s="316"/>
      <c r="F4" s="316"/>
      <c r="G4" s="316"/>
      <c r="H4" s="316"/>
      <c r="I4" s="318"/>
      <c r="J4" s="316"/>
    </row>
    <row r="5" spans="1:10" ht="12.9" customHeight="1" x14ac:dyDescent="0.3">
      <c r="A5" s="741" t="s">
        <v>0</v>
      </c>
      <c r="B5" s="743" t="s">
        <v>48</v>
      </c>
      <c r="C5" s="744"/>
      <c r="D5" s="745"/>
      <c r="E5" s="743" t="s">
        <v>415</v>
      </c>
      <c r="F5" s="744"/>
      <c r="G5" s="745"/>
      <c r="H5" s="743" t="s">
        <v>416</v>
      </c>
      <c r="I5" s="744"/>
      <c r="J5" s="745"/>
    </row>
    <row r="6" spans="1:10" ht="12.9" customHeight="1" x14ac:dyDescent="0.3">
      <c r="A6" s="742"/>
      <c r="B6" s="319">
        <v>2024</v>
      </c>
      <c r="C6" s="319">
        <v>2025</v>
      </c>
      <c r="D6" s="319" t="s">
        <v>1</v>
      </c>
      <c r="E6" s="319">
        <v>2024</v>
      </c>
      <c r="F6" s="319">
        <v>2025</v>
      </c>
      <c r="G6" s="319" t="s">
        <v>1</v>
      </c>
      <c r="H6" s="319">
        <v>2024</v>
      </c>
      <c r="I6" s="319">
        <v>2025</v>
      </c>
      <c r="J6" s="319" t="s">
        <v>1</v>
      </c>
    </row>
    <row r="7" spans="1:10" ht="3.75" customHeight="1" x14ac:dyDescent="0.3">
      <c r="A7" s="8"/>
      <c r="B7" s="8"/>
      <c r="C7" s="8"/>
      <c r="D7" s="8"/>
      <c r="E7" s="8"/>
      <c r="F7" s="8"/>
      <c r="G7" s="365" t="s">
        <v>396</v>
      </c>
      <c r="H7" s="8"/>
      <c r="I7" s="8"/>
      <c r="J7" s="8"/>
    </row>
    <row r="8" spans="1:10" ht="11.1" customHeight="1" x14ac:dyDescent="0.3">
      <c r="A8" s="514" t="s">
        <v>473</v>
      </c>
      <c r="B8" s="470">
        <f>AVERAGE(B9:B9)</f>
        <v>2890</v>
      </c>
      <c r="C8" s="470">
        <f>AVERAGE(C9:C9)</f>
        <v>2900</v>
      </c>
      <c r="D8" s="333">
        <f t="shared" ref="D8:G27" si="0">((C8/B8) -      1)*100</f>
        <v>0.34602076124568004</v>
      </c>
      <c r="E8" s="360" t="s">
        <v>410</v>
      </c>
      <c r="F8" s="360" t="s">
        <v>410</v>
      </c>
      <c r="G8" s="325" t="s">
        <v>396</v>
      </c>
      <c r="H8" s="470">
        <f>AVERAGE(H9:H9)</f>
        <v>920</v>
      </c>
      <c r="I8" s="657">
        <f>AVERAGE(I9:I9)</f>
        <v>870</v>
      </c>
      <c r="J8" s="325">
        <f t="shared" ref="J8:J9" si="1">((I8/H8) -      1)*100</f>
        <v>-5.4347826086956541</v>
      </c>
    </row>
    <row r="9" spans="1:10" ht="11.1" customHeight="1" x14ac:dyDescent="0.3">
      <c r="A9" s="515" t="s">
        <v>476</v>
      </c>
      <c r="B9" s="541">
        <v>2890</v>
      </c>
      <c r="C9" s="541">
        <v>2900</v>
      </c>
      <c r="D9" s="1">
        <f t="shared" si="0"/>
        <v>0.34602076124568004</v>
      </c>
      <c r="E9" s="359" t="s">
        <v>410</v>
      </c>
      <c r="F9" s="359" t="s">
        <v>410</v>
      </c>
      <c r="G9" s="1" t="s">
        <v>396</v>
      </c>
      <c r="H9" s="541">
        <v>920</v>
      </c>
      <c r="I9" s="659">
        <v>870</v>
      </c>
      <c r="J9" s="1">
        <f t="shared" si="1"/>
        <v>-5.4347826086956541</v>
      </c>
    </row>
    <row r="10" spans="1:10" ht="11.1" customHeight="1" x14ac:dyDescent="0.3">
      <c r="A10" s="370" t="s">
        <v>426</v>
      </c>
      <c r="B10" s="360" t="s">
        <v>410</v>
      </c>
      <c r="C10" s="470">
        <f>AVERAGE(C11:C19)</f>
        <v>3182.9555555555553</v>
      </c>
      <c r="D10" s="474" t="s">
        <v>49</v>
      </c>
      <c r="E10" s="360" t="s">
        <v>410</v>
      </c>
      <c r="F10" s="366">
        <f>AVERAGE(F11:F19)</f>
        <v>2900</v>
      </c>
      <c r="G10" s="333" t="s">
        <v>396</v>
      </c>
      <c r="H10" s="360" t="s">
        <v>410</v>
      </c>
      <c r="I10" s="330" t="s">
        <v>395</v>
      </c>
      <c r="J10" s="325" t="s">
        <v>396</v>
      </c>
    </row>
    <row r="11" spans="1:10" ht="11.1" customHeight="1" x14ac:dyDescent="0.3">
      <c r="A11" s="326" t="s">
        <v>427</v>
      </c>
      <c r="B11" s="359" t="s">
        <v>410</v>
      </c>
      <c r="C11" s="541">
        <v>3500</v>
      </c>
      <c r="D11" s="472" t="s">
        <v>49</v>
      </c>
      <c r="E11" s="359" t="s">
        <v>410</v>
      </c>
      <c r="F11" s="359" t="s">
        <v>410</v>
      </c>
      <c r="G11" s="329" t="s">
        <v>396</v>
      </c>
      <c r="H11" s="359" t="s">
        <v>410</v>
      </c>
      <c r="I11" s="327" t="s">
        <v>395</v>
      </c>
      <c r="J11" s="1" t="s">
        <v>396</v>
      </c>
    </row>
    <row r="12" spans="1:10" ht="11.1" customHeight="1" x14ac:dyDescent="0.3">
      <c r="A12" s="326" t="s">
        <v>509</v>
      </c>
      <c r="B12" s="359" t="s">
        <v>410</v>
      </c>
      <c r="C12" s="541">
        <v>2966.6</v>
      </c>
      <c r="D12" s="472" t="s">
        <v>49</v>
      </c>
      <c r="E12" s="359" t="s">
        <v>410</v>
      </c>
      <c r="F12" s="359" t="s">
        <v>410</v>
      </c>
      <c r="G12" s="329" t="s">
        <v>396</v>
      </c>
      <c r="H12" s="359" t="s">
        <v>410</v>
      </c>
      <c r="I12" s="327" t="s">
        <v>395</v>
      </c>
      <c r="J12" s="1" t="s">
        <v>396</v>
      </c>
    </row>
    <row r="13" spans="1:10" ht="11.1" customHeight="1" x14ac:dyDescent="0.3">
      <c r="A13" s="326" t="s">
        <v>584</v>
      </c>
      <c r="B13" s="359" t="s">
        <v>410</v>
      </c>
      <c r="C13" s="541">
        <v>2955</v>
      </c>
      <c r="D13" s="472" t="s">
        <v>49</v>
      </c>
      <c r="E13" s="359" t="s">
        <v>410</v>
      </c>
      <c r="F13" s="359" t="s">
        <v>410</v>
      </c>
      <c r="G13" s="329" t="s">
        <v>396</v>
      </c>
      <c r="H13" s="359" t="s">
        <v>410</v>
      </c>
      <c r="I13" s="327" t="s">
        <v>395</v>
      </c>
      <c r="J13" s="1" t="s">
        <v>396</v>
      </c>
    </row>
    <row r="14" spans="1:10" ht="11.1" customHeight="1" x14ac:dyDescent="0.3">
      <c r="A14" s="326" t="s">
        <v>428</v>
      </c>
      <c r="B14" s="359" t="s">
        <v>410</v>
      </c>
      <c r="C14" s="541">
        <v>3300</v>
      </c>
      <c r="D14" s="472" t="s">
        <v>49</v>
      </c>
      <c r="E14" s="359" t="s">
        <v>410</v>
      </c>
      <c r="F14" s="359" t="s">
        <v>410</v>
      </c>
      <c r="G14" s="329" t="s">
        <v>396</v>
      </c>
      <c r="H14" s="359" t="s">
        <v>410</v>
      </c>
      <c r="I14" s="327" t="s">
        <v>395</v>
      </c>
      <c r="J14" s="1" t="s">
        <v>396</v>
      </c>
    </row>
    <row r="15" spans="1:10" ht="11.1" customHeight="1" x14ac:dyDescent="0.3">
      <c r="A15" s="326" t="s">
        <v>507</v>
      </c>
      <c r="B15" s="359" t="s">
        <v>410</v>
      </c>
      <c r="C15" s="541">
        <v>3100</v>
      </c>
      <c r="D15" s="472" t="s">
        <v>49</v>
      </c>
      <c r="E15" s="359" t="s">
        <v>410</v>
      </c>
      <c r="F15" s="473">
        <v>3200</v>
      </c>
      <c r="G15" s="329" t="s">
        <v>396</v>
      </c>
      <c r="H15" s="359" t="s">
        <v>410</v>
      </c>
      <c r="I15" s="327" t="s">
        <v>395</v>
      </c>
      <c r="J15" s="1" t="s">
        <v>396</v>
      </c>
    </row>
    <row r="16" spans="1:10" ht="11.1" customHeight="1" x14ac:dyDescent="0.3">
      <c r="A16" s="326" t="s">
        <v>429</v>
      </c>
      <c r="B16" s="359" t="s">
        <v>410</v>
      </c>
      <c r="C16" s="541">
        <v>2800</v>
      </c>
      <c r="D16" s="472" t="s">
        <v>49</v>
      </c>
      <c r="E16" s="359" t="s">
        <v>410</v>
      </c>
      <c r="F16" s="473">
        <v>2600</v>
      </c>
      <c r="G16" s="329" t="s">
        <v>396</v>
      </c>
      <c r="H16" s="359" t="s">
        <v>410</v>
      </c>
      <c r="I16" s="327" t="s">
        <v>395</v>
      </c>
      <c r="J16" s="1" t="s">
        <v>396</v>
      </c>
    </row>
    <row r="17" spans="1:10" ht="11.1" customHeight="1" x14ac:dyDescent="0.3">
      <c r="A17" s="326" t="s">
        <v>585</v>
      </c>
      <c r="B17" s="359" t="s">
        <v>410</v>
      </c>
      <c r="C17" s="541">
        <v>3490</v>
      </c>
      <c r="D17" s="472" t="s">
        <v>49</v>
      </c>
      <c r="E17" s="359" t="s">
        <v>410</v>
      </c>
      <c r="F17" s="359" t="s">
        <v>410</v>
      </c>
      <c r="G17" s="329" t="s">
        <v>396</v>
      </c>
      <c r="H17" s="359" t="s">
        <v>410</v>
      </c>
      <c r="I17" s="327" t="s">
        <v>395</v>
      </c>
      <c r="J17" s="1" t="s">
        <v>396</v>
      </c>
    </row>
    <row r="18" spans="1:10" ht="11.1" customHeight="1" x14ac:dyDescent="0.3">
      <c r="A18" s="326" t="s">
        <v>586</v>
      </c>
      <c r="B18" s="359" t="s">
        <v>410</v>
      </c>
      <c r="C18" s="541">
        <v>3235</v>
      </c>
      <c r="D18" s="472" t="s">
        <v>49</v>
      </c>
      <c r="E18" s="359" t="s">
        <v>410</v>
      </c>
      <c r="F18" s="359" t="s">
        <v>410</v>
      </c>
      <c r="G18" s="329" t="s">
        <v>396</v>
      </c>
      <c r="H18" s="359" t="s">
        <v>410</v>
      </c>
      <c r="I18" s="327" t="s">
        <v>395</v>
      </c>
      <c r="J18" s="1" t="s">
        <v>396</v>
      </c>
    </row>
    <row r="19" spans="1:10" ht="11.1" customHeight="1" x14ac:dyDescent="0.3">
      <c r="A19" s="326" t="s">
        <v>449</v>
      </c>
      <c r="B19" s="359" t="s">
        <v>410</v>
      </c>
      <c r="C19" s="541">
        <v>3300</v>
      </c>
      <c r="D19" s="472" t="s">
        <v>49</v>
      </c>
      <c r="E19" s="359" t="s">
        <v>410</v>
      </c>
      <c r="F19" s="359" t="s">
        <v>410</v>
      </c>
      <c r="G19" s="329" t="s">
        <v>396</v>
      </c>
      <c r="H19" s="359" t="s">
        <v>410</v>
      </c>
      <c r="I19" s="327" t="s">
        <v>395</v>
      </c>
      <c r="J19" s="1" t="s">
        <v>396</v>
      </c>
    </row>
    <row r="20" spans="1:10" ht="11.1" customHeight="1" x14ac:dyDescent="0.3">
      <c r="A20" s="514" t="s">
        <v>77</v>
      </c>
      <c r="B20" s="470">
        <f>AVERAGE(B21:B23)</f>
        <v>3825</v>
      </c>
      <c r="C20" s="470">
        <f>AVERAGE(C21:C23)</f>
        <v>3727.5</v>
      </c>
      <c r="D20" s="549">
        <f>((C20/B20) -      1)*100</f>
        <v>-2.5490196078431393</v>
      </c>
      <c r="E20" s="478">
        <f>AVERAGE(E21:E23)</f>
        <v>3616.7</v>
      </c>
      <c r="F20" s="478">
        <f>AVERAGE(F21:F24)</f>
        <v>3541.7000000000003</v>
      </c>
      <c r="G20" s="549">
        <f>((F20/E20) -      1)*100</f>
        <v>-2.0737136063261996</v>
      </c>
      <c r="H20" s="360" t="s">
        <v>410</v>
      </c>
      <c r="I20" s="658">
        <f>AVERAGE(I21:I23)</f>
        <v>1233.4000000000001</v>
      </c>
      <c r="J20" s="325" t="s">
        <v>396</v>
      </c>
    </row>
    <row r="21" spans="1:10" ht="11.1" customHeight="1" x14ac:dyDescent="0.3">
      <c r="A21" s="515" t="s">
        <v>153</v>
      </c>
      <c r="B21" s="359" t="s">
        <v>410</v>
      </c>
      <c r="C21" s="541">
        <v>3280</v>
      </c>
      <c r="D21" s="472" t="s">
        <v>49</v>
      </c>
      <c r="E21" s="475">
        <v>2708.4</v>
      </c>
      <c r="F21" s="475">
        <v>2566.8000000000002</v>
      </c>
      <c r="G21" s="329">
        <f t="shared" si="0"/>
        <v>-5.2281789986707956</v>
      </c>
      <c r="H21" s="359" t="s">
        <v>410</v>
      </c>
      <c r="I21" s="475">
        <v>1233.4000000000001</v>
      </c>
      <c r="J21" s="1" t="s">
        <v>396</v>
      </c>
    </row>
    <row r="22" spans="1:10" ht="11.1" customHeight="1" x14ac:dyDescent="0.3">
      <c r="A22" s="515" t="s">
        <v>154</v>
      </c>
      <c r="B22" s="359" t="s">
        <v>410</v>
      </c>
      <c r="C22" s="548" t="s">
        <v>478</v>
      </c>
      <c r="D22" s="472" t="s">
        <v>49</v>
      </c>
      <c r="E22" s="359" t="s">
        <v>410</v>
      </c>
      <c r="F22" s="475">
        <v>3760</v>
      </c>
      <c r="G22" s="1" t="s">
        <v>396</v>
      </c>
      <c r="H22" s="359" t="s">
        <v>410</v>
      </c>
      <c r="I22" s="327" t="s">
        <v>395</v>
      </c>
      <c r="J22" s="1" t="s">
        <v>396</v>
      </c>
    </row>
    <row r="23" spans="1:10" ht="11.1" customHeight="1" x14ac:dyDescent="0.3">
      <c r="A23" s="515" t="s">
        <v>397</v>
      </c>
      <c r="B23" s="541">
        <v>3825</v>
      </c>
      <c r="C23" s="541">
        <v>4175</v>
      </c>
      <c r="D23" s="329">
        <f>((C23/B23) -      1)*100</f>
        <v>9.1503267973856097</v>
      </c>
      <c r="E23" s="475">
        <v>4525</v>
      </c>
      <c r="F23" s="475">
        <v>4126.6000000000004</v>
      </c>
      <c r="G23" s="329">
        <f t="shared" si="0"/>
        <v>-8.804419889502757</v>
      </c>
      <c r="H23" s="359" t="s">
        <v>410</v>
      </c>
      <c r="I23" s="327" t="s">
        <v>395</v>
      </c>
      <c r="J23" s="1" t="s">
        <v>396</v>
      </c>
    </row>
    <row r="24" spans="1:10" ht="11.1" customHeight="1" x14ac:dyDescent="0.3">
      <c r="A24" s="515" t="s">
        <v>159</v>
      </c>
      <c r="B24" s="359" t="s">
        <v>410</v>
      </c>
      <c r="C24" s="548" t="s">
        <v>478</v>
      </c>
      <c r="D24" s="472" t="s">
        <v>49</v>
      </c>
      <c r="E24" s="359" t="s">
        <v>410</v>
      </c>
      <c r="F24" s="475">
        <v>3713.4</v>
      </c>
      <c r="G24" s="1" t="s">
        <v>396</v>
      </c>
      <c r="H24" s="359" t="s">
        <v>410</v>
      </c>
      <c r="I24" s="327" t="s">
        <v>395</v>
      </c>
      <c r="J24" s="1" t="s">
        <v>396</v>
      </c>
    </row>
    <row r="25" spans="1:10" ht="11.1" customHeight="1" x14ac:dyDescent="0.3">
      <c r="A25" s="519" t="s">
        <v>2</v>
      </c>
      <c r="B25" s="470">
        <f>AVERAGE(B26:B32)</f>
        <v>2889.5142857142855</v>
      </c>
      <c r="C25" s="470">
        <f>AVERAGE(C26:C32)</f>
        <v>3155</v>
      </c>
      <c r="D25" s="549">
        <f t="shared" si="0"/>
        <v>9.1879010807550454</v>
      </c>
      <c r="E25" s="478">
        <f>AVERAGE(E26:E32)</f>
        <v>2360</v>
      </c>
      <c r="F25" s="478">
        <f>AVERAGE(F26:F32)</f>
        <v>3160</v>
      </c>
      <c r="G25" s="549">
        <f>((F25/E25) -      1)*100</f>
        <v>33.898305084745758</v>
      </c>
      <c r="H25" s="360" t="s">
        <v>410</v>
      </c>
      <c r="I25" s="330" t="s">
        <v>395</v>
      </c>
      <c r="J25" s="325" t="s">
        <v>396</v>
      </c>
    </row>
    <row r="26" spans="1:10" ht="11.1" customHeight="1" x14ac:dyDescent="0.3">
      <c r="A26" s="515" t="s">
        <v>5</v>
      </c>
      <c r="B26" s="541">
        <v>2840</v>
      </c>
      <c r="C26" s="541">
        <v>3060</v>
      </c>
      <c r="D26" s="329">
        <f t="shared" si="0"/>
        <v>7.7464788732394263</v>
      </c>
      <c r="E26" s="475">
        <v>2360</v>
      </c>
      <c r="F26" s="475">
        <v>3160</v>
      </c>
      <c r="G26" s="329">
        <f t="shared" si="0"/>
        <v>33.898305084745758</v>
      </c>
      <c r="H26" s="359" t="s">
        <v>410</v>
      </c>
      <c r="I26" s="327" t="s">
        <v>395</v>
      </c>
      <c r="J26" s="1" t="s">
        <v>396</v>
      </c>
    </row>
    <row r="27" spans="1:10" ht="11.1" customHeight="1" x14ac:dyDescent="0.3">
      <c r="A27" s="515" t="s">
        <v>78</v>
      </c>
      <c r="B27" s="541">
        <v>2775</v>
      </c>
      <c r="C27" s="541">
        <v>3250</v>
      </c>
      <c r="D27" s="329">
        <f t="shared" si="0"/>
        <v>17.117117117117118</v>
      </c>
      <c r="E27" s="477" t="s">
        <v>410</v>
      </c>
      <c r="F27" s="477" t="s">
        <v>410</v>
      </c>
      <c r="G27" s="329" t="s">
        <v>3</v>
      </c>
      <c r="H27" s="359" t="s">
        <v>410</v>
      </c>
      <c r="I27" s="327" t="s">
        <v>395</v>
      </c>
      <c r="J27" s="1" t="s">
        <v>396</v>
      </c>
    </row>
    <row r="28" spans="1:10" ht="11.1" customHeight="1" x14ac:dyDescent="0.3">
      <c r="A28" s="515" t="s">
        <v>405</v>
      </c>
      <c r="B28" s="541">
        <v>3066.6</v>
      </c>
      <c r="C28" s="541">
        <v>3540</v>
      </c>
      <c r="D28" s="329">
        <f>((C28/B28) -      1)*100</f>
        <v>15.437292115045986</v>
      </c>
      <c r="E28" s="477" t="s">
        <v>410</v>
      </c>
      <c r="F28" s="477" t="s">
        <v>410</v>
      </c>
      <c r="G28" s="329" t="s">
        <v>3</v>
      </c>
      <c r="H28" s="359" t="s">
        <v>410</v>
      </c>
      <c r="I28" s="327" t="s">
        <v>395</v>
      </c>
      <c r="J28" s="1" t="s">
        <v>396</v>
      </c>
    </row>
    <row r="29" spans="1:10" ht="11.1" customHeight="1" x14ac:dyDescent="0.3">
      <c r="A29" s="515" t="s">
        <v>85</v>
      </c>
      <c r="B29" s="541">
        <v>3345</v>
      </c>
      <c r="C29" s="548" t="s">
        <v>478</v>
      </c>
      <c r="D29" s="472" t="s">
        <v>49</v>
      </c>
      <c r="E29" s="477" t="s">
        <v>410</v>
      </c>
      <c r="F29" s="477" t="s">
        <v>410</v>
      </c>
      <c r="G29" s="329" t="s">
        <v>3</v>
      </c>
      <c r="H29" s="359" t="s">
        <v>410</v>
      </c>
      <c r="I29" s="327" t="s">
        <v>395</v>
      </c>
      <c r="J29" s="1" t="s">
        <v>396</v>
      </c>
    </row>
    <row r="30" spans="1:10" ht="11.1" customHeight="1" x14ac:dyDescent="0.3">
      <c r="A30" s="515" t="s">
        <v>61</v>
      </c>
      <c r="B30" s="541">
        <v>2940</v>
      </c>
      <c r="C30" s="541">
        <v>3280</v>
      </c>
      <c r="D30" s="329">
        <f t="shared" ref="D30:D48" si="2">((C30/B30) -      1)*100</f>
        <v>11.564625850340127</v>
      </c>
      <c r="E30" s="477" t="s">
        <v>410</v>
      </c>
      <c r="F30" s="477" t="s">
        <v>410</v>
      </c>
      <c r="G30" s="329" t="s">
        <v>3</v>
      </c>
      <c r="H30" s="359" t="s">
        <v>410</v>
      </c>
      <c r="I30" s="327" t="s">
        <v>395</v>
      </c>
      <c r="J30" s="1" t="s">
        <v>396</v>
      </c>
    </row>
    <row r="31" spans="1:10" ht="11.1" customHeight="1" x14ac:dyDescent="0.3">
      <c r="A31" s="515" t="s">
        <v>550</v>
      </c>
      <c r="B31" s="541">
        <v>2600</v>
      </c>
      <c r="C31" s="541">
        <v>2800</v>
      </c>
      <c r="D31" s="329">
        <f>((C31/B31) -      1)*100</f>
        <v>7.6923076923076872</v>
      </c>
      <c r="E31" s="477" t="s">
        <v>410</v>
      </c>
      <c r="F31" s="477" t="s">
        <v>410</v>
      </c>
      <c r="G31" s="329" t="s">
        <v>3</v>
      </c>
      <c r="H31" s="359" t="s">
        <v>410</v>
      </c>
      <c r="I31" s="327" t="s">
        <v>395</v>
      </c>
      <c r="J31" s="1" t="s">
        <v>396</v>
      </c>
    </row>
    <row r="32" spans="1:10" ht="11.1" customHeight="1" x14ac:dyDescent="0.3">
      <c r="A32" s="515" t="s">
        <v>188</v>
      </c>
      <c r="B32" s="541">
        <v>2660</v>
      </c>
      <c r="C32" s="541">
        <v>3000</v>
      </c>
      <c r="D32" s="329">
        <f t="shared" si="2"/>
        <v>12.781954887218049</v>
      </c>
      <c r="E32" s="477" t="s">
        <v>410</v>
      </c>
      <c r="F32" s="477" t="s">
        <v>410</v>
      </c>
      <c r="G32" s="329" t="s">
        <v>3</v>
      </c>
      <c r="H32" s="359" t="s">
        <v>410</v>
      </c>
      <c r="I32" s="327" t="s">
        <v>395</v>
      </c>
      <c r="J32" s="1" t="s">
        <v>396</v>
      </c>
    </row>
    <row r="33" spans="1:10" ht="11.1" customHeight="1" x14ac:dyDescent="0.3">
      <c r="A33" s="519" t="s">
        <v>6</v>
      </c>
      <c r="B33" s="470">
        <f>AVERAGE(B34:B40)</f>
        <v>3622.2666666666669</v>
      </c>
      <c r="C33" s="470">
        <f>AVERAGE(C34:C40)</f>
        <v>3302.2333333333336</v>
      </c>
      <c r="D33" s="550">
        <f t="shared" si="2"/>
        <v>-8.8351676666543977</v>
      </c>
      <c r="E33" s="478">
        <f>AVERAGE(E34:E40)</f>
        <v>3260</v>
      </c>
      <c r="F33" s="478">
        <f>AVERAGE(F34:F40)</f>
        <v>3266.5</v>
      </c>
      <c r="G33" s="333">
        <f t="shared" ref="G33:G34" si="3">((F33/E33) -      1)*100</f>
        <v>0.19938650306747796</v>
      </c>
      <c r="H33" s="470">
        <f>AVERAGE(H34:H40)</f>
        <v>900</v>
      </c>
      <c r="I33" s="478">
        <f>AVERAGE(I34:I40)</f>
        <v>824.4666666666667</v>
      </c>
      <c r="J33" s="333">
        <f>((I33/H33) -      1)*100</f>
        <v>-8.3925925925925853</v>
      </c>
    </row>
    <row r="34" spans="1:10" ht="11.1" customHeight="1" x14ac:dyDescent="0.3">
      <c r="A34" s="515" t="s">
        <v>8</v>
      </c>
      <c r="B34" s="541">
        <v>2933.4</v>
      </c>
      <c r="C34" s="541">
        <v>3032</v>
      </c>
      <c r="D34" s="529">
        <f t="shared" si="2"/>
        <v>3.3612872434717334</v>
      </c>
      <c r="E34" s="475">
        <v>3300</v>
      </c>
      <c r="F34" s="475">
        <v>3600</v>
      </c>
      <c r="G34" s="329">
        <f t="shared" si="3"/>
        <v>9.0909090909090828</v>
      </c>
      <c r="H34" s="359" t="s">
        <v>410</v>
      </c>
      <c r="I34" s="327" t="s">
        <v>395</v>
      </c>
      <c r="J34" s="1" t="s">
        <v>396</v>
      </c>
    </row>
    <row r="35" spans="1:10" ht="11.1" customHeight="1" x14ac:dyDescent="0.3">
      <c r="A35" s="515" t="s">
        <v>9</v>
      </c>
      <c r="B35" s="541">
        <v>2953.4</v>
      </c>
      <c r="C35" s="541">
        <v>3372</v>
      </c>
      <c r="D35" s="551">
        <f t="shared" si="2"/>
        <v>14.173494954967158</v>
      </c>
      <c r="E35" s="475">
        <v>3246.6</v>
      </c>
      <c r="F35" s="475">
        <v>3300</v>
      </c>
      <c r="G35" s="329">
        <f>((F35/E35) -      1)*100</f>
        <v>1.6447976344483584</v>
      </c>
      <c r="H35" s="359" t="s">
        <v>410</v>
      </c>
      <c r="I35" s="327" t="s">
        <v>395</v>
      </c>
      <c r="J35" s="1" t="s">
        <v>396</v>
      </c>
    </row>
    <row r="36" spans="1:10" ht="11.1" customHeight="1" x14ac:dyDescent="0.3">
      <c r="A36" s="515" t="s">
        <v>10</v>
      </c>
      <c r="B36" s="359" t="s">
        <v>410</v>
      </c>
      <c r="C36" s="548" t="s">
        <v>478</v>
      </c>
      <c r="D36" s="472" t="s">
        <v>49</v>
      </c>
      <c r="E36" s="475">
        <v>3040</v>
      </c>
      <c r="F36" s="475">
        <v>3000</v>
      </c>
      <c r="G36" s="329">
        <f t="shared" ref="G36:G37" si="4">((F36/E36) -      1)*100</f>
        <v>-1.3157894736842146</v>
      </c>
      <c r="H36" s="541">
        <v>870</v>
      </c>
      <c r="I36" s="477">
        <v>800</v>
      </c>
      <c r="J36" s="1">
        <f t="shared" ref="J36:J37" si="5">((I36/H36) -      1)*100</f>
        <v>-8.045977011494255</v>
      </c>
    </row>
    <row r="37" spans="1:10" ht="11.1" customHeight="1" x14ac:dyDescent="0.3">
      <c r="A37" s="515" t="s">
        <v>11</v>
      </c>
      <c r="B37" s="541">
        <v>3613.4</v>
      </c>
      <c r="C37" s="541">
        <v>3533.4</v>
      </c>
      <c r="D37" s="551">
        <f t="shared" si="2"/>
        <v>-2.2139812918580803</v>
      </c>
      <c r="E37" s="475">
        <v>3453.4</v>
      </c>
      <c r="F37" s="475">
        <v>3166</v>
      </c>
      <c r="G37" s="329">
        <f t="shared" si="4"/>
        <v>-8.3222331615219858</v>
      </c>
      <c r="H37" s="541">
        <v>930</v>
      </c>
      <c r="I37" s="547">
        <v>1033.4000000000001</v>
      </c>
      <c r="J37" s="1">
        <f t="shared" si="5"/>
        <v>11.118279569892486</v>
      </c>
    </row>
    <row r="38" spans="1:10" ht="11.1" customHeight="1" x14ac:dyDescent="0.3">
      <c r="A38" s="515" t="s">
        <v>12</v>
      </c>
      <c r="B38" s="541">
        <v>5800</v>
      </c>
      <c r="C38" s="541">
        <v>2750</v>
      </c>
      <c r="D38" s="329">
        <f t="shared" si="2"/>
        <v>-52.586206896551722</v>
      </c>
      <c r="E38" s="477" t="s">
        <v>410</v>
      </c>
      <c r="F38" s="477" t="s">
        <v>410</v>
      </c>
      <c r="G38" s="329" t="s">
        <v>396</v>
      </c>
      <c r="H38" s="477" t="s">
        <v>410</v>
      </c>
      <c r="I38" s="327" t="s">
        <v>395</v>
      </c>
      <c r="J38" s="1" t="s">
        <v>396</v>
      </c>
    </row>
    <row r="39" spans="1:10" ht="11.1" customHeight="1" x14ac:dyDescent="0.3">
      <c r="A39" s="515" t="s">
        <v>14</v>
      </c>
      <c r="B39" s="541">
        <v>3200</v>
      </c>
      <c r="C39" s="541">
        <v>3600</v>
      </c>
      <c r="D39" s="329">
        <f>((C39/B39) -      1)*100</f>
        <v>12.5</v>
      </c>
      <c r="E39" s="477" t="s">
        <v>410</v>
      </c>
      <c r="F39" s="477" t="s">
        <v>410</v>
      </c>
      <c r="G39" s="329" t="s">
        <v>396</v>
      </c>
      <c r="H39" s="477" t="s">
        <v>410</v>
      </c>
      <c r="I39" s="327" t="s">
        <v>395</v>
      </c>
      <c r="J39" s="1" t="s">
        <v>396</v>
      </c>
    </row>
    <row r="40" spans="1:10" ht="11.1" customHeight="1" x14ac:dyDescent="0.3">
      <c r="A40" s="515" t="s">
        <v>398</v>
      </c>
      <c r="B40" s="541">
        <v>3233.4</v>
      </c>
      <c r="C40" s="541">
        <v>3526</v>
      </c>
      <c r="D40" s="329">
        <f t="shared" si="2"/>
        <v>9.0492979526195292</v>
      </c>
      <c r="E40" s="477" t="s">
        <v>410</v>
      </c>
      <c r="F40" s="477" t="s">
        <v>410</v>
      </c>
      <c r="G40" s="329" t="s">
        <v>396</v>
      </c>
      <c r="H40" s="477" t="s">
        <v>410</v>
      </c>
      <c r="I40" s="477">
        <v>640</v>
      </c>
      <c r="J40" s="1" t="s">
        <v>396</v>
      </c>
    </row>
    <row r="41" spans="1:10" ht="11.1" customHeight="1" x14ac:dyDescent="0.3">
      <c r="A41" s="552" t="s">
        <v>15</v>
      </c>
      <c r="B41" s="469" t="s">
        <v>410</v>
      </c>
      <c r="C41" s="470">
        <f>AVERAGE(C42:C43)</f>
        <v>3150</v>
      </c>
      <c r="D41" s="536" t="s">
        <v>3</v>
      </c>
      <c r="E41" s="557" t="s">
        <v>410</v>
      </c>
      <c r="F41" s="478">
        <f>AVERAGE(F42:F43)</f>
        <v>3600</v>
      </c>
      <c r="G41" s="536" t="s">
        <v>3</v>
      </c>
      <c r="H41" s="402" t="s">
        <v>410</v>
      </c>
      <c r="I41" s="489">
        <f>AVERAGE(I42:I43)</f>
        <v>930</v>
      </c>
      <c r="J41" s="558" t="s">
        <v>396</v>
      </c>
    </row>
    <row r="42" spans="1:10" ht="11.1" customHeight="1" x14ac:dyDescent="0.3">
      <c r="A42" s="515" t="s">
        <v>70</v>
      </c>
      <c r="B42" s="467" t="s">
        <v>410</v>
      </c>
      <c r="C42" s="398">
        <v>2400</v>
      </c>
      <c r="D42" s="518" t="s">
        <v>3</v>
      </c>
      <c r="E42" s="540" t="s">
        <v>410</v>
      </c>
      <c r="F42" s="475">
        <v>3400</v>
      </c>
      <c r="G42" s="518" t="s">
        <v>3</v>
      </c>
      <c r="H42" s="397" t="s">
        <v>410</v>
      </c>
      <c r="I42" s="477">
        <v>930</v>
      </c>
      <c r="J42" s="553" t="s">
        <v>396</v>
      </c>
    </row>
    <row r="43" spans="1:10" ht="11.1" customHeight="1" x14ac:dyDescent="0.3">
      <c r="A43" s="515" t="s">
        <v>69</v>
      </c>
      <c r="B43" s="467" t="s">
        <v>410</v>
      </c>
      <c r="C43" s="398">
        <v>3900</v>
      </c>
      <c r="D43" s="518" t="s">
        <v>3</v>
      </c>
      <c r="E43" s="540" t="s">
        <v>410</v>
      </c>
      <c r="F43" s="475">
        <v>3800</v>
      </c>
      <c r="G43" s="518" t="s">
        <v>3</v>
      </c>
      <c r="H43" s="397" t="s">
        <v>410</v>
      </c>
      <c r="I43" s="327" t="s">
        <v>395</v>
      </c>
      <c r="J43" s="553" t="s">
        <v>396</v>
      </c>
    </row>
    <row r="44" spans="1:10" ht="11.1" customHeight="1" x14ac:dyDescent="0.3">
      <c r="A44" s="519" t="s">
        <v>16</v>
      </c>
      <c r="B44" s="470">
        <f>AVERAGE(B45:B48)</f>
        <v>3201.65</v>
      </c>
      <c r="C44" s="470">
        <f>AVERAGE(C45:C48)</f>
        <v>3049.165</v>
      </c>
      <c r="D44" s="333">
        <f t="shared" si="2"/>
        <v>-4.7627004825636865</v>
      </c>
      <c r="E44" s="360" t="s">
        <v>410</v>
      </c>
      <c r="F44" s="478">
        <f>AVERAGE(F45:F48)</f>
        <v>2970</v>
      </c>
      <c r="G44" s="333" t="s">
        <v>396</v>
      </c>
      <c r="H44" s="360" t="s">
        <v>410</v>
      </c>
      <c r="I44" s="546">
        <f>AVERAGE(I45:I48)</f>
        <v>1200</v>
      </c>
      <c r="J44" s="325" t="s">
        <v>396</v>
      </c>
    </row>
    <row r="45" spans="1:10" ht="11.1" customHeight="1" x14ac:dyDescent="0.3">
      <c r="A45" s="515" t="s">
        <v>494</v>
      </c>
      <c r="B45" s="541">
        <v>3066.6</v>
      </c>
      <c r="C45" s="541">
        <v>3030</v>
      </c>
      <c r="D45" s="329">
        <f t="shared" si="2"/>
        <v>-1.1935042066131829</v>
      </c>
      <c r="E45" s="359" t="s">
        <v>410</v>
      </c>
      <c r="F45" s="477" t="s">
        <v>410</v>
      </c>
      <c r="G45" s="329" t="s">
        <v>396</v>
      </c>
      <c r="H45" s="359" t="s">
        <v>410</v>
      </c>
      <c r="I45" s="327" t="s">
        <v>395</v>
      </c>
      <c r="J45" s="1" t="s">
        <v>396</v>
      </c>
    </row>
    <row r="46" spans="1:10" ht="11.1" customHeight="1" x14ac:dyDescent="0.3">
      <c r="A46" s="515" t="s">
        <v>472</v>
      </c>
      <c r="B46" s="541">
        <v>2900</v>
      </c>
      <c r="C46" s="541">
        <v>2900</v>
      </c>
      <c r="D46" s="329">
        <f t="shared" si="2"/>
        <v>0</v>
      </c>
      <c r="E46" s="359" t="s">
        <v>410</v>
      </c>
      <c r="F46" s="475">
        <v>2970</v>
      </c>
      <c r="G46" s="329" t="s">
        <v>396</v>
      </c>
      <c r="H46" s="359" t="s">
        <v>410</v>
      </c>
      <c r="I46" s="327" t="s">
        <v>395</v>
      </c>
      <c r="J46" s="1" t="s">
        <v>396</v>
      </c>
    </row>
    <row r="47" spans="1:10" ht="11.1" customHeight="1" x14ac:dyDescent="0.3">
      <c r="A47" s="515" t="s">
        <v>479</v>
      </c>
      <c r="B47" s="541">
        <v>3450</v>
      </c>
      <c r="C47" s="541">
        <v>3200</v>
      </c>
      <c r="D47" s="329">
        <f t="shared" ref="D47" si="6">((C47/B47) -      1)*100</f>
        <v>-7.2463768115942013</v>
      </c>
      <c r="E47" s="359" t="s">
        <v>410</v>
      </c>
      <c r="F47" s="477" t="s">
        <v>410</v>
      </c>
      <c r="G47" s="329" t="s">
        <v>396</v>
      </c>
      <c r="H47" s="359" t="s">
        <v>410</v>
      </c>
      <c r="I47" s="327" t="s">
        <v>395</v>
      </c>
      <c r="J47" s="1" t="s">
        <v>396</v>
      </c>
    </row>
    <row r="48" spans="1:10" ht="11.1" customHeight="1" x14ac:dyDescent="0.3">
      <c r="A48" s="515" t="s">
        <v>17</v>
      </c>
      <c r="B48" s="541">
        <v>3390</v>
      </c>
      <c r="C48" s="541">
        <v>3066.66</v>
      </c>
      <c r="D48" s="329">
        <f t="shared" si="2"/>
        <v>-9.5380530973451343</v>
      </c>
      <c r="E48" s="359" t="s">
        <v>410</v>
      </c>
      <c r="F48" s="477" t="s">
        <v>410</v>
      </c>
      <c r="G48" s="329" t="s">
        <v>396</v>
      </c>
      <c r="H48" s="359" t="s">
        <v>410</v>
      </c>
      <c r="I48" s="547">
        <v>1200</v>
      </c>
      <c r="J48" s="1" t="s">
        <v>396</v>
      </c>
    </row>
    <row r="49" spans="1:10" ht="11.1" customHeight="1" x14ac:dyDescent="0.3">
      <c r="A49" s="519" t="s">
        <v>18</v>
      </c>
      <c r="B49" s="470">
        <f>AVERAGE(B50:B56)</f>
        <v>3109.6666666666665</v>
      </c>
      <c r="C49" s="470">
        <f>AVERAGE(C50:C56)</f>
        <v>3193.3333333333335</v>
      </c>
      <c r="D49" s="333">
        <f t="shared" ref="D49:G56" si="7">((C49/B49) -      1)*100</f>
        <v>2.6905348911995031</v>
      </c>
      <c r="E49" s="478">
        <f>AVERAGE(E50:E55)</f>
        <v>2897.1</v>
      </c>
      <c r="F49" s="478">
        <f>AVERAGE(F50:F55)</f>
        <v>3056.5</v>
      </c>
      <c r="G49" s="333">
        <f>((F49/E49) -      1)*100</f>
        <v>5.5020537779158607</v>
      </c>
      <c r="H49" s="470">
        <f>AVERAGE(H50:H55)</f>
        <v>826.6</v>
      </c>
      <c r="I49" s="489">
        <f>AVERAGE(I50:I55)</f>
        <v>720</v>
      </c>
      <c r="J49" s="325">
        <f>((I49/H49) -      1)*100</f>
        <v>-12.896201306556987</v>
      </c>
    </row>
    <row r="50" spans="1:10" ht="11.1" customHeight="1" x14ac:dyDescent="0.3">
      <c r="A50" s="515" t="s">
        <v>19</v>
      </c>
      <c r="B50" s="541">
        <v>2910</v>
      </c>
      <c r="C50" s="541">
        <v>3380</v>
      </c>
      <c r="D50" s="529">
        <f t="shared" si="7"/>
        <v>16.151202749140904</v>
      </c>
      <c r="E50" s="475">
        <v>3135</v>
      </c>
      <c r="F50" s="475">
        <v>3280</v>
      </c>
      <c r="G50" s="329">
        <f>((F50/E50) -      1)*100</f>
        <v>4.6251993620414655</v>
      </c>
      <c r="H50" s="359" t="s">
        <v>410</v>
      </c>
      <c r="I50" s="477">
        <v>600</v>
      </c>
      <c r="J50" s="1" t="s">
        <v>396</v>
      </c>
    </row>
    <row r="51" spans="1:10" ht="11.1" customHeight="1" x14ac:dyDescent="0.3">
      <c r="A51" s="515" t="s">
        <v>406</v>
      </c>
      <c r="B51" s="541">
        <v>3400</v>
      </c>
      <c r="C51" s="541">
        <v>2800</v>
      </c>
      <c r="D51" s="529">
        <f t="shared" si="7"/>
        <v>-17.647058823529417</v>
      </c>
      <c r="E51" s="475">
        <v>3200</v>
      </c>
      <c r="F51" s="475">
        <v>3700</v>
      </c>
      <c r="G51" s="329">
        <f t="shared" si="7"/>
        <v>15.625</v>
      </c>
      <c r="H51" s="359" t="s">
        <v>410</v>
      </c>
      <c r="I51" s="327" t="s">
        <v>395</v>
      </c>
      <c r="J51" s="1" t="s">
        <v>396</v>
      </c>
    </row>
    <row r="52" spans="1:10" ht="11.1" customHeight="1" x14ac:dyDescent="0.3">
      <c r="A52" s="515" t="s">
        <v>80</v>
      </c>
      <c r="B52" s="541">
        <v>3175</v>
      </c>
      <c r="C52" s="541">
        <v>3460</v>
      </c>
      <c r="D52" s="329">
        <f t="shared" si="7"/>
        <v>8.9763779527558984</v>
      </c>
      <c r="E52" s="359" t="s">
        <v>410</v>
      </c>
      <c r="F52" s="477" t="s">
        <v>410</v>
      </c>
      <c r="G52" s="329" t="s">
        <v>396</v>
      </c>
      <c r="H52" s="359" t="s">
        <v>410</v>
      </c>
      <c r="I52" s="327" t="s">
        <v>395</v>
      </c>
      <c r="J52" s="1" t="s">
        <v>396</v>
      </c>
    </row>
    <row r="53" spans="1:10" ht="11.1" customHeight="1" x14ac:dyDescent="0.3">
      <c r="A53" s="515" t="s">
        <v>22</v>
      </c>
      <c r="B53" s="541">
        <v>2473</v>
      </c>
      <c r="C53" s="541">
        <v>2460</v>
      </c>
      <c r="D53" s="529">
        <f t="shared" si="7"/>
        <v>-0.52567731500202663</v>
      </c>
      <c r="E53" s="475">
        <v>2453.4</v>
      </c>
      <c r="F53" s="475">
        <v>2426</v>
      </c>
      <c r="G53" s="329">
        <f t="shared" si="7"/>
        <v>-1.1168174777859363</v>
      </c>
      <c r="H53" s="541">
        <v>826.6</v>
      </c>
      <c r="I53" s="477">
        <v>840</v>
      </c>
      <c r="J53" s="1">
        <f t="shared" ref="J53" si="8">((I53/H53) -      1)*100</f>
        <v>1.6210984756835245</v>
      </c>
    </row>
    <row r="54" spans="1:10" ht="11.1" customHeight="1" x14ac:dyDescent="0.3">
      <c r="A54" s="515" t="s">
        <v>23</v>
      </c>
      <c r="B54" s="541">
        <v>3500</v>
      </c>
      <c r="C54" s="541">
        <v>3600</v>
      </c>
      <c r="D54" s="529">
        <f t="shared" si="7"/>
        <v>2.857142857142847</v>
      </c>
      <c r="E54" s="359" t="s">
        <v>410</v>
      </c>
      <c r="F54" s="477" t="s">
        <v>410</v>
      </c>
      <c r="G54" s="329" t="s">
        <v>396</v>
      </c>
      <c r="H54" s="359" t="s">
        <v>410</v>
      </c>
      <c r="I54" s="327" t="s">
        <v>395</v>
      </c>
      <c r="J54" s="1" t="s">
        <v>396</v>
      </c>
    </row>
    <row r="55" spans="1:10" ht="11.1" customHeight="1" x14ac:dyDescent="0.3">
      <c r="A55" s="515" t="s">
        <v>24</v>
      </c>
      <c r="B55" s="467" t="s">
        <v>410</v>
      </c>
      <c r="C55" s="548" t="s">
        <v>478</v>
      </c>
      <c r="D55" s="329" t="s">
        <v>396</v>
      </c>
      <c r="E55" s="475">
        <v>2800</v>
      </c>
      <c r="F55" s="475">
        <v>2820</v>
      </c>
      <c r="G55" s="329">
        <f>((F55/E55) -      1)*100</f>
        <v>0.71428571428571175</v>
      </c>
      <c r="H55" s="359" t="s">
        <v>410</v>
      </c>
      <c r="I55" s="327" t="s">
        <v>395</v>
      </c>
      <c r="J55" s="1" t="s">
        <v>396</v>
      </c>
    </row>
    <row r="56" spans="1:10" ht="11.1" customHeight="1" x14ac:dyDescent="0.3">
      <c r="A56" s="515" t="s">
        <v>63</v>
      </c>
      <c r="B56" s="541">
        <v>3200</v>
      </c>
      <c r="C56" s="541">
        <v>3460</v>
      </c>
      <c r="D56" s="329">
        <f t="shared" si="7"/>
        <v>8.1250000000000036</v>
      </c>
      <c r="E56" s="359" t="s">
        <v>410</v>
      </c>
      <c r="F56" s="477" t="s">
        <v>410</v>
      </c>
      <c r="G56" s="329" t="s">
        <v>396</v>
      </c>
      <c r="H56" s="359" t="s">
        <v>410</v>
      </c>
      <c r="I56" s="327" t="s">
        <v>395</v>
      </c>
      <c r="J56" s="1" t="s">
        <v>396</v>
      </c>
    </row>
    <row r="57" spans="1:10" ht="11.1" customHeight="1" x14ac:dyDescent="0.3">
      <c r="A57" s="519" t="s">
        <v>25</v>
      </c>
      <c r="B57" s="470">
        <f>AVERAGE(B59:B62)</f>
        <v>3253.1333333333332</v>
      </c>
      <c r="C57" s="470">
        <f>AVERAGE(C59:C62)</f>
        <v>3300.85</v>
      </c>
      <c r="D57" s="549">
        <f>((C57/B57) -      1)*100</f>
        <v>1.466790991249467</v>
      </c>
      <c r="E57" s="360" t="s">
        <v>410</v>
      </c>
      <c r="F57" s="478">
        <f>AVERAGE(F59:F62)</f>
        <v>2850</v>
      </c>
      <c r="G57" s="333" t="s">
        <v>396</v>
      </c>
      <c r="H57" s="360" t="s">
        <v>410</v>
      </c>
      <c r="I57" s="470">
        <f>AVERAGE(I59:I62)</f>
        <v>2560</v>
      </c>
      <c r="J57" s="325" t="s">
        <v>396</v>
      </c>
    </row>
    <row r="58" spans="1:10" ht="11.1" customHeight="1" x14ac:dyDescent="0.3">
      <c r="A58" s="515" t="s">
        <v>564</v>
      </c>
      <c r="B58" s="541">
        <v>3020</v>
      </c>
      <c r="C58" s="541">
        <v>3480</v>
      </c>
      <c r="D58" s="329">
        <f>((C58/B58) -      1)*100</f>
        <v>15.231788079470189</v>
      </c>
      <c r="E58" s="359" t="s">
        <v>410</v>
      </c>
      <c r="F58" s="477" t="s">
        <v>410</v>
      </c>
      <c r="G58" s="329" t="s">
        <v>396</v>
      </c>
      <c r="H58" s="359" t="s">
        <v>410</v>
      </c>
      <c r="I58" s="327" t="s">
        <v>395</v>
      </c>
      <c r="J58" s="1" t="s">
        <v>396</v>
      </c>
    </row>
    <row r="59" spans="1:10" ht="11.1" customHeight="1" x14ac:dyDescent="0.3">
      <c r="A59" s="515" t="s">
        <v>53</v>
      </c>
      <c r="B59" s="541">
        <v>3676</v>
      </c>
      <c r="C59" s="541">
        <v>3370</v>
      </c>
      <c r="D59" s="329">
        <f>((C59/B59) -      1)*100</f>
        <v>-8.3242655059847621</v>
      </c>
      <c r="E59" s="359" t="s">
        <v>410</v>
      </c>
      <c r="F59" s="477" t="s">
        <v>410</v>
      </c>
      <c r="G59" s="329" t="s">
        <v>396</v>
      </c>
      <c r="H59" s="359" t="s">
        <v>410</v>
      </c>
      <c r="I59" s="327" t="s">
        <v>395</v>
      </c>
      <c r="J59" s="1" t="s">
        <v>396</v>
      </c>
    </row>
    <row r="60" spans="1:10" ht="11.1" customHeight="1" x14ac:dyDescent="0.3">
      <c r="A60" s="515" t="s">
        <v>565</v>
      </c>
      <c r="B60" s="541">
        <v>3130</v>
      </c>
      <c r="C60" s="541">
        <v>3573.4</v>
      </c>
      <c r="D60" s="329">
        <f t="shared" ref="D60:D61" si="9">((C60/B60) -      1)*100</f>
        <v>14.166134185303525</v>
      </c>
      <c r="E60" s="359" t="s">
        <v>410</v>
      </c>
      <c r="F60" s="477" t="s">
        <v>410</v>
      </c>
      <c r="G60" s="329" t="s">
        <v>396</v>
      </c>
      <c r="H60" s="359" t="s">
        <v>410</v>
      </c>
      <c r="I60" s="327" t="s">
        <v>395</v>
      </c>
      <c r="J60" s="1" t="s">
        <v>396</v>
      </c>
    </row>
    <row r="61" spans="1:10" ht="11.1" customHeight="1" x14ac:dyDescent="0.3">
      <c r="A61" s="515" t="s">
        <v>566</v>
      </c>
      <c r="B61" s="541">
        <v>2953.4</v>
      </c>
      <c r="C61" s="541">
        <v>3360</v>
      </c>
      <c r="D61" s="329">
        <f t="shared" si="9"/>
        <v>13.767183585020648</v>
      </c>
      <c r="E61" s="359" t="s">
        <v>410</v>
      </c>
      <c r="F61" s="475">
        <v>2850</v>
      </c>
      <c r="G61" s="329" t="s">
        <v>396</v>
      </c>
      <c r="H61" s="359" t="s">
        <v>410</v>
      </c>
      <c r="I61" s="547">
        <v>2560</v>
      </c>
      <c r="J61" s="1" t="s">
        <v>396</v>
      </c>
    </row>
    <row r="62" spans="1:10" ht="11.1" customHeight="1" x14ac:dyDescent="0.3">
      <c r="A62" s="515" t="s">
        <v>58</v>
      </c>
      <c r="B62" s="467" t="s">
        <v>410</v>
      </c>
      <c r="C62" s="541">
        <v>2900</v>
      </c>
      <c r="D62" s="329" t="s">
        <v>396</v>
      </c>
      <c r="E62" s="359" t="s">
        <v>410</v>
      </c>
      <c r="F62" s="477" t="s">
        <v>410</v>
      </c>
      <c r="G62" s="329" t="s">
        <v>396</v>
      </c>
      <c r="H62" s="359" t="s">
        <v>410</v>
      </c>
      <c r="I62" s="327" t="s">
        <v>395</v>
      </c>
      <c r="J62" s="1" t="s">
        <v>396</v>
      </c>
    </row>
    <row r="63" spans="1:10" ht="12.75" customHeight="1" x14ac:dyDescent="0.3">
      <c r="A63" s="353"/>
      <c r="B63" s="301"/>
      <c r="C63" s="354"/>
      <c r="D63" s="354"/>
      <c r="E63" s="354"/>
      <c r="F63" s="354"/>
      <c r="G63" s="354"/>
      <c r="H63" s="354"/>
      <c r="I63" s="481"/>
      <c r="J63" s="355" t="s">
        <v>26</v>
      </c>
    </row>
    <row r="64" spans="1:10" ht="12.75" customHeight="1" x14ac:dyDescent="0.3">
      <c r="A64" s="750" t="s">
        <v>480</v>
      </c>
      <c r="B64" s="750"/>
      <c r="C64" s="750"/>
      <c r="D64" s="750"/>
      <c r="E64" s="750"/>
      <c r="F64" s="750"/>
      <c r="G64" s="356"/>
      <c r="H64" s="356"/>
      <c r="I64" s="369"/>
      <c r="J64" s="357"/>
    </row>
    <row r="65" spans="1:10" ht="12.9" customHeight="1" x14ac:dyDescent="0.3">
      <c r="A65" s="741" t="s">
        <v>0</v>
      </c>
      <c r="B65" s="743" t="s">
        <v>48</v>
      </c>
      <c r="C65" s="748"/>
      <c r="D65" s="749"/>
      <c r="E65" s="743" t="s">
        <v>415</v>
      </c>
      <c r="F65" s="748"/>
      <c r="G65" s="749"/>
      <c r="H65" s="743" t="s">
        <v>416</v>
      </c>
      <c r="I65" s="748"/>
      <c r="J65" s="749"/>
    </row>
    <row r="66" spans="1:10" ht="12.9" customHeight="1" x14ac:dyDescent="0.3">
      <c r="A66" s="747"/>
      <c r="B66" s="319">
        <v>2024</v>
      </c>
      <c r="C66" s="319">
        <v>2025</v>
      </c>
      <c r="D66" s="319" t="s">
        <v>1</v>
      </c>
      <c r="E66" s="319">
        <v>2024</v>
      </c>
      <c r="F66" s="319">
        <v>2025</v>
      </c>
      <c r="G66" s="319" t="s">
        <v>1</v>
      </c>
      <c r="H66" s="319">
        <v>2024</v>
      </c>
      <c r="I66" s="319">
        <v>2025</v>
      </c>
      <c r="J66" s="319" t="s">
        <v>1</v>
      </c>
    </row>
    <row r="67" spans="1:10" ht="2.25" customHeight="1" x14ac:dyDescent="0.3">
      <c r="A67" s="326"/>
      <c r="B67" s="473"/>
      <c r="C67" s="473"/>
      <c r="D67" s="358"/>
      <c r="E67" s="359"/>
      <c r="F67" s="359"/>
      <c r="G67" s="329"/>
      <c r="H67" s="359"/>
      <c r="I67" s="359"/>
      <c r="J67" s="1"/>
    </row>
    <row r="68" spans="1:10" ht="11.1" customHeight="1" x14ac:dyDescent="0.3">
      <c r="A68" s="519" t="s">
        <v>81</v>
      </c>
      <c r="B68" s="470">
        <f>AVERAGE(B69:B72)</f>
        <v>2958.35</v>
      </c>
      <c r="C68" s="470">
        <f>AVERAGE(C69:C72)</f>
        <v>3282</v>
      </c>
      <c r="D68" s="333">
        <f>((C68/B68) -      1)*100</f>
        <v>10.940220055098294</v>
      </c>
      <c r="E68" s="360" t="s">
        <v>410</v>
      </c>
      <c r="F68" s="478">
        <f>AVERAGE(F69:F72)</f>
        <v>3560</v>
      </c>
      <c r="G68" s="333" t="s">
        <v>396</v>
      </c>
      <c r="H68" s="470">
        <f>AVERAGE(H69:H72)</f>
        <v>800</v>
      </c>
      <c r="I68" s="489">
        <f>AVERAGE(I69:I72)</f>
        <v>850</v>
      </c>
      <c r="J68" s="549">
        <f t="shared" ref="J68:J69" si="10">((I68/H68) -      1)*100</f>
        <v>6.25</v>
      </c>
    </row>
    <row r="69" spans="1:10" ht="11.1" customHeight="1" x14ac:dyDescent="0.3">
      <c r="A69" s="515" t="s">
        <v>411</v>
      </c>
      <c r="B69" s="541">
        <v>3053.4</v>
      </c>
      <c r="C69" s="541">
        <v>3520</v>
      </c>
      <c r="D69" s="329">
        <f t="shared" ref="D69:D71" si="11">((C69/B69) -      1)*100</f>
        <v>15.281325735245943</v>
      </c>
      <c r="E69" s="359" t="s">
        <v>410</v>
      </c>
      <c r="F69" s="475">
        <v>3560</v>
      </c>
      <c r="G69" s="329" t="s">
        <v>396</v>
      </c>
      <c r="H69" s="541">
        <v>800</v>
      </c>
      <c r="I69" s="477">
        <v>850</v>
      </c>
      <c r="J69" s="1">
        <f t="shared" si="10"/>
        <v>6.25</v>
      </c>
    </row>
    <row r="70" spans="1:10" ht="11.1" customHeight="1" x14ac:dyDescent="0.3">
      <c r="A70" s="515" t="s">
        <v>88</v>
      </c>
      <c r="B70" s="541">
        <v>3000</v>
      </c>
      <c r="C70" s="541">
        <v>3320</v>
      </c>
      <c r="D70" s="329">
        <f t="shared" si="11"/>
        <v>10.666666666666668</v>
      </c>
      <c r="E70" s="359"/>
      <c r="F70" s="475"/>
      <c r="G70" s="329"/>
      <c r="H70" s="541"/>
      <c r="I70" s="477"/>
      <c r="J70" s="1"/>
    </row>
    <row r="71" spans="1:10" ht="11.1" customHeight="1" x14ac:dyDescent="0.3">
      <c r="A71" s="515" t="s">
        <v>553</v>
      </c>
      <c r="B71" s="541">
        <v>2880</v>
      </c>
      <c r="C71" s="541">
        <v>3388</v>
      </c>
      <c r="D71" s="329">
        <f t="shared" si="11"/>
        <v>17.638888888888893</v>
      </c>
      <c r="E71" s="359"/>
      <c r="F71" s="475"/>
      <c r="G71" s="329"/>
      <c r="H71" s="541"/>
      <c r="I71" s="477"/>
      <c r="J71" s="1"/>
    </row>
    <row r="72" spans="1:10" ht="11.1" customHeight="1" x14ac:dyDescent="0.3">
      <c r="A72" s="515" t="s">
        <v>555</v>
      </c>
      <c r="B72" s="541">
        <v>2900</v>
      </c>
      <c r="C72" s="541">
        <v>2900</v>
      </c>
      <c r="D72" s="329">
        <f>((C72/B72) -      1)*100</f>
        <v>0</v>
      </c>
      <c r="E72" s="359" t="s">
        <v>410</v>
      </c>
      <c r="F72" s="477" t="s">
        <v>410</v>
      </c>
      <c r="G72" s="329" t="s">
        <v>396</v>
      </c>
      <c r="H72" s="327" t="s">
        <v>395</v>
      </c>
      <c r="I72" s="327" t="s">
        <v>395</v>
      </c>
      <c r="J72" s="1" t="s">
        <v>396</v>
      </c>
    </row>
    <row r="73" spans="1:10" ht="11.1" customHeight="1" x14ac:dyDescent="0.3">
      <c r="A73" s="519" t="s">
        <v>400</v>
      </c>
      <c r="B73" s="470">
        <f t="shared" ref="B73:C73" si="12">AVERAGE(B74:B85)</f>
        <v>2955.181818181818</v>
      </c>
      <c r="C73" s="470">
        <f t="shared" si="12"/>
        <v>3405.15</v>
      </c>
      <c r="D73" s="333">
        <f t="shared" ref="D73:D79" si="13">((C73/B73)  -           1)*100</f>
        <v>15.226412772633591</v>
      </c>
      <c r="E73" s="360" t="s">
        <v>410</v>
      </c>
      <c r="F73" s="478">
        <f>AVERAGE(F74:F85)</f>
        <v>3285</v>
      </c>
      <c r="G73" s="333" t="s">
        <v>49</v>
      </c>
      <c r="H73" s="546">
        <f t="shared" ref="H73:I73" si="14">AVERAGE(H74:H85)</f>
        <v>1200</v>
      </c>
      <c r="I73" s="546">
        <f t="shared" si="14"/>
        <v>1300</v>
      </c>
      <c r="J73" s="333">
        <f>((I73/H73)  -           1)*100</f>
        <v>8.333333333333325</v>
      </c>
    </row>
    <row r="74" spans="1:10" ht="11.1" customHeight="1" x14ac:dyDescent="0.3">
      <c r="A74" s="515" t="s">
        <v>28</v>
      </c>
      <c r="B74" s="541">
        <v>2860</v>
      </c>
      <c r="C74" s="541">
        <v>3280</v>
      </c>
      <c r="D74" s="329">
        <f t="shared" si="13"/>
        <v>14.685314685314687</v>
      </c>
      <c r="E74" s="359" t="s">
        <v>410</v>
      </c>
      <c r="F74" s="475">
        <v>3120</v>
      </c>
      <c r="G74" s="329" t="s">
        <v>49</v>
      </c>
      <c r="H74" s="359" t="s">
        <v>410</v>
      </c>
      <c r="I74" s="327" t="s">
        <v>395</v>
      </c>
      <c r="J74" s="329" t="s">
        <v>49</v>
      </c>
    </row>
    <row r="75" spans="1:10" ht="11.1" customHeight="1" x14ac:dyDescent="0.3">
      <c r="A75" s="515" t="s">
        <v>82</v>
      </c>
      <c r="B75" s="541">
        <v>3200</v>
      </c>
      <c r="C75" s="541">
        <v>3500</v>
      </c>
      <c r="D75" s="329">
        <f t="shared" si="13"/>
        <v>9.375</v>
      </c>
      <c r="E75" s="359" t="s">
        <v>410</v>
      </c>
      <c r="F75" s="477" t="s">
        <v>410</v>
      </c>
      <c r="G75" s="329" t="s">
        <v>49</v>
      </c>
      <c r="H75" s="359" t="s">
        <v>410</v>
      </c>
      <c r="I75" s="327" t="s">
        <v>395</v>
      </c>
      <c r="J75" s="329" t="s">
        <v>49</v>
      </c>
    </row>
    <row r="76" spans="1:10" ht="11.1" customHeight="1" x14ac:dyDescent="0.3">
      <c r="A76" s="515" t="s">
        <v>29</v>
      </c>
      <c r="B76" s="541">
        <v>2810</v>
      </c>
      <c r="C76" s="541">
        <v>3293.4</v>
      </c>
      <c r="D76" s="329">
        <f t="shared" si="13"/>
        <v>17.202846975088981</v>
      </c>
      <c r="E76" s="359" t="s">
        <v>410</v>
      </c>
      <c r="F76" s="477" t="s">
        <v>410</v>
      </c>
      <c r="G76" s="329" t="s">
        <v>49</v>
      </c>
      <c r="H76" s="359" t="s">
        <v>410</v>
      </c>
      <c r="I76" s="327" t="s">
        <v>395</v>
      </c>
      <c r="J76" s="329" t="s">
        <v>49</v>
      </c>
    </row>
    <row r="77" spans="1:10" ht="11.1" customHeight="1" x14ac:dyDescent="0.3">
      <c r="A77" s="515" t="s">
        <v>30</v>
      </c>
      <c r="B77" s="541">
        <v>3240</v>
      </c>
      <c r="C77" s="541">
        <v>3580</v>
      </c>
      <c r="D77" s="329">
        <f t="shared" si="13"/>
        <v>10.493827160493829</v>
      </c>
      <c r="E77" s="477" t="s">
        <v>410</v>
      </c>
      <c r="F77" s="477" t="s">
        <v>410</v>
      </c>
      <c r="G77" s="329" t="s">
        <v>49</v>
      </c>
      <c r="H77" s="359" t="s">
        <v>410</v>
      </c>
      <c r="I77" s="327" t="s">
        <v>395</v>
      </c>
      <c r="J77" s="329" t="s">
        <v>49</v>
      </c>
    </row>
    <row r="78" spans="1:10" ht="11.1" customHeight="1" x14ac:dyDescent="0.3">
      <c r="A78" s="515" t="s">
        <v>64</v>
      </c>
      <c r="B78" s="541">
        <v>2950</v>
      </c>
      <c r="C78" s="541">
        <v>3300</v>
      </c>
      <c r="D78" s="329">
        <f t="shared" si="13"/>
        <v>11.864406779661007</v>
      </c>
      <c r="E78" s="359" t="s">
        <v>410</v>
      </c>
      <c r="F78" s="477" t="s">
        <v>410</v>
      </c>
      <c r="G78" s="329" t="s">
        <v>49</v>
      </c>
      <c r="H78" s="359" t="s">
        <v>410</v>
      </c>
      <c r="I78" s="327" t="s">
        <v>395</v>
      </c>
      <c r="J78" s="329" t="s">
        <v>49</v>
      </c>
    </row>
    <row r="79" spans="1:10" ht="11.1" customHeight="1" x14ac:dyDescent="0.3">
      <c r="A79" s="515" t="s">
        <v>31</v>
      </c>
      <c r="B79" s="541">
        <v>2840</v>
      </c>
      <c r="C79" s="541">
        <v>3373.4</v>
      </c>
      <c r="D79" s="329">
        <f t="shared" si="13"/>
        <v>18.781690140845075</v>
      </c>
      <c r="E79" s="359" t="s">
        <v>410</v>
      </c>
      <c r="F79" s="477" t="s">
        <v>410</v>
      </c>
      <c r="G79" s="329" t="s">
        <v>49</v>
      </c>
      <c r="H79" s="359" t="s">
        <v>410</v>
      </c>
      <c r="I79" s="327" t="s">
        <v>395</v>
      </c>
      <c r="J79" s="329" t="s">
        <v>49</v>
      </c>
    </row>
    <row r="80" spans="1:10" ht="11.1" customHeight="1" x14ac:dyDescent="0.3">
      <c r="A80" s="515" t="s">
        <v>54</v>
      </c>
      <c r="B80" s="467" t="s">
        <v>410</v>
      </c>
      <c r="C80" s="541">
        <v>3226.6</v>
      </c>
      <c r="D80" s="329" t="s">
        <v>396</v>
      </c>
      <c r="E80" s="359" t="s">
        <v>410</v>
      </c>
      <c r="F80" s="477" t="s">
        <v>410</v>
      </c>
      <c r="G80" s="329" t="s">
        <v>49</v>
      </c>
      <c r="H80" s="359" t="s">
        <v>410</v>
      </c>
      <c r="I80" s="327" t="s">
        <v>395</v>
      </c>
      <c r="J80" s="329" t="s">
        <v>49</v>
      </c>
    </row>
    <row r="81" spans="1:10" ht="11.1" customHeight="1" x14ac:dyDescent="0.3">
      <c r="A81" s="515" t="s">
        <v>83</v>
      </c>
      <c r="B81" s="541">
        <v>3000</v>
      </c>
      <c r="C81" s="541">
        <v>3750</v>
      </c>
      <c r="D81" s="526">
        <f>((C81/B81)  -           1)*100</f>
        <v>25</v>
      </c>
      <c r="E81" s="359" t="s">
        <v>410</v>
      </c>
      <c r="F81" s="475">
        <v>3450</v>
      </c>
      <c r="G81" s="329" t="s">
        <v>49</v>
      </c>
      <c r="H81" s="359" t="s">
        <v>410</v>
      </c>
      <c r="I81" s="327" t="s">
        <v>395</v>
      </c>
      <c r="J81" s="329" t="s">
        <v>49</v>
      </c>
    </row>
    <row r="82" spans="1:10" ht="11.1" customHeight="1" x14ac:dyDescent="0.3">
      <c r="A82" s="515" t="s">
        <v>32</v>
      </c>
      <c r="B82" s="541">
        <v>2805</v>
      </c>
      <c r="C82" s="541">
        <v>3360</v>
      </c>
      <c r="D82" s="526">
        <f>((C82/B82)  -           1)*100</f>
        <v>19.78609625668448</v>
      </c>
      <c r="E82" s="359" t="s">
        <v>410</v>
      </c>
      <c r="F82" s="477" t="s">
        <v>410</v>
      </c>
      <c r="G82" s="329" t="s">
        <v>49</v>
      </c>
      <c r="H82" s="359" t="s">
        <v>410</v>
      </c>
      <c r="I82" s="327" t="s">
        <v>395</v>
      </c>
      <c r="J82" s="329" t="s">
        <v>49</v>
      </c>
    </row>
    <row r="83" spans="1:10" ht="11.1" customHeight="1" x14ac:dyDescent="0.3">
      <c r="A83" s="515" t="s">
        <v>33</v>
      </c>
      <c r="B83" s="541">
        <v>3050</v>
      </c>
      <c r="C83" s="541">
        <v>3433.4</v>
      </c>
      <c r="D83" s="526">
        <f>((C83/B83)  -           1)*100</f>
        <v>12.570491803278694</v>
      </c>
      <c r="E83" s="359" t="s">
        <v>410</v>
      </c>
      <c r="F83" s="477" t="s">
        <v>410</v>
      </c>
      <c r="G83" s="329" t="s">
        <v>49</v>
      </c>
      <c r="H83" s="359" t="s">
        <v>410</v>
      </c>
      <c r="I83" s="327" t="s">
        <v>395</v>
      </c>
      <c r="J83" s="329" t="s">
        <v>49</v>
      </c>
    </row>
    <row r="84" spans="1:10" ht="11.1" customHeight="1" x14ac:dyDescent="0.3">
      <c r="A84" s="515" t="s">
        <v>34</v>
      </c>
      <c r="B84" s="541">
        <v>2852</v>
      </c>
      <c r="C84" s="541">
        <v>3365</v>
      </c>
      <c r="D84" s="526">
        <f>((C84/B84)  -           1)*100</f>
        <v>17.987377279102379</v>
      </c>
      <c r="E84" s="359" t="s">
        <v>410</v>
      </c>
      <c r="F84" s="477" t="s">
        <v>410</v>
      </c>
      <c r="G84" s="329" t="s">
        <v>49</v>
      </c>
      <c r="H84" s="541">
        <v>1200</v>
      </c>
      <c r="I84" s="541">
        <v>1300</v>
      </c>
      <c r="J84" s="529">
        <f>((I84/H84)  -           1)*100</f>
        <v>8.333333333333325</v>
      </c>
    </row>
    <row r="85" spans="1:10" ht="11.1" customHeight="1" x14ac:dyDescent="0.3">
      <c r="A85" s="515" t="s">
        <v>66</v>
      </c>
      <c r="B85" s="541">
        <v>2900</v>
      </c>
      <c r="C85" s="541">
        <v>3400</v>
      </c>
      <c r="D85" s="526">
        <f>((C85/B85)  -           1)*100</f>
        <v>17.241379310344819</v>
      </c>
      <c r="E85" s="359" t="s">
        <v>410</v>
      </c>
      <c r="F85" s="477" t="s">
        <v>410</v>
      </c>
      <c r="G85" s="329" t="s">
        <v>49</v>
      </c>
      <c r="H85" s="359" t="s">
        <v>410</v>
      </c>
      <c r="I85" s="327" t="s">
        <v>395</v>
      </c>
      <c r="J85" s="529" t="s">
        <v>396</v>
      </c>
    </row>
    <row r="86" spans="1:10" ht="11.1" customHeight="1" x14ac:dyDescent="0.3">
      <c r="A86" s="517" t="s">
        <v>35</v>
      </c>
      <c r="B86" s="470">
        <f>AVERAGE(B87:B89)</f>
        <v>3086.6666666666665</v>
      </c>
      <c r="C86" s="470">
        <f>AVERAGE(C87:C89)</f>
        <v>3410</v>
      </c>
      <c r="D86" s="549">
        <f>((C86/B86) -     1)*100</f>
        <v>10.475161987041037</v>
      </c>
      <c r="E86" s="478">
        <f>AVERAGE(E87:E89)</f>
        <v>3120</v>
      </c>
      <c r="F86" s="478">
        <f>AVERAGE(F87:F89)</f>
        <v>3066.6666666666665</v>
      </c>
      <c r="G86" s="333">
        <f>((F86/E86) -     1)*100</f>
        <v>-1.7094017094017144</v>
      </c>
      <c r="H86" s="360" t="s">
        <v>410</v>
      </c>
      <c r="I86" s="330" t="s">
        <v>395</v>
      </c>
      <c r="J86" s="549" t="s">
        <v>396</v>
      </c>
    </row>
    <row r="87" spans="1:10" ht="11.1" customHeight="1" x14ac:dyDescent="0.3">
      <c r="A87" s="515" t="s">
        <v>36</v>
      </c>
      <c r="B87" s="541">
        <v>2965</v>
      </c>
      <c r="C87" s="541">
        <v>3370</v>
      </c>
      <c r="D87" s="529">
        <f>((C87/B87) -     1)*100</f>
        <v>13.659359190556497</v>
      </c>
      <c r="E87" s="475">
        <v>3005</v>
      </c>
      <c r="F87" s="475">
        <v>3030</v>
      </c>
      <c r="G87" s="329">
        <f>((F87/E87) -     1)*100</f>
        <v>0.83194675540765317</v>
      </c>
      <c r="H87" s="359" t="s">
        <v>410</v>
      </c>
      <c r="I87" s="327" t="s">
        <v>395</v>
      </c>
      <c r="J87" s="529" t="s">
        <v>396</v>
      </c>
    </row>
    <row r="88" spans="1:10" ht="11.1" customHeight="1" x14ac:dyDescent="0.3">
      <c r="A88" s="515" t="s">
        <v>37</v>
      </c>
      <c r="B88" s="541">
        <v>3215</v>
      </c>
      <c r="C88" s="541">
        <v>3470</v>
      </c>
      <c r="D88" s="529">
        <f>((C88/B88) -     1)*100</f>
        <v>7.9315707620528864</v>
      </c>
      <c r="E88" s="475">
        <v>3245</v>
      </c>
      <c r="F88" s="475">
        <v>3130</v>
      </c>
      <c r="G88" s="329">
        <f>((F88/E88) -     1)*100</f>
        <v>-3.5439137134052334</v>
      </c>
      <c r="H88" s="359" t="s">
        <v>410</v>
      </c>
      <c r="I88" s="327" t="s">
        <v>395</v>
      </c>
      <c r="J88" s="529" t="s">
        <v>396</v>
      </c>
    </row>
    <row r="89" spans="1:10" ht="11.1" customHeight="1" x14ac:dyDescent="0.3">
      <c r="A89" s="515" t="s">
        <v>38</v>
      </c>
      <c r="B89" s="541">
        <v>3080</v>
      </c>
      <c r="C89" s="541">
        <v>3390</v>
      </c>
      <c r="D89" s="529">
        <f>((C89/B89) -     1)*100</f>
        <v>10.064935064935066</v>
      </c>
      <c r="E89" s="475">
        <v>3110</v>
      </c>
      <c r="F89" s="475">
        <v>3040</v>
      </c>
      <c r="G89" s="329">
        <f t="shared" ref="G89:G90" si="15">((F89/E89) -     1)*100</f>
        <v>-2.2508038585209</v>
      </c>
      <c r="H89" s="359" t="s">
        <v>410</v>
      </c>
      <c r="I89" s="327" t="s">
        <v>395</v>
      </c>
      <c r="J89" s="529" t="s">
        <v>396</v>
      </c>
    </row>
    <row r="90" spans="1:10" ht="11.1" customHeight="1" x14ac:dyDescent="0.3">
      <c r="A90" s="517" t="s">
        <v>187</v>
      </c>
      <c r="B90" s="470">
        <v>3218.4</v>
      </c>
      <c r="C90" s="470">
        <v>2730</v>
      </c>
      <c r="D90" s="549">
        <f>((C90/B90) -     1)*100</f>
        <v>-15.175242356450413</v>
      </c>
      <c r="E90" s="478">
        <v>2912.6</v>
      </c>
      <c r="F90" s="478">
        <v>2380</v>
      </c>
      <c r="G90" s="333">
        <f t="shared" si="15"/>
        <v>-18.286067431161158</v>
      </c>
      <c r="H90" s="360" t="s">
        <v>410</v>
      </c>
      <c r="I90" s="470">
        <v>2040</v>
      </c>
      <c r="J90" s="549" t="s">
        <v>396</v>
      </c>
    </row>
    <row r="91" spans="1:10" ht="11.1" customHeight="1" x14ac:dyDescent="0.3">
      <c r="A91" s="517" t="s">
        <v>560</v>
      </c>
      <c r="B91" s="470">
        <f>AVERAGE(B92)</f>
        <v>3437.6</v>
      </c>
      <c r="C91" s="470">
        <f>AVERAGE(C92)</f>
        <v>3412</v>
      </c>
      <c r="D91" s="525">
        <f t="shared" ref="D91" si="16">((C91/B91) -     1)*100</f>
        <v>-0.74470560856411128</v>
      </c>
      <c r="E91" s="360" t="s">
        <v>410</v>
      </c>
      <c r="F91" s="489" t="s">
        <v>410</v>
      </c>
      <c r="G91" s="333" t="s">
        <v>49</v>
      </c>
      <c r="H91" s="470">
        <f>AVERAGE(H92)</f>
        <v>1177.8</v>
      </c>
      <c r="I91" s="470">
        <f>AVERAGE(I92)</f>
        <v>1216</v>
      </c>
      <c r="J91" s="549">
        <f>((I91/H91)  -           1)*100</f>
        <v>3.243335031414496</v>
      </c>
    </row>
    <row r="92" spans="1:10" ht="11.1" customHeight="1" x14ac:dyDescent="0.3">
      <c r="A92" s="515" t="s">
        <v>563</v>
      </c>
      <c r="B92" s="541">
        <v>3437.6</v>
      </c>
      <c r="C92" s="541">
        <v>3412</v>
      </c>
      <c r="D92" s="526">
        <f>((C92/B92) -     1)*100</f>
        <v>-0.74470560856411128</v>
      </c>
      <c r="E92" s="359" t="s">
        <v>410</v>
      </c>
      <c r="F92" s="477" t="s">
        <v>410</v>
      </c>
      <c r="G92" s="329" t="s">
        <v>49</v>
      </c>
      <c r="H92" s="541">
        <v>1177.8</v>
      </c>
      <c r="I92" s="541">
        <v>1216</v>
      </c>
      <c r="J92" s="529">
        <f>((I92/H92)  -           1)*100</f>
        <v>3.243335031414496</v>
      </c>
    </row>
    <row r="93" spans="1:10" ht="11.1" customHeight="1" x14ac:dyDescent="0.3">
      <c r="A93" s="517" t="s">
        <v>192</v>
      </c>
      <c r="B93" s="470">
        <f>AVERAGE(B94:B95)</f>
        <v>3573.3</v>
      </c>
      <c r="C93" s="470">
        <f>AVERAGE(C94:C95)</f>
        <v>3450</v>
      </c>
      <c r="D93" s="525">
        <f t="shared" ref="D93:D95" si="17">((C93/B93) -     1)*100</f>
        <v>-3.450591889849719</v>
      </c>
      <c r="E93" s="478">
        <f>AVERAGE(E94:E95)</f>
        <v>2480</v>
      </c>
      <c r="F93" s="478">
        <f>AVERAGE(F94:F95)</f>
        <v>2500</v>
      </c>
      <c r="G93" s="333" t="s">
        <v>49</v>
      </c>
      <c r="H93" s="360" t="s">
        <v>410</v>
      </c>
      <c r="I93" s="470">
        <f>AVERAGE(I94:I95)</f>
        <v>1200</v>
      </c>
      <c r="J93" s="549" t="s">
        <v>396</v>
      </c>
    </row>
    <row r="94" spans="1:10" ht="11.1" customHeight="1" x14ac:dyDescent="0.3">
      <c r="A94" s="515" t="s">
        <v>194</v>
      </c>
      <c r="B94" s="541">
        <v>4100</v>
      </c>
      <c r="C94" s="541">
        <v>3500</v>
      </c>
      <c r="D94" s="526">
        <f>((C94/B94) -     1)*100</f>
        <v>-14.634146341463417</v>
      </c>
      <c r="E94" s="359" t="s">
        <v>410</v>
      </c>
      <c r="F94" s="477" t="s">
        <v>410</v>
      </c>
      <c r="G94" s="329" t="s">
        <v>49</v>
      </c>
      <c r="H94" s="359" t="s">
        <v>410</v>
      </c>
      <c r="I94" s="327" t="s">
        <v>395</v>
      </c>
      <c r="J94" s="529" t="s">
        <v>396</v>
      </c>
    </row>
    <row r="95" spans="1:10" ht="11.1" customHeight="1" x14ac:dyDescent="0.3">
      <c r="A95" s="515" t="s">
        <v>195</v>
      </c>
      <c r="B95" s="541">
        <v>3046.6</v>
      </c>
      <c r="C95" s="541">
        <v>3400</v>
      </c>
      <c r="D95" s="526">
        <f t="shared" si="17"/>
        <v>11.599816188538048</v>
      </c>
      <c r="E95" s="475">
        <v>2480</v>
      </c>
      <c r="F95" s="475">
        <v>2500</v>
      </c>
      <c r="G95" s="329" t="s">
        <v>49</v>
      </c>
      <c r="H95" s="359" t="s">
        <v>410</v>
      </c>
      <c r="I95" s="541">
        <v>1200</v>
      </c>
      <c r="J95" s="529" t="s">
        <v>396</v>
      </c>
    </row>
    <row r="96" spans="1:10" ht="11.1" customHeight="1" x14ac:dyDescent="0.3">
      <c r="A96" s="517" t="s">
        <v>39</v>
      </c>
      <c r="B96" s="470">
        <f>AVERAGE(B97:B99)</f>
        <v>3443.3333333333335</v>
      </c>
      <c r="C96" s="470">
        <f>AVERAGE(C97:C99)</f>
        <v>3281.7999999999997</v>
      </c>
      <c r="D96" s="549">
        <f t="shared" ref="D96:D118" si="18">((C96/B96)  -           1)*100</f>
        <v>-4.6911907066795822</v>
      </c>
      <c r="E96" s="478">
        <f>AVERAGE(E97:E99)</f>
        <v>2991.7</v>
      </c>
      <c r="F96" s="478">
        <f>AVERAGE(F97:F99)</f>
        <v>2847.5</v>
      </c>
      <c r="G96" s="333">
        <f>((F96/E96)  -           1)*100</f>
        <v>-4.8200020055486732</v>
      </c>
      <c r="H96" s="470">
        <f>AVERAGE(H97:H99)</f>
        <v>900</v>
      </c>
      <c r="I96" s="489">
        <f>AVERAGE(I97:I99)</f>
        <v>867.2</v>
      </c>
      <c r="J96" s="525">
        <f>((I96/H96)  -           1)*100</f>
        <v>-3.644444444444439</v>
      </c>
    </row>
    <row r="97" spans="1:10" ht="11.1" customHeight="1" x14ac:dyDescent="0.3">
      <c r="A97" s="515" t="s">
        <v>401</v>
      </c>
      <c r="B97" s="541">
        <v>3200</v>
      </c>
      <c r="C97" s="541">
        <v>3200</v>
      </c>
      <c r="D97" s="529">
        <f>((C97/B97)  -           1)*100</f>
        <v>0</v>
      </c>
      <c r="E97" s="359" t="s">
        <v>410</v>
      </c>
      <c r="F97" s="475">
        <v>2700</v>
      </c>
      <c r="G97" s="329" t="s">
        <v>49</v>
      </c>
      <c r="H97" s="359" t="s">
        <v>410</v>
      </c>
      <c r="I97" s="327" t="s">
        <v>395</v>
      </c>
      <c r="J97" s="529" t="s">
        <v>396</v>
      </c>
    </row>
    <row r="98" spans="1:10" ht="11.1" customHeight="1" x14ac:dyDescent="0.3">
      <c r="A98" s="515" t="s">
        <v>40</v>
      </c>
      <c r="B98" s="541">
        <v>3805</v>
      </c>
      <c r="C98" s="541">
        <v>3205.4</v>
      </c>
      <c r="D98" s="529">
        <f t="shared" si="18"/>
        <v>-15.758212877792378</v>
      </c>
      <c r="E98" s="475">
        <v>2973.4</v>
      </c>
      <c r="F98" s="475">
        <v>2650</v>
      </c>
      <c r="G98" s="329">
        <f>((F98/E98)  -           1)*100</f>
        <v>-10.876437748032563</v>
      </c>
      <c r="H98" s="541">
        <v>900</v>
      </c>
      <c r="I98" s="477">
        <v>867.2</v>
      </c>
      <c r="J98" s="529">
        <v>-3.644444444444439</v>
      </c>
    </row>
    <row r="99" spans="1:10" ht="11.1" customHeight="1" x14ac:dyDescent="0.3">
      <c r="A99" s="515" t="s">
        <v>41</v>
      </c>
      <c r="B99" s="541">
        <v>3325</v>
      </c>
      <c r="C99" s="541">
        <v>3440</v>
      </c>
      <c r="D99" s="529">
        <f t="shared" si="18"/>
        <v>3.458646616541361</v>
      </c>
      <c r="E99" s="475">
        <v>3010</v>
      </c>
      <c r="F99" s="475">
        <v>3192.5</v>
      </c>
      <c r="G99" s="329">
        <f>((F99/E99)  -           1)*100</f>
        <v>6.0631229235880379</v>
      </c>
      <c r="H99" s="359" t="s">
        <v>410</v>
      </c>
      <c r="I99" s="327" t="s">
        <v>395</v>
      </c>
      <c r="J99" s="529" t="s">
        <v>396</v>
      </c>
    </row>
    <row r="100" spans="1:10" ht="11.1" customHeight="1" x14ac:dyDescent="0.3">
      <c r="A100" s="519" t="s">
        <v>42</v>
      </c>
      <c r="B100" s="470">
        <f>AVERAGE(B101:B102)</f>
        <v>3516.7</v>
      </c>
      <c r="C100" s="470">
        <f>AVERAGE(C101:C102)</f>
        <v>3100</v>
      </c>
      <c r="D100" s="549">
        <f t="shared" si="18"/>
        <v>-11.84917678505416</v>
      </c>
      <c r="E100" s="360" t="s">
        <v>410</v>
      </c>
      <c r="F100" s="489" t="s">
        <v>410</v>
      </c>
      <c r="G100" s="333" t="s">
        <v>49</v>
      </c>
      <c r="H100" s="360" t="s">
        <v>410</v>
      </c>
      <c r="I100" s="330" t="s">
        <v>395</v>
      </c>
      <c r="J100" s="549" t="s">
        <v>396</v>
      </c>
    </row>
    <row r="101" spans="1:10" ht="11.1" customHeight="1" x14ac:dyDescent="0.3">
      <c r="A101" s="515" t="s">
        <v>44</v>
      </c>
      <c r="B101" s="541">
        <v>4133.3999999999996</v>
      </c>
      <c r="C101" s="541">
        <v>3200</v>
      </c>
      <c r="D101" s="529">
        <f t="shared" si="18"/>
        <v>-22.58189384042192</v>
      </c>
      <c r="E101" s="359" t="s">
        <v>410</v>
      </c>
      <c r="F101" s="477" t="s">
        <v>410</v>
      </c>
      <c r="G101" s="329" t="s">
        <v>49</v>
      </c>
      <c r="H101" s="359" t="s">
        <v>410</v>
      </c>
      <c r="I101" s="327" t="s">
        <v>395</v>
      </c>
      <c r="J101" s="529" t="s">
        <v>396</v>
      </c>
    </row>
    <row r="102" spans="1:10" ht="11.1" customHeight="1" x14ac:dyDescent="0.3">
      <c r="A102" s="515" t="s">
        <v>414</v>
      </c>
      <c r="B102" s="541">
        <v>2900</v>
      </c>
      <c r="C102" s="541">
        <v>3000</v>
      </c>
      <c r="D102" s="529">
        <f t="shared" si="18"/>
        <v>3.4482758620689724</v>
      </c>
      <c r="E102" s="477" t="s">
        <v>410</v>
      </c>
      <c r="F102" s="477" t="s">
        <v>410</v>
      </c>
      <c r="G102" s="329" t="s">
        <v>49</v>
      </c>
      <c r="H102" s="359" t="s">
        <v>410</v>
      </c>
      <c r="I102" s="327" t="s">
        <v>395</v>
      </c>
      <c r="J102" s="529" t="s">
        <v>396</v>
      </c>
    </row>
    <row r="103" spans="1:10" ht="11.1" customHeight="1" x14ac:dyDescent="0.3">
      <c r="A103" s="379" t="s">
        <v>196</v>
      </c>
      <c r="B103" s="406" t="s">
        <v>410</v>
      </c>
      <c r="C103" s="470">
        <f>AVERAGE(C104:C109)</f>
        <v>3098</v>
      </c>
      <c r="D103" s="411" t="s">
        <v>49</v>
      </c>
      <c r="E103" s="406" t="s">
        <v>410</v>
      </c>
      <c r="F103" s="478">
        <f>AVERAGE(F104:F109)</f>
        <v>2722.3333333333335</v>
      </c>
      <c r="G103" s="411" t="s">
        <v>49</v>
      </c>
      <c r="H103" s="360" t="s">
        <v>410</v>
      </c>
      <c r="I103" s="470">
        <f>AVERAGE(I104:I109)</f>
        <v>1726.6666666666667</v>
      </c>
      <c r="J103" s="549" t="s">
        <v>396</v>
      </c>
    </row>
    <row r="104" spans="1:10" ht="11.1" customHeight="1" x14ac:dyDescent="0.3">
      <c r="A104" s="326" t="s">
        <v>204</v>
      </c>
      <c r="B104" s="398" t="s">
        <v>410</v>
      </c>
      <c r="C104" s="541">
        <v>3200</v>
      </c>
      <c r="D104" s="399" t="s">
        <v>49</v>
      </c>
      <c r="E104" s="359" t="s">
        <v>410</v>
      </c>
      <c r="F104" s="477" t="s">
        <v>410</v>
      </c>
      <c r="G104" s="329" t="s">
        <v>49</v>
      </c>
      <c r="H104" s="359" t="s">
        <v>410</v>
      </c>
      <c r="I104" s="477" t="s">
        <v>410</v>
      </c>
      <c r="J104" s="529" t="s">
        <v>396</v>
      </c>
    </row>
    <row r="105" spans="1:10" ht="11.1" customHeight="1" x14ac:dyDescent="0.3">
      <c r="A105" s="326" t="s">
        <v>198</v>
      </c>
      <c r="B105" s="398" t="s">
        <v>410</v>
      </c>
      <c r="C105" s="541">
        <v>2400</v>
      </c>
      <c r="D105" s="399" t="s">
        <v>49</v>
      </c>
      <c r="E105" s="359" t="s">
        <v>410</v>
      </c>
      <c r="F105" s="475">
        <v>2800</v>
      </c>
      <c r="G105" s="329" t="s">
        <v>49</v>
      </c>
      <c r="H105" s="359" t="s">
        <v>410</v>
      </c>
      <c r="I105" s="477" t="s">
        <v>410</v>
      </c>
      <c r="J105" s="529" t="s">
        <v>396</v>
      </c>
    </row>
    <row r="106" spans="1:10" ht="11.1" customHeight="1" x14ac:dyDescent="0.3">
      <c r="A106" s="326" t="s">
        <v>557</v>
      </c>
      <c r="B106" s="398" t="s">
        <v>410</v>
      </c>
      <c r="C106" s="541">
        <v>3500</v>
      </c>
      <c r="D106" s="399" t="s">
        <v>49</v>
      </c>
      <c r="E106" s="398" t="s">
        <v>410</v>
      </c>
      <c r="F106" s="475">
        <v>2800</v>
      </c>
      <c r="G106" s="399" t="s">
        <v>49</v>
      </c>
      <c r="H106" s="359" t="s">
        <v>410</v>
      </c>
      <c r="I106" s="541">
        <v>2600</v>
      </c>
      <c r="J106" s="529" t="s">
        <v>396</v>
      </c>
    </row>
    <row r="107" spans="1:10" ht="11.1" customHeight="1" x14ac:dyDescent="0.3">
      <c r="A107" s="326" t="s">
        <v>65</v>
      </c>
      <c r="B107" s="398" t="s">
        <v>410</v>
      </c>
      <c r="C107" s="541">
        <v>3320</v>
      </c>
      <c r="D107" s="399" t="s">
        <v>49</v>
      </c>
      <c r="E107" s="359" t="s">
        <v>410</v>
      </c>
      <c r="F107" s="477" t="s">
        <v>410</v>
      </c>
      <c r="G107" s="329" t="s">
        <v>49</v>
      </c>
      <c r="H107" s="359" t="s">
        <v>410</v>
      </c>
      <c r="I107" s="541">
        <v>1280</v>
      </c>
      <c r="J107" s="529" t="s">
        <v>396</v>
      </c>
    </row>
    <row r="108" spans="1:10" ht="11.1" customHeight="1" x14ac:dyDescent="0.3">
      <c r="A108" s="326" t="s">
        <v>199</v>
      </c>
      <c r="B108" s="398" t="s">
        <v>410</v>
      </c>
      <c r="C108" s="541">
        <v>3035</v>
      </c>
      <c r="D108" s="399" t="s">
        <v>49</v>
      </c>
      <c r="E108" s="398" t="s">
        <v>410</v>
      </c>
      <c r="F108" s="398" t="s">
        <v>410</v>
      </c>
      <c r="G108" s="399" t="s">
        <v>49</v>
      </c>
      <c r="H108" s="359" t="s">
        <v>410</v>
      </c>
      <c r="I108" s="541">
        <v>1300</v>
      </c>
      <c r="J108" s="529" t="s">
        <v>396</v>
      </c>
    </row>
    <row r="109" spans="1:10" ht="11.1" customHeight="1" x14ac:dyDescent="0.3">
      <c r="A109" s="326" t="s">
        <v>197</v>
      </c>
      <c r="B109" s="398" t="s">
        <v>410</v>
      </c>
      <c r="C109" s="541">
        <v>3133</v>
      </c>
      <c r="D109" s="399" t="s">
        <v>49</v>
      </c>
      <c r="E109" s="398" t="s">
        <v>410</v>
      </c>
      <c r="F109" s="475">
        <v>2567</v>
      </c>
      <c r="G109" s="399" t="s">
        <v>49</v>
      </c>
      <c r="H109" s="359" t="s">
        <v>410</v>
      </c>
      <c r="I109" s="327" t="s">
        <v>395</v>
      </c>
      <c r="J109" s="529" t="s">
        <v>396</v>
      </c>
    </row>
    <row r="110" spans="1:10" ht="11.1" customHeight="1" x14ac:dyDescent="0.3">
      <c r="A110" s="519" t="s">
        <v>84</v>
      </c>
      <c r="B110" s="470">
        <f>AVERAGE(B111:B113)</f>
        <v>3075</v>
      </c>
      <c r="C110" s="470">
        <f>AVERAGE(C111:C113)</f>
        <v>3605</v>
      </c>
      <c r="D110" s="549">
        <f t="shared" si="18"/>
        <v>17.235772357723576</v>
      </c>
      <c r="E110" s="489" t="s">
        <v>410</v>
      </c>
      <c r="F110" s="489" t="s">
        <v>410</v>
      </c>
      <c r="G110" s="333" t="s">
        <v>49</v>
      </c>
      <c r="H110" s="470">
        <f>AVERAGE(H111:H113)</f>
        <v>850</v>
      </c>
      <c r="I110" s="470">
        <f>AVERAGE(I111:I113)</f>
        <v>1100</v>
      </c>
      <c r="J110" s="549">
        <v>-3.644444444444439</v>
      </c>
    </row>
    <row r="111" spans="1:10" ht="11.1" customHeight="1" x14ac:dyDescent="0.3">
      <c r="A111" s="515" t="s">
        <v>481</v>
      </c>
      <c r="B111" s="541">
        <v>3100</v>
      </c>
      <c r="C111" s="541">
        <v>3700</v>
      </c>
      <c r="D111" s="529">
        <f t="shared" si="18"/>
        <v>19.354838709677423</v>
      </c>
      <c r="E111" s="359" t="s">
        <v>410</v>
      </c>
      <c r="F111" s="477" t="s">
        <v>410</v>
      </c>
      <c r="G111" s="329" t="s">
        <v>49</v>
      </c>
      <c r="H111" s="359" t="s">
        <v>410</v>
      </c>
      <c r="I111" s="327" t="s">
        <v>395</v>
      </c>
      <c r="J111" s="529" t="s">
        <v>396</v>
      </c>
    </row>
    <row r="112" spans="1:10" ht="11.1" customHeight="1" x14ac:dyDescent="0.3">
      <c r="A112" s="515" t="s">
        <v>558</v>
      </c>
      <c r="B112" s="398" t="s">
        <v>410</v>
      </c>
      <c r="C112" s="398" t="s">
        <v>410</v>
      </c>
      <c r="D112" s="399" t="s">
        <v>49</v>
      </c>
      <c r="E112" s="359" t="s">
        <v>410</v>
      </c>
      <c r="F112" s="477" t="s">
        <v>410</v>
      </c>
      <c r="G112" s="329" t="s">
        <v>49</v>
      </c>
      <c r="H112" s="541">
        <v>850</v>
      </c>
      <c r="I112" s="541">
        <v>1100</v>
      </c>
      <c r="J112" s="529">
        <v>-3.644444444444439</v>
      </c>
    </row>
    <row r="113" spans="1:10" ht="11.1" customHeight="1" x14ac:dyDescent="0.3">
      <c r="A113" s="515" t="s">
        <v>60</v>
      </c>
      <c r="B113" s="541">
        <v>3050</v>
      </c>
      <c r="C113" s="541">
        <v>3510</v>
      </c>
      <c r="D113" s="529">
        <f t="shared" ref="D113" si="19">((C113/B113)  -           1)*100</f>
        <v>15.081967213114744</v>
      </c>
      <c r="E113" s="359" t="s">
        <v>410</v>
      </c>
      <c r="F113" s="477" t="s">
        <v>410</v>
      </c>
      <c r="G113" s="329" t="s">
        <v>49</v>
      </c>
      <c r="H113" s="359" t="s">
        <v>410</v>
      </c>
      <c r="I113" s="327" t="s">
        <v>395</v>
      </c>
      <c r="J113" s="529" t="s">
        <v>396</v>
      </c>
    </row>
    <row r="114" spans="1:10" ht="11.1" customHeight="1" x14ac:dyDescent="0.3">
      <c r="A114" s="514" t="s">
        <v>89</v>
      </c>
      <c r="B114" s="470">
        <f>AVERAGE(B115:B117)</f>
        <v>3000</v>
      </c>
      <c r="C114" s="470">
        <f>AVERAGE(C115:C117)</f>
        <v>3070</v>
      </c>
      <c r="D114" s="333">
        <f t="shared" si="18"/>
        <v>2.3333333333333428</v>
      </c>
      <c r="E114" s="360" t="s">
        <v>410</v>
      </c>
      <c r="F114" s="489">
        <f>AVERAGE(F115:F117)</f>
        <v>2900</v>
      </c>
      <c r="G114" s="333" t="s">
        <v>49</v>
      </c>
      <c r="H114" s="360" t="s">
        <v>410</v>
      </c>
      <c r="I114" s="330" t="s">
        <v>395</v>
      </c>
      <c r="J114" s="549" t="s">
        <v>396</v>
      </c>
    </row>
    <row r="115" spans="1:10" ht="11.1" customHeight="1" x14ac:dyDescent="0.3">
      <c r="A115" s="515" t="s">
        <v>450</v>
      </c>
      <c r="B115" s="398" t="s">
        <v>410</v>
      </c>
      <c r="C115" s="541">
        <v>3120</v>
      </c>
      <c r="D115" s="329" t="s">
        <v>396</v>
      </c>
      <c r="E115" s="359" t="s">
        <v>410</v>
      </c>
      <c r="F115" s="477" t="s">
        <v>410</v>
      </c>
      <c r="G115" s="329" t="s">
        <v>49</v>
      </c>
      <c r="H115" s="359" t="s">
        <v>410</v>
      </c>
      <c r="I115" s="327" t="s">
        <v>395</v>
      </c>
      <c r="J115" s="529" t="s">
        <v>396</v>
      </c>
    </row>
    <row r="116" spans="1:10" ht="11.1" customHeight="1" x14ac:dyDescent="0.3">
      <c r="A116" s="515" t="s">
        <v>559</v>
      </c>
      <c r="B116" s="398" t="s">
        <v>410</v>
      </c>
      <c r="C116" s="541">
        <v>3050</v>
      </c>
      <c r="D116" s="329" t="s">
        <v>396</v>
      </c>
      <c r="E116" s="359" t="s">
        <v>410</v>
      </c>
      <c r="F116" s="477" t="s">
        <v>410</v>
      </c>
      <c r="G116" s="329" t="s">
        <v>49</v>
      </c>
      <c r="H116" s="359" t="s">
        <v>410</v>
      </c>
      <c r="I116" s="327" t="s">
        <v>395</v>
      </c>
      <c r="J116" s="529" t="s">
        <v>396</v>
      </c>
    </row>
    <row r="117" spans="1:10" ht="11.1" customHeight="1" x14ac:dyDescent="0.3">
      <c r="A117" s="515" t="s">
        <v>90</v>
      </c>
      <c r="B117" s="541">
        <v>3000</v>
      </c>
      <c r="C117" s="541">
        <v>3040</v>
      </c>
      <c r="D117" s="516" t="s">
        <v>396</v>
      </c>
      <c r="E117" s="359" t="s">
        <v>410</v>
      </c>
      <c r="F117" s="477">
        <v>2900</v>
      </c>
      <c r="G117" s="329" t="s">
        <v>49</v>
      </c>
      <c r="H117" s="359" t="s">
        <v>410</v>
      </c>
      <c r="I117" s="327" t="s">
        <v>395</v>
      </c>
      <c r="J117" s="1" t="s">
        <v>396</v>
      </c>
    </row>
    <row r="118" spans="1:10" ht="11.1" customHeight="1" x14ac:dyDescent="0.3">
      <c r="A118" s="514" t="s">
        <v>71</v>
      </c>
      <c r="B118" s="470">
        <f>AVERAGE(B119:B121)</f>
        <v>3110</v>
      </c>
      <c r="C118" s="470">
        <f>AVERAGE(C119:C121)</f>
        <v>3180</v>
      </c>
      <c r="D118" s="549">
        <f t="shared" si="18"/>
        <v>2.2508038585209</v>
      </c>
      <c r="E118" s="360" t="s">
        <v>410</v>
      </c>
      <c r="F118" s="489">
        <f>AVERAGE(F119:F121)</f>
        <v>2800</v>
      </c>
      <c r="G118" s="333" t="s">
        <v>49</v>
      </c>
      <c r="H118" s="360" t="s">
        <v>410</v>
      </c>
      <c r="I118" s="330" t="s">
        <v>395</v>
      </c>
      <c r="J118" s="549" t="s">
        <v>396</v>
      </c>
    </row>
    <row r="119" spans="1:10" ht="11.1" customHeight="1" x14ac:dyDescent="0.3">
      <c r="A119" s="515" t="s">
        <v>452</v>
      </c>
      <c r="B119" s="541">
        <v>3280</v>
      </c>
      <c r="C119" s="541">
        <v>3060</v>
      </c>
      <c r="D119" s="329">
        <f>((C119/B119)  -           1)*100</f>
        <v>-6.7073170731707261</v>
      </c>
      <c r="E119" s="359" t="s">
        <v>410</v>
      </c>
      <c r="F119" s="477" t="s">
        <v>410</v>
      </c>
      <c r="G119" s="329" t="s">
        <v>49</v>
      </c>
      <c r="H119" s="359" t="s">
        <v>410</v>
      </c>
      <c r="I119" s="327" t="s">
        <v>395</v>
      </c>
      <c r="J119" s="529" t="s">
        <v>396</v>
      </c>
    </row>
    <row r="120" spans="1:10" ht="11.1" customHeight="1" x14ac:dyDescent="0.3">
      <c r="A120" s="515" t="s">
        <v>72</v>
      </c>
      <c r="B120" s="541">
        <v>2950</v>
      </c>
      <c r="C120" s="541">
        <v>3280</v>
      </c>
      <c r="D120" s="329">
        <f>((C120/B120)  -           1)*100</f>
        <v>11.186440677966104</v>
      </c>
      <c r="E120" s="477" t="s">
        <v>410</v>
      </c>
      <c r="G120" s="329" t="s">
        <v>49</v>
      </c>
      <c r="H120" s="359" t="s">
        <v>410</v>
      </c>
      <c r="I120" s="327" t="s">
        <v>395</v>
      </c>
      <c r="J120" s="529" t="s">
        <v>396</v>
      </c>
    </row>
    <row r="121" spans="1:10" ht="11.1" customHeight="1" x14ac:dyDescent="0.3">
      <c r="A121" s="515" t="s">
        <v>73</v>
      </c>
      <c r="B121" s="541">
        <v>3100</v>
      </c>
      <c r="C121" s="541">
        <v>3200</v>
      </c>
      <c r="D121" s="329">
        <f>((C121/B121)  -           1)*100</f>
        <v>3.2258064516129004</v>
      </c>
      <c r="E121" s="359" t="s">
        <v>410</v>
      </c>
      <c r="F121" s="477">
        <v>2800</v>
      </c>
      <c r="G121" s="329" t="s">
        <v>49</v>
      </c>
      <c r="H121" s="359" t="s">
        <v>410</v>
      </c>
      <c r="I121" s="327" t="s">
        <v>395</v>
      </c>
      <c r="J121" s="529" t="s">
        <v>396</v>
      </c>
    </row>
    <row r="122" spans="1:10" ht="11.1" customHeight="1" x14ac:dyDescent="0.3">
      <c r="A122" s="514" t="s">
        <v>46</v>
      </c>
      <c r="B122" s="470">
        <f>AVERAGE(B123:B123)</f>
        <v>2990</v>
      </c>
      <c r="C122" s="470">
        <f>AVERAGE(C123:C123)</f>
        <v>3460</v>
      </c>
      <c r="D122" s="333">
        <f t="shared" ref="D122:D123" si="20">((C122/B122)  -           1)*100</f>
        <v>15.71906354515049</v>
      </c>
      <c r="E122" s="478">
        <f>AVERAGE(E123:E123)</f>
        <v>2130</v>
      </c>
      <c r="F122" s="489">
        <f>AVERAGE(F123:F123)</f>
        <v>3480</v>
      </c>
      <c r="G122" s="333">
        <f t="shared" ref="G122:G123" si="21">((F122/E122)  -           1)*100</f>
        <v>63.380281690140848</v>
      </c>
      <c r="H122" s="470">
        <f>AVERAGE(H123:H123)</f>
        <v>800</v>
      </c>
      <c r="I122" s="395">
        <f>AVERAGE(I123:I123)</f>
        <v>640</v>
      </c>
      <c r="J122" s="549">
        <f t="shared" ref="J122:J123" si="22">((I122/H122)  -           1)*100</f>
        <v>-19.999999999999996</v>
      </c>
    </row>
    <row r="123" spans="1:10" ht="11.1" customHeight="1" x14ac:dyDescent="0.3">
      <c r="A123" s="484" t="s">
        <v>47</v>
      </c>
      <c r="B123" s="471">
        <v>2990</v>
      </c>
      <c r="C123" s="541">
        <v>3460</v>
      </c>
      <c r="D123" s="554">
        <f t="shared" si="20"/>
        <v>15.71906354515049</v>
      </c>
      <c r="E123" s="602">
        <v>2130</v>
      </c>
      <c r="F123" s="477">
        <v>3480</v>
      </c>
      <c r="G123" s="554">
        <f t="shared" si="21"/>
        <v>63.380281690140848</v>
      </c>
      <c r="H123" s="471">
        <v>800</v>
      </c>
      <c r="I123" s="482">
        <v>640</v>
      </c>
      <c r="J123" s="555">
        <f t="shared" si="22"/>
        <v>-19.999999999999996</v>
      </c>
    </row>
    <row r="124" spans="1:10" ht="9" customHeight="1" x14ac:dyDescent="0.3">
      <c r="A124" s="556" t="s">
        <v>87</v>
      </c>
      <c r="C124" s="4"/>
      <c r="F124" s="4"/>
      <c r="G124" s="4"/>
      <c r="I124" s="488"/>
    </row>
    <row r="125" spans="1:10" ht="9" customHeight="1" x14ac:dyDescent="0.3">
      <c r="A125" s="535" t="s">
        <v>504</v>
      </c>
      <c r="I125" s="363"/>
    </row>
    <row r="126" spans="1:10" ht="9" customHeight="1" x14ac:dyDescent="0.3">
      <c r="A126" s="535" t="s">
        <v>68</v>
      </c>
      <c r="I126" s="363"/>
    </row>
    <row r="127" spans="1:10" ht="9" customHeight="1" x14ac:dyDescent="0.3"/>
    <row r="128" spans="1:10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</sheetData>
  <mergeCells count="9">
    <mergeCell ref="A65:A66"/>
    <mergeCell ref="B65:D65"/>
    <mergeCell ref="E65:G65"/>
    <mergeCell ref="H65:J65"/>
    <mergeCell ref="A5:A6"/>
    <mergeCell ref="B5:D5"/>
    <mergeCell ref="E5:G5"/>
    <mergeCell ref="H5:J5"/>
    <mergeCell ref="A64:F64"/>
  </mergeCells>
  <pageMargins left="0.27559055118110237" right="0.27559055118110237" top="0.39370078740157483" bottom="0.39370078740157483" header="0" footer="0"/>
  <pageSetup paperSize="9" orientation="portrait" r:id="rId1"/>
  <ignoredErrors>
    <ignoredError sqref="B87:M92 C32:K32 C34:K48 C33 H33:K33 B98:M120 B93:C97 K93:M97 B123:M128 B121:C122 H121:M122 C50:K57 C49:F49 H49:K49 B86:C86 E86:M86" formulaRange="1"/>
    <ignoredError sqref="D25 D20" formula="1"/>
    <ignoredError sqref="D33:G33 D93:J97 D121:G122 G49 D86" formula="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L404"/>
  <sheetViews>
    <sheetView showGridLines="0" topLeftCell="A40" zoomScaleNormal="100" workbookViewId="0">
      <selection activeCell="G72" sqref="G72"/>
    </sheetView>
  </sheetViews>
  <sheetFormatPr baseColWidth="10" defaultColWidth="12.6640625" defaultRowHeight="15" customHeight="1" x14ac:dyDescent="0.3"/>
  <cols>
    <col min="1" max="1" width="16.6640625" style="2" customWidth="1"/>
    <col min="2" max="3" width="7.33203125" style="2" customWidth="1"/>
    <col min="4" max="4" width="6.6640625" style="2" customWidth="1"/>
    <col min="5" max="6" width="7.33203125" style="2" customWidth="1"/>
    <col min="7" max="7" width="6.6640625" style="2" customWidth="1"/>
    <col min="8" max="9" width="7.33203125" style="2" customWidth="1"/>
    <col min="10" max="10" width="6.6640625" style="2" customWidth="1"/>
    <col min="11" max="16384" width="12.6640625" style="2"/>
  </cols>
  <sheetData>
    <row r="1" spans="1:10" ht="21.75" customHeight="1" x14ac:dyDescent="0.3">
      <c r="A1" s="339" t="s">
        <v>407</v>
      </c>
      <c r="B1" s="340"/>
      <c r="C1" s="340"/>
      <c r="D1" s="316"/>
      <c r="E1" s="341"/>
      <c r="F1" s="316"/>
      <c r="G1" s="316"/>
      <c r="H1" s="316"/>
      <c r="I1" s="316"/>
      <c r="J1" s="316"/>
    </row>
    <row r="2" spans="1:10" ht="10.95" customHeight="1" x14ac:dyDescent="0.3">
      <c r="A2" s="342" t="s">
        <v>624</v>
      </c>
      <c r="B2" s="340"/>
      <c r="C2" s="340"/>
      <c r="D2" s="316"/>
      <c r="E2" s="341"/>
      <c r="F2" s="316"/>
      <c r="G2" s="316"/>
      <c r="H2" s="316"/>
      <c r="I2" s="316"/>
      <c r="J2" s="316"/>
    </row>
    <row r="3" spans="1:10" ht="10.95" customHeight="1" x14ac:dyDescent="0.3">
      <c r="A3" s="343" t="s">
        <v>625</v>
      </c>
      <c r="B3" s="340"/>
      <c r="C3" s="340"/>
      <c r="D3" s="316"/>
      <c r="E3" s="341"/>
      <c r="F3" s="316"/>
      <c r="G3" s="316"/>
      <c r="H3" s="316"/>
      <c r="I3" s="316"/>
      <c r="J3" s="316"/>
    </row>
    <row r="4" spans="1:10" ht="4.95" customHeight="1" x14ac:dyDescent="0.3">
      <c r="A4" s="316"/>
      <c r="B4" s="316"/>
      <c r="C4" s="316"/>
      <c r="D4" s="316"/>
      <c r="E4" s="341"/>
      <c r="F4" s="316"/>
      <c r="G4" s="316"/>
      <c r="H4" s="316"/>
      <c r="I4" s="316"/>
      <c r="J4" s="316"/>
    </row>
    <row r="5" spans="1:10" ht="12.75" customHeight="1" x14ac:dyDescent="0.3">
      <c r="A5" s="741" t="s">
        <v>0</v>
      </c>
      <c r="B5" s="743" t="s">
        <v>50</v>
      </c>
      <c r="C5" s="744"/>
      <c r="D5" s="745"/>
      <c r="E5" s="743" t="s">
        <v>51</v>
      </c>
      <c r="F5" s="744"/>
      <c r="G5" s="745"/>
      <c r="H5" s="743" t="s">
        <v>408</v>
      </c>
      <c r="I5" s="744"/>
      <c r="J5" s="745"/>
    </row>
    <row r="6" spans="1:10" ht="12.75" customHeight="1" x14ac:dyDescent="0.3">
      <c r="A6" s="742"/>
      <c r="B6" s="319">
        <v>2024</v>
      </c>
      <c r="C6" s="319">
        <v>2025</v>
      </c>
      <c r="D6" s="319" t="s">
        <v>1</v>
      </c>
      <c r="E6" s="319">
        <v>2024</v>
      </c>
      <c r="F6" s="319">
        <v>2025</v>
      </c>
      <c r="G6" s="319" t="s">
        <v>1</v>
      </c>
      <c r="H6" s="319">
        <v>2024</v>
      </c>
      <c r="I6" s="319">
        <v>2025</v>
      </c>
      <c r="J6" s="319" t="s">
        <v>1</v>
      </c>
    </row>
    <row r="7" spans="1:10" ht="12.75" customHeight="1" x14ac:dyDescent="0.3">
      <c r="A7" s="514" t="s">
        <v>473</v>
      </c>
      <c r="B7" s="537">
        <f>AVERAGE(B8:B8)</f>
        <v>2310</v>
      </c>
      <c r="C7" s="537">
        <f>AVERAGE(C8:C8)</f>
        <v>2090</v>
      </c>
      <c r="D7" s="333">
        <f>((C7/B7) -      1)*100</f>
        <v>-9.5238095238095237</v>
      </c>
      <c r="E7" s="360" t="s">
        <v>410</v>
      </c>
      <c r="F7" s="537">
        <f>AVERAGE(F8:F8)</f>
        <v>3290</v>
      </c>
      <c r="G7" s="333" t="s">
        <v>396</v>
      </c>
      <c r="H7" s="360" t="s">
        <v>410</v>
      </c>
      <c r="I7" s="395">
        <f>AVERAGE(I8:I8)</f>
        <v>2710</v>
      </c>
      <c r="J7" s="325" t="s">
        <v>396</v>
      </c>
    </row>
    <row r="8" spans="1:10" ht="12.75" customHeight="1" x14ac:dyDescent="0.3">
      <c r="A8" s="528" t="s">
        <v>476</v>
      </c>
      <c r="B8" s="485">
        <v>2310</v>
      </c>
      <c r="C8" s="485">
        <v>2090</v>
      </c>
      <c r="D8" s="329">
        <f>((C8/B8) -      1)*100</f>
        <v>-9.5238095238095237</v>
      </c>
      <c r="E8" s="359" t="s">
        <v>410</v>
      </c>
      <c r="F8" s="485">
        <v>3290</v>
      </c>
      <c r="G8" s="329" t="s">
        <v>396</v>
      </c>
      <c r="H8" s="359" t="s">
        <v>410</v>
      </c>
      <c r="I8" s="396">
        <v>2710</v>
      </c>
      <c r="J8" s="1" t="s">
        <v>396</v>
      </c>
    </row>
    <row r="9" spans="1:10" ht="12.75" customHeight="1" x14ac:dyDescent="0.3">
      <c r="A9" s="370" t="s">
        <v>426</v>
      </c>
      <c r="B9" s="360" t="s">
        <v>410</v>
      </c>
      <c r="C9" s="344">
        <f>AVERAGE(C10:C16)</f>
        <v>2526.2799999999997</v>
      </c>
      <c r="D9" s="333" t="s">
        <v>396</v>
      </c>
      <c r="E9" s="360" t="s">
        <v>410</v>
      </c>
      <c r="F9" s="344">
        <f>AVERAGE(F10:F16)</f>
        <v>3508.8666666666668</v>
      </c>
      <c r="G9" s="333" t="s">
        <v>396</v>
      </c>
      <c r="H9" s="360" t="s">
        <v>410</v>
      </c>
      <c r="I9" s="395">
        <f>AVERAGE(I10:I16)</f>
        <v>3200</v>
      </c>
      <c r="J9" s="325" t="s">
        <v>396</v>
      </c>
    </row>
    <row r="10" spans="1:10" ht="12.75" customHeight="1" x14ac:dyDescent="0.3">
      <c r="A10" s="326" t="s">
        <v>428</v>
      </c>
      <c r="B10" s="359" t="s">
        <v>410</v>
      </c>
      <c r="C10" s="348">
        <v>2113.3000000000002</v>
      </c>
      <c r="D10" s="368" t="s">
        <v>3</v>
      </c>
      <c r="E10" s="359" t="s">
        <v>410</v>
      </c>
      <c r="F10" s="485" t="s">
        <v>410</v>
      </c>
      <c r="G10" s="329" t="s">
        <v>396</v>
      </c>
      <c r="H10" s="359" t="s">
        <v>410</v>
      </c>
      <c r="I10" s="397" t="s">
        <v>403</v>
      </c>
      <c r="J10" s="1" t="s">
        <v>396</v>
      </c>
    </row>
    <row r="11" spans="1:10" ht="12.75" customHeight="1" x14ac:dyDescent="0.3">
      <c r="A11" s="326" t="s">
        <v>584</v>
      </c>
      <c r="B11" s="359" t="s">
        <v>410</v>
      </c>
      <c r="C11" s="348">
        <v>1964</v>
      </c>
      <c r="D11" s="368" t="s">
        <v>3</v>
      </c>
      <c r="E11" s="359" t="s">
        <v>410</v>
      </c>
      <c r="F11" s="485">
        <v>3406.6</v>
      </c>
      <c r="G11" s="329" t="s">
        <v>396</v>
      </c>
      <c r="H11" s="359" t="s">
        <v>410</v>
      </c>
      <c r="I11" s="397" t="s">
        <v>403</v>
      </c>
      <c r="J11" s="1" t="s">
        <v>396</v>
      </c>
    </row>
    <row r="12" spans="1:10" ht="12.75" customHeight="1" x14ac:dyDescent="0.3">
      <c r="A12" s="371" t="s">
        <v>507</v>
      </c>
      <c r="B12" s="359" t="s">
        <v>410</v>
      </c>
      <c r="C12" s="485">
        <v>3200</v>
      </c>
      <c r="D12" s="368" t="s">
        <v>3</v>
      </c>
      <c r="E12" s="485" t="s">
        <v>410</v>
      </c>
      <c r="F12" s="485">
        <v>3200</v>
      </c>
      <c r="G12" s="329" t="s">
        <v>396</v>
      </c>
      <c r="H12" s="397" t="s">
        <v>403</v>
      </c>
      <c r="I12" s="396">
        <v>3200</v>
      </c>
      <c r="J12" s="1" t="s">
        <v>396</v>
      </c>
    </row>
    <row r="13" spans="1:10" ht="12.75" customHeight="1" x14ac:dyDescent="0.3">
      <c r="A13" s="326" t="s">
        <v>429</v>
      </c>
      <c r="B13" s="359" t="s">
        <v>410</v>
      </c>
      <c r="C13" s="348">
        <v>2400</v>
      </c>
      <c r="D13" s="368" t="s">
        <v>3</v>
      </c>
      <c r="E13" s="359" t="s">
        <v>410</v>
      </c>
      <c r="F13" s="485" t="s">
        <v>410</v>
      </c>
      <c r="G13" s="329" t="s">
        <v>396</v>
      </c>
      <c r="H13" s="359" t="s">
        <v>410</v>
      </c>
      <c r="I13" s="397" t="s">
        <v>403</v>
      </c>
      <c r="J13" s="1" t="s">
        <v>396</v>
      </c>
    </row>
    <row r="14" spans="1:10" ht="12.75" customHeight="1" x14ac:dyDescent="0.3">
      <c r="A14" s="326" t="s">
        <v>585</v>
      </c>
      <c r="B14" s="359" t="s">
        <v>410</v>
      </c>
      <c r="C14" s="348">
        <v>3340</v>
      </c>
      <c r="D14" s="368" t="s">
        <v>3</v>
      </c>
      <c r="E14" s="359" t="s">
        <v>410</v>
      </c>
      <c r="F14" s="485">
        <v>3920</v>
      </c>
      <c r="G14" s="329" t="s">
        <v>396</v>
      </c>
      <c r="H14" s="359" t="s">
        <v>410</v>
      </c>
      <c r="I14" s="397" t="s">
        <v>403</v>
      </c>
      <c r="J14" s="1" t="s">
        <v>396</v>
      </c>
    </row>
    <row r="15" spans="1:10" ht="12.75" customHeight="1" x14ac:dyDescent="0.3">
      <c r="A15" s="326" t="s">
        <v>586</v>
      </c>
      <c r="B15" s="359" t="s">
        <v>410</v>
      </c>
      <c r="C15" s="348">
        <v>2700</v>
      </c>
      <c r="D15" s="368" t="s">
        <v>3</v>
      </c>
      <c r="E15" s="359" t="s">
        <v>410</v>
      </c>
      <c r="F15" s="485" t="s">
        <v>410</v>
      </c>
      <c r="G15" s="329" t="s">
        <v>396</v>
      </c>
      <c r="H15" s="359" t="s">
        <v>410</v>
      </c>
      <c r="I15" s="397" t="s">
        <v>403</v>
      </c>
      <c r="J15" s="1" t="s">
        <v>396</v>
      </c>
    </row>
    <row r="16" spans="1:10" ht="12.75" customHeight="1" x14ac:dyDescent="0.3">
      <c r="A16" s="326" t="s">
        <v>449</v>
      </c>
      <c r="B16" s="359" t="s">
        <v>410</v>
      </c>
      <c r="C16" s="348">
        <v>1966.66</v>
      </c>
      <c r="D16" s="368" t="s">
        <v>3</v>
      </c>
      <c r="E16" s="359" t="s">
        <v>410</v>
      </c>
      <c r="F16" s="485" t="s">
        <v>410</v>
      </c>
      <c r="G16" s="329" t="s">
        <v>396</v>
      </c>
      <c r="H16" s="359" t="s">
        <v>410</v>
      </c>
      <c r="I16" s="397" t="s">
        <v>403</v>
      </c>
      <c r="J16" s="1" t="s">
        <v>396</v>
      </c>
    </row>
    <row r="17" spans="1:12" ht="12.75" customHeight="1" x14ac:dyDescent="0.3">
      <c r="A17" s="401" t="s">
        <v>77</v>
      </c>
      <c r="B17" s="360" t="s">
        <v>410</v>
      </c>
      <c r="C17" s="537">
        <f>AVERAGE(C18:C19)</f>
        <v>2955</v>
      </c>
      <c r="D17" s="333" t="s">
        <v>396</v>
      </c>
      <c r="E17" s="360" t="s">
        <v>410</v>
      </c>
      <c r="F17" s="537">
        <f>AVERAGE(F18:F19)</f>
        <v>4446.6000000000004</v>
      </c>
      <c r="G17" s="333" t="s">
        <v>396</v>
      </c>
      <c r="H17" s="360" t="s">
        <v>410</v>
      </c>
      <c r="I17" s="479">
        <f>AVERAGE(I18:I19)</f>
        <v>3760</v>
      </c>
      <c r="J17" s="333" t="s">
        <v>396</v>
      </c>
    </row>
    <row r="18" spans="1:12" ht="12.75" customHeight="1" x14ac:dyDescent="0.3">
      <c r="A18" s="528" t="s">
        <v>153</v>
      </c>
      <c r="B18" s="359" t="s">
        <v>410</v>
      </c>
      <c r="C18" s="485">
        <v>3240</v>
      </c>
      <c r="D18" s="368" t="s">
        <v>3</v>
      </c>
      <c r="E18" s="359" t="s">
        <v>410</v>
      </c>
      <c r="F18" s="485">
        <v>4446.6000000000004</v>
      </c>
      <c r="G18" s="368" t="s">
        <v>3</v>
      </c>
      <c r="H18" s="359" t="s">
        <v>410</v>
      </c>
      <c r="I18" s="396">
        <v>3760</v>
      </c>
      <c r="J18" s="368" t="s">
        <v>3</v>
      </c>
    </row>
    <row r="19" spans="1:12" ht="12.75" customHeight="1" x14ac:dyDescent="0.3">
      <c r="A19" s="528" t="s">
        <v>397</v>
      </c>
      <c r="B19" s="359" t="s">
        <v>410</v>
      </c>
      <c r="C19" s="485">
        <v>2670</v>
      </c>
      <c r="D19" s="368" t="s">
        <v>3</v>
      </c>
      <c r="E19" s="359" t="s">
        <v>410</v>
      </c>
      <c r="F19" s="485" t="s">
        <v>410</v>
      </c>
      <c r="G19" s="368" t="s">
        <v>3</v>
      </c>
      <c r="H19" s="359" t="s">
        <v>410</v>
      </c>
      <c r="I19" s="398" t="s">
        <v>410</v>
      </c>
      <c r="J19" s="368" t="s">
        <v>3</v>
      </c>
    </row>
    <row r="20" spans="1:12" ht="12.75" customHeight="1" x14ac:dyDescent="0.3">
      <c r="A20" s="401" t="s">
        <v>2</v>
      </c>
      <c r="B20" s="537">
        <f>AVERAGE(B21:B26)</f>
        <v>2404.8666666666668</v>
      </c>
      <c r="C20" s="537">
        <f>AVERAGE(C21:C26)</f>
        <v>2361.6666666666665</v>
      </c>
      <c r="D20" s="349">
        <f t="shared" ref="D20:D29" si="0">((C20/B20) -      1)*100</f>
        <v>-1.7963573864108962</v>
      </c>
      <c r="E20" s="395">
        <f>AVERAGE(E21:E26)</f>
        <v>3434.3333333333335</v>
      </c>
      <c r="F20" s="537">
        <f>AVERAGE(F21:F26)</f>
        <v>3280.6666666666665</v>
      </c>
      <c r="G20" s="333">
        <f t="shared" ref="G20:G21" si="1">((F20/E20) -      1)*100</f>
        <v>-4.4744249247791963</v>
      </c>
      <c r="H20" s="479">
        <f>AVERAGE(H21:H26)</f>
        <v>2516.5</v>
      </c>
      <c r="I20" s="479">
        <f>AVERAGE(I21:I26)</f>
        <v>2586.6666666666665</v>
      </c>
      <c r="J20" s="325">
        <f t="shared" ref="J20:J23" si="2">((I20/H20) -      1)*100</f>
        <v>2.7882641234518779</v>
      </c>
    </row>
    <row r="21" spans="1:12" ht="12.75" customHeight="1" x14ac:dyDescent="0.3">
      <c r="A21" s="528" t="s">
        <v>5</v>
      </c>
      <c r="B21" s="485">
        <v>2010</v>
      </c>
      <c r="C21" s="485">
        <v>2460</v>
      </c>
      <c r="D21" s="351">
        <f t="shared" si="0"/>
        <v>22.388059701492537</v>
      </c>
      <c r="E21" s="396">
        <v>3810</v>
      </c>
      <c r="F21" s="485">
        <v>3500</v>
      </c>
      <c r="G21" s="329">
        <f t="shared" si="1"/>
        <v>-8.1364829396325504</v>
      </c>
      <c r="H21" s="396">
        <v>2600</v>
      </c>
      <c r="I21" s="396">
        <v>2700</v>
      </c>
      <c r="J21" s="1">
        <f t="shared" si="2"/>
        <v>3.8461538461538547</v>
      </c>
    </row>
    <row r="22" spans="1:12" ht="12.75" customHeight="1" x14ac:dyDescent="0.3">
      <c r="A22" s="528" t="s">
        <v>334</v>
      </c>
      <c r="B22" s="485">
        <v>2425</v>
      </c>
      <c r="C22" s="485">
        <v>3090</v>
      </c>
      <c r="D22" s="351">
        <f t="shared" si="0"/>
        <v>27.422680412371125</v>
      </c>
      <c r="E22" s="359" t="s">
        <v>410</v>
      </c>
      <c r="F22" s="485" t="s">
        <v>410</v>
      </c>
      <c r="G22" s="368" t="s">
        <v>3</v>
      </c>
      <c r="H22" s="359" t="s">
        <v>410</v>
      </c>
      <c r="I22" s="397" t="s">
        <v>410</v>
      </c>
      <c r="J22" s="1" t="s">
        <v>396</v>
      </c>
    </row>
    <row r="23" spans="1:12" ht="12.75" customHeight="1" x14ac:dyDescent="0.3">
      <c r="A23" s="528" t="s">
        <v>405</v>
      </c>
      <c r="B23" s="485">
        <v>2366.6</v>
      </c>
      <c r="C23" s="485">
        <v>1980</v>
      </c>
      <c r="D23" s="351">
        <f t="shared" ref="D23:D24" si="3">((C23/B23) -      1)*100</f>
        <v>-16.335671427364151</v>
      </c>
      <c r="E23" s="396">
        <v>3233</v>
      </c>
      <c r="F23" s="485">
        <v>3252</v>
      </c>
      <c r="G23" s="329">
        <f t="shared" ref="G23" si="4">((F23/E23) -      1)*100</f>
        <v>0.58768945252087867</v>
      </c>
      <c r="H23" s="397">
        <v>2433</v>
      </c>
      <c r="I23" s="396">
        <v>2560</v>
      </c>
      <c r="J23" s="1">
        <f t="shared" si="2"/>
        <v>5.2198931360460277</v>
      </c>
    </row>
    <row r="24" spans="1:12" ht="12.75" customHeight="1" x14ac:dyDescent="0.3">
      <c r="A24" s="528" t="s">
        <v>61</v>
      </c>
      <c r="B24" s="485">
        <v>2327.6</v>
      </c>
      <c r="C24" s="485">
        <v>2180</v>
      </c>
      <c r="D24" s="351">
        <f t="shared" si="3"/>
        <v>-6.3412957552844045</v>
      </c>
      <c r="E24" s="485" t="s">
        <v>410</v>
      </c>
      <c r="F24" s="485" t="s">
        <v>410</v>
      </c>
      <c r="G24" s="329" t="s">
        <v>3</v>
      </c>
      <c r="H24" s="359" t="s">
        <v>410</v>
      </c>
      <c r="I24" s="485" t="s">
        <v>410</v>
      </c>
      <c r="J24" s="351" t="s">
        <v>396</v>
      </c>
    </row>
    <row r="25" spans="1:12" ht="12.75" customHeight="1" x14ac:dyDescent="0.3">
      <c r="A25" s="528" t="s">
        <v>550</v>
      </c>
      <c r="B25" s="485">
        <v>2600</v>
      </c>
      <c r="C25" s="485">
        <v>2600</v>
      </c>
      <c r="D25" s="351">
        <f t="shared" ref="D25" si="5">((C25/B25) -      1)*100</f>
        <v>0</v>
      </c>
      <c r="E25" s="359" t="s">
        <v>410</v>
      </c>
      <c r="F25" s="485" t="s">
        <v>410</v>
      </c>
      <c r="G25" s="368" t="s">
        <v>3</v>
      </c>
      <c r="H25" s="397" t="s">
        <v>410</v>
      </c>
      <c r="I25" s="397" t="s">
        <v>410</v>
      </c>
      <c r="J25" s="1" t="s">
        <v>396</v>
      </c>
    </row>
    <row r="26" spans="1:12" ht="12.75" customHeight="1" x14ac:dyDescent="0.3">
      <c r="A26" s="528" t="s">
        <v>188</v>
      </c>
      <c r="B26" s="485">
        <v>2700</v>
      </c>
      <c r="C26" s="485">
        <v>1860</v>
      </c>
      <c r="D26" s="351">
        <f t="shared" si="0"/>
        <v>-31.111111111111111</v>
      </c>
      <c r="E26" s="396">
        <v>3260</v>
      </c>
      <c r="F26" s="485">
        <v>3090</v>
      </c>
      <c r="G26" s="329">
        <f t="shared" ref="G26" si="6">((F26/E26) -      1)*100</f>
        <v>-5.2147239263803709</v>
      </c>
      <c r="H26" s="398" t="s">
        <v>410</v>
      </c>
      <c r="I26" s="396">
        <v>2500</v>
      </c>
      <c r="J26" s="1" t="s">
        <v>396</v>
      </c>
    </row>
    <row r="27" spans="1:12" ht="12.75" customHeight="1" x14ac:dyDescent="0.3">
      <c r="A27" s="401" t="s">
        <v>6</v>
      </c>
      <c r="B27" s="538">
        <f>AVERAGE(B28:B33)</f>
        <v>3094.0666666666671</v>
      </c>
      <c r="C27" s="538">
        <f>AVERAGE(C28:C33)</f>
        <v>2708.68</v>
      </c>
      <c r="D27" s="349">
        <f t="shared" si="0"/>
        <v>-12.455667837366157</v>
      </c>
      <c r="E27" s="395">
        <f>AVERAGE(E28:E33)</f>
        <v>3480</v>
      </c>
      <c r="F27" s="537">
        <f>AVERAGE(F28:F33)</f>
        <v>3416.7</v>
      </c>
      <c r="G27" s="349">
        <f>((F27/E27) -      1)*100</f>
        <v>-1.8189655172413888</v>
      </c>
      <c r="H27" s="479">
        <f>AVERAGE(H28:H33)</f>
        <v>3130</v>
      </c>
      <c r="I27" s="479">
        <f>AVERAGE(I28:I33)</f>
        <v>3600</v>
      </c>
      <c r="J27" s="349">
        <f>((I27/H27) -      1)*100</f>
        <v>15.015974440894574</v>
      </c>
    </row>
    <row r="28" spans="1:12" ht="12.75" customHeight="1" x14ac:dyDescent="0.3">
      <c r="A28" s="528" t="s">
        <v>8</v>
      </c>
      <c r="B28" s="485">
        <v>2133</v>
      </c>
      <c r="C28" s="485">
        <v>2433.4</v>
      </c>
      <c r="D28" s="351">
        <f t="shared" si="0"/>
        <v>14.083450539146746</v>
      </c>
      <c r="E28" s="396">
        <v>3480</v>
      </c>
      <c r="F28" s="485">
        <v>3200</v>
      </c>
      <c r="G28" s="329">
        <f t="shared" ref="G28" si="7">((F28/E28) -      1)*100</f>
        <v>-8.045977011494255</v>
      </c>
      <c r="H28" s="396">
        <v>3400</v>
      </c>
      <c r="I28" s="396">
        <v>4200</v>
      </c>
      <c r="J28" s="1">
        <f t="shared" ref="J28:J30" si="8">((I28/H28) -      1)*100</f>
        <v>23.529411764705888</v>
      </c>
    </row>
    <row r="29" spans="1:12" ht="12.75" customHeight="1" x14ac:dyDescent="0.3">
      <c r="A29" s="528" t="s">
        <v>9</v>
      </c>
      <c r="B29" s="485">
        <v>2120</v>
      </c>
      <c r="C29" s="485">
        <v>2250</v>
      </c>
      <c r="D29" s="351">
        <f t="shared" si="0"/>
        <v>6.1320754716981174</v>
      </c>
      <c r="E29" s="485" t="s">
        <v>410</v>
      </c>
      <c r="F29" s="485">
        <v>3633.4</v>
      </c>
      <c r="G29" s="368" t="s">
        <v>3</v>
      </c>
      <c r="H29" s="397" t="s">
        <v>403</v>
      </c>
      <c r="I29" s="397" t="s">
        <v>403</v>
      </c>
      <c r="J29" s="1" t="s">
        <v>396</v>
      </c>
    </row>
    <row r="30" spans="1:12" ht="12.75" customHeight="1" x14ac:dyDescent="0.3">
      <c r="A30" s="528" t="s">
        <v>10</v>
      </c>
      <c r="B30" s="485">
        <v>2365</v>
      </c>
      <c r="C30" s="485">
        <v>2800</v>
      </c>
      <c r="D30" s="351">
        <f t="shared" ref="D30" si="9">((C30/B30) -      1)*100</f>
        <v>18.393234672304448</v>
      </c>
      <c r="E30" s="485" t="s">
        <v>410</v>
      </c>
      <c r="F30" s="485" t="s">
        <v>410</v>
      </c>
      <c r="G30" s="368" t="s">
        <v>3</v>
      </c>
      <c r="H30" s="396">
        <v>2860</v>
      </c>
      <c r="I30" s="396">
        <v>3000</v>
      </c>
      <c r="J30" s="1">
        <f t="shared" si="8"/>
        <v>4.8951048951048959</v>
      </c>
    </row>
    <row r="31" spans="1:12" ht="12.75" customHeight="1" x14ac:dyDescent="0.3">
      <c r="A31" s="528" t="s">
        <v>11</v>
      </c>
      <c r="B31" s="485">
        <v>3413</v>
      </c>
      <c r="C31" s="485">
        <v>3500</v>
      </c>
      <c r="D31" s="351">
        <f>((C31/B31) -      1)*100</f>
        <v>2.5490770583064704</v>
      </c>
      <c r="E31" s="485" t="s">
        <v>410</v>
      </c>
      <c r="F31" s="485" t="s">
        <v>410</v>
      </c>
      <c r="G31" s="368" t="s">
        <v>3</v>
      </c>
      <c r="H31" s="397" t="s">
        <v>403</v>
      </c>
      <c r="I31" s="397" t="s">
        <v>403</v>
      </c>
      <c r="J31" s="1" t="s">
        <v>396</v>
      </c>
      <c r="L31" s="2" t="s">
        <v>334</v>
      </c>
    </row>
    <row r="32" spans="1:12" ht="12.75" customHeight="1" x14ac:dyDescent="0.3">
      <c r="A32" s="528" t="s">
        <v>13</v>
      </c>
      <c r="B32" s="485">
        <v>6000</v>
      </c>
      <c r="C32" s="485" t="s">
        <v>410</v>
      </c>
      <c r="D32" s="368" t="s">
        <v>3</v>
      </c>
      <c r="E32" s="485" t="s">
        <v>410</v>
      </c>
      <c r="F32" s="485" t="s">
        <v>410</v>
      </c>
      <c r="G32" s="368" t="s">
        <v>3</v>
      </c>
      <c r="H32" s="397" t="s">
        <v>403</v>
      </c>
      <c r="I32" s="397" t="s">
        <v>403</v>
      </c>
      <c r="J32" s="1" t="s">
        <v>396</v>
      </c>
    </row>
    <row r="33" spans="1:10" ht="12.75" customHeight="1" x14ac:dyDescent="0.3">
      <c r="A33" s="528" t="s">
        <v>398</v>
      </c>
      <c r="B33" s="485">
        <v>2533.4</v>
      </c>
      <c r="C33" s="485">
        <v>2560</v>
      </c>
      <c r="D33" s="351">
        <f t="shared" ref="D33:D35" si="10">((C33/B33) -      1)*100</f>
        <v>1.0499723691481666</v>
      </c>
      <c r="E33" s="485" t="s">
        <v>410</v>
      </c>
      <c r="F33" s="485" t="s">
        <v>410</v>
      </c>
      <c r="G33" s="329" t="s">
        <v>396</v>
      </c>
      <c r="H33" s="397" t="s">
        <v>403</v>
      </c>
      <c r="I33" s="398" t="s">
        <v>403</v>
      </c>
      <c r="J33" s="1" t="s">
        <v>396</v>
      </c>
    </row>
    <row r="34" spans="1:10" ht="12.75" customHeight="1" x14ac:dyDescent="0.3">
      <c r="A34" s="403" t="s">
        <v>15</v>
      </c>
      <c r="B34" s="538">
        <f>AVERAGE(B35:B37)</f>
        <v>2757</v>
      </c>
      <c r="C34" s="538">
        <f>AVERAGE(C35:C37)</f>
        <v>3090</v>
      </c>
      <c r="D34" s="349">
        <f t="shared" si="10"/>
        <v>12.07834602829163</v>
      </c>
      <c r="E34" s="469" t="s">
        <v>410</v>
      </c>
      <c r="F34" s="537">
        <f>AVERAGE(F36:F37)</f>
        <v>3360</v>
      </c>
      <c r="G34" s="536" t="s">
        <v>3</v>
      </c>
      <c r="H34" s="469" t="s">
        <v>410</v>
      </c>
      <c r="I34" s="395">
        <f>AVERAGE(I36:I37)</f>
        <v>4700</v>
      </c>
      <c r="J34" s="536" t="s">
        <v>3</v>
      </c>
    </row>
    <row r="35" spans="1:10" ht="12.75" customHeight="1" x14ac:dyDescent="0.3">
      <c r="A35" s="515" t="s">
        <v>189</v>
      </c>
      <c r="B35" s="485">
        <v>2757</v>
      </c>
      <c r="C35" s="485">
        <v>3500</v>
      </c>
      <c r="D35" s="351">
        <f t="shared" si="10"/>
        <v>26.949582879941957</v>
      </c>
      <c r="E35" s="540" t="s">
        <v>410</v>
      </c>
      <c r="F35" s="485" t="s">
        <v>410</v>
      </c>
      <c r="G35" s="518" t="s">
        <v>3</v>
      </c>
      <c r="H35" s="397" t="s">
        <v>410</v>
      </c>
      <c r="I35" s="397" t="s">
        <v>403</v>
      </c>
      <c r="J35" s="1" t="s">
        <v>396</v>
      </c>
    </row>
    <row r="36" spans="1:10" ht="12.75" customHeight="1" x14ac:dyDescent="0.3">
      <c r="A36" s="515" t="s">
        <v>70</v>
      </c>
      <c r="B36" s="467" t="s">
        <v>410</v>
      </c>
      <c r="C36" s="485">
        <v>2510</v>
      </c>
      <c r="D36" s="518" t="s">
        <v>3</v>
      </c>
      <c r="E36" s="540" t="s">
        <v>410</v>
      </c>
      <c r="F36" s="485">
        <v>3700</v>
      </c>
      <c r="G36" s="518" t="s">
        <v>3</v>
      </c>
      <c r="H36" s="397" t="s">
        <v>410</v>
      </c>
      <c r="I36" s="396">
        <v>4700</v>
      </c>
      <c r="J36" s="1" t="s">
        <v>396</v>
      </c>
    </row>
    <row r="37" spans="1:10" ht="12.75" customHeight="1" x14ac:dyDescent="0.3">
      <c r="A37" s="515" t="s">
        <v>69</v>
      </c>
      <c r="B37" s="467" t="s">
        <v>410</v>
      </c>
      <c r="C37" s="485">
        <v>3260</v>
      </c>
      <c r="D37" s="518" t="s">
        <v>3</v>
      </c>
      <c r="E37" s="540" t="s">
        <v>410</v>
      </c>
      <c r="F37" s="485">
        <v>3020</v>
      </c>
      <c r="G37" s="518" t="s">
        <v>3</v>
      </c>
      <c r="H37" s="397" t="s">
        <v>410</v>
      </c>
      <c r="I37" s="477" t="s">
        <v>410</v>
      </c>
      <c r="J37" s="1" t="s">
        <v>396</v>
      </c>
    </row>
    <row r="38" spans="1:10" ht="12.75" customHeight="1" x14ac:dyDescent="0.3">
      <c r="A38" s="401" t="s">
        <v>16</v>
      </c>
      <c r="B38" s="538">
        <f>AVERAGE(B39:B42)</f>
        <v>2748.75</v>
      </c>
      <c r="C38" s="538">
        <f>AVERAGE(C39:C42)</f>
        <v>2540.8249999999998</v>
      </c>
      <c r="D38" s="349">
        <f t="shared" ref="D38:D55" si="11">((C38/B38) -      1)*100</f>
        <v>-7.5643474306502974</v>
      </c>
      <c r="E38" s="485" t="s">
        <v>410</v>
      </c>
      <c r="F38" s="485" t="s">
        <v>410</v>
      </c>
      <c r="G38" s="349" t="s">
        <v>396</v>
      </c>
      <c r="H38" s="400" t="s">
        <v>410</v>
      </c>
      <c r="I38" s="478">
        <f>AVERAGE(I39:I42)</f>
        <v>2900</v>
      </c>
      <c r="J38" s="349" t="s">
        <v>396</v>
      </c>
    </row>
    <row r="39" spans="1:10" ht="12.75" customHeight="1" x14ac:dyDescent="0.3">
      <c r="A39" s="528" t="s">
        <v>494</v>
      </c>
      <c r="B39" s="485">
        <v>2366.6</v>
      </c>
      <c r="C39" s="485">
        <v>2280</v>
      </c>
      <c r="D39" s="351" t="s">
        <v>396</v>
      </c>
      <c r="E39" s="485" t="s">
        <v>410</v>
      </c>
      <c r="F39" s="485" t="s">
        <v>410</v>
      </c>
      <c r="G39" s="329" t="s">
        <v>396</v>
      </c>
      <c r="H39" s="400" t="s">
        <v>410</v>
      </c>
      <c r="I39" s="396">
        <v>2900</v>
      </c>
      <c r="J39" s="1" t="s">
        <v>396</v>
      </c>
    </row>
    <row r="40" spans="1:10" ht="12.75" customHeight="1" x14ac:dyDescent="0.3">
      <c r="A40" s="528" t="s">
        <v>472</v>
      </c>
      <c r="B40" s="485">
        <v>2533.4</v>
      </c>
      <c r="C40" s="485">
        <v>2600</v>
      </c>
      <c r="D40" s="351">
        <f t="shared" si="11"/>
        <v>2.628878187416106</v>
      </c>
      <c r="E40" s="485" t="s">
        <v>410</v>
      </c>
      <c r="F40" s="485" t="s">
        <v>410</v>
      </c>
      <c r="G40" s="329" t="s">
        <v>396</v>
      </c>
      <c r="H40" s="400" t="s">
        <v>410</v>
      </c>
      <c r="I40" s="397" t="s">
        <v>403</v>
      </c>
      <c r="J40" s="1" t="s">
        <v>396</v>
      </c>
    </row>
    <row r="41" spans="1:10" ht="12.75" customHeight="1" x14ac:dyDescent="0.3">
      <c r="A41" s="528" t="s">
        <v>479</v>
      </c>
      <c r="B41" s="485">
        <v>2870</v>
      </c>
      <c r="C41" s="485">
        <v>2750</v>
      </c>
      <c r="D41" s="351">
        <f t="shared" ref="D41" si="12">((C41/B41) -      1)*100</f>
        <v>-4.1811846689895464</v>
      </c>
      <c r="E41" s="485" t="s">
        <v>410</v>
      </c>
      <c r="F41" s="485" t="s">
        <v>410</v>
      </c>
      <c r="G41" s="329" t="s">
        <v>396</v>
      </c>
      <c r="H41" s="400" t="s">
        <v>410</v>
      </c>
      <c r="I41" s="397" t="s">
        <v>403</v>
      </c>
      <c r="J41" s="1" t="s">
        <v>396</v>
      </c>
    </row>
    <row r="42" spans="1:10" ht="12.75" customHeight="1" x14ac:dyDescent="0.3">
      <c r="A42" s="528" t="s">
        <v>17</v>
      </c>
      <c r="B42" s="485">
        <v>3225</v>
      </c>
      <c r="C42" s="485">
        <v>2533.3000000000002</v>
      </c>
      <c r="D42" s="351">
        <f t="shared" si="11"/>
        <v>-21.448062015503865</v>
      </c>
      <c r="E42" s="485" t="s">
        <v>410</v>
      </c>
      <c r="F42" s="485" t="s">
        <v>410</v>
      </c>
      <c r="G42" s="329" t="s">
        <v>396</v>
      </c>
      <c r="H42" s="400" t="s">
        <v>410</v>
      </c>
      <c r="I42" s="397" t="s">
        <v>403</v>
      </c>
      <c r="J42" s="1" t="s">
        <v>396</v>
      </c>
    </row>
    <row r="43" spans="1:10" ht="12.75" customHeight="1" x14ac:dyDescent="0.3">
      <c r="A43" s="410" t="s">
        <v>18</v>
      </c>
      <c r="B43" s="538">
        <f>AVERAGE(B44:B49)</f>
        <v>2417</v>
      </c>
      <c r="C43" s="538">
        <f>AVERAGE(C44:C49)</f>
        <v>2575</v>
      </c>
      <c r="D43" s="349">
        <f t="shared" si="11"/>
        <v>6.537029375258574</v>
      </c>
      <c r="E43" s="395">
        <f>AVERAGE(E44:E49)</f>
        <v>3166.6666666666665</v>
      </c>
      <c r="F43" s="537">
        <f>AVERAGE(F44:F49)</f>
        <v>3294.7</v>
      </c>
      <c r="G43" s="349">
        <f>((F43/E43) -      1)*100</f>
        <v>4.0431578947368374</v>
      </c>
      <c r="H43" s="406">
        <f>AVERAGE(H44:H49)</f>
        <v>2863.3</v>
      </c>
      <c r="I43" s="478">
        <f>AVERAGE(I44:I49)</f>
        <v>2876</v>
      </c>
      <c r="J43" s="349">
        <f>((I43/H43) -      1)*100</f>
        <v>0.44354416233016725</v>
      </c>
    </row>
    <row r="44" spans="1:10" ht="12.75" customHeight="1" x14ac:dyDescent="0.3">
      <c r="A44" s="528" t="s">
        <v>19</v>
      </c>
      <c r="B44" s="485">
        <v>2165</v>
      </c>
      <c r="C44" s="485">
        <v>2066</v>
      </c>
      <c r="D44" s="351">
        <f t="shared" si="11"/>
        <v>-4.5727482678983851</v>
      </c>
      <c r="E44" s="396">
        <v>3500</v>
      </c>
      <c r="F44" s="485">
        <v>3533.4</v>
      </c>
      <c r="G44" s="329">
        <f>((F44/E44) -      1)*100</f>
        <v>0.95428571428570752</v>
      </c>
      <c r="H44" s="398">
        <v>3100</v>
      </c>
      <c r="I44" s="396">
        <v>3100</v>
      </c>
      <c r="J44" s="1">
        <f>((I44/H44) -      1)*100</f>
        <v>0</v>
      </c>
    </row>
    <row r="45" spans="1:10" ht="12.75" customHeight="1" x14ac:dyDescent="0.3">
      <c r="A45" s="528" t="s">
        <v>406</v>
      </c>
      <c r="B45" s="485">
        <v>2100</v>
      </c>
      <c r="C45" s="485">
        <v>2400</v>
      </c>
      <c r="D45" s="351">
        <f t="shared" si="11"/>
        <v>14.285714285714279</v>
      </c>
      <c r="E45" s="485" t="s">
        <v>410</v>
      </c>
      <c r="F45" s="485" t="s">
        <v>410</v>
      </c>
      <c r="G45" s="329" t="s">
        <v>396</v>
      </c>
      <c r="H45" s="398" t="s">
        <v>410</v>
      </c>
      <c r="I45" s="398" t="s">
        <v>410</v>
      </c>
      <c r="J45" s="1" t="s">
        <v>396</v>
      </c>
    </row>
    <row r="46" spans="1:10" ht="12.75" customHeight="1" x14ac:dyDescent="0.3">
      <c r="A46" s="528" t="s">
        <v>80</v>
      </c>
      <c r="B46" s="485">
        <v>2666.6</v>
      </c>
      <c r="C46" s="485">
        <v>2532</v>
      </c>
      <c r="D46" s="351">
        <f t="shared" si="11"/>
        <v>-5.0476261906547641</v>
      </c>
      <c r="E46" s="485" t="s">
        <v>410</v>
      </c>
      <c r="F46" s="485">
        <v>3533.4</v>
      </c>
      <c r="G46" s="329" t="s">
        <v>396</v>
      </c>
      <c r="H46" s="398" t="s">
        <v>410</v>
      </c>
      <c r="I46" s="398" t="s">
        <v>410</v>
      </c>
      <c r="J46" s="1" t="s">
        <v>396</v>
      </c>
    </row>
    <row r="47" spans="1:10" ht="12.75" customHeight="1" x14ac:dyDescent="0.3">
      <c r="A47" s="528" t="s">
        <v>22</v>
      </c>
      <c r="B47" s="485">
        <v>2653.4</v>
      </c>
      <c r="C47" s="485">
        <v>2652</v>
      </c>
      <c r="D47" s="351">
        <f t="shared" si="11"/>
        <v>-5.276249340468997E-2</v>
      </c>
      <c r="E47" s="396">
        <v>3600</v>
      </c>
      <c r="F47" s="485">
        <v>3672</v>
      </c>
      <c r="G47" s="329">
        <f>((F47/E47) -      1)*100</f>
        <v>2.0000000000000018</v>
      </c>
      <c r="H47" s="398">
        <v>2626.6</v>
      </c>
      <c r="I47" s="396">
        <v>2652</v>
      </c>
      <c r="J47" s="1">
        <f>((I47/H47) -      1)*100</f>
        <v>0.96702962004111548</v>
      </c>
    </row>
    <row r="48" spans="1:10" ht="12.75" customHeight="1" x14ac:dyDescent="0.3">
      <c r="A48" s="528" t="s">
        <v>23</v>
      </c>
      <c r="B48" s="467" t="s">
        <v>410</v>
      </c>
      <c r="C48" s="485">
        <v>3200</v>
      </c>
      <c r="D48" s="518" t="s">
        <v>3</v>
      </c>
      <c r="E48" s="485" t="s">
        <v>410</v>
      </c>
      <c r="F48" s="485" t="s">
        <v>410</v>
      </c>
      <c r="G48" s="329" t="s">
        <v>396</v>
      </c>
      <c r="H48" s="398" t="s">
        <v>410</v>
      </c>
      <c r="I48" s="398" t="s">
        <v>410</v>
      </c>
      <c r="J48" s="1" t="s">
        <v>396</v>
      </c>
    </row>
    <row r="49" spans="1:10" ht="12.75" customHeight="1" x14ac:dyDescent="0.3">
      <c r="A49" s="528" t="s">
        <v>63</v>
      </c>
      <c r="B49" s="485">
        <v>2500</v>
      </c>
      <c r="C49" s="485">
        <v>2600</v>
      </c>
      <c r="D49" s="329">
        <f t="shared" si="11"/>
        <v>4.0000000000000036</v>
      </c>
      <c r="E49" s="396">
        <v>2400</v>
      </c>
      <c r="F49" s="485">
        <v>2440</v>
      </c>
      <c r="G49" s="329">
        <f t="shared" ref="G49:G55" si="13">((F49/E49) -      1)*100</f>
        <v>1.6666666666666607</v>
      </c>
      <c r="H49" s="485" t="s">
        <v>410</v>
      </c>
      <c r="I49" s="485" t="s">
        <v>410</v>
      </c>
      <c r="J49" s="329" t="s">
        <v>396</v>
      </c>
    </row>
    <row r="50" spans="1:10" ht="12.75" customHeight="1" x14ac:dyDescent="0.3">
      <c r="A50" s="401" t="s">
        <v>25</v>
      </c>
      <c r="B50" s="538">
        <f>AVERAGE(B52:B55)</f>
        <v>3100.75</v>
      </c>
      <c r="C50" s="538">
        <f>AVERAGE(C52:C55)</f>
        <v>2747.5</v>
      </c>
      <c r="D50" s="537">
        <f t="shared" si="11"/>
        <v>-11.392405063291145</v>
      </c>
      <c r="E50" s="395">
        <f>AVERAGE(E52:E55)</f>
        <v>4468.25</v>
      </c>
      <c r="F50" s="537">
        <f>AVERAGE(F52:F55)</f>
        <v>3855.75</v>
      </c>
      <c r="G50" s="404">
        <f t="shared" si="13"/>
        <v>-13.707827449225086</v>
      </c>
      <c r="H50" s="406">
        <f>AVERAGE(H52:H55)</f>
        <v>3380.75</v>
      </c>
      <c r="I50" s="478">
        <f>AVERAGE(I52:I55)</f>
        <v>3267.5</v>
      </c>
      <c r="J50" s="334">
        <f t="shared" ref="J50:J55" si="14">((I50/H50) -      1)*100</f>
        <v>-3.3498484064186984</v>
      </c>
    </row>
    <row r="51" spans="1:10" ht="12.75" customHeight="1" x14ac:dyDescent="0.3">
      <c r="A51" s="528" t="s">
        <v>564</v>
      </c>
      <c r="B51" s="539">
        <v>3130</v>
      </c>
      <c r="C51" s="539">
        <v>2830</v>
      </c>
      <c r="D51" s="332">
        <f t="shared" ref="D51" si="15">((C51/B51) -      1)*100</f>
        <v>-9.5846645367412169</v>
      </c>
      <c r="E51" s="396">
        <v>4480</v>
      </c>
      <c r="F51" s="603">
        <v>4041</v>
      </c>
      <c r="G51" s="405">
        <f t="shared" ref="G51" si="16">((F51/E51) -      1)*100</f>
        <v>-9.7991071428571441</v>
      </c>
      <c r="H51" s="607">
        <v>3270</v>
      </c>
      <c r="I51" s="605">
        <v>3390</v>
      </c>
      <c r="J51" s="332">
        <f t="shared" ref="J51" si="17">((I51/H51) -      1)*100</f>
        <v>3.669724770642202</v>
      </c>
    </row>
    <row r="52" spans="1:10" ht="12.75" customHeight="1" x14ac:dyDescent="0.3">
      <c r="A52" s="528" t="s">
        <v>53</v>
      </c>
      <c r="B52" s="539">
        <v>3130</v>
      </c>
      <c r="C52" s="539">
        <v>2830</v>
      </c>
      <c r="D52" s="332">
        <f t="shared" si="11"/>
        <v>-9.5846645367412169</v>
      </c>
      <c r="E52" s="396">
        <v>4480</v>
      </c>
      <c r="F52" s="603">
        <v>4041</v>
      </c>
      <c r="G52" s="405">
        <f t="shared" si="13"/>
        <v>-9.7991071428571441</v>
      </c>
      <c r="H52" s="607">
        <v>3270</v>
      </c>
      <c r="I52" s="605">
        <v>3390</v>
      </c>
      <c r="J52" s="332">
        <f t="shared" si="14"/>
        <v>3.669724770642202</v>
      </c>
    </row>
    <row r="53" spans="1:10" ht="12.75" customHeight="1" x14ac:dyDescent="0.3">
      <c r="A53" s="528" t="s">
        <v>565</v>
      </c>
      <c r="B53" s="539">
        <v>3130</v>
      </c>
      <c r="C53" s="539">
        <v>2830</v>
      </c>
      <c r="D53" s="332">
        <f t="shared" ref="D53" si="18">((C53/B53) -      1)*100</f>
        <v>-9.5846645367412169</v>
      </c>
      <c r="E53" s="396">
        <v>4480</v>
      </c>
      <c r="F53" s="603">
        <v>4041</v>
      </c>
      <c r="G53" s="405">
        <f t="shared" ref="G53" si="19">((F53/E53) -      1)*100</f>
        <v>-9.7991071428571441</v>
      </c>
      <c r="H53" s="607">
        <v>3270</v>
      </c>
      <c r="I53" s="605">
        <v>3390</v>
      </c>
      <c r="J53" s="332">
        <f t="shared" ref="J53" si="20">((I53/H53) -      1)*100</f>
        <v>3.669724770642202</v>
      </c>
    </row>
    <row r="54" spans="1:10" ht="12.75" customHeight="1" x14ac:dyDescent="0.3">
      <c r="A54" s="528" t="s">
        <v>566</v>
      </c>
      <c r="B54" s="539">
        <v>3130</v>
      </c>
      <c r="C54" s="539">
        <v>2830</v>
      </c>
      <c r="D54" s="332">
        <f t="shared" ref="D54" si="21">((C54/B54) -      1)*100</f>
        <v>-9.5846645367412169</v>
      </c>
      <c r="E54" s="396">
        <v>4480</v>
      </c>
      <c r="F54" s="603">
        <v>4041</v>
      </c>
      <c r="G54" s="405">
        <f t="shared" ref="G54" si="22">((F54/E54) -      1)*100</f>
        <v>-9.7991071428571441</v>
      </c>
      <c r="H54" s="607">
        <v>3270</v>
      </c>
      <c r="I54" s="605">
        <v>3390</v>
      </c>
      <c r="J54" s="332">
        <f t="shared" ref="J54" si="23">((I54/H54) -      1)*100</f>
        <v>3.669724770642202</v>
      </c>
    </row>
    <row r="55" spans="1:10" ht="12.75" customHeight="1" x14ac:dyDescent="0.3">
      <c r="A55" s="528" t="s">
        <v>58</v>
      </c>
      <c r="B55" s="539">
        <v>3013</v>
      </c>
      <c r="C55" s="539">
        <v>2500</v>
      </c>
      <c r="D55" s="332">
        <f t="shared" si="11"/>
        <v>-17.0262197145702</v>
      </c>
      <c r="E55" s="396">
        <v>4433</v>
      </c>
      <c r="F55" s="604">
        <v>3300</v>
      </c>
      <c r="G55" s="405">
        <f t="shared" si="13"/>
        <v>-25.558312655086844</v>
      </c>
      <c r="H55" s="545">
        <v>3713</v>
      </c>
      <c r="I55" s="606">
        <v>2900</v>
      </c>
      <c r="J55" s="332">
        <f t="shared" si="14"/>
        <v>-21.896040937247506</v>
      </c>
    </row>
    <row r="56" spans="1:10" ht="12.75" customHeight="1" x14ac:dyDescent="0.3">
      <c r="A56" s="521"/>
      <c r="B56" s="522"/>
      <c r="C56" s="523"/>
      <c r="D56" s="523"/>
      <c r="E56" s="523"/>
      <c r="F56" s="523"/>
      <c r="G56" s="523"/>
      <c r="H56" s="523"/>
      <c r="I56" s="523"/>
      <c r="J56" s="524" t="s">
        <v>26</v>
      </c>
    </row>
    <row r="57" spans="1:10" ht="12.75" customHeight="1" x14ac:dyDescent="0.3">
      <c r="A57" s="750" t="s">
        <v>412</v>
      </c>
      <c r="B57" s="750"/>
      <c r="C57" s="750"/>
      <c r="D57" s="750"/>
      <c r="E57" s="750"/>
      <c r="F57" s="750"/>
      <c r="G57" s="356"/>
      <c r="H57" s="356"/>
      <c r="I57" s="357"/>
      <c r="J57" s="357"/>
    </row>
    <row r="58" spans="1:10" ht="12.75" customHeight="1" x14ac:dyDescent="0.3">
      <c r="A58" s="741" t="s">
        <v>0</v>
      </c>
      <c r="B58" s="743" t="s">
        <v>50</v>
      </c>
      <c r="C58" s="744"/>
      <c r="D58" s="745"/>
      <c r="E58" s="743" t="s">
        <v>51</v>
      </c>
      <c r="F58" s="744"/>
      <c r="G58" s="745"/>
      <c r="H58" s="743" t="s">
        <v>408</v>
      </c>
      <c r="I58" s="744"/>
      <c r="J58" s="745"/>
    </row>
    <row r="59" spans="1:10" ht="12.75" customHeight="1" x14ac:dyDescent="0.3">
      <c r="A59" s="742"/>
      <c r="B59" s="319">
        <v>2024</v>
      </c>
      <c r="C59" s="319">
        <v>2025</v>
      </c>
      <c r="D59" s="319" t="s">
        <v>1</v>
      </c>
      <c r="E59" s="319">
        <v>2024</v>
      </c>
      <c r="F59" s="319">
        <v>2025</v>
      </c>
      <c r="G59" s="319" t="s">
        <v>1</v>
      </c>
      <c r="H59" s="319">
        <v>2024</v>
      </c>
      <c r="I59" s="319">
        <v>2025</v>
      </c>
      <c r="J59" s="319" t="s">
        <v>1</v>
      </c>
    </row>
    <row r="60" spans="1:10" ht="12.75" customHeight="1" x14ac:dyDescent="0.3">
      <c r="A60" s="410" t="s">
        <v>81</v>
      </c>
      <c r="B60" s="406">
        <f>AVERAGE(B61:B64)</f>
        <v>2135</v>
      </c>
      <c r="C60" s="406">
        <f>AVERAGE(C61:C64)</f>
        <v>2042.5</v>
      </c>
      <c r="D60" s="349">
        <f t="shared" ref="D60:D77" si="24">((C60/B60) -      1)*100</f>
        <v>-4.3325526932084362</v>
      </c>
      <c r="E60" s="395">
        <f>AVERAGE(E61:E64)</f>
        <v>3520</v>
      </c>
      <c r="F60" s="395">
        <f>AVERAGE(F61:F64)</f>
        <v>3526.6666666666665</v>
      </c>
      <c r="G60" s="404">
        <f t="shared" ref="G60:G63" si="25">((F60/E60) -      1)*100</f>
        <v>0.18939393939394478</v>
      </c>
      <c r="H60" s="395">
        <f>AVERAGE(H61:H64)</f>
        <v>2930</v>
      </c>
      <c r="I60" s="395">
        <f>AVERAGE(I61:I64)</f>
        <v>2862.5</v>
      </c>
      <c r="J60" s="334">
        <f t="shared" ref="J60:J63" si="26">((I60/H60) -      1)*100</f>
        <v>-2.3037542662115995</v>
      </c>
    </row>
    <row r="61" spans="1:10" ht="12.75" customHeight="1" x14ac:dyDescent="0.3">
      <c r="A61" s="528" t="s">
        <v>411</v>
      </c>
      <c r="B61" s="398">
        <v>2200</v>
      </c>
      <c r="C61" s="398">
        <v>2150</v>
      </c>
      <c r="D61" s="351">
        <f t="shared" si="24"/>
        <v>-2.2727272727272707</v>
      </c>
      <c r="E61" s="396">
        <v>3500</v>
      </c>
      <c r="F61" s="396">
        <v>3430</v>
      </c>
      <c r="G61" s="405">
        <f t="shared" si="25"/>
        <v>-2.0000000000000018</v>
      </c>
      <c r="H61" s="396">
        <v>2800</v>
      </c>
      <c r="I61" s="396">
        <v>2880</v>
      </c>
      <c r="J61" s="332">
        <f t="shared" si="26"/>
        <v>2.857142857142847</v>
      </c>
    </row>
    <row r="62" spans="1:10" ht="12.75" customHeight="1" x14ac:dyDescent="0.3">
      <c r="A62" s="528" t="s">
        <v>399</v>
      </c>
      <c r="B62" s="398">
        <v>2220</v>
      </c>
      <c r="C62" s="398">
        <v>2060</v>
      </c>
      <c r="D62" s="351">
        <f t="shared" ref="D62:D63" si="27">((C62/B62) -      1)*100</f>
        <v>-7.2072072072072118</v>
      </c>
      <c r="E62" s="396">
        <v>3700</v>
      </c>
      <c r="F62" s="396">
        <v>3300</v>
      </c>
      <c r="G62" s="405">
        <f t="shared" si="25"/>
        <v>-10.810810810810811</v>
      </c>
      <c r="H62" s="398" t="s">
        <v>410</v>
      </c>
      <c r="I62" s="398" t="s">
        <v>410</v>
      </c>
      <c r="J62" s="351" t="s">
        <v>396</v>
      </c>
    </row>
    <row r="63" spans="1:10" ht="12.75" customHeight="1" x14ac:dyDescent="0.3">
      <c r="A63" s="528" t="s">
        <v>553</v>
      </c>
      <c r="B63" s="398">
        <v>2020</v>
      </c>
      <c r="C63" s="398">
        <v>1960</v>
      </c>
      <c r="D63" s="351">
        <f t="shared" si="27"/>
        <v>-2.9702970297029729</v>
      </c>
      <c r="E63" s="396">
        <v>3360</v>
      </c>
      <c r="F63" s="396">
        <v>3850</v>
      </c>
      <c r="G63" s="405">
        <f t="shared" si="25"/>
        <v>14.583333333333325</v>
      </c>
      <c r="H63" s="396">
        <v>3060</v>
      </c>
      <c r="I63" s="396">
        <v>2845</v>
      </c>
      <c r="J63" s="332">
        <f t="shared" si="26"/>
        <v>-7.0261437908496704</v>
      </c>
    </row>
    <row r="64" spans="1:10" ht="12.75" customHeight="1" x14ac:dyDescent="0.3">
      <c r="A64" s="528" t="s">
        <v>555</v>
      </c>
      <c r="B64" s="398">
        <v>2100</v>
      </c>
      <c r="C64" s="398">
        <v>2000</v>
      </c>
      <c r="D64" s="351">
        <f t="shared" si="24"/>
        <v>-4.7619047619047672</v>
      </c>
      <c r="E64" s="398" t="s">
        <v>410</v>
      </c>
      <c r="F64" s="398" t="s">
        <v>410</v>
      </c>
      <c r="G64" s="351" t="s">
        <v>396</v>
      </c>
      <c r="H64" s="398" t="s">
        <v>410</v>
      </c>
      <c r="I64" s="398" t="s">
        <v>410</v>
      </c>
      <c r="J64" s="351" t="s">
        <v>396</v>
      </c>
    </row>
    <row r="65" spans="1:10" ht="12.75" customHeight="1" x14ac:dyDescent="0.3">
      <c r="A65" s="410" t="s">
        <v>400</v>
      </c>
      <c r="B65" s="406">
        <f>AVERAGE(B66:B77)</f>
        <v>2254.5454545454545</v>
      </c>
      <c r="C65" s="406">
        <f>AVERAGE(C66:C77)</f>
        <v>2091.6666666666665</v>
      </c>
      <c r="D65" s="349">
        <f t="shared" si="24"/>
        <v>-7.2244623655913998</v>
      </c>
      <c r="E65" s="395">
        <f t="shared" ref="E65:F65" si="28">AVERAGE(E66:E77)</f>
        <v>3506.1333333333332</v>
      </c>
      <c r="F65" s="395">
        <f t="shared" si="28"/>
        <v>3484.4666666666667</v>
      </c>
      <c r="G65" s="349">
        <f>((F65/E65) -      1)*100</f>
        <v>-0.61796470946151594</v>
      </c>
      <c r="H65" s="395">
        <f t="shared" ref="H65:I65" si="29">AVERAGE(H66:H77)</f>
        <v>2528</v>
      </c>
      <c r="I65" s="395">
        <f t="shared" si="29"/>
        <v>2834.6400000000003</v>
      </c>
      <c r="J65" s="349">
        <f>((I65/H65) -      1)*100</f>
        <v>12.129746835443056</v>
      </c>
    </row>
    <row r="66" spans="1:10" ht="12.75" customHeight="1" x14ac:dyDescent="0.3">
      <c r="A66" s="528" t="s">
        <v>28</v>
      </c>
      <c r="B66" s="398">
        <v>1990</v>
      </c>
      <c r="C66" s="398">
        <v>1900</v>
      </c>
      <c r="D66" s="351">
        <f t="shared" si="24"/>
        <v>-4.522613065326631</v>
      </c>
      <c r="E66" s="396">
        <v>3720</v>
      </c>
      <c r="F66" s="396">
        <v>3500</v>
      </c>
      <c r="G66" s="351">
        <f>((F66/E66) -      1)*100</f>
        <v>-5.9139784946236507</v>
      </c>
      <c r="H66" s="398" t="s">
        <v>410</v>
      </c>
      <c r="I66" s="398" t="s">
        <v>410</v>
      </c>
      <c r="J66" s="351" t="s">
        <v>396</v>
      </c>
    </row>
    <row r="67" spans="1:10" ht="12.75" customHeight="1" x14ac:dyDescent="0.3">
      <c r="A67" s="528" t="s">
        <v>82</v>
      </c>
      <c r="B67" s="398">
        <v>2700</v>
      </c>
      <c r="C67" s="398">
        <v>2500</v>
      </c>
      <c r="D67" s="351">
        <f t="shared" si="24"/>
        <v>-7.4074074074074066</v>
      </c>
      <c r="E67" s="398" t="s">
        <v>410</v>
      </c>
      <c r="F67" s="398" t="s">
        <v>410</v>
      </c>
      <c r="G67" s="351" t="s">
        <v>396</v>
      </c>
      <c r="H67" s="398" t="s">
        <v>410</v>
      </c>
      <c r="I67" s="398" t="s">
        <v>410</v>
      </c>
      <c r="J67" s="351" t="s">
        <v>396</v>
      </c>
    </row>
    <row r="68" spans="1:10" ht="12.75" customHeight="1" x14ac:dyDescent="0.3">
      <c r="A68" s="528" t="s">
        <v>29</v>
      </c>
      <c r="B68" s="398">
        <v>1970</v>
      </c>
      <c r="C68" s="398">
        <v>1800</v>
      </c>
      <c r="D68" s="351">
        <f t="shared" si="24"/>
        <v>-8.6294416243654855</v>
      </c>
      <c r="E68" s="396">
        <v>3260</v>
      </c>
      <c r="F68" s="396">
        <v>3200</v>
      </c>
      <c r="G68" s="351">
        <f>((F68/E68) -      1)*100</f>
        <v>-1.8404907975460127</v>
      </c>
      <c r="H68" s="396">
        <v>2315</v>
      </c>
      <c r="I68" s="396">
        <v>2566.6</v>
      </c>
      <c r="J68" s="351">
        <f>((I68/H68) -      1)*100</f>
        <v>10.868250539956792</v>
      </c>
    </row>
    <row r="69" spans="1:10" ht="12.75" customHeight="1" x14ac:dyDescent="0.3">
      <c r="A69" s="528" t="s">
        <v>30</v>
      </c>
      <c r="B69" s="398">
        <v>2473.4</v>
      </c>
      <c r="C69" s="398">
        <v>2205</v>
      </c>
      <c r="D69" s="351">
        <f t="shared" si="24"/>
        <v>-10.851459529392738</v>
      </c>
      <c r="E69" s="396">
        <v>3953.4</v>
      </c>
      <c r="F69" s="396">
        <v>3653.4</v>
      </c>
      <c r="G69" s="351">
        <f>((F69/E69) -      1)*100</f>
        <v>-7.5884049172863843</v>
      </c>
      <c r="H69" s="396">
        <v>2925</v>
      </c>
      <c r="I69" s="396">
        <v>3166.6</v>
      </c>
      <c r="J69" s="351">
        <f>((I69/H69) -      1)*100</f>
        <v>8.2598290598290482</v>
      </c>
    </row>
    <row r="70" spans="1:10" ht="12.75" customHeight="1" x14ac:dyDescent="0.3">
      <c r="A70" s="528" t="s">
        <v>64</v>
      </c>
      <c r="B70" s="398">
        <v>2100</v>
      </c>
      <c r="C70" s="398">
        <v>2166.6</v>
      </c>
      <c r="D70" s="351">
        <f t="shared" si="24"/>
        <v>3.1714285714285584</v>
      </c>
      <c r="E70" s="398" t="s">
        <v>410</v>
      </c>
      <c r="F70" s="398" t="s">
        <v>410</v>
      </c>
      <c r="G70" s="351" t="s">
        <v>396</v>
      </c>
      <c r="H70" s="398" t="s">
        <v>410</v>
      </c>
      <c r="I70" s="398" t="s">
        <v>410</v>
      </c>
      <c r="J70" s="351" t="s">
        <v>396</v>
      </c>
    </row>
    <row r="71" spans="1:10" ht="12.75" customHeight="1" x14ac:dyDescent="0.3">
      <c r="A71" s="528" t="s">
        <v>31</v>
      </c>
      <c r="B71" s="398">
        <v>2060</v>
      </c>
      <c r="C71" s="398">
        <v>1933.4</v>
      </c>
      <c r="D71" s="351">
        <f t="shared" si="24"/>
        <v>-6.1456310679611654</v>
      </c>
      <c r="E71" s="398" t="s">
        <v>410</v>
      </c>
      <c r="F71" s="398" t="s">
        <v>410</v>
      </c>
      <c r="G71" s="351" t="s">
        <v>396</v>
      </c>
      <c r="H71" s="398" t="s">
        <v>410</v>
      </c>
      <c r="I71" s="398" t="s">
        <v>410</v>
      </c>
      <c r="J71" s="351" t="s">
        <v>396</v>
      </c>
    </row>
    <row r="72" spans="1:10" ht="12.75" customHeight="1" x14ac:dyDescent="0.3">
      <c r="A72" s="528" t="s">
        <v>54</v>
      </c>
      <c r="B72" s="398" t="s">
        <v>410</v>
      </c>
      <c r="C72" s="398">
        <v>1920</v>
      </c>
      <c r="D72" s="351" t="s">
        <v>396</v>
      </c>
      <c r="E72" s="396">
        <v>3293.4</v>
      </c>
      <c r="F72" s="396">
        <v>3213.4</v>
      </c>
      <c r="G72" s="351">
        <f>((F72/E72) -      1)*100</f>
        <v>-2.4291006254934078</v>
      </c>
      <c r="H72" s="396">
        <v>2400</v>
      </c>
      <c r="I72" s="396">
        <v>2620</v>
      </c>
      <c r="J72" s="351">
        <f>((I72/H72) -      1)*100</f>
        <v>9.1666666666666572</v>
      </c>
    </row>
    <row r="73" spans="1:10" ht="12.75" customHeight="1" x14ac:dyDescent="0.3">
      <c r="A73" s="528" t="s">
        <v>83</v>
      </c>
      <c r="B73" s="398">
        <v>2800</v>
      </c>
      <c r="C73" s="398">
        <v>2600</v>
      </c>
      <c r="D73" s="351">
        <f t="shared" si="24"/>
        <v>-7.1428571428571397</v>
      </c>
      <c r="E73" s="398" t="s">
        <v>410</v>
      </c>
      <c r="F73" s="398" t="s">
        <v>410</v>
      </c>
      <c r="G73" s="351" t="s">
        <v>396</v>
      </c>
      <c r="H73" s="396">
        <v>2400</v>
      </c>
      <c r="I73" s="396">
        <v>3200</v>
      </c>
      <c r="J73" s="351">
        <f>((I73/H73) -      1)*100</f>
        <v>33.333333333333329</v>
      </c>
    </row>
    <row r="74" spans="1:10" ht="12.75" customHeight="1" x14ac:dyDescent="0.3">
      <c r="A74" s="528" t="s">
        <v>32</v>
      </c>
      <c r="B74" s="398">
        <v>2220</v>
      </c>
      <c r="C74" s="398">
        <v>1960</v>
      </c>
      <c r="D74" s="351">
        <f t="shared" si="24"/>
        <v>-11.711711711711715</v>
      </c>
      <c r="E74" s="398" t="s">
        <v>410</v>
      </c>
      <c r="F74" s="398" t="s">
        <v>410</v>
      </c>
      <c r="G74" s="351" t="s">
        <v>396</v>
      </c>
      <c r="H74" s="398" t="s">
        <v>410</v>
      </c>
      <c r="I74" s="398" t="s">
        <v>410</v>
      </c>
      <c r="J74" s="351" t="s">
        <v>396</v>
      </c>
    </row>
    <row r="75" spans="1:10" ht="12.75" customHeight="1" x14ac:dyDescent="0.3">
      <c r="A75" s="528" t="s">
        <v>33</v>
      </c>
      <c r="B75" s="398">
        <v>2200</v>
      </c>
      <c r="C75" s="398">
        <v>2250</v>
      </c>
      <c r="D75" s="351">
        <f t="shared" si="24"/>
        <v>2.2727272727272707</v>
      </c>
      <c r="E75" s="398" t="s">
        <v>410</v>
      </c>
      <c r="F75" s="398" t="s">
        <v>410</v>
      </c>
      <c r="G75" s="351" t="s">
        <v>396</v>
      </c>
      <c r="H75" s="398" t="s">
        <v>410</v>
      </c>
      <c r="I75" s="398" t="s">
        <v>410</v>
      </c>
      <c r="J75" s="351" t="s">
        <v>396</v>
      </c>
    </row>
    <row r="76" spans="1:10" ht="12.75" customHeight="1" x14ac:dyDescent="0.3">
      <c r="A76" s="528" t="s">
        <v>34</v>
      </c>
      <c r="B76" s="398">
        <v>2006.6</v>
      </c>
      <c r="C76" s="398">
        <v>1925</v>
      </c>
      <c r="D76" s="351">
        <f t="shared" si="24"/>
        <v>-4.0665802850592954</v>
      </c>
      <c r="E76" s="396">
        <v>3360</v>
      </c>
      <c r="F76" s="396">
        <v>3440</v>
      </c>
      <c r="G76" s="351">
        <f>((F76/E76) -      1)*100</f>
        <v>2.3809523809523725</v>
      </c>
      <c r="H76" s="396">
        <v>2600</v>
      </c>
      <c r="I76" s="396">
        <v>2620</v>
      </c>
      <c r="J76" s="351">
        <f>((I76/H76) -      1)*100</f>
        <v>0.7692307692307665</v>
      </c>
    </row>
    <row r="77" spans="1:10" ht="12.75" customHeight="1" x14ac:dyDescent="0.3">
      <c r="A77" s="528" t="s">
        <v>66</v>
      </c>
      <c r="B77" s="398">
        <v>2280</v>
      </c>
      <c r="C77" s="398">
        <v>1940</v>
      </c>
      <c r="D77" s="351">
        <f t="shared" si="24"/>
        <v>-14.912280701754387</v>
      </c>
      <c r="E77" s="396">
        <v>3450</v>
      </c>
      <c r="F77" s="396">
        <v>3900</v>
      </c>
      <c r="G77" s="351">
        <f>((F77/E77) -      1)*100</f>
        <v>13.043478260869556</v>
      </c>
      <c r="H77" s="398" t="s">
        <v>410</v>
      </c>
      <c r="I77" s="398" t="s">
        <v>410</v>
      </c>
      <c r="J77" s="351" t="s">
        <v>396</v>
      </c>
    </row>
    <row r="78" spans="1:10" ht="12.75" customHeight="1" x14ac:dyDescent="0.3">
      <c r="A78" s="410" t="s">
        <v>35</v>
      </c>
      <c r="B78" s="406">
        <f>AVERAGE(B79:B81)</f>
        <v>2158.3333333333335</v>
      </c>
      <c r="C78" s="406">
        <f>AVERAGE(C79:C81)</f>
        <v>1973.3333333333333</v>
      </c>
      <c r="D78" s="349">
        <f t="shared" ref="D78:D82" si="30">((C78/B78)-    1)*100</f>
        <v>-8.5714285714285854</v>
      </c>
      <c r="E78" s="395">
        <f t="shared" ref="E78" si="31">AVERAGE(E79:E81)</f>
        <v>3386.6666666666665</v>
      </c>
      <c r="F78" s="395">
        <f>AVERAGE(F79:F81)</f>
        <v>3275</v>
      </c>
      <c r="G78" s="349">
        <f>((F78/E78)-    1)*100</f>
        <v>-3.2972440944881831</v>
      </c>
      <c r="H78" s="395">
        <f t="shared" ref="H78" si="32">AVERAGE(H79:H81)</f>
        <v>2756.6666666666665</v>
      </c>
      <c r="I78" s="395">
        <f>AVERAGE(I79:I81)</f>
        <v>2818.3333333333335</v>
      </c>
      <c r="J78" s="349">
        <f t="shared" ref="J78:J82" si="33">((I78/H78)-    1)*100</f>
        <v>2.2370012091898595</v>
      </c>
    </row>
    <row r="79" spans="1:10" ht="12.75" customHeight="1" x14ac:dyDescent="0.3">
      <c r="A79" s="528" t="s">
        <v>36</v>
      </c>
      <c r="B79" s="398">
        <v>2070</v>
      </c>
      <c r="C79" s="398">
        <v>1950</v>
      </c>
      <c r="D79" s="351">
        <f t="shared" si="30"/>
        <v>-5.7971014492753659</v>
      </c>
      <c r="E79" s="396">
        <v>3345</v>
      </c>
      <c r="F79" s="396">
        <v>3230</v>
      </c>
      <c r="G79" s="351">
        <f>((F79/E79)-    1)*100</f>
        <v>-3.4379671150971625</v>
      </c>
      <c r="H79" s="396">
        <v>2695</v>
      </c>
      <c r="I79" s="396">
        <v>2765</v>
      </c>
      <c r="J79" s="351">
        <f t="shared" si="33"/>
        <v>2.5974025974025983</v>
      </c>
    </row>
    <row r="80" spans="1:10" ht="12.75" customHeight="1" x14ac:dyDescent="0.3">
      <c r="A80" s="528" t="s">
        <v>37</v>
      </c>
      <c r="B80" s="398">
        <v>2265</v>
      </c>
      <c r="C80" s="398">
        <v>2020</v>
      </c>
      <c r="D80" s="351">
        <f t="shared" si="30"/>
        <v>-10.816777041942604</v>
      </c>
      <c r="E80" s="396">
        <v>3460</v>
      </c>
      <c r="F80" s="396">
        <v>3345</v>
      </c>
      <c r="G80" s="351">
        <f>((F80/E80)-    1)*100</f>
        <v>-3.3236994219653204</v>
      </c>
      <c r="H80" s="396">
        <v>2830</v>
      </c>
      <c r="I80" s="396">
        <v>2905</v>
      </c>
      <c r="J80" s="351">
        <f t="shared" si="33"/>
        <v>2.6501766784452263</v>
      </c>
    </row>
    <row r="81" spans="1:10" ht="12.75" customHeight="1" x14ac:dyDescent="0.3">
      <c r="A81" s="528" t="s">
        <v>38</v>
      </c>
      <c r="B81" s="398">
        <v>2140</v>
      </c>
      <c r="C81" s="398">
        <v>1950</v>
      </c>
      <c r="D81" s="351">
        <f t="shared" si="30"/>
        <v>-8.8785046728971917</v>
      </c>
      <c r="E81" s="396">
        <v>3355</v>
      </c>
      <c r="F81" s="396">
        <v>3250</v>
      </c>
      <c r="G81" s="351">
        <f>((F81/E81)-    1)*100</f>
        <v>-3.1296572280178792</v>
      </c>
      <c r="H81" s="396">
        <v>2745</v>
      </c>
      <c r="I81" s="396">
        <v>2785</v>
      </c>
      <c r="J81" s="351">
        <f t="shared" si="33"/>
        <v>1.4571948998178597</v>
      </c>
    </row>
    <row r="82" spans="1:10" ht="12.75" customHeight="1" x14ac:dyDescent="0.3">
      <c r="A82" s="514" t="s">
        <v>187</v>
      </c>
      <c r="B82" s="470">
        <v>2475</v>
      </c>
      <c r="C82" s="470">
        <v>2016.7</v>
      </c>
      <c r="D82" s="333">
        <f t="shared" si="30"/>
        <v>-18.51717171717171</v>
      </c>
      <c r="E82" s="395">
        <v>3568</v>
      </c>
      <c r="F82" s="395">
        <v>3600</v>
      </c>
      <c r="G82" s="349">
        <f t="shared" ref="G82" si="34">((F82/E82)-    1)*100</f>
        <v>0.89686098654708779</v>
      </c>
      <c r="H82" s="478">
        <v>2772</v>
      </c>
      <c r="I82" s="478">
        <v>3105</v>
      </c>
      <c r="J82" s="333">
        <f t="shared" si="33"/>
        <v>12.012987012987008</v>
      </c>
    </row>
    <row r="83" spans="1:10" ht="12.75" customHeight="1" x14ac:dyDescent="0.3">
      <c r="A83" s="517" t="s">
        <v>560</v>
      </c>
      <c r="B83" s="470">
        <f>AVERAGE(B84)</f>
        <v>2762.2</v>
      </c>
      <c r="C83" s="470">
        <f>AVERAGE(C84)</f>
        <v>2500</v>
      </c>
      <c r="D83" s="525">
        <f>((C83/B83) -     1)*100</f>
        <v>-9.4924335674462341</v>
      </c>
      <c r="E83" s="395">
        <f t="shared" ref="E83:F83" si="35">AVERAGE(E84)</f>
        <v>3857</v>
      </c>
      <c r="F83" s="395">
        <f t="shared" si="35"/>
        <v>3605</v>
      </c>
      <c r="G83" s="333">
        <f>((F83/E83) -     1)*100</f>
        <v>-6.5335753176043561</v>
      </c>
      <c r="H83" s="406" t="s">
        <v>410</v>
      </c>
      <c r="I83" s="406" t="s">
        <v>410</v>
      </c>
      <c r="J83" s="349" t="s">
        <v>396</v>
      </c>
    </row>
    <row r="84" spans="1:10" ht="12.75" customHeight="1" x14ac:dyDescent="0.3">
      <c r="A84" s="528" t="s">
        <v>563</v>
      </c>
      <c r="B84" s="541">
        <v>2762.2</v>
      </c>
      <c r="C84" s="541">
        <v>2500</v>
      </c>
      <c r="D84" s="526">
        <f>((C84/B84) -     1)*100</f>
        <v>-9.4924335674462341</v>
      </c>
      <c r="E84" s="396">
        <v>3857</v>
      </c>
      <c r="F84" s="396">
        <v>3605</v>
      </c>
      <c r="G84" s="329">
        <f>((F84/E84) -     1)*100</f>
        <v>-6.5335753176043561</v>
      </c>
      <c r="H84" s="398" t="s">
        <v>410</v>
      </c>
      <c r="I84" s="398" t="s">
        <v>410</v>
      </c>
      <c r="J84" s="351" t="s">
        <v>396</v>
      </c>
    </row>
    <row r="85" spans="1:10" ht="12.75" customHeight="1" x14ac:dyDescent="0.3">
      <c r="A85" s="517" t="s">
        <v>192</v>
      </c>
      <c r="B85" s="470">
        <f>AVERAGE(B86:B86)</f>
        <v>2433</v>
      </c>
      <c r="C85" s="470">
        <f>AVERAGE(C86:C86)</f>
        <v>2166.6</v>
      </c>
      <c r="D85" s="525">
        <f>((C85/B85) -     1)*100</f>
        <v>-10.949445129469792</v>
      </c>
      <c r="E85" s="395">
        <f>AVERAGE(E86:E86)</f>
        <v>3767</v>
      </c>
      <c r="F85" s="395">
        <f>AVERAGE(F86:F86)</f>
        <v>3433.4</v>
      </c>
      <c r="G85" s="333">
        <f>((F85/E85) -     1)*100</f>
        <v>-8.855853464295194</v>
      </c>
      <c r="H85" s="395">
        <f>AVERAGE(H86:H86)</f>
        <v>3167</v>
      </c>
      <c r="I85" s="395">
        <f>AVERAGE(I86:I86)</f>
        <v>2933.4</v>
      </c>
      <c r="J85" s="333">
        <f>((I85/H85) -     1)*100</f>
        <v>-7.3760656772971274</v>
      </c>
    </row>
    <row r="86" spans="1:10" ht="12.75" customHeight="1" x14ac:dyDescent="0.3">
      <c r="A86" s="528" t="s">
        <v>195</v>
      </c>
      <c r="B86" s="541">
        <v>2433</v>
      </c>
      <c r="C86" s="541">
        <v>2166.6</v>
      </c>
      <c r="D86" s="526">
        <f>((C86/B86) -     1)*100</f>
        <v>-10.949445129469792</v>
      </c>
      <c r="E86" s="396">
        <v>3767</v>
      </c>
      <c r="F86" s="396">
        <v>3433.4</v>
      </c>
      <c r="G86" s="329">
        <f>((F86/E86) -     1)*100</f>
        <v>-8.855853464295194</v>
      </c>
      <c r="H86" s="396">
        <v>3167</v>
      </c>
      <c r="I86" s="396">
        <v>2933.4</v>
      </c>
      <c r="J86" s="529">
        <f>((I86/H86) -     1)*100</f>
        <v>-7.3760656772971274</v>
      </c>
    </row>
    <row r="87" spans="1:10" ht="12.75" customHeight="1" x14ac:dyDescent="0.3">
      <c r="A87" s="410" t="s">
        <v>39</v>
      </c>
      <c r="B87" s="406">
        <f>AVERAGE(B88:B90)</f>
        <v>2831.6666666666665</v>
      </c>
      <c r="C87" s="406">
        <f>AVERAGE(C88:C90)</f>
        <v>2455.6666666666665</v>
      </c>
      <c r="D87" s="349">
        <f t="shared" ref="D87:D99" si="36">((C87/B87) -      1)*100</f>
        <v>-13.278399058269574</v>
      </c>
      <c r="E87" s="395">
        <f t="shared" ref="E87:F87" si="37">AVERAGE(E88:E90)</f>
        <v>3395</v>
      </c>
      <c r="F87" s="395">
        <f t="shared" si="37"/>
        <v>3420</v>
      </c>
      <c r="G87" s="349">
        <f>((F87/E87) -      1)*100</f>
        <v>0.73637702503681624</v>
      </c>
      <c r="H87" s="395">
        <f t="shared" ref="H87:I87" si="38">AVERAGE(H88:H90)</f>
        <v>3402.5</v>
      </c>
      <c r="I87" s="395">
        <f t="shared" si="38"/>
        <v>2896</v>
      </c>
      <c r="J87" s="349">
        <f>((I87/H87) -      1)*100</f>
        <v>-14.886113152094049</v>
      </c>
    </row>
    <row r="88" spans="1:10" ht="12.75" customHeight="1" x14ac:dyDescent="0.3">
      <c r="A88" s="528" t="s">
        <v>401</v>
      </c>
      <c r="B88" s="541">
        <v>2800</v>
      </c>
      <c r="C88" s="541">
        <v>2700</v>
      </c>
      <c r="D88" s="351">
        <f>((C88/B88) -      1)*100</f>
        <v>-3.5714285714285698</v>
      </c>
      <c r="E88" s="398" t="s">
        <v>410</v>
      </c>
      <c r="F88" s="398" t="s">
        <v>410</v>
      </c>
      <c r="G88" s="542" t="s">
        <v>413</v>
      </c>
      <c r="H88" s="398" t="s">
        <v>410</v>
      </c>
      <c r="I88" s="398" t="s">
        <v>410</v>
      </c>
      <c r="J88" s="542" t="s">
        <v>413</v>
      </c>
    </row>
    <row r="89" spans="1:10" ht="12.75" customHeight="1" x14ac:dyDescent="0.3">
      <c r="A89" s="528" t="s">
        <v>40</v>
      </c>
      <c r="B89" s="398">
        <v>2855</v>
      </c>
      <c r="C89" s="398">
        <v>2329</v>
      </c>
      <c r="D89" s="351">
        <f t="shared" si="36"/>
        <v>-18.423817863397552</v>
      </c>
      <c r="E89" s="396">
        <v>3440</v>
      </c>
      <c r="F89" s="396">
        <v>3460</v>
      </c>
      <c r="G89" s="351">
        <f>((F89/E89) -      1)*100</f>
        <v>0.58139534883721034</v>
      </c>
      <c r="H89" s="396">
        <v>3785</v>
      </c>
      <c r="I89" s="396">
        <v>2992</v>
      </c>
      <c r="J89" s="351">
        <f>((I89/H89) -      1)*100</f>
        <v>-20.951122853368563</v>
      </c>
    </row>
    <row r="90" spans="1:10" ht="12.75" customHeight="1" x14ac:dyDescent="0.3">
      <c r="A90" s="528" t="s">
        <v>41</v>
      </c>
      <c r="B90" s="398">
        <v>2840</v>
      </c>
      <c r="C90" s="398">
        <v>2338</v>
      </c>
      <c r="D90" s="351">
        <f t="shared" si="36"/>
        <v>-17.676056338028168</v>
      </c>
      <c r="E90" s="396">
        <v>3350</v>
      </c>
      <c r="F90" s="396">
        <v>3380</v>
      </c>
      <c r="G90" s="351">
        <f t="shared" ref="G90" si="39">((F90/E90) -      1)*100</f>
        <v>0.89552238805969964</v>
      </c>
      <c r="H90" s="396">
        <v>3020</v>
      </c>
      <c r="I90" s="396">
        <v>2800</v>
      </c>
      <c r="J90" s="351">
        <f>((I90/H90) -      1)*100</f>
        <v>-7.2847682119205341</v>
      </c>
    </row>
    <row r="91" spans="1:10" ht="12.75" customHeight="1" x14ac:dyDescent="0.3">
      <c r="A91" s="410" t="s">
        <v>42</v>
      </c>
      <c r="B91" s="406">
        <f>AVERAGE(B92:B93)</f>
        <v>3216.5</v>
      </c>
      <c r="C91" s="406">
        <f>AVERAGE(C92:C93)</f>
        <v>3050</v>
      </c>
      <c r="D91" s="349">
        <f t="shared" si="36"/>
        <v>-5.1764340121249752</v>
      </c>
      <c r="E91" s="395">
        <f>AVERAGE(E92:E93)</f>
        <v>3167</v>
      </c>
      <c r="F91" s="395">
        <f>AVERAGE(F92:F93)</f>
        <v>3280</v>
      </c>
      <c r="G91" s="349">
        <f>((F91/E91) -      1)*100</f>
        <v>3.5680454688980179</v>
      </c>
      <c r="H91" s="395">
        <f>AVERAGE(H92:H93)</f>
        <v>2267</v>
      </c>
      <c r="I91" s="395">
        <f>AVERAGE(I92:I93)</f>
        <v>2850</v>
      </c>
      <c r="J91" s="349">
        <f>((I91/H91) -      1)*100</f>
        <v>25.716806352007062</v>
      </c>
    </row>
    <row r="92" spans="1:10" ht="12.75" customHeight="1" x14ac:dyDescent="0.3">
      <c r="A92" s="528" t="s">
        <v>44</v>
      </c>
      <c r="B92" s="398">
        <v>3633</v>
      </c>
      <c r="C92" s="398">
        <v>3800</v>
      </c>
      <c r="D92" s="351">
        <f t="shared" si="36"/>
        <v>4.5967519955959268</v>
      </c>
      <c r="E92" s="398" t="s">
        <v>410</v>
      </c>
      <c r="F92" s="398" t="s">
        <v>410</v>
      </c>
      <c r="G92" s="351" t="s">
        <v>396</v>
      </c>
      <c r="H92" s="398" t="s">
        <v>410</v>
      </c>
      <c r="I92" s="398" t="s">
        <v>410</v>
      </c>
      <c r="J92" s="351" t="s">
        <v>396</v>
      </c>
    </row>
    <row r="93" spans="1:10" ht="12.75" customHeight="1" x14ac:dyDescent="0.3">
      <c r="A93" s="528" t="s">
        <v>414</v>
      </c>
      <c r="B93" s="541">
        <v>2800</v>
      </c>
      <c r="C93" s="541">
        <v>2300</v>
      </c>
      <c r="D93" s="351">
        <f t="shared" si="36"/>
        <v>-17.857142857142861</v>
      </c>
      <c r="E93" s="396">
        <v>3167</v>
      </c>
      <c r="F93" s="396">
        <v>3280</v>
      </c>
      <c r="G93" s="351">
        <f>((F93/E93) -      1)*100</f>
        <v>3.5680454688980179</v>
      </c>
      <c r="H93" s="396">
        <v>2267</v>
      </c>
      <c r="I93" s="396">
        <v>2850</v>
      </c>
      <c r="J93" s="351">
        <f>((I93/H93) -      1)*100</f>
        <v>25.716806352007062</v>
      </c>
    </row>
    <row r="94" spans="1:10" ht="12.75" customHeight="1" x14ac:dyDescent="0.3">
      <c r="A94" s="379" t="s">
        <v>196</v>
      </c>
      <c r="B94" s="376" t="s">
        <v>409</v>
      </c>
      <c r="C94" s="406">
        <f>AVERAGE(C95:C97)</f>
        <v>2663.3333333333335</v>
      </c>
      <c r="D94" s="334" t="s">
        <v>396</v>
      </c>
      <c r="E94" s="346" t="s">
        <v>410</v>
      </c>
      <c r="F94" s="406" t="s">
        <v>410</v>
      </c>
      <c r="G94" s="411" t="s">
        <v>396</v>
      </c>
      <c r="H94" s="543" t="s">
        <v>451</v>
      </c>
      <c r="I94" s="543" t="s">
        <v>451</v>
      </c>
      <c r="J94" s="361" t="s">
        <v>396</v>
      </c>
    </row>
    <row r="95" spans="1:10" ht="12.75" customHeight="1" x14ac:dyDescent="0.3">
      <c r="A95" s="335" t="s">
        <v>65</v>
      </c>
      <c r="B95" s="347" t="s">
        <v>409</v>
      </c>
      <c r="C95" s="541">
        <v>2450</v>
      </c>
      <c r="D95" s="332" t="s">
        <v>396</v>
      </c>
      <c r="E95" s="345" t="s">
        <v>410</v>
      </c>
      <c r="F95" s="398" t="s">
        <v>410</v>
      </c>
      <c r="G95" s="399" t="s">
        <v>396</v>
      </c>
      <c r="H95" s="486" t="s">
        <v>451</v>
      </c>
      <c r="I95" s="486" t="s">
        <v>451</v>
      </c>
      <c r="J95" s="408" t="s">
        <v>396</v>
      </c>
    </row>
    <row r="96" spans="1:10" ht="12.75" customHeight="1" x14ac:dyDescent="0.3">
      <c r="A96" s="335" t="s">
        <v>197</v>
      </c>
      <c r="B96" s="347" t="s">
        <v>409</v>
      </c>
      <c r="C96" s="541">
        <v>2500</v>
      </c>
      <c r="D96" s="332" t="s">
        <v>396</v>
      </c>
      <c r="E96" s="345" t="s">
        <v>410</v>
      </c>
      <c r="F96" s="398" t="s">
        <v>410</v>
      </c>
      <c r="G96" s="399" t="s">
        <v>396</v>
      </c>
      <c r="H96" s="486" t="s">
        <v>451</v>
      </c>
      <c r="I96" s="486" t="s">
        <v>451</v>
      </c>
      <c r="J96" s="408" t="s">
        <v>396</v>
      </c>
    </row>
    <row r="97" spans="1:10" ht="12.75" customHeight="1" x14ac:dyDescent="0.3">
      <c r="A97" s="335" t="s">
        <v>199</v>
      </c>
      <c r="B97" s="347" t="s">
        <v>409</v>
      </c>
      <c r="C97" s="541">
        <v>3040</v>
      </c>
      <c r="D97" s="332" t="s">
        <v>396</v>
      </c>
      <c r="E97" s="345" t="s">
        <v>410</v>
      </c>
      <c r="F97" s="398" t="s">
        <v>410</v>
      </c>
      <c r="G97" s="399" t="s">
        <v>396</v>
      </c>
      <c r="H97" s="486" t="s">
        <v>451</v>
      </c>
      <c r="I97" s="486" t="s">
        <v>451</v>
      </c>
      <c r="J97" s="408" t="s">
        <v>396</v>
      </c>
    </row>
    <row r="98" spans="1:10" ht="12.75" customHeight="1" x14ac:dyDescent="0.3">
      <c r="A98" s="487" t="s">
        <v>84</v>
      </c>
      <c r="B98" s="406">
        <f>AVERAGE(B99:B100)</f>
        <v>2176.6999999999998</v>
      </c>
      <c r="C98" s="406">
        <f>AVERAGE(C99:C100)</f>
        <v>2110</v>
      </c>
      <c r="D98" s="361">
        <f t="shared" si="36"/>
        <v>-3.0642716038039142</v>
      </c>
      <c r="E98" s="395">
        <f>AVERAGE(E99:E100)</f>
        <v>3460</v>
      </c>
      <c r="F98" s="395">
        <f>AVERAGE(F99:F100)</f>
        <v>3460</v>
      </c>
      <c r="G98" s="361">
        <f>((F98/E98) -      1)*100</f>
        <v>0</v>
      </c>
      <c r="H98" s="395">
        <f>AVERAGE(H99:H100)</f>
        <v>2853.4</v>
      </c>
      <c r="I98" s="395">
        <f>AVERAGE(I99:I100)</f>
        <v>2890</v>
      </c>
      <c r="J98" s="361">
        <f>((I98/H98) -      1)*100</f>
        <v>1.2826803112076846</v>
      </c>
    </row>
    <row r="99" spans="1:10" ht="12.75" customHeight="1" x14ac:dyDescent="0.3">
      <c r="A99" s="528" t="s">
        <v>481</v>
      </c>
      <c r="B99" s="398">
        <v>2080</v>
      </c>
      <c r="C99" s="398">
        <v>2160</v>
      </c>
      <c r="D99" s="408">
        <f t="shared" si="36"/>
        <v>3.8461538461538547</v>
      </c>
      <c r="E99" s="398" t="s">
        <v>410</v>
      </c>
      <c r="F99" s="398" t="s">
        <v>410</v>
      </c>
      <c r="G99" s="399" t="s">
        <v>396</v>
      </c>
      <c r="H99" s="483" t="s">
        <v>410</v>
      </c>
      <c r="I99" s="483" t="s">
        <v>410</v>
      </c>
      <c r="J99" s="408" t="s">
        <v>396</v>
      </c>
    </row>
    <row r="100" spans="1:10" ht="12.75" customHeight="1" x14ac:dyDescent="0.3">
      <c r="A100" s="528" t="s">
        <v>60</v>
      </c>
      <c r="B100" s="483">
        <v>2273.4</v>
      </c>
      <c r="C100" s="483">
        <v>2060</v>
      </c>
      <c r="D100" s="408">
        <f>((C100/B100) -      1)*100</f>
        <v>-9.386821500835751</v>
      </c>
      <c r="E100" s="396">
        <v>3460</v>
      </c>
      <c r="F100" s="396">
        <v>3460</v>
      </c>
      <c r="G100" s="408">
        <f t="shared" ref="G100:G102" si="40">((F100/E100) -      1)*100</f>
        <v>0</v>
      </c>
      <c r="H100" s="482">
        <v>2853.4</v>
      </c>
      <c r="I100" s="482">
        <v>2890</v>
      </c>
      <c r="J100" s="408">
        <f>((I100/H100) -      1)*100</f>
        <v>1.2826803112076846</v>
      </c>
    </row>
    <row r="101" spans="1:10" ht="12.75" customHeight="1" x14ac:dyDescent="0.3">
      <c r="A101" s="514" t="s">
        <v>89</v>
      </c>
      <c r="B101" s="470">
        <f>AVERAGE(B102:B102)</f>
        <v>3400</v>
      </c>
      <c r="C101" s="470">
        <f>AVERAGE(C102:C103)</f>
        <v>2800</v>
      </c>
      <c r="D101" s="334">
        <f t="shared" ref="D101:D102" si="41">((C101/B101) -      1)*100</f>
        <v>-17.647058823529417</v>
      </c>
      <c r="E101" s="395">
        <f t="shared" ref="E101" si="42">AVERAGE(E102:E102)</f>
        <v>3433</v>
      </c>
      <c r="F101" s="395">
        <f>AVERAGE(F102:F102)</f>
        <v>2550</v>
      </c>
      <c r="G101" s="334">
        <f t="shared" si="40"/>
        <v>-25.720943780949611</v>
      </c>
      <c r="H101" s="395">
        <f t="shared" ref="H101" si="43">AVERAGE(H102:H102)</f>
        <v>2600</v>
      </c>
      <c r="I101" s="395">
        <f>AVERAGE(I102:I102)</f>
        <v>2800</v>
      </c>
      <c r="J101" s="361">
        <f>((I101/H101) -      1)*100</f>
        <v>7.6923076923076872</v>
      </c>
    </row>
    <row r="102" spans="1:10" ht="12.75" customHeight="1" x14ac:dyDescent="0.3">
      <c r="A102" s="528" t="s">
        <v>90</v>
      </c>
      <c r="B102" s="541">
        <v>3400</v>
      </c>
      <c r="C102" s="541">
        <v>2800</v>
      </c>
      <c r="D102" s="332">
        <f t="shared" si="41"/>
        <v>-17.647058823529417</v>
      </c>
      <c r="E102" s="396">
        <v>3433</v>
      </c>
      <c r="F102" s="396">
        <v>2550</v>
      </c>
      <c r="G102" s="332">
        <f t="shared" si="40"/>
        <v>-25.720943780949611</v>
      </c>
      <c r="H102" s="396">
        <v>2600</v>
      </c>
      <c r="I102" s="396">
        <v>2800</v>
      </c>
      <c r="J102" s="408">
        <f>((I102/H102) -      1)*100</f>
        <v>7.6923076923076872</v>
      </c>
    </row>
    <row r="103" spans="1:10" ht="12.75" customHeight="1" x14ac:dyDescent="0.3">
      <c r="A103" s="528" t="s">
        <v>495</v>
      </c>
      <c r="B103" s="347" t="s">
        <v>409</v>
      </c>
      <c r="C103" s="541">
        <v>2800</v>
      </c>
      <c r="D103" s="332" t="s">
        <v>396</v>
      </c>
      <c r="E103" s="345" t="s">
        <v>410</v>
      </c>
      <c r="F103" s="398" t="s">
        <v>410</v>
      </c>
      <c r="G103" s="399" t="s">
        <v>396</v>
      </c>
      <c r="H103" s="486" t="s">
        <v>451</v>
      </c>
      <c r="I103" s="486" t="s">
        <v>451</v>
      </c>
      <c r="J103" s="408" t="s">
        <v>396</v>
      </c>
    </row>
    <row r="104" spans="1:10" ht="12.75" customHeight="1" x14ac:dyDescent="0.3">
      <c r="A104" s="410" t="s">
        <v>71</v>
      </c>
      <c r="B104" s="406">
        <f>AVERAGE(B106:B107)</f>
        <v>2286.6999999999998</v>
      </c>
      <c r="C104" s="406">
        <f>AVERAGE(C106:C107)</f>
        <v>2286.6999999999998</v>
      </c>
      <c r="D104" s="349">
        <f>((C104/B104) -      1)*100</f>
        <v>0</v>
      </c>
      <c r="E104" s="395">
        <f t="shared" ref="E104" si="44">AVERAGE(E105:E107)</f>
        <v>3456.7</v>
      </c>
      <c r="F104" s="395">
        <f>AVERAGE(F105:F107)</f>
        <v>3456.7</v>
      </c>
      <c r="G104" s="349">
        <f>((F104/E104) -      1)*100</f>
        <v>0</v>
      </c>
      <c r="H104" s="395">
        <f t="shared" ref="H104" si="45">AVERAGE(H105:H107)</f>
        <v>2978.3333333333335</v>
      </c>
      <c r="I104" s="395">
        <f>AVERAGE(I105:I107)</f>
        <v>2978.3333333333335</v>
      </c>
      <c r="J104" s="349">
        <f t="shared" ref="J104:J109" si="46">((I104/H104) -      1)*100</f>
        <v>0</v>
      </c>
    </row>
    <row r="105" spans="1:10" ht="12.75" customHeight="1" x14ac:dyDescent="0.3">
      <c r="A105" s="528" t="s">
        <v>452</v>
      </c>
      <c r="B105" s="398" t="s">
        <v>410</v>
      </c>
      <c r="C105" s="398" t="s">
        <v>410</v>
      </c>
      <c r="D105" s="332" t="s">
        <v>396</v>
      </c>
      <c r="E105" s="398" t="s">
        <v>410</v>
      </c>
      <c r="F105" s="398" t="s">
        <v>410</v>
      </c>
      <c r="G105" s="351" t="s">
        <v>396</v>
      </c>
      <c r="H105" s="396">
        <v>2900</v>
      </c>
      <c r="I105" s="396">
        <v>2900</v>
      </c>
      <c r="J105" s="351">
        <f t="shared" si="46"/>
        <v>0</v>
      </c>
    </row>
    <row r="106" spans="1:10" ht="12.75" customHeight="1" x14ac:dyDescent="0.3">
      <c r="A106" s="528" t="s">
        <v>72</v>
      </c>
      <c r="B106" s="398">
        <v>2173.4</v>
      </c>
      <c r="C106" s="398">
        <v>2173.4</v>
      </c>
      <c r="D106" s="351">
        <f>((C106/B106) -      1)*100</f>
        <v>0</v>
      </c>
      <c r="E106" s="396">
        <v>3313.4</v>
      </c>
      <c r="F106" s="396">
        <v>3313.4</v>
      </c>
      <c r="G106" s="351">
        <f t="shared" ref="G106:G107" si="47">((F106/E106) -      1)*100</f>
        <v>0</v>
      </c>
      <c r="H106" s="396">
        <v>2660</v>
      </c>
      <c r="I106" s="396">
        <v>2660</v>
      </c>
      <c r="J106" s="351">
        <f t="shared" si="46"/>
        <v>0</v>
      </c>
    </row>
    <row r="107" spans="1:10" ht="12.75" customHeight="1" x14ac:dyDescent="0.3">
      <c r="A107" s="528" t="s">
        <v>73</v>
      </c>
      <c r="B107" s="398">
        <v>2400</v>
      </c>
      <c r="C107" s="398">
        <v>2400</v>
      </c>
      <c r="D107" s="351">
        <f>((C107/B107) -      1)*100</f>
        <v>0</v>
      </c>
      <c r="E107" s="396">
        <v>3600</v>
      </c>
      <c r="F107" s="396">
        <v>3600</v>
      </c>
      <c r="G107" s="351">
        <f t="shared" si="47"/>
        <v>0</v>
      </c>
      <c r="H107" s="476">
        <v>3375</v>
      </c>
      <c r="I107" s="476">
        <v>3375</v>
      </c>
      <c r="J107" s="351">
        <f t="shared" si="46"/>
        <v>0</v>
      </c>
    </row>
    <row r="108" spans="1:10" ht="12.75" customHeight="1" x14ac:dyDescent="0.3">
      <c r="A108" s="410" t="s">
        <v>46</v>
      </c>
      <c r="B108" s="406">
        <f>AVERAGE(B109:B109)</f>
        <v>2170</v>
      </c>
      <c r="C108" s="406">
        <f>AVERAGE(C109:C109)</f>
        <v>2035</v>
      </c>
      <c r="D108" s="349">
        <f t="shared" ref="D108:D109" si="48">((C108/B108) -      1)*100</f>
        <v>-6.2211981566820285</v>
      </c>
      <c r="E108" s="346" t="s">
        <v>410</v>
      </c>
      <c r="F108" s="406" t="s">
        <v>410</v>
      </c>
      <c r="G108" s="411" t="s">
        <v>396</v>
      </c>
      <c r="H108" s="395">
        <f t="shared" ref="H108" si="49">AVERAGE(H109:H111)</f>
        <v>2880</v>
      </c>
      <c r="I108" s="395">
        <f>AVERAGE(I109:I111)</f>
        <v>2860</v>
      </c>
      <c r="J108" s="349">
        <f t="shared" si="46"/>
        <v>-0.69444444444444198</v>
      </c>
    </row>
    <row r="109" spans="1:10" ht="12.75" customHeight="1" x14ac:dyDescent="0.3">
      <c r="A109" s="544" t="s">
        <v>47</v>
      </c>
      <c r="B109" s="545">
        <v>2170</v>
      </c>
      <c r="C109" s="545">
        <v>2035</v>
      </c>
      <c r="D109" s="351">
        <f t="shared" si="48"/>
        <v>-6.2211981566820285</v>
      </c>
      <c r="E109" s="545" t="s">
        <v>410</v>
      </c>
      <c r="F109" s="545" t="s">
        <v>410</v>
      </c>
      <c r="G109" s="608" t="s">
        <v>396</v>
      </c>
      <c r="H109" s="396">
        <v>2880</v>
      </c>
      <c r="I109" s="396">
        <v>2860</v>
      </c>
      <c r="J109" s="351">
        <f t="shared" si="46"/>
        <v>-0.69444444444444198</v>
      </c>
    </row>
    <row r="110" spans="1:10" ht="9" customHeight="1" x14ac:dyDescent="0.3">
      <c r="A110" s="534" t="s">
        <v>87</v>
      </c>
      <c r="D110" s="4"/>
      <c r="E110" s="488"/>
      <c r="F110" s="488"/>
      <c r="G110" s="4"/>
      <c r="H110" s="488"/>
      <c r="I110" s="488"/>
      <c r="J110" s="4"/>
    </row>
    <row r="111" spans="1:10" ht="9" customHeight="1" x14ac:dyDescent="0.3">
      <c r="A111" s="535" t="s">
        <v>504</v>
      </c>
      <c r="E111" s="363"/>
      <c r="F111" s="363"/>
      <c r="H111" s="363"/>
      <c r="I111" s="363"/>
    </row>
    <row r="112" spans="1:10" ht="9" customHeight="1" x14ac:dyDescent="0.3">
      <c r="A112" s="535" t="s">
        <v>68</v>
      </c>
      <c r="E112" s="363"/>
      <c r="F112" s="363"/>
      <c r="H112" s="363"/>
      <c r="I112" s="363"/>
    </row>
    <row r="113" s="2" customFormat="1" ht="12.75" customHeight="1" x14ac:dyDescent="0.3"/>
    <row r="114" s="2" customFormat="1" ht="12.75" customHeight="1" x14ac:dyDescent="0.3"/>
    <row r="115" s="2" customFormat="1" ht="12.75" customHeight="1" x14ac:dyDescent="0.3"/>
    <row r="116" s="2" customFormat="1" ht="12.75" customHeight="1" x14ac:dyDescent="0.3"/>
    <row r="117" s="2" customFormat="1" ht="12.75" customHeight="1" x14ac:dyDescent="0.3"/>
    <row r="118" s="2" customFormat="1" ht="12.75" customHeight="1" x14ac:dyDescent="0.3"/>
    <row r="119" s="2" customFormat="1" ht="12.75" customHeight="1" x14ac:dyDescent="0.3"/>
    <row r="120" s="2" customFormat="1" ht="12.75" customHeight="1" x14ac:dyDescent="0.3"/>
    <row r="121" s="2" customFormat="1" ht="12.75" customHeight="1" x14ac:dyDescent="0.3"/>
    <row r="122" s="2" customFormat="1" ht="12.75" customHeight="1" x14ac:dyDescent="0.3"/>
    <row r="123" s="2" customFormat="1" ht="12.75" customHeight="1" x14ac:dyDescent="0.3"/>
    <row r="124" s="2" customFormat="1" ht="12.75" customHeight="1" x14ac:dyDescent="0.3"/>
    <row r="125" s="2" customFormat="1" ht="12.75" customHeight="1" x14ac:dyDescent="0.3"/>
    <row r="126" s="2" customFormat="1" ht="12.75" customHeight="1" x14ac:dyDescent="0.3"/>
    <row r="127" s="2" customFormat="1" ht="12.75" customHeight="1" x14ac:dyDescent="0.3"/>
    <row r="128" s="2" customFormat="1" ht="12.75" customHeight="1" x14ac:dyDescent="0.3"/>
    <row r="129" s="2" customFormat="1" ht="12.75" customHeight="1" x14ac:dyDescent="0.3"/>
    <row r="130" s="2" customFormat="1" ht="12.75" customHeight="1" x14ac:dyDescent="0.3"/>
    <row r="131" s="2" customFormat="1" ht="12.75" customHeight="1" x14ac:dyDescent="0.3"/>
    <row r="132" s="2" customFormat="1" ht="12.75" customHeight="1" x14ac:dyDescent="0.3"/>
    <row r="133" s="2" customFormat="1" ht="12.75" customHeight="1" x14ac:dyDescent="0.3"/>
    <row r="134" s="2" customFormat="1" ht="12.75" customHeight="1" x14ac:dyDescent="0.3"/>
    <row r="135" s="2" customFormat="1" ht="12.75" customHeight="1" x14ac:dyDescent="0.3"/>
    <row r="136" s="2" customFormat="1" ht="12.75" customHeight="1" x14ac:dyDescent="0.3"/>
    <row r="137" s="2" customFormat="1" ht="12.75" customHeight="1" x14ac:dyDescent="0.3"/>
    <row r="138" s="2" customFormat="1" ht="12.75" customHeight="1" x14ac:dyDescent="0.3"/>
    <row r="139" s="2" customFormat="1" ht="12.75" customHeight="1" x14ac:dyDescent="0.3"/>
    <row r="140" s="2" customFormat="1" ht="12.75" customHeight="1" x14ac:dyDescent="0.3"/>
    <row r="141" s="2" customFormat="1" ht="12.75" customHeight="1" x14ac:dyDescent="0.3"/>
    <row r="142" s="2" customFormat="1" ht="12.75" customHeight="1" x14ac:dyDescent="0.3"/>
    <row r="143" s="2" customFormat="1" ht="12.75" customHeight="1" x14ac:dyDescent="0.3"/>
    <row r="144" s="2" customFormat="1" ht="12.75" customHeight="1" x14ac:dyDescent="0.3"/>
    <row r="145" s="2" customFormat="1" ht="12.75" customHeight="1" x14ac:dyDescent="0.3"/>
    <row r="146" s="2" customFormat="1" ht="12.75" customHeight="1" x14ac:dyDescent="0.3"/>
    <row r="147" s="2" customFormat="1" ht="12.75" customHeight="1" x14ac:dyDescent="0.3"/>
    <row r="148" s="2" customFormat="1" ht="12.75" customHeight="1" x14ac:dyDescent="0.3"/>
    <row r="149" s="2" customFormat="1" ht="12.75" customHeight="1" x14ac:dyDescent="0.3"/>
    <row r="150" s="2" customFormat="1" ht="12.75" customHeight="1" x14ac:dyDescent="0.3"/>
    <row r="151" s="2" customFormat="1" ht="12.75" customHeight="1" x14ac:dyDescent="0.3"/>
    <row r="152" s="2" customFormat="1" ht="12.75" customHeight="1" x14ac:dyDescent="0.3"/>
    <row r="153" s="2" customFormat="1" ht="12.75" customHeight="1" x14ac:dyDescent="0.3"/>
    <row r="154" s="2" customFormat="1" ht="12.75" customHeight="1" x14ac:dyDescent="0.3"/>
    <row r="155" s="2" customFormat="1" ht="12.75" customHeight="1" x14ac:dyDescent="0.3"/>
    <row r="156" s="2" customFormat="1" ht="12.75" customHeight="1" x14ac:dyDescent="0.3"/>
    <row r="157" s="2" customFormat="1" ht="12.75" customHeight="1" x14ac:dyDescent="0.3"/>
    <row r="158" s="2" customFormat="1" ht="12.75" customHeight="1" x14ac:dyDescent="0.3"/>
    <row r="159" s="2" customFormat="1" ht="12.75" customHeight="1" x14ac:dyDescent="0.3"/>
    <row r="160" s="2" customFormat="1" ht="12.75" customHeight="1" x14ac:dyDescent="0.3"/>
    <row r="161" s="2" customFormat="1" ht="12.75" customHeight="1" x14ac:dyDescent="0.3"/>
    <row r="162" s="2" customFormat="1" ht="12.75" customHeight="1" x14ac:dyDescent="0.3"/>
    <row r="163" s="2" customFormat="1" ht="12.75" customHeight="1" x14ac:dyDescent="0.3"/>
    <row r="164" s="2" customFormat="1" ht="12.75" customHeight="1" x14ac:dyDescent="0.3"/>
    <row r="165" s="2" customFormat="1" ht="12.75" customHeight="1" x14ac:dyDescent="0.3"/>
    <row r="166" s="2" customFormat="1" ht="12.75" customHeight="1" x14ac:dyDescent="0.3"/>
    <row r="167" s="2" customFormat="1" ht="12.75" customHeight="1" x14ac:dyDescent="0.3"/>
    <row r="168" s="2" customFormat="1" ht="12.75" customHeight="1" x14ac:dyDescent="0.3"/>
    <row r="169" s="2" customFormat="1" ht="12.75" customHeight="1" x14ac:dyDescent="0.3"/>
    <row r="170" s="2" customFormat="1" ht="12.75" customHeight="1" x14ac:dyDescent="0.3"/>
    <row r="171" s="2" customFormat="1" ht="12.75" customHeight="1" x14ac:dyDescent="0.3"/>
    <row r="172" s="2" customFormat="1" ht="12.75" customHeight="1" x14ac:dyDescent="0.3"/>
    <row r="173" s="2" customFormat="1" ht="12.75" customHeight="1" x14ac:dyDescent="0.3"/>
    <row r="174" s="2" customFormat="1" ht="12.75" customHeight="1" x14ac:dyDescent="0.3"/>
    <row r="175" s="2" customFormat="1" ht="12.75" customHeight="1" x14ac:dyDescent="0.3"/>
    <row r="176" s="2" customFormat="1" ht="12.75" customHeight="1" x14ac:dyDescent="0.3"/>
    <row r="177" s="2" customFormat="1" ht="12.75" customHeight="1" x14ac:dyDescent="0.3"/>
    <row r="178" s="2" customFormat="1" ht="12.75" customHeight="1" x14ac:dyDescent="0.3"/>
    <row r="179" s="2" customFormat="1" ht="12.75" customHeight="1" x14ac:dyDescent="0.3"/>
    <row r="180" s="2" customFormat="1" ht="12.75" customHeight="1" x14ac:dyDescent="0.3"/>
    <row r="181" s="2" customFormat="1" ht="12.75" customHeight="1" x14ac:dyDescent="0.3"/>
    <row r="182" s="2" customFormat="1" ht="12.75" customHeight="1" x14ac:dyDescent="0.3"/>
    <row r="183" s="2" customFormat="1" ht="12.75" customHeight="1" x14ac:dyDescent="0.3"/>
    <row r="184" s="2" customFormat="1" ht="12.75" customHeight="1" x14ac:dyDescent="0.3"/>
    <row r="185" s="2" customFormat="1" ht="12.75" customHeight="1" x14ac:dyDescent="0.3"/>
    <row r="186" s="2" customFormat="1" ht="12.75" customHeight="1" x14ac:dyDescent="0.3"/>
    <row r="187" s="2" customFormat="1" ht="12.75" customHeight="1" x14ac:dyDescent="0.3"/>
    <row r="188" s="2" customFormat="1" ht="12.75" customHeight="1" x14ac:dyDescent="0.3"/>
    <row r="189" s="2" customFormat="1" ht="12.75" customHeight="1" x14ac:dyDescent="0.3"/>
    <row r="190" s="2" customFormat="1" ht="12.75" customHeight="1" x14ac:dyDescent="0.3"/>
    <row r="191" s="2" customFormat="1" ht="12.75" customHeight="1" x14ac:dyDescent="0.3"/>
    <row r="192" s="2" customFormat="1" ht="12.75" customHeight="1" x14ac:dyDescent="0.3"/>
    <row r="193" s="2" customFormat="1" ht="12.75" customHeight="1" x14ac:dyDescent="0.3"/>
    <row r="194" s="2" customFormat="1" ht="12.75" customHeight="1" x14ac:dyDescent="0.3"/>
    <row r="195" s="2" customFormat="1" ht="12.75" customHeight="1" x14ac:dyDescent="0.3"/>
    <row r="196" s="2" customFormat="1" ht="12.75" customHeight="1" x14ac:dyDescent="0.3"/>
    <row r="197" s="2" customFormat="1" ht="12.75" customHeight="1" x14ac:dyDescent="0.3"/>
    <row r="198" s="2" customFormat="1" ht="12.75" customHeight="1" x14ac:dyDescent="0.3"/>
    <row r="199" s="2" customFormat="1" ht="12.75" customHeight="1" x14ac:dyDescent="0.3"/>
    <row r="200" s="2" customFormat="1" ht="12.75" customHeight="1" x14ac:dyDescent="0.3"/>
    <row r="201" s="2" customFormat="1" ht="12.75" customHeight="1" x14ac:dyDescent="0.3"/>
    <row r="202" s="2" customFormat="1" ht="12.75" customHeight="1" x14ac:dyDescent="0.3"/>
    <row r="203" s="2" customFormat="1" ht="12.75" customHeight="1" x14ac:dyDescent="0.3"/>
    <row r="204" s="2" customFormat="1" ht="12.75" customHeight="1" x14ac:dyDescent="0.3"/>
    <row r="205" s="2" customFormat="1" ht="12.75" customHeight="1" x14ac:dyDescent="0.3"/>
    <row r="206" s="2" customFormat="1" ht="12.75" customHeight="1" x14ac:dyDescent="0.3"/>
    <row r="207" s="2" customFormat="1" ht="12.75" customHeight="1" x14ac:dyDescent="0.3"/>
    <row r="208" s="2" customFormat="1" ht="12.75" customHeight="1" x14ac:dyDescent="0.3"/>
    <row r="209" s="2" customFormat="1" ht="12.75" customHeight="1" x14ac:dyDescent="0.3"/>
    <row r="210" s="2" customFormat="1" ht="12.75" customHeight="1" x14ac:dyDescent="0.3"/>
    <row r="211" s="2" customFormat="1" ht="12.75" customHeight="1" x14ac:dyDescent="0.3"/>
    <row r="212" s="2" customFormat="1" ht="12.75" customHeight="1" x14ac:dyDescent="0.3"/>
    <row r="213" s="2" customFormat="1" ht="12.75" customHeight="1" x14ac:dyDescent="0.3"/>
    <row r="214" s="2" customFormat="1" ht="12.75" customHeight="1" x14ac:dyDescent="0.3"/>
    <row r="215" s="2" customFormat="1" ht="12.75" customHeight="1" x14ac:dyDescent="0.3"/>
    <row r="216" s="2" customFormat="1" ht="12.75" customHeight="1" x14ac:dyDescent="0.3"/>
    <row r="217" s="2" customFormat="1" ht="12.75" customHeight="1" x14ac:dyDescent="0.3"/>
    <row r="218" s="2" customFormat="1" ht="12.75" customHeight="1" x14ac:dyDescent="0.3"/>
    <row r="219" s="2" customFormat="1" ht="12.75" customHeight="1" x14ac:dyDescent="0.3"/>
    <row r="220" s="2" customFormat="1" ht="12.75" customHeight="1" x14ac:dyDescent="0.3"/>
    <row r="221" s="2" customFormat="1" ht="12.75" customHeight="1" x14ac:dyDescent="0.3"/>
    <row r="222" s="2" customFormat="1" ht="12.75" customHeight="1" x14ac:dyDescent="0.3"/>
    <row r="223" s="2" customFormat="1" ht="12.75" customHeight="1" x14ac:dyDescent="0.3"/>
    <row r="224" s="2" customFormat="1" ht="12.75" customHeight="1" x14ac:dyDescent="0.3"/>
    <row r="225" s="2" customFormat="1" ht="12.75" customHeight="1" x14ac:dyDescent="0.3"/>
    <row r="226" s="2" customFormat="1" ht="12.75" customHeight="1" x14ac:dyDescent="0.3"/>
    <row r="227" s="2" customFormat="1" ht="12.75" customHeight="1" x14ac:dyDescent="0.3"/>
    <row r="228" s="2" customFormat="1" ht="12.75" customHeight="1" x14ac:dyDescent="0.3"/>
    <row r="229" s="2" customFormat="1" ht="12.75" customHeight="1" x14ac:dyDescent="0.3"/>
    <row r="230" s="2" customFormat="1" ht="12.75" customHeight="1" x14ac:dyDescent="0.3"/>
    <row r="231" s="2" customFormat="1" ht="12.75" customHeight="1" x14ac:dyDescent="0.3"/>
    <row r="232" s="2" customFormat="1" ht="12.75" customHeight="1" x14ac:dyDescent="0.3"/>
    <row r="233" s="2" customFormat="1" ht="12.75" customHeight="1" x14ac:dyDescent="0.3"/>
    <row r="234" s="2" customFormat="1" ht="12.75" customHeight="1" x14ac:dyDescent="0.3"/>
    <row r="235" s="2" customFormat="1" ht="12.75" customHeight="1" x14ac:dyDescent="0.3"/>
    <row r="236" s="2" customFormat="1" ht="12.75" customHeight="1" x14ac:dyDescent="0.3"/>
    <row r="237" s="2" customFormat="1" ht="12.75" customHeight="1" x14ac:dyDescent="0.3"/>
    <row r="238" s="2" customFormat="1" ht="12.75" customHeight="1" x14ac:dyDescent="0.3"/>
    <row r="239" s="2" customFormat="1" ht="12.75" customHeight="1" x14ac:dyDescent="0.3"/>
    <row r="240" s="2" customFormat="1" ht="12.75" customHeight="1" x14ac:dyDescent="0.3"/>
    <row r="241" s="2" customFormat="1" ht="12.75" customHeight="1" x14ac:dyDescent="0.3"/>
    <row r="242" s="2" customFormat="1" ht="12.75" customHeight="1" x14ac:dyDescent="0.3"/>
    <row r="243" s="2" customFormat="1" ht="12.75" customHeight="1" x14ac:dyDescent="0.3"/>
    <row r="244" s="2" customFormat="1" ht="12.75" customHeight="1" x14ac:dyDescent="0.3"/>
    <row r="245" s="2" customFormat="1" ht="12.75" customHeight="1" x14ac:dyDescent="0.3"/>
    <row r="246" s="2" customFormat="1" ht="12.75" customHeight="1" x14ac:dyDescent="0.3"/>
    <row r="247" s="2" customFormat="1" ht="12.75" customHeight="1" x14ac:dyDescent="0.3"/>
    <row r="248" s="2" customFormat="1" ht="12.75" customHeight="1" x14ac:dyDescent="0.3"/>
    <row r="249" s="2" customFormat="1" ht="12.75" customHeight="1" x14ac:dyDescent="0.3"/>
    <row r="250" s="2" customFormat="1" ht="12.75" customHeight="1" x14ac:dyDescent="0.3"/>
    <row r="251" s="2" customFormat="1" ht="12.75" customHeight="1" x14ac:dyDescent="0.3"/>
    <row r="252" s="2" customFormat="1" ht="12.75" customHeight="1" x14ac:dyDescent="0.3"/>
    <row r="253" s="2" customFormat="1" ht="12.75" customHeight="1" x14ac:dyDescent="0.3"/>
    <row r="254" s="2" customFormat="1" ht="12.75" customHeight="1" x14ac:dyDescent="0.3"/>
    <row r="255" s="2" customFormat="1" ht="12.75" customHeight="1" x14ac:dyDescent="0.3"/>
    <row r="256" s="2" customFormat="1" ht="12.75" customHeight="1" x14ac:dyDescent="0.3"/>
    <row r="257" s="2" customFormat="1" ht="12.75" customHeight="1" x14ac:dyDescent="0.3"/>
    <row r="258" s="2" customFormat="1" ht="12.75" customHeight="1" x14ac:dyDescent="0.3"/>
    <row r="259" s="2" customFormat="1" ht="12.75" customHeight="1" x14ac:dyDescent="0.3"/>
    <row r="260" s="2" customFormat="1" ht="12.75" customHeight="1" x14ac:dyDescent="0.3"/>
    <row r="261" s="2" customFormat="1" ht="12.75" customHeight="1" x14ac:dyDescent="0.3"/>
    <row r="262" s="2" customFormat="1" ht="12.75" customHeight="1" x14ac:dyDescent="0.3"/>
    <row r="263" s="2" customFormat="1" ht="12.75" customHeight="1" x14ac:dyDescent="0.3"/>
    <row r="264" s="2" customFormat="1" ht="12.75" customHeight="1" x14ac:dyDescent="0.3"/>
    <row r="265" s="2" customFormat="1" ht="12.75" customHeight="1" x14ac:dyDescent="0.3"/>
    <row r="266" s="2" customFormat="1" ht="12.75" customHeight="1" x14ac:dyDescent="0.3"/>
    <row r="267" s="2" customFormat="1" ht="12.75" customHeight="1" x14ac:dyDescent="0.3"/>
    <row r="268" s="2" customFormat="1" ht="12.75" customHeight="1" x14ac:dyDescent="0.3"/>
    <row r="269" s="2" customFormat="1" ht="12.75" customHeight="1" x14ac:dyDescent="0.3"/>
    <row r="270" s="2" customFormat="1" ht="12.75" customHeight="1" x14ac:dyDescent="0.3"/>
    <row r="271" s="2" customFormat="1" ht="12.75" customHeight="1" x14ac:dyDescent="0.3"/>
    <row r="272" s="2" customFormat="1" ht="12.75" customHeight="1" x14ac:dyDescent="0.3"/>
    <row r="273" s="2" customFormat="1" ht="12.75" customHeight="1" x14ac:dyDescent="0.3"/>
    <row r="274" s="2" customFormat="1" ht="12.75" customHeight="1" x14ac:dyDescent="0.3"/>
    <row r="275" s="2" customFormat="1" ht="12.75" customHeight="1" x14ac:dyDescent="0.3"/>
    <row r="276" s="2" customFormat="1" ht="12.75" customHeight="1" x14ac:dyDescent="0.3"/>
    <row r="277" s="2" customFormat="1" ht="12.75" customHeight="1" x14ac:dyDescent="0.3"/>
    <row r="278" s="2" customFormat="1" ht="12.75" customHeight="1" x14ac:dyDescent="0.3"/>
    <row r="279" s="2" customFormat="1" ht="12.75" customHeight="1" x14ac:dyDescent="0.3"/>
    <row r="280" s="2" customFormat="1" ht="12.75" customHeight="1" x14ac:dyDescent="0.3"/>
    <row r="281" s="2" customFormat="1" ht="12.75" customHeight="1" x14ac:dyDescent="0.3"/>
    <row r="282" s="2" customFormat="1" ht="12.75" customHeight="1" x14ac:dyDescent="0.3"/>
    <row r="283" s="2" customFormat="1" ht="12.75" customHeight="1" x14ac:dyDescent="0.3"/>
    <row r="284" s="2" customFormat="1" ht="12.75" customHeight="1" x14ac:dyDescent="0.3"/>
    <row r="285" s="2" customFormat="1" ht="12.75" customHeight="1" x14ac:dyDescent="0.3"/>
    <row r="286" s="2" customFormat="1" ht="12.75" customHeight="1" x14ac:dyDescent="0.3"/>
    <row r="287" s="2" customFormat="1" ht="12.75" customHeight="1" x14ac:dyDescent="0.3"/>
    <row r="288" s="2" customFormat="1" ht="12.75" customHeight="1" x14ac:dyDescent="0.3"/>
    <row r="289" s="2" customFormat="1" ht="12.75" customHeight="1" x14ac:dyDescent="0.3"/>
    <row r="290" s="2" customFormat="1" ht="12.75" customHeight="1" x14ac:dyDescent="0.3"/>
    <row r="291" s="2" customFormat="1" ht="12.75" customHeight="1" x14ac:dyDescent="0.3"/>
    <row r="292" s="2" customFormat="1" ht="12.75" customHeight="1" x14ac:dyDescent="0.3"/>
    <row r="293" s="2" customFormat="1" ht="12.75" customHeight="1" x14ac:dyDescent="0.3"/>
    <row r="294" s="2" customFormat="1" ht="12.75" customHeight="1" x14ac:dyDescent="0.3"/>
    <row r="295" s="2" customFormat="1" ht="12.75" customHeight="1" x14ac:dyDescent="0.3"/>
    <row r="296" s="2" customFormat="1" ht="12.75" customHeight="1" x14ac:dyDescent="0.3"/>
    <row r="297" s="2" customFormat="1" ht="12.75" customHeight="1" x14ac:dyDescent="0.3"/>
    <row r="298" s="2" customFormat="1" ht="12.75" customHeight="1" x14ac:dyDescent="0.3"/>
    <row r="299" s="2" customFormat="1" ht="12.75" customHeight="1" x14ac:dyDescent="0.3"/>
    <row r="300" s="2" customFormat="1" ht="12.75" customHeight="1" x14ac:dyDescent="0.3"/>
    <row r="301" s="2" customFormat="1" ht="12.75" customHeight="1" x14ac:dyDescent="0.3"/>
    <row r="302" s="2" customFormat="1" ht="12.75" customHeight="1" x14ac:dyDescent="0.3"/>
    <row r="303" s="2" customFormat="1" ht="12.75" customHeight="1" x14ac:dyDescent="0.3"/>
    <row r="304" s="2" customFormat="1" ht="12.75" customHeight="1" x14ac:dyDescent="0.3"/>
    <row r="305" s="2" customFormat="1" ht="12.75" customHeight="1" x14ac:dyDescent="0.3"/>
    <row r="306" s="2" customFormat="1" ht="12.75" customHeight="1" x14ac:dyDescent="0.3"/>
    <row r="307" s="2" customFormat="1" ht="12.75" customHeight="1" x14ac:dyDescent="0.3"/>
    <row r="308" s="2" customFormat="1" ht="12.75" customHeight="1" x14ac:dyDescent="0.3"/>
    <row r="309" s="2" customFormat="1" ht="12.75" customHeight="1" x14ac:dyDescent="0.3"/>
    <row r="310" s="2" customFormat="1" ht="12.75" customHeight="1" x14ac:dyDescent="0.3"/>
    <row r="311" s="2" customFormat="1" ht="12.75" customHeight="1" x14ac:dyDescent="0.3"/>
    <row r="312" s="2" customFormat="1" ht="12.75" customHeight="1" x14ac:dyDescent="0.3"/>
    <row r="313" s="2" customFormat="1" ht="12.75" customHeight="1" x14ac:dyDescent="0.3"/>
    <row r="314" s="2" customFormat="1" ht="12.75" customHeight="1" x14ac:dyDescent="0.3"/>
    <row r="315" s="2" customFormat="1" ht="12.75" customHeight="1" x14ac:dyDescent="0.3"/>
    <row r="316" s="2" customFormat="1" ht="12.75" customHeight="1" x14ac:dyDescent="0.3"/>
    <row r="317" s="2" customFormat="1" ht="12.75" customHeight="1" x14ac:dyDescent="0.3"/>
    <row r="318" s="2" customFormat="1" ht="12.75" customHeight="1" x14ac:dyDescent="0.3"/>
    <row r="319" s="2" customFormat="1" ht="12.75" customHeight="1" x14ac:dyDescent="0.3"/>
    <row r="320" s="2" customFormat="1" ht="12.75" customHeight="1" x14ac:dyDescent="0.3"/>
    <row r="321" s="2" customFormat="1" ht="12.75" customHeight="1" x14ac:dyDescent="0.3"/>
    <row r="322" s="2" customFormat="1" ht="12.75" customHeight="1" x14ac:dyDescent="0.3"/>
    <row r="323" s="2" customFormat="1" ht="12.75" customHeight="1" x14ac:dyDescent="0.3"/>
    <row r="324" s="2" customFormat="1" ht="12.75" customHeight="1" x14ac:dyDescent="0.3"/>
    <row r="325" s="2" customFormat="1" ht="12.75" customHeight="1" x14ac:dyDescent="0.3"/>
    <row r="326" s="2" customFormat="1" ht="12.75" customHeight="1" x14ac:dyDescent="0.3"/>
    <row r="327" s="2" customFormat="1" ht="12.75" customHeight="1" x14ac:dyDescent="0.3"/>
    <row r="328" s="2" customFormat="1" ht="12.75" customHeight="1" x14ac:dyDescent="0.3"/>
    <row r="329" s="2" customFormat="1" ht="12.75" customHeight="1" x14ac:dyDescent="0.3"/>
    <row r="330" s="2" customFormat="1" ht="12.75" customHeight="1" x14ac:dyDescent="0.3"/>
    <row r="331" s="2" customFormat="1" ht="12.75" customHeight="1" x14ac:dyDescent="0.3"/>
    <row r="332" s="2" customFormat="1" ht="12.75" customHeight="1" x14ac:dyDescent="0.3"/>
    <row r="333" s="2" customFormat="1" ht="12.75" customHeight="1" x14ac:dyDescent="0.3"/>
    <row r="334" s="2" customFormat="1" ht="12.75" customHeight="1" x14ac:dyDescent="0.3"/>
    <row r="335" s="2" customFormat="1" ht="12.75" customHeight="1" x14ac:dyDescent="0.3"/>
    <row r="336" s="2" customFormat="1" ht="12.75" customHeight="1" x14ac:dyDescent="0.3"/>
    <row r="337" s="2" customFormat="1" ht="12.75" customHeight="1" x14ac:dyDescent="0.3"/>
    <row r="338" s="2" customFormat="1" ht="12.75" customHeight="1" x14ac:dyDescent="0.3"/>
    <row r="339" s="2" customFormat="1" ht="12.75" customHeight="1" x14ac:dyDescent="0.3"/>
    <row r="340" s="2" customFormat="1" ht="12.75" customHeight="1" x14ac:dyDescent="0.3"/>
    <row r="341" s="2" customFormat="1" ht="12.75" customHeight="1" x14ac:dyDescent="0.3"/>
    <row r="342" s="2" customFormat="1" ht="12.75" customHeight="1" x14ac:dyDescent="0.3"/>
    <row r="343" s="2" customFormat="1" ht="12.75" customHeight="1" x14ac:dyDescent="0.3"/>
    <row r="344" s="2" customFormat="1" ht="12.75" customHeight="1" x14ac:dyDescent="0.3"/>
    <row r="345" s="2" customFormat="1" ht="12.75" customHeight="1" x14ac:dyDescent="0.3"/>
    <row r="346" s="2" customFormat="1" ht="12.75" customHeight="1" x14ac:dyDescent="0.3"/>
    <row r="347" s="2" customFormat="1" ht="12.75" customHeight="1" x14ac:dyDescent="0.3"/>
    <row r="348" s="2" customFormat="1" ht="12.75" customHeight="1" x14ac:dyDescent="0.3"/>
    <row r="349" s="2" customFormat="1" ht="12.75" customHeight="1" x14ac:dyDescent="0.3"/>
    <row r="350" s="2" customFormat="1" ht="12.75" customHeight="1" x14ac:dyDescent="0.3"/>
    <row r="351" s="2" customFormat="1" ht="12.75" customHeight="1" x14ac:dyDescent="0.3"/>
    <row r="352" s="2" customFormat="1" ht="12.75" customHeight="1" x14ac:dyDescent="0.3"/>
    <row r="353" s="2" customFormat="1" ht="12.75" customHeight="1" x14ac:dyDescent="0.3"/>
    <row r="354" s="2" customFormat="1" ht="12.75" customHeight="1" x14ac:dyDescent="0.3"/>
    <row r="355" s="2" customFormat="1" ht="12.75" customHeight="1" x14ac:dyDescent="0.3"/>
    <row r="356" s="2" customFormat="1" ht="12.75" customHeight="1" x14ac:dyDescent="0.3"/>
    <row r="357" s="2" customFormat="1" ht="12.75" customHeight="1" x14ac:dyDescent="0.3"/>
    <row r="358" s="2" customFormat="1" ht="12.75" customHeight="1" x14ac:dyDescent="0.3"/>
    <row r="359" s="2" customFormat="1" ht="12.75" customHeight="1" x14ac:dyDescent="0.3"/>
    <row r="360" s="2" customFormat="1" ht="12.75" customHeight="1" x14ac:dyDescent="0.3"/>
    <row r="361" s="2" customFormat="1" ht="12.75" customHeight="1" x14ac:dyDescent="0.3"/>
    <row r="362" s="2" customFormat="1" ht="12.75" customHeight="1" x14ac:dyDescent="0.3"/>
    <row r="363" s="2" customFormat="1" ht="12.75" customHeight="1" x14ac:dyDescent="0.3"/>
    <row r="364" s="2" customFormat="1" ht="12.75" customHeight="1" x14ac:dyDescent="0.3"/>
    <row r="365" s="2" customFormat="1" ht="12.75" customHeight="1" x14ac:dyDescent="0.3"/>
    <row r="366" s="2" customFormat="1" ht="12.75" customHeight="1" x14ac:dyDescent="0.3"/>
    <row r="367" s="2" customFormat="1" ht="12.75" customHeight="1" x14ac:dyDescent="0.3"/>
    <row r="368" s="2" customFormat="1" ht="12.75" customHeight="1" x14ac:dyDescent="0.3"/>
    <row r="369" s="2" customFormat="1" ht="12.75" customHeight="1" x14ac:dyDescent="0.3"/>
    <row r="370" s="2" customFormat="1" ht="12.75" customHeight="1" x14ac:dyDescent="0.3"/>
    <row r="371" s="2" customFormat="1" ht="12.75" customHeight="1" x14ac:dyDescent="0.3"/>
    <row r="372" s="2" customFormat="1" ht="12.75" customHeight="1" x14ac:dyDescent="0.3"/>
    <row r="373" s="2" customFormat="1" ht="12.75" customHeight="1" x14ac:dyDescent="0.3"/>
    <row r="374" s="2" customFormat="1" ht="12.75" customHeight="1" x14ac:dyDescent="0.3"/>
    <row r="375" s="2" customFormat="1" ht="12.75" customHeight="1" x14ac:dyDescent="0.3"/>
    <row r="376" s="2" customFormat="1" ht="12.75" customHeight="1" x14ac:dyDescent="0.3"/>
    <row r="377" s="2" customFormat="1" ht="12.75" customHeight="1" x14ac:dyDescent="0.3"/>
    <row r="378" s="2" customFormat="1" ht="12.75" customHeight="1" x14ac:dyDescent="0.3"/>
    <row r="379" s="2" customFormat="1" ht="12.75" customHeight="1" x14ac:dyDescent="0.3"/>
    <row r="380" s="2" customFormat="1" ht="12.75" customHeight="1" x14ac:dyDescent="0.3"/>
    <row r="381" s="2" customFormat="1" ht="12.75" customHeight="1" x14ac:dyDescent="0.3"/>
    <row r="382" s="2" customFormat="1" ht="12.75" customHeight="1" x14ac:dyDescent="0.3"/>
    <row r="383" s="2" customFormat="1" ht="12.75" customHeight="1" x14ac:dyDescent="0.3"/>
    <row r="384" s="2" customFormat="1" ht="12.75" customHeight="1" x14ac:dyDescent="0.3"/>
    <row r="385" s="2" customFormat="1" ht="12.75" customHeight="1" x14ac:dyDescent="0.3"/>
    <row r="386" s="2" customFormat="1" ht="12.75" customHeight="1" x14ac:dyDescent="0.3"/>
    <row r="387" s="2" customFormat="1" ht="12.75" customHeight="1" x14ac:dyDescent="0.3"/>
    <row r="388" s="2" customFormat="1" ht="12.75" customHeight="1" x14ac:dyDescent="0.3"/>
    <row r="389" s="2" customFormat="1" ht="12.75" customHeight="1" x14ac:dyDescent="0.3"/>
    <row r="390" s="2" customFormat="1" ht="12.75" customHeight="1" x14ac:dyDescent="0.3"/>
    <row r="391" s="2" customFormat="1" ht="12.75" customHeight="1" x14ac:dyDescent="0.3"/>
    <row r="392" s="2" customFormat="1" ht="12.75" customHeight="1" x14ac:dyDescent="0.3"/>
    <row r="393" s="2" customFormat="1" ht="12.75" customHeight="1" x14ac:dyDescent="0.3"/>
    <row r="394" s="2" customFormat="1" ht="12.75" customHeight="1" x14ac:dyDescent="0.3"/>
    <row r="395" s="2" customFormat="1" ht="12.75" customHeight="1" x14ac:dyDescent="0.3"/>
    <row r="396" s="2" customFormat="1" ht="12.75" customHeight="1" x14ac:dyDescent="0.3"/>
    <row r="397" s="2" customFormat="1" ht="12.75" customHeight="1" x14ac:dyDescent="0.3"/>
    <row r="398" s="2" customFormat="1" ht="12.75" customHeight="1" x14ac:dyDescent="0.3"/>
    <row r="399" s="2" customFormat="1" ht="12.75" customHeight="1" x14ac:dyDescent="0.3"/>
    <row r="400" s="2" customFormat="1" ht="12.75" customHeight="1" x14ac:dyDescent="0.3"/>
    <row r="401" s="2" customFormat="1" ht="12.75" customHeight="1" x14ac:dyDescent="0.3"/>
    <row r="402" s="2" customFormat="1" ht="12.75" customHeight="1" x14ac:dyDescent="0.3"/>
    <row r="403" s="2" customFormat="1" ht="12.75" customHeight="1" x14ac:dyDescent="0.3"/>
    <row r="404" s="2" customFormat="1" ht="12.75" customHeight="1" x14ac:dyDescent="0.3"/>
  </sheetData>
  <mergeCells count="9">
    <mergeCell ref="A58:A59"/>
    <mergeCell ref="B58:D58"/>
    <mergeCell ref="E58:G58"/>
    <mergeCell ref="H58:J58"/>
    <mergeCell ref="A5:A6"/>
    <mergeCell ref="B5:D5"/>
    <mergeCell ref="E5:G5"/>
    <mergeCell ref="H5:J5"/>
    <mergeCell ref="A57:F57"/>
  </mergeCells>
  <pageMargins left="0.27559055118110237" right="0.27559055118110237" top="0.39370078740157483" bottom="0.39370078740157483" header="0" footer="0"/>
  <pageSetup paperSize="9" orientation="portrait"/>
  <ignoredErrors>
    <ignoredError sqref="D43:J49 D60:K77 D96:K109 D51:J51 D50 D20:G27" formula="1"/>
    <ignoredError sqref="B50:C50 B78:C95" formulaRange="1"/>
    <ignoredError sqref="D78:K95 E50:J50" formula="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J619"/>
  <sheetViews>
    <sheetView showGridLines="0" zoomScaleNormal="100" workbookViewId="0">
      <selection sqref="A1:J74"/>
    </sheetView>
  </sheetViews>
  <sheetFormatPr baseColWidth="10" defaultColWidth="12.6640625" defaultRowHeight="15" customHeight="1" x14ac:dyDescent="0.3"/>
  <cols>
    <col min="1" max="1" width="17.44140625" style="2" customWidth="1"/>
    <col min="2" max="3" width="8.6640625" style="2" customWidth="1"/>
    <col min="4" max="4" width="6.6640625" style="2" customWidth="1"/>
    <col min="5" max="6" width="8.6640625" style="2" customWidth="1"/>
    <col min="7" max="7" width="6.6640625" style="2" customWidth="1"/>
    <col min="8" max="9" width="8.6640625" style="2" customWidth="1"/>
    <col min="10" max="10" width="6.6640625" style="2" customWidth="1"/>
    <col min="11" max="16384" width="12.6640625" style="2"/>
  </cols>
  <sheetData>
    <row r="1" spans="1:10" ht="21.75" customHeight="1" x14ac:dyDescent="0.3">
      <c r="A1" s="314" t="s">
        <v>404</v>
      </c>
      <c r="B1" s="315"/>
      <c r="C1" s="315"/>
      <c r="D1" s="316"/>
      <c r="E1" s="316"/>
      <c r="F1" s="316"/>
      <c r="G1" s="316"/>
      <c r="H1" s="316"/>
      <c r="I1" s="316"/>
      <c r="J1" s="316"/>
    </row>
    <row r="2" spans="1:10" ht="12" customHeight="1" x14ac:dyDescent="0.3">
      <c r="A2" s="364" t="s">
        <v>596</v>
      </c>
      <c r="B2" s="315"/>
      <c r="C2" s="315"/>
      <c r="D2" s="316"/>
      <c r="E2" s="316"/>
      <c r="F2" s="316"/>
      <c r="G2" s="316"/>
      <c r="H2" s="316"/>
      <c r="I2" s="316"/>
      <c r="J2" s="316"/>
    </row>
    <row r="3" spans="1:10" ht="12" customHeight="1" x14ac:dyDescent="0.3">
      <c r="A3" s="364" t="s">
        <v>595</v>
      </c>
      <c r="B3" s="315"/>
      <c r="C3" s="315"/>
      <c r="D3" s="316"/>
      <c r="E3" s="316"/>
      <c r="F3" s="316"/>
      <c r="G3" s="316"/>
      <c r="H3" s="316"/>
      <c r="I3" s="316"/>
      <c r="J3" s="316"/>
    </row>
    <row r="4" spans="1:10" ht="4.95" customHeight="1" x14ac:dyDescent="0.3">
      <c r="A4" s="316"/>
      <c r="B4" s="318"/>
      <c r="C4" s="318"/>
      <c r="D4" s="316"/>
      <c r="E4" s="316"/>
      <c r="F4" s="316"/>
      <c r="G4" s="316"/>
      <c r="H4" s="316"/>
      <c r="I4" s="316"/>
      <c r="J4" s="316"/>
    </row>
    <row r="5" spans="1:10" ht="12.75" customHeight="1" x14ac:dyDescent="0.3">
      <c r="A5" s="741" t="s">
        <v>0</v>
      </c>
      <c r="B5" s="743" t="s">
        <v>392</v>
      </c>
      <c r="C5" s="752"/>
      <c r="D5" s="753"/>
      <c r="E5" s="743" t="s">
        <v>393</v>
      </c>
      <c r="F5" s="752"/>
      <c r="G5" s="753"/>
      <c r="H5" s="743" t="s">
        <v>394</v>
      </c>
      <c r="I5" s="752"/>
      <c r="J5" s="753"/>
    </row>
    <row r="6" spans="1:10" ht="12.75" customHeight="1" x14ac:dyDescent="0.3">
      <c r="A6" s="751"/>
      <c r="B6" s="319">
        <v>2024</v>
      </c>
      <c r="C6" s="319">
        <v>2025</v>
      </c>
      <c r="D6" s="319" t="s">
        <v>1</v>
      </c>
      <c r="E6" s="319">
        <v>2024</v>
      </c>
      <c r="F6" s="319">
        <v>2025</v>
      </c>
      <c r="G6" s="319" t="s">
        <v>1</v>
      </c>
      <c r="H6" s="319">
        <v>2024</v>
      </c>
      <c r="I6" s="319">
        <v>2025</v>
      </c>
      <c r="J6" s="319" t="s">
        <v>1</v>
      </c>
    </row>
    <row r="7" spans="1:10" ht="3.75" customHeight="1" x14ac:dyDescent="0.3">
      <c r="A7" s="8"/>
      <c r="B7" s="8"/>
      <c r="C7" s="8"/>
      <c r="D7" s="8"/>
      <c r="E7" s="8"/>
      <c r="F7" s="320"/>
      <c r="G7" s="8"/>
      <c r="H7" s="8"/>
      <c r="I7" s="8"/>
      <c r="J7" s="321"/>
    </row>
    <row r="8" spans="1:10" ht="9.9" customHeight="1" x14ac:dyDescent="0.3">
      <c r="A8" s="514" t="s">
        <v>473</v>
      </c>
      <c r="B8" s="478">
        <f>AVERAGE(B9:B9)</f>
        <v>1050</v>
      </c>
      <c r="C8" s="478">
        <f>AVERAGE(C9:C9)</f>
        <v>1200</v>
      </c>
      <c r="D8" s="333">
        <f t="shared" ref="D8" si="0">((C8/B8) -      1)*100</f>
        <v>14.285714285714279</v>
      </c>
      <c r="E8" s="360" t="s">
        <v>410</v>
      </c>
      <c r="F8" s="489" t="s">
        <v>453</v>
      </c>
      <c r="G8" s="325" t="s">
        <v>396</v>
      </c>
      <c r="H8" s="489" t="s">
        <v>453</v>
      </c>
      <c r="I8" s="478">
        <f>AVERAGE(I9:I9)</f>
        <v>800</v>
      </c>
      <c r="J8" s="325" t="s">
        <v>396</v>
      </c>
    </row>
    <row r="9" spans="1:10" ht="9.9" customHeight="1" x14ac:dyDescent="0.3">
      <c r="A9" s="515" t="s">
        <v>476</v>
      </c>
      <c r="B9" s="475">
        <v>1050</v>
      </c>
      <c r="C9" s="475">
        <v>1200</v>
      </c>
      <c r="D9" s="329">
        <f t="shared" ref="D9" si="1">((C9/B9) -      1)*100</f>
        <v>14.285714285714279</v>
      </c>
      <c r="E9" s="359" t="s">
        <v>410</v>
      </c>
      <c r="F9" s="530">
        <v>1400</v>
      </c>
      <c r="G9" s="1" t="s">
        <v>396</v>
      </c>
      <c r="H9" s="477" t="s">
        <v>453</v>
      </c>
      <c r="I9" s="328">
        <v>800</v>
      </c>
      <c r="J9" s="1" t="s">
        <v>396</v>
      </c>
    </row>
    <row r="10" spans="1:10" ht="9.9" customHeight="1" x14ac:dyDescent="0.3">
      <c r="A10" s="370" t="s">
        <v>426</v>
      </c>
      <c r="B10" s="397" t="s">
        <v>453</v>
      </c>
      <c r="C10" s="366">
        <f>AVERAGE(C11:C13)</f>
        <v>1200</v>
      </c>
      <c r="D10" s="333" t="s">
        <v>396</v>
      </c>
      <c r="E10" s="360" t="s">
        <v>410</v>
      </c>
      <c r="F10" s="323">
        <f>AVERAGE(F11:F13)</f>
        <v>755</v>
      </c>
      <c r="G10" s="333" t="s">
        <v>396</v>
      </c>
      <c r="H10" s="489" t="s">
        <v>453</v>
      </c>
      <c r="I10" s="367">
        <f>AVERAGE(I11:I13)</f>
        <v>880</v>
      </c>
      <c r="J10" s="325" t="s">
        <v>396</v>
      </c>
    </row>
    <row r="11" spans="1:10" ht="9.9" customHeight="1" x14ac:dyDescent="0.3">
      <c r="A11" s="326" t="s">
        <v>427</v>
      </c>
      <c r="B11" s="397" t="s">
        <v>453</v>
      </c>
      <c r="C11" s="397" t="s">
        <v>453</v>
      </c>
      <c r="D11" s="329" t="s">
        <v>396</v>
      </c>
      <c r="E11" s="359" t="s">
        <v>410</v>
      </c>
      <c r="F11" s="548" t="s">
        <v>453</v>
      </c>
      <c r="G11" s="329" t="s">
        <v>396</v>
      </c>
      <c r="H11" s="477" t="s">
        <v>453</v>
      </c>
      <c r="I11" s="328">
        <v>1000</v>
      </c>
      <c r="J11" s="1" t="s">
        <v>396</v>
      </c>
    </row>
    <row r="12" spans="1:10" ht="9.9" customHeight="1" x14ac:dyDescent="0.3">
      <c r="A12" s="326" t="s">
        <v>429</v>
      </c>
      <c r="B12" s="397" t="s">
        <v>453</v>
      </c>
      <c r="C12" s="328">
        <v>1200</v>
      </c>
      <c r="D12" s="329" t="s">
        <v>396</v>
      </c>
      <c r="E12" s="359" t="s">
        <v>410</v>
      </c>
      <c r="F12" s="328">
        <v>800</v>
      </c>
      <c r="G12" s="329" t="s">
        <v>396</v>
      </c>
      <c r="H12" s="477" t="s">
        <v>453</v>
      </c>
      <c r="I12" s="328">
        <v>600</v>
      </c>
      <c r="J12" s="1" t="s">
        <v>396</v>
      </c>
    </row>
    <row r="13" spans="1:10" ht="9.9" customHeight="1" x14ac:dyDescent="0.3">
      <c r="A13" s="326" t="s">
        <v>585</v>
      </c>
      <c r="B13" s="397" t="s">
        <v>453</v>
      </c>
      <c r="C13" s="328">
        <v>1200</v>
      </c>
      <c r="D13" s="329" t="s">
        <v>396</v>
      </c>
      <c r="E13" s="359" t="s">
        <v>410</v>
      </c>
      <c r="F13" s="328">
        <v>710</v>
      </c>
      <c r="G13" s="329" t="s">
        <v>396</v>
      </c>
      <c r="H13" s="477" t="s">
        <v>453</v>
      </c>
      <c r="I13" s="328">
        <v>1040</v>
      </c>
      <c r="J13" s="1" t="s">
        <v>396</v>
      </c>
    </row>
    <row r="14" spans="1:10" ht="9.9" customHeight="1" x14ac:dyDescent="0.3">
      <c r="A14" s="514" t="s">
        <v>77</v>
      </c>
      <c r="B14" s="397" t="s">
        <v>453</v>
      </c>
      <c r="C14" s="478">
        <f>AVERAGE(C15:C18)</f>
        <v>1594.15</v>
      </c>
      <c r="D14" s="333" t="s">
        <v>396</v>
      </c>
      <c r="E14" s="360" t="s">
        <v>410</v>
      </c>
      <c r="F14" s="520">
        <f t="shared" ref="F14" si="2">AVERAGE(F15:F18)</f>
        <v>1345.9</v>
      </c>
      <c r="G14" s="333" t="s">
        <v>396</v>
      </c>
      <c r="H14" s="489" t="s">
        <v>453</v>
      </c>
      <c r="I14" s="478">
        <f t="shared" ref="I14" si="3">AVERAGE(I15:I18)</f>
        <v>625</v>
      </c>
      <c r="J14" s="325" t="s">
        <v>396</v>
      </c>
    </row>
    <row r="15" spans="1:10" ht="9.9" customHeight="1" x14ac:dyDescent="0.3">
      <c r="A15" s="515" t="s">
        <v>153</v>
      </c>
      <c r="B15" s="397" t="s">
        <v>453</v>
      </c>
      <c r="C15" s="475">
        <v>1310</v>
      </c>
      <c r="D15" s="329" t="s">
        <v>396</v>
      </c>
      <c r="E15" s="359" t="s">
        <v>410</v>
      </c>
      <c r="F15" s="480">
        <v>1061.8</v>
      </c>
      <c r="G15" s="329" t="s">
        <v>396</v>
      </c>
      <c r="H15" s="477" t="s">
        <v>453</v>
      </c>
      <c r="I15" s="475">
        <v>570</v>
      </c>
      <c r="J15" s="1" t="s">
        <v>396</v>
      </c>
    </row>
    <row r="16" spans="1:10" ht="9.9" customHeight="1" x14ac:dyDescent="0.3">
      <c r="A16" s="515" t="s">
        <v>505</v>
      </c>
      <c r="B16" s="397" t="s">
        <v>453</v>
      </c>
      <c r="C16" s="475">
        <v>1580</v>
      </c>
      <c r="D16" s="329" t="s">
        <v>396</v>
      </c>
      <c r="E16" s="359" t="s">
        <v>410</v>
      </c>
      <c r="F16" s="477" t="s">
        <v>453</v>
      </c>
      <c r="G16" s="329" t="s">
        <v>396</v>
      </c>
      <c r="H16" s="477" t="s">
        <v>453</v>
      </c>
      <c r="I16" s="475">
        <v>680</v>
      </c>
      <c r="J16" s="1" t="s">
        <v>396</v>
      </c>
    </row>
    <row r="17" spans="1:10" ht="9.9" customHeight="1" x14ac:dyDescent="0.3">
      <c r="A17" s="515" t="s">
        <v>397</v>
      </c>
      <c r="B17" s="397" t="s">
        <v>453</v>
      </c>
      <c r="C17" s="475">
        <v>1880</v>
      </c>
      <c r="D17" s="329" t="s">
        <v>396</v>
      </c>
      <c r="E17" s="359" t="s">
        <v>410</v>
      </c>
      <c r="F17" s="475">
        <v>1630</v>
      </c>
      <c r="G17" s="329" t="s">
        <v>396</v>
      </c>
      <c r="H17" s="477" t="s">
        <v>453</v>
      </c>
      <c r="I17" s="477" t="s">
        <v>453</v>
      </c>
      <c r="J17" s="1" t="s">
        <v>396</v>
      </c>
    </row>
    <row r="18" spans="1:10" ht="9.9" customHeight="1" x14ac:dyDescent="0.3">
      <c r="A18" s="515" t="s">
        <v>159</v>
      </c>
      <c r="B18" s="477" t="s">
        <v>453</v>
      </c>
      <c r="C18" s="475">
        <v>1606.6</v>
      </c>
      <c r="D18" s="329" t="s">
        <v>396</v>
      </c>
      <c r="E18" s="359" t="s">
        <v>410</v>
      </c>
      <c r="F18" s="477" t="s">
        <v>453</v>
      </c>
      <c r="G18" s="1" t="s">
        <v>396</v>
      </c>
      <c r="H18" s="477" t="s">
        <v>453</v>
      </c>
      <c r="I18" s="477" t="s">
        <v>453</v>
      </c>
      <c r="J18" s="1" t="s">
        <v>396</v>
      </c>
    </row>
    <row r="19" spans="1:10" ht="9.9" customHeight="1" x14ac:dyDescent="0.3">
      <c r="A19" s="514" t="s">
        <v>2</v>
      </c>
      <c r="B19" s="478">
        <f>AVERAGE(B20:B22)</f>
        <v>1200</v>
      </c>
      <c r="C19" s="478">
        <f>AVERAGE(C20:C22)</f>
        <v>1166.6666666666667</v>
      </c>
      <c r="D19" s="325">
        <f t="shared" ref="D19:D20" si="4">((C19/B19) -      1)*100</f>
        <v>-2.7777777777777679</v>
      </c>
      <c r="E19" s="359" t="s">
        <v>410</v>
      </c>
      <c r="F19" s="478">
        <f>AVERAGE(F20:F22)</f>
        <v>750</v>
      </c>
      <c r="G19" s="1" t="s">
        <v>396</v>
      </c>
      <c r="H19" s="478">
        <f>AVERAGE(H20:H22)</f>
        <v>900</v>
      </c>
      <c r="I19" s="478">
        <f>AVERAGE(I20:I22)</f>
        <v>900</v>
      </c>
      <c r="J19" s="325">
        <f>((I19/H19) -      1)*100</f>
        <v>0</v>
      </c>
    </row>
    <row r="20" spans="1:10" ht="9.9" customHeight="1" x14ac:dyDescent="0.3">
      <c r="A20" s="515" t="s">
        <v>5</v>
      </c>
      <c r="B20" s="475">
        <v>1200</v>
      </c>
      <c r="C20" s="475">
        <v>1000</v>
      </c>
      <c r="D20" s="1">
        <f t="shared" si="4"/>
        <v>-16.666666666666664</v>
      </c>
      <c r="E20" s="359" t="s">
        <v>410</v>
      </c>
      <c r="F20" s="475">
        <v>600</v>
      </c>
      <c r="G20" s="1" t="s">
        <v>396</v>
      </c>
      <c r="H20" s="475">
        <v>900</v>
      </c>
      <c r="I20" s="475">
        <v>900</v>
      </c>
      <c r="J20" s="1">
        <f t="shared" ref="J20" si="5">((I20/H20) -      1)*100</f>
        <v>0</v>
      </c>
    </row>
    <row r="21" spans="1:10" ht="9.9" customHeight="1" x14ac:dyDescent="0.3">
      <c r="A21" s="515" t="s">
        <v>550</v>
      </c>
      <c r="B21" s="475">
        <v>1200</v>
      </c>
      <c r="C21" s="475">
        <v>1300</v>
      </c>
      <c r="D21" s="1">
        <f t="shared" ref="D21" si="6">((C21/B21) -      1)*100</f>
        <v>8.333333333333325</v>
      </c>
      <c r="E21" s="359">
        <v>1000</v>
      </c>
      <c r="F21" s="475">
        <v>900</v>
      </c>
      <c r="G21" s="516">
        <f>((F21/E21) -      1)*100</f>
        <v>-9.9999999999999982</v>
      </c>
      <c r="H21" s="477" t="s">
        <v>453</v>
      </c>
      <c r="I21" s="477" t="s">
        <v>453</v>
      </c>
      <c r="J21" s="1" t="s">
        <v>396</v>
      </c>
    </row>
    <row r="22" spans="1:10" ht="9.9" customHeight="1" x14ac:dyDescent="0.3">
      <c r="A22" s="515" t="s">
        <v>127</v>
      </c>
      <c r="B22" s="477" t="s">
        <v>453</v>
      </c>
      <c r="C22" s="475">
        <v>1200</v>
      </c>
      <c r="D22" s="329" t="s">
        <v>396</v>
      </c>
      <c r="E22" s="359" t="s">
        <v>410</v>
      </c>
      <c r="F22" s="477" t="s">
        <v>453</v>
      </c>
      <c r="G22" s="1" t="s">
        <v>396</v>
      </c>
      <c r="H22" s="477" t="s">
        <v>453</v>
      </c>
      <c r="I22" s="477" t="s">
        <v>453</v>
      </c>
      <c r="J22" s="1" t="s">
        <v>396</v>
      </c>
    </row>
    <row r="23" spans="1:10" ht="9.9" customHeight="1" x14ac:dyDescent="0.3">
      <c r="A23" s="514" t="s">
        <v>6</v>
      </c>
      <c r="B23" s="478">
        <f>AVERAGE(B24:B28)</f>
        <v>1562.08</v>
      </c>
      <c r="C23" s="478">
        <f>AVERAGE(C24:C28)</f>
        <v>1576</v>
      </c>
      <c r="D23" s="324">
        <f t="shared" ref="D23:D28" si="7">((C23/B23) -      1)*100</f>
        <v>0.8911195329304622</v>
      </c>
      <c r="E23" s="478">
        <f>AVERAGE(E24:E28)</f>
        <v>681.8</v>
      </c>
      <c r="F23" s="478">
        <f>AVERAGE(F24:F28)</f>
        <v>600</v>
      </c>
      <c r="G23" s="324">
        <f>((F23/E23) -      1)*100</f>
        <v>-11.997653270753883</v>
      </c>
      <c r="H23" s="478">
        <f>AVERAGE(H24:H28)</f>
        <v>880</v>
      </c>
      <c r="I23" s="478">
        <f>AVERAGE(I24:I28)</f>
        <v>800</v>
      </c>
      <c r="J23" s="325">
        <f>((I23/H23) -      1)*100</f>
        <v>-9.0909090909090935</v>
      </c>
    </row>
    <row r="24" spans="1:10" ht="9.9" customHeight="1" x14ac:dyDescent="0.3">
      <c r="A24" s="515" t="s">
        <v>10</v>
      </c>
      <c r="B24" s="475">
        <v>1596.8</v>
      </c>
      <c r="C24" s="475">
        <v>1200</v>
      </c>
      <c r="D24" s="516">
        <f t="shared" si="7"/>
        <v>-24.849699398797597</v>
      </c>
      <c r="E24" s="475">
        <v>681.8</v>
      </c>
      <c r="F24" s="475">
        <v>600</v>
      </c>
      <c r="G24" s="516">
        <f>((F24/E24) -      1)*100</f>
        <v>-11.997653270753883</v>
      </c>
      <c r="H24" s="475">
        <v>880</v>
      </c>
      <c r="I24" s="475">
        <v>800</v>
      </c>
      <c r="J24" s="1">
        <f t="shared" ref="J24" si="8">((I24/H24) -      1)*100</f>
        <v>-9.0909090909090935</v>
      </c>
    </row>
    <row r="25" spans="1:10" ht="9.9" customHeight="1" x14ac:dyDescent="0.3">
      <c r="A25" s="515" t="s">
        <v>11</v>
      </c>
      <c r="B25" s="475">
        <v>1507</v>
      </c>
      <c r="C25" s="475">
        <v>1473.4</v>
      </c>
      <c r="D25" s="516">
        <f t="shared" si="7"/>
        <v>-2.2295952222959436</v>
      </c>
      <c r="E25" s="359" t="s">
        <v>410</v>
      </c>
      <c r="F25" s="477" t="s">
        <v>453</v>
      </c>
      <c r="G25" s="329" t="s">
        <v>396</v>
      </c>
      <c r="H25" s="477" t="s">
        <v>453</v>
      </c>
      <c r="I25" s="477" t="s">
        <v>453</v>
      </c>
      <c r="J25" s="1" t="s">
        <v>396</v>
      </c>
    </row>
    <row r="26" spans="1:10" ht="9.9" customHeight="1" x14ac:dyDescent="0.3">
      <c r="A26" s="515" t="s">
        <v>13</v>
      </c>
      <c r="B26" s="475">
        <v>1900</v>
      </c>
      <c r="C26" s="475">
        <v>2400</v>
      </c>
      <c r="D26" s="516">
        <f t="shared" si="7"/>
        <v>26.315789473684205</v>
      </c>
      <c r="E26" s="359" t="s">
        <v>410</v>
      </c>
      <c r="F26" s="477" t="s">
        <v>453</v>
      </c>
      <c r="G26" s="329" t="s">
        <v>396</v>
      </c>
      <c r="H26" s="477" t="s">
        <v>453</v>
      </c>
      <c r="I26" s="477" t="s">
        <v>453</v>
      </c>
      <c r="J26" s="1" t="s">
        <v>396</v>
      </c>
    </row>
    <row r="27" spans="1:10" ht="9.9" customHeight="1" x14ac:dyDescent="0.3">
      <c r="A27" s="515" t="s">
        <v>14</v>
      </c>
      <c r="B27" s="475">
        <v>1500</v>
      </c>
      <c r="C27" s="475">
        <v>1500</v>
      </c>
      <c r="D27" s="516">
        <f t="shared" si="7"/>
        <v>0</v>
      </c>
      <c r="E27" s="359" t="s">
        <v>410</v>
      </c>
      <c r="F27" s="477" t="s">
        <v>453</v>
      </c>
      <c r="G27" s="1" t="s">
        <v>396</v>
      </c>
      <c r="H27" s="477" t="s">
        <v>453</v>
      </c>
      <c r="I27" s="477" t="s">
        <v>453</v>
      </c>
      <c r="J27" s="1" t="s">
        <v>396</v>
      </c>
    </row>
    <row r="28" spans="1:10" ht="9.9" customHeight="1" x14ac:dyDescent="0.3">
      <c r="A28" s="515" t="s">
        <v>398</v>
      </c>
      <c r="B28" s="475">
        <v>1306.5999999999999</v>
      </c>
      <c r="C28" s="475">
        <v>1306.5999999999999</v>
      </c>
      <c r="D28" s="516">
        <f t="shared" si="7"/>
        <v>0</v>
      </c>
      <c r="E28" s="359" t="s">
        <v>410</v>
      </c>
      <c r="F28" s="477" t="s">
        <v>453</v>
      </c>
      <c r="G28" s="1" t="s">
        <v>396</v>
      </c>
      <c r="H28" s="477" t="s">
        <v>453</v>
      </c>
      <c r="I28" s="477" t="s">
        <v>453</v>
      </c>
      <c r="J28" s="1" t="s">
        <v>396</v>
      </c>
    </row>
    <row r="29" spans="1:10" ht="9.9" customHeight="1" x14ac:dyDescent="0.3">
      <c r="A29" s="517" t="s">
        <v>15</v>
      </c>
      <c r="B29" s="489" t="s">
        <v>453</v>
      </c>
      <c r="C29" s="478">
        <f>AVERAGE(C30:C31)</f>
        <v>1800</v>
      </c>
      <c r="D29" s="536" t="s">
        <v>3</v>
      </c>
      <c r="E29" s="489" t="s">
        <v>395</v>
      </c>
      <c r="F29" s="478">
        <f>AVERAGE(F30:F31)</f>
        <v>600</v>
      </c>
      <c r="G29" s="536" t="s">
        <v>3</v>
      </c>
      <c r="H29" s="489" t="s">
        <v>453</v>
      </c>
      <c r="I29" s="478">
        <f>AVERAGE(I30:I31)</f>
        <v>600</v>
      </c>
      <c r="J29" s="325" t="s">
        <v>396</v>
      </c>
    </row>
    <row r="30" spans="1:10" ht="9.9" customHeight="1" x14ac:dyDescent="0.3">
      <c r="A30" s="515" t="s">
        <v>506</v>
      </c>
      <c r="B30" s="477" t="s">
        <v>453</v>
      </c>
      <c r="C30" s="475">
        <v>2600</v>
      </c>
      <c r="D30" s="518" t="s">
        <v>3</v>
      </c>
      <c r="E30" s="477" t="s">
        <v>395</v>
      </c>
      <c r="F30" s="475">
        <v>600</v>
      </c>
      <c r="G30" s="518" t="s">
        <v>3</v>
      </c>
      <c r="H30" s="477" t="s">
        <v>453</v>
      </c>
      <c r="I30" s="475">
        <v>600</v>
      </c>
      <c r="J30" s="1" t="s">
        <v>396</v>
      </c>
    </row>
    <row r="31" spans="1:10" ht="9.9" customHeight="1" x14ac:dyDescent="0.3">
      <c r="A31" s="515" t="s">
        <v>69</v>
      </c>
      <c r="B31" s="477" t="s">
        <v>453</v>
      </c>
      <c r="C31" s="475">
        <v>1000</v>
      </c>
      <c r="D31" s="518" t="s">
        <v>3</v>
      </c>
      <c r="E31" s="477" t="s">
        <v>395</v>
      </c>
      <c r="F31" s="475">
        <v>600</v>
      </c>
      <c r="G31" s="518" t="s">
        <v>3</v>
      </c>
      <c r="H31" s="477" t="s">
        <v>453</v>
      </c>
      <c r="I31" s="477" t="s">
        <v>453</v>
      </c>
      <c r="J31" s="1" t="s">
        <v>396</v>
      </c>
    </row>
    <row r="32" spans="1:10" ht="9.9" customHeight="1" x14ac:dyDescent="0.3">
      <c r="A32" s="519" t="s">
        <v>16</v>
      </c>
      <c r="B32" s="478">
        <f>AVERAGE(B33:B35)</f>
        <v>1193.3333333333333</v>
      </c>
      <c r="C32" s="478">
        <f>AVERAGE(C33:C35)</f>
        <v>1166.6666666666667</v>
      </c>
      <c r="D32" s="324">
        <f t="shared" ref="D32:D34" si="9">((C32/B32 -1)*100)</f>
        <v>-2.2346368715083664</v>
      </c>
      <c r="E32" s="478">
        <f>AVERAGE(E33:E35)</f>
        <v>580</v>
      </c>
      <c r="F32" s="478">
        <f>AVERAGE(F33:F35)</f>
        <v>1200</v>
      </c>
      <c r="G32" s="324">
        <f t="shared" ref="G32" si="10">((F32/E32 -1)*100)</f>
        <v>106.89655172413795</v>
      </c>
      <c r="H32" s="489" t="s">
        <v>453</v>
      </c>
      <c r="I32" s="489" t="s">
        <v>453</v>
      </c>
      <c r="J32" s="325" t="s">
        <v>396</v>
      </c>
    </row>
    <row r="33" spans="1:10" ht="9.9" customHeight="1" x14ac:dyDescent="0.3">
      <c r="A33" s="515" t="s">
        <v>472</v>
      </c>
      <c r="B33" s="475">
        <v>1200</v>
      </c>
      <c r="C33" s="475">
        <v>1400</v>
      </c>
      <c r="D33" s="1">
        <f t="shared" si="9"/>
        <v>16.666666666666675</v>
      </c>
      <c r="E33" s="475">
        <v>580</v>
      </c>
      <c r="F33" s="475">
        <v>1200</v>
      </c>
      <c r="G33" s="516">
        <f>((F33/E33) -      1)*100</f>
        <v>106.89655172413795</v>
      </c>
      <c r="H33" s="477" t="s">
        <v>453</v>
      </c>
      <c r="I33" s="477" t="s">
        <v>453</v>
      </c>
      <c r="J33" s="1" t="s">
        <v>396</v>
      </c>
    </row>
    <row r="34" spans="1:10" ht="9.9" customHeight="1" x14ac:dyDescent="0.3">
      <c r="A34" s="515" t="s">
        <v>479</v>
      </c>
      <c r="B34" s="475">
        <v>1180</v>
      </c>
      <c r="C34" s="475">
        <v>900</v>
      </c>
      <c r="D34" s="1">
        <f t="shared" si="9"/>
        <v>-23.728813559322038</v>
      </c>
      <c r="E34" s="477" t="s">
        <v>453</v>
      </c>
      <c r="F34" s="477" t="s">
        <v>453</v>
      </c>
      <c r="G34" s="1" t="s">
        <v>396</v>
      </c>
      <c r="H34" s="477" t="s">
        <v>453</v>
      </c>
      <c r="I34" s="477" t="s">
        <v>453</v>
      </c>
      <c r="J34" s="1" t="s">
        <v>396</v>
      </c>
    </row>
    <row r="35" spans="1:10" ht="9.9" customHeight="1" x14ac:dyDescent="0.3">
      <c r="A35" s="515" t="s">
        <v>17</v>
      </c>
      <c r="B35" s="475">
        <v>1200</v>
      </c>
      <c r="C35" s="475">
        <v>1200</v>
      </c>
      <c r="D35" s="1">
        <f>((C35/B35 -1)*100)</f>
        <v>0</v>
      </c>
      <c r="E35" s="477" t="s">
        <v>453</v>
      </c>
      <c r="F35" s="477" t="s">
        <v>453</v>
      </c>
      <c r="G35" s="1" t="s">
        <v>396</v>
      </c>
      <c r="H35" s="477" t="s">
        <v>453</v>
      </c>
      <c r="I35" s="477" t="s">
        <v>453</v>
      </c>
      <c r="J35" s="1" t="s">
        <v>396</v>
      </c>
    </row>
    <row r="36" spans="1:10" ht="9.9" customHeight="1" x14ac:dyDescent="0.3">
      <c r="A36" s="517" t="s">
        <v>18</v>
      </c>
      <c r="B36" s="489" t="s">
        <v>453</v>
      </c>
      <c r="C36" s="520">
        <f>AVERAGE(C37:C38)</f>
        <v>1300</v>
      </c>
      <c r="D36" s="536" t="s">
        <v>3</v>
      </c>
      <c r="E36" s="489" t="s">
        <v>395</v>
      </c>
      <c r="F36" s="489" t="s">
        <v>453</v>
      </c>
      <c r="G36" s="325" t="s">
        <v>396</v>
      </c>
      <c r="H36" s="489" t="s">
        <v>453</v>
      </c>
      <c r="I36" s="489" t="s">
        <v>453</v>
      </c>
      <c r="J36" s="325" t="s">
        <v>396</v>
      </c>
    </row>
    <row r="37" spans="1:10" ht="9.9" customHeight="1" x14ac:dyDescent="0.3">
      <c r="A37" s="515" t="s">
        <v>62</v>
      </c>
      <c r="B37" s="477" t="s">
        <v>453</v>
      </c>
      <c r="C37" s="475">
        <v>1400</v>
      </c>
      <c r="D37" s="1" t="s">
        <v>396</v>
      </c>
      <c r="E37" s="477" t="s">
        <v>395</v>
      </c>
      <c r="F37" s="477" t="s">
        <v>453</v>
      </c>
      <c r="G37" s="1" t="s">
        <v>396</v>
      </c>
      <c r="H37" s="477" t="s">
        <v>453</v>
      </c>
      <c r="I37" s="477" t="s">
        <v>453</v>
      </c>
      <c r="J37" s="1" t="s">
        <v>396</v>
      </c>
    </row>
    <row r="38" spans="1:10" ht="9.9" customHeight="1" x14ac:dyDescent="0.3">
      <c r="A38" s="515" t="s">
        <v>80</v>
      </c>
      <c r="B38" s="477" t="s">
        <v>453</v>
      </c>
      <c r="C38" s="475">
        <v>1200</v>
      </c>
      <c r="D38" s="1" t="s">
        <v>396</v>
      </c>
      <c r="E38" s="477" t="s">
        <v>395</v>
      </c>
      <c r="F38" s="477" t="s">
        <v>453</v>
      </c>
      <c r="G38" s="1" t="s">
        <v>396</v>
      </c>
      <c r="H38" s="477" t="s">
        <v>453</v>
      </c>
      <c r="I38" s="477" t="s">
        <v>453</v>
      </c>
      <c r="J38" s="1" t="s">
        <v>396</v>
      </c>
    </row>
    <row r="39" spans="1:10" ht="9.9" customHeight="1" x14ac:dyDescent="0.3">
      <c r="A39" s="401" t="s">
        <v>25</v>
      </c>
      <c r="B39" s="479">
        <f>AVERAGE(B40:B42)</f>
        <v>1177.6666666666667</v>
      </c>
      <c r="C39" s="479">
        <f>AVERAGE(C40:C42)</f>
        <v>1008.6666666666666</v>
      </c>
      <c r="D39" s="324">
        <f>((C39/B39)-   1)*100</f>
        <v>-14.350410416076997</v>
      </c>
      <c r="E39" s="489" t="s">
        <v>395</v>
      </c>
      <c r="F39" s="489" t="s">
        <v>453</v>
      </c>
      <c r="G39" s="325" t="s">
        <v>396</v>
      </c>
      <c r="H39" s="478">
        <f>AVERAGE(H40:H42)</f>
        <v>1000</v>
      </c>
      <c r="I39" s="478">
        <f>AVERAGE(I40:I42)</f>
        <v>1300</v>
      </c>
      <c r="J39" s="334">
        <f>((I39/H39)-   1)*100</f>
        <v>30.000000000000004</v>
      </c>
    </row>
    <row r="40" spans="1:10" ht="9.9" customHeight="1" x14ac:dyDescent="0.3">
      <c r="A40" s="515" t="s">
        <v>53</v>
      </c>
      <c r="B40" s="480">
        <v>1166</v>
      </c>
      <c r="C40" s="480">
        <v>1166</v>
      </c>
      <c r="D40" s="1">
        <f>((C40/B40)-   1)*100</f>
        <v>0</v>
      </c>
      <c r="E40" s="477" t="s">
        <v>395</v>
      </c>
      <c r="F40" s="477" t="s">
        <v>453</v>
      </c>
      <c r="G40" s="1" t="s">
        <v>396</v>
      </c>
      <c r="H40" s="477" t="s">
        <v>453</v>
      </c>
      <c r="I40" s="398" t="s">
        <v>410</v>
      </c>
      <c r="J40" s="332" t="s">
        <v>396</v>
      </c>
    </row>
    <row r="41" spans="1:10" ht="9.9" customHeight="1" x14ac:dyDescent="0.3">
      <c r="A41" s="515" t="s">
        <v>564</v>
      </c>
      <c r="B41" s="480">
        <v>1200</v>
      </c>
      <c r="C41" s="480">
        <v>760</v>
      </c>
      <c r="D41" s="332">
        <f>((C41/B41)-   1)*100</f>
        <v>-36.666666666666671</v>
      </c>
      <c r="E41" s="477" t="s">
        <v>395</v>
      </c>
      <c r="F41" s="477" t="s">
        <v>453</v>
      </c>
      <c r="G41" s="1" t="s">
        <v>396</v>
      </c>
      <c r="H41" s="477" t="s">
        <v>453</v>
      </c>
      <c r="I41" s="398" t="s">
        <v>410</v>
      </c>
      <c r="J41" s="332" t="s">
        <v>396</v>
      </c>
    </row>
    <row r="42" spans="1:10" ht="9.9" customHeight="1" x14ac:dyDescent="0.3">
      <c r="A42" s="515" t="s">
        <v>58</v>
      </c>
      <c r="B42" s="480">
        <v>1167</v>
      </c>
      <c r="C42" s="480">
        <v>1100</v>
      </c>
      <c r="D42" s="332">
        <f>((C42/B42)-   1)*100</f>
        <v>-5.7412167952013764</v>
      </c>
      <c r="E42" s="477" t="s">
        <v>395</v>
      </c>
      <c r="F42" s="477" t="s">
        <v>453</v>
      </c>
      <c r="G42" s="1" t="s">
        <v>396</v>
      </c>
      <c r="H42" s="475">
        <v>1000</v>
      </c>
      <c r="I42" s="475">
        <v>1300</v>
      </c>
      <c r="J42" s="332">
        <f>((I42/H42)-   1)*100</f>
        <v>30.000000000000004</v>
      </c>
    </row>
    <row r="43" spans="1:10" ht="9.9" customHeight="1" x14ac:dyDescent="0.3">
      <c r="A43" s="410" t="s">
        <v>81</v>
      </c>
      <c r="B43" s="479">
        <f>AVERAGE(B44:B45)</f>
        <v>1200</v>
      </c>
      <c r="C43" s="479">
        <f>AVERAGE(C44:C45)</f>
        <v>1200</v>
      </c>
      <c r="D43" s="324">
        <v>0</v>
      </c>
      <c r="E43" s="479">
        <f>AVERAGE(E44:E45)</f>
        <v>1200</v>
      </c>
      <c r="F43" s="479">
        <f>AVERAGE(F44:F45)</f>
        <v>1200</v>
      </c>
      <c r="G43" s="324">
        <v>0</v>
      </c>
      <c r="H43" s="479">
        <f>AVERAGE(H44:H45)</f>
        <v>1000</v>
      </c>
      <c r="I43" s="479">
        <f>AVERAGE(I44:I45)</f>
        <v>960</v>
      </c>
      <c r="J43" s="334">
        <f>((I43/H43)-   1)*100</f>
        <v>-4.0000000000000036</v>
      </c>
    </row>
    <row r="44" spans="1:10" ht="9.9" customHeight="1" x14ac:dyDescent="0.3">
      <c r="A44" s="515" t="s">
        <v>399</v>
      </c>
      <c r="B44" s="480">
        <v>1200</v>
      </c>
      <c r="C44" s="480">
        <v>1200</v>
      </c>
      <c r="D44" s="1">
        <f t="shared" ref="D44" si="11">((C44/B44)-   1)*100</f>
        <v>0</v>
      </c>
      <c r="E44" s="477" t="s">
        <v>453</v>
      </c>
      <c r="F44" s="477" t="s">
        <v>453</v>
      </c>
      <c r="G44" s="405" t="s">
        <v>396</v>
      </c>
      <c r="H44" s="475">
        <v>1000</v>
      </c>
      <c r="I44" s="475">
        <v>960</v>
      </c>
      <c r="J44" s="332">
        <f>((I44/H44)-   1)*100</f>
        <v>-4.0000000000000036</v>
      </c>
    </row>
    <row r="45" spans="1:10" ht="9.9" customHeight="1" x14ac:dyDescent="0.3">
      <c r="A45" s="515" t="s">
        <v>553</v>
      </c>
      <c r="B45" s="477" t="s">
        <v>453</v>
      </c>
      <c r="C45" s="477" t="s">
        <v>453</v>
      </c>
      <c r="D45" s="329" t="s">
        <v>396</v>
      </c>
      <c r="E45" s="475">
        <v>1200</v>
      </c>
      <c r="F45" s="475">
        <v>1200</v>
      </c>
      <c r="G45" s="526">
        <f t="shared" ref="G45:G50" si="12">((F45/E45)-   1)*100</f>
        <v>0</v>
      </c>
      <c r="H45" s="477" t="s">
        <v>453</v>
      </c>
      <c r="I45" s="398" t="s">
        <v>410</v>
      </c>
      <c r="J45" s="351" t="s">
        <v>396</v>
      </c>
    </row>
    <row r="46" spans="1:10" ht="9.9" customHeight="1" x14ac:dyDescent="0.3">
      <c r="A46" s="514" t="s">
        <v>400</v>
      </c>
      <c r="B46" s="479">
        <f>AVERAGE(B47:B50)</f>
        <v>1600</v>
      </c>
      <c r="C46" s="479">
        <f>AVERAGE(C47:C50)</f>
        <v>1800</v>
      </c>
      <c r="D46" s="333">
        <f>((C46/B46)-   1)*100</f>
        <v>12.5</v>
      </c>
      <c r="E46" s="478">
        <f>AVERAGE(E47:E50)</f>
        <v>521.65</v>
      </c>
      <c r="F46" s="478">
        <f>AVERAGE(F47:F50)</f>
        <v>521.65</v>
      </c>
      <c r="G46" s="525">
        <f t="shared" si="12"/>
        <v>0</v>
      </c>
      <c r="H46" s="478">
        <f>AVERAGE(H47:H50)</f>
        <v>843.33333333333337</v>
      </c>
      <c r="I46" s="478">
        <f>AVERAGE(I47:I50)</f>
        <v>800</v>
      </c>
      <c r="J46" s="525">
        <f>((I46/H46)-   1)*100</f>
        <v>-5.1383399209486207</v>
      </c>
    </row>
    <row r="47" spans="1:10" ht="9.9" customHeight="1" x14ac:dyDescent="0.3">
      <c r="A47" s="515" t="s">
        <v>82</v>
      </c>
      <c r="B47" s="477" t="s">
        <v>453</v>
      </c>
      <c r="C47" s="477" t="s">
        <v>453</v>
      </c>
      <c r="D47" s="329" t="s">
        <v>396</v>
      </c>
      <c r="E47" s="475">
        <v>626.6</v>
      </c>
      <c r="F47" s="475">
        <v>686.6</v>
      </c>
      <c r="G47" s="526">
        <f t="shared" si="12"/>
        <v>9.5754867539100008</v>
      </c>
      <c r="H47" s="475">
        <v>1030</v>
      </c>
      <c r="I47" s="475">
        <v>1000</v>
      </c>
      <c r="J47" s="329">
        <f>((I47/H47)-   1)*100</f>
        <v>-2.9126213592232997</v>
      </c>
    </row>
    <row r="48" spans="1:10" ht="9.9" customHeight="1" x14ac:dyDescent="0.3">
      <c r="A48" s="515" t="s">
        <v>30</v>
      </c>
      <c r="B48" s="477" t="s">
        <v>453</v>
      </c>
      <c r="C48" s="477" t="s">
        <v>453</v>
      </c>
      <c r="D48" s="329" t="s">
        <v>396</v>
      </c>
      <c r="E48" s="475">
        <v>400</v>
      </c>
      <c r="F48" s="475">
        <v>400</v>
      </c>
      <c r="G48" s="526">
        <f t="shared" si="12"/>
        <v>0</v>
      </c>
      <c r="H48" s="475">
        <v>700</v>
      </c>
      <c r="I48" s="475">
        <v>700</v>
      </c>
      <c r="J48" s="329">
        <f>((I48/H48)-   1)*100</f>
        <v>0</v>
      </c>
    </row>
    <row r="49" spans="1:10" ht="9.9" customHeight="1" x14ac:dyDescent="0.3">
      <c r="A49" s="515" t="s">
        <v>83</v>
      </c>
      <c r="B49" s="480">
        <v>1600</v>
      </c>
      <c r="C49" s="480">
        <v>1800</v>
      </c>
      <c r="D49" s="329">
        <f>((C49/B49)-   1)*100</f>
        <v>12.5</v>
      </c>
      <c r="E49" s="475">
        <v>760</v>
      </c>
      <c r="F49" s="475">
        <v>700</v>
      </c>
      <c r="G49" s="526">
        <f t="shared" si="12"/>
        <v>-7.8947368421052655</v>
      </c>
      <c r="H49" s="477" t="s">
        <v>453</v>
      </c>
      <c r="I49" s="398" t="s">
        <v>410</v>
      </c>
      <c r="J49" s="1" t="s">
        <v>396</v>
      </c>
    </row>
    <row r="50" spans="1:10" ht="9.9" customHeight="1" x14ac:dyDescent="0.3">
      <c r="A50" s="515" t="s">
        <v>34</v>
      </c>
      <c r="B50" s="477" t="s">
        <v>453</v>
      </c>
      <c r="C50" s="477" t="s">
        <v>453</v>
      </c>
      <c r="D50" s="329" t="s">
        <v>396</v>
      </c>
      <c r="E50" s="475">
        <v>300</v>
      </c>
      <c r="F50" s="475">
        <v>300</v>
      </c>
      <c r="G50" s="526">
        <f t="shared" si="12"/>
        <v>0</v>
      </c>
      <c r="H50" s="475">
        <v>800</v>
      </c>
      <c r="I50" s="475">
        <v>700</v>
      </c>
      <c r="J50" s="526">
        <f>((I50/H50)-   1)*100</f>
        <v>-12.5</v>
      </c>
    </row>
    <row r="51" spans="1:10" ht="9.9" customHeight="1" x14ac:dyDescent="0.3">
      <c r="A51" s="514" t="s">
        <v>187</v>
      </c>
      <c r="B51" s="489" t="s">
        <v>453</v>
      </c>
      <c r="C51" s="489" t="s">
        <v>453</v>
      </c>
      <c r="D51" s="333" t="s">
        <v>396</v>
      </c>
      <c r="E51" s="489" t="s">
        <v>395</v>
      </c>
      <c r="F51" s="489" t="s">
        <v>453</v>
      </c>
      <c r="G51" s="325" t="s">
        <v>396</v>
      </c>
      <c r="H51" s="478">
        <v>500</v>
      </c>
      <c r="I51" s="478">
        <v>600</v>
      </c>
      <c r="J51" s="325">
        <f t="shared" ref="J51" si="13">((I51/H51)-   1)*100</f>
        <v>19.999999999999996</v>
      </c>
    </row>
    <row r="52" spans="1:10" ht="9.9" customHeight="1" x14ac:dyDescent="0.3">
      <c r="A52" s="527" t="s">
        <v>560</v>
      </c>
      <c r="B52" s="520">
        <f>AVERAGE(B53)</f>
        <v>1049</v>
      </c>
      <c r="C52" s="520">
        <f>AVERAGE(C53)</f>
        <v>1000</v>
      </c>
      <c r="D52" s="333">
        <f>((C52/B52)-   1)*100</f>
        <v>-4.6711153479504279</v>
      </c>
      <c r="E52" s="520">
        <f t="shared" ref="E52:F52" si="14">AVERAGE(E53)</f>
        <v>968</v>
      </c>
      <c r="F52" s="520">
        <f t="shared" si="14"/>
        <v>1300</v>
      </c>
      <c r="G52" s="525">
        <f>((F52/E52)-   1)*100</f>
        <v>34.29752066115703</v>
      </c>
      <c r="H52" s="520">
        <f t="shared" ref="H52:I52" si="15">AVERAGE(H53)</f>
        <v>1200</v>
      </c>
      <c r="I52" s="520">
        <f t="shared" si="15"/>
        <v>1200</v>
      </c>
      <c r="J52" s="325">
        <f>((I52/H52)-   1)*100</f>
        <v>0</v>
      </c>
    </row>
    <row r="53" spans="1:10" ht="9.9" customHeight="1" x14ac:dyDescent="0.3">
      <c r="A53" s="528" t="s">
        <v>563</v>
      </c>
      <c r="B53" s="480">
        <v>1049</v>
      </c>
      <c r="C53" s="480">
        <v>1000</v>
      </c>
      <c r="D53" s="329">
        <f>((C53/B53)-   1)*100</f>
        <v>-4.6711153479504279</v>
      </c>
      <c r="E53" s="475">
        <v>968</v>
      </c>
      <c r="F53" s="475">
        <v>1300</v>
      </c>
      <c r="G53" s="526">
        <f>((F53/E53)-   1)*100</f>
        <v>34.29752066115703</v>
      </c>
      <c r="H53" s="473">
        <v>1200</v>
      </c>
      <c r="I53" s="396">
        <v>1200</v>
      </c>
      <c r="J53" s="529">
        <f>((I53/H53) -     1)*100</f>
        <v>0</v>
      </c>
    </row>
    <row r="54" spans="1:10" ht="9.9" customHeight="1" x14ac:dyDescent="0.3">
      <c r="A54" s="527" t="s">
        <v>192</v>
      </c>
      <c r="B54" s="489" t="s">
        <v>453</v>
      </c>
      <c r="C54" s="520">
        <f>AVERAGE(C55:C56)</f>
        <v>1200</v>
      </c>
      <c r="D54" s="333" t="s">
        <v>396</v>
      </c>
      <c r="E54" s="489" t="s">
        <v>395</v>
      </c>
      <c r="F54" s="489" t="s">
        <v>453</v>
      </c>
      <c r="G54" s="325" t="s">
        <v>396</v>
      </c>
      <c r="H54" s="520">
        <f t="shared" ref="H54:I54" si="16">AVERAGE(H55:H56)</f>
        <v>1067</v>
      </c>
      <c r="I54" s="520">
        <f t="shared" si="16"/>
        <v>916.7</v>
      </c>
      <c r="J54" s="325">
        <f>((I54/H54)-   1)*100</f>
        <v>-14.086223055295211</v>
      </c>
    </row>
    <row r="55" spans="1:10" ht="9.9" customHeight="1" x14ac:dyDescent="0.3">
      <c r="A55" s="528" t="s">
        <v>194</v>
      </c>
      <c r="B55" s="477" t="s">
        <v>453</v>
      </c>
      <c r="C55" s="480">
        <v>1200</v>
      </c>
      <c r="D55" s="351" t="s">
        <v>396</v>
      </c>
      <c r="E55" s="477" t="s">
        <v>395</v>
      </c>
      <c r="F55" s="477" t="s">
        <v>453</v>
      </c>
      <c r="G55" s="1" t="s">
        <v>396</v>
      </c>
      <c r="H55" s="477" t="s">
        <v>453</v>
      </c>
      <c r="I55" s="396">
        <v>800</v>
      </c>
      <c r="J55" s="529" t="s">
        <v>49</v>
      </c>
    </row>
    <row r="56" spans="1:10" ht="9.9" customHeight="1" x14ac:dyDescent="0.3">
      <c r="A56" s="528" t="s">
        <v>195</v>
      </c>
      <c r="B56" s="477" t="s">
        <v>453</v>
      </c>
      <c r="C56" s="477" t="s">
        <v>453</v>
      </c>
      <c r="D56" s="329" t="s">
        <v>396</v>
      </c>
      <c r="E56" s="477" t="s">
        <v>395</v>
      </c>
      <c r="F56" s="477" t="s">
        <v>453</v>
      </c>
      <c r="G56" s="1" t="s">
        <v>396</v>
      </c>
      <c r="H56" s="473">
        <v>1067</v>
      </c>
      <c r="I56" s="396">
        <v>1033.4000000000001</v>
      </c>
      <c r="J56" s="529">
        <f>((I56/H56) -     1)*100</f>
        <v>-3.149015932521082</v>
      </c>
    </row>
    <row r="57" spans="1:10" ht="9.9" customHeight="1" x14ac:dyDescent="0.3">
      <c r="A57" s="514" t="s">
        <v>39</v>
      </c>
      <c r="B57" s="520">
        <f>AVERAGE(B58:B60)</f>
        <v>1200</v>
      </c>
      <c r="C57" s="520">
        <f>AVERAGE(C58:C60)</f>
        <v>1266.6666666666667</v>
      </c>
      <c r="D57" s="333">
        <f t="shared" ref="D57:D59" si="17">((C57/B57 -1)*100)</f>
        <v>5.555555555555558</v>
      </c>
      <c r="E57" s="520">
        <f>AVERAGE(E58:E60)</f>
        <v>513.29999999999995</v>
      </c>
      <c r="F57" s="520">
        <f>AVERAGE(F58:F60)</f>
        <v>492</v>
      </c>
      <c r="G57" s="525">
        <f>((F57/E57 -1)*100)</f>
        <v>-4.1496201052016239</v>
      </c>
      <c r="H57" s="489" t="s">
        <v>453</v>
      </c>
      <c r="I57" s="520">
        <f>AVERAGE(I58:I60)</f>
        <v>600</v>
      </c>
      <c r="J57" s="325" t="s">
        <v>396</v>
      </c>
    </row>
    <row r="58" spans="1:10" ht="9.9" customHeight="1" x14ac:dyDescent="0.3">
      <c r="A58" s="528" t="s">
        <v>401</v>
      </c>
      <c r="B58" s="477" t="s">
        <v>453</v>
      </c>
      <c r="C58" s="530">
        <v>1600</v>
      </c>
      <c r="D58" s="329" t="s">
        <v>396</v>
      </c>
      <c r="E58" s="477" t="s">
        <v>395</v>
      </c>
      <c r="F58" s="477" t="s">
        <v>453</v>
      </c>
      <c r="G58" s="1" t="s">
        <v>396</v>
      </c>
      <c r="H58" s="477" t="s">
        <v>453</v>
      </c>
      <c r="I58" s="398" t="s">
        <v>410</v>
      </c>
      <c r="J58" s="1" t="s">
        <v>396</v>
      </c>
    </row>
    <row r="59" spans="1:10" ht="9.9" customHeight="1" x14ac:dyDescent="0.3">
      <c r="A59" s="515" t="s">
        <v>41</v>
      </c>
      <c r="B59" s="530">
        <v>1200</v>
      </c>
      <c r="C59" s="530">
        <v>1200</v>
      </c>
      <c r="D59" s="329">
        <f t="shared" si="17"/>
        <v>0</v>
      </c>
      <c r="E59" s="475">
        <v>460</v>
      </c>
      <c r="F59" s="475">
        <v>440</v>
      </c>
      <c r="G59" s="526">
        <f>((F59/E59 -1)*100)</f>
        <v>-4.3478260869565188</v>
      </c>
      <c r="H59" s="477" t="s">
        <v>453</v>
      </c>
      <c r="I59" s="398" t="s">
        <v>410</v>
      </c>
      <c r="J59" s="1" t="s">
        <v>396</v>
      </c>
    </row>
    <row r="60" spans="1:10" ht="9.9" customHeight="1" x14ac:dyDescent="0.3">
      <c r="A60" s="515" t="s">
        <v>40</v>
      </c>
      <c r="B60" s="477" t="s">
        <v>453</v>
      </c>
      <c r="C60" s="530">
        <v>1000</v>
      </c>
      <c r="D60" s="329" t="s">
        <v>396</v>
      </c>
      <c r="E60" s="475">
        <v>566.6</v>
      </c>
      <c r="F60" s="475">
        <v>544</v>
      </c>
      <c r="G60" s="526">
        <f>((F60/E60 -1)*100)</f>
        <v>-3.988704553476885</v>
      </c>
      <c r="H60" s="477" t="s">
        <v>453</v>
      </c>
      <c r="I60" s="396">
        <v>600</v>
      </c>
      <c r="J60" s="1" t="s">
        <v>396</v>
      </c>
    </row>
    <row r="61" spans="1:10" ht="9.9" customHeight="1" x14ac:dyDescent="0.3">
      <c r="A61" s="410" t="s">
        <v>196</v>
      </c>
      <c r="B61" s="489" t="s">
        <v>453</v>
      </c>
      <c r="C61" s="323">
        <f>AVERAGE(C62:C65)</f>
        <v>1232.5</v>
      </c>
      <c r="D61" s="333" t="s">
        <v>396</v>
      </c>
      <c r="E61" s="360" t="s">
        <v>410</v>
      </c>
      <c r="F61" s="323">
        <f>AVERAGE(F62:F65)</f>
        <v>1070</v>
      </c>
      <c r="G61" s="325" t="s">
        <v>396</v>
      </c>
      <c r="H61" s="489" t="s">
        <v>453</v>
      </c>
      <c r="I61" s="323">
        <f>AVERAGE(I62:I65)</f>
        <v>1270</v>
      </c>
      <c r="J61" s="334" t="s">
        <v>396</v>
      </c>
    </row>
    <row r="62" spans="1:10" ht="9.9" customHeight="1" x14ac:dyDescent="0.3">
      <c r="A62" s="326" t="s">
        <v>198</v>
      </c>
      <c r="B62" s="477" t="s">
        <v>453</v>
      </c>
      <c r="C62" s="328">
        <v>1200</v>
      </c>
      <c r="D62" s="329" t="s">
        <v>396</v>
      </c>
      <c r="E62" s="359" t="s">
        <v>410</v>
      </c>
      <c r="F62" s="397" t="s">
        <v>453</v>
      </c>
      <c r="G62" s="1" t="s">
        <v>396</v>
      </c>
      <c r="H62" s="477" t="s">
        <v>453</v>
      </c>
      <c r="I62" s="398" t="s">
        <v>410</v>
      </c>
      <c r="J62" s="332" t="s">
        <v>396</v>
      </c>
    </row>
    <row r="63" spans="1:10" ht="9.9" customHeight="1" x14ac:dyDescent="0.3">
      <c r="A63" s="326" t="s">
        <v>557</v>
      </c>
      <c r="B63" s="477" t="s">
        <v>453</v>
      </c>
      <c r="C63" s="328">
        <v>1000</v>
      </c>
      <c r="D63" s="329" t="s">
        <v>396</v>
      </c>
      <c r="E63" s="359" t="s">
        <v>410</v>
      </c>
      <c r="F63" s="475">
        <v>800</v>
      </c>
      <c r="G63" s="1" t="s">
        <v>396</v>
      </c>
      <c r="H63" s="477" t="s">
        <v>453</v>
      </c>
      <c r="I63" s="396">
        <v>1200</v>
      </c>
      <c r="J63" s="332" t="s">
        <v>396</v>
      </c>
    </row>
    <row r="64" spans="1:10" ht="9.9" customHeight="1" x14ac:dyDescent="0.3">
      <c r="A64" s="326" t="s">
        <v>65</v>
      </c>
      <c r="B64" s="477" t="s">
        <v>453</v>
      </c>
      <c r="C64" s="328">
        <v>1370</v>
      </c>
      <c r="D64" s="329" t="s">
        <v>396</v>
      </c>
      <c r="E64" s="359" t="s">
        <v>410</v>
      </c>
      <c r="F64" s="660">
        <v>1340</v>
      </c>
      <c r="G64" s="1" t="s">
        <v>396</v>
      </c>
      <c r="H64" s="477" t="s">
        <v>453</v>
      </c>
      <c r="I64" s="396">
        <v>1490</v>
      </c>
      <c r="J64" s="332" t="s">
        <v>396</v>
      </c>
    </row>
    <row r="65" spans="1:10" ht="9.9" customHeight="1" x14ac:dyDescent="0.3">
      <c r="A65" s="326" t="s">
        <v>199</v>
      </c>
      <c r="B65" s="477" t="s">
        <v>453</v>
      </c>
      <c r="C65" s="328">
        <v>1360</v>
      </c>
      <c r="D65" s="329" t="s">
        <v>396</v>
      </c>
      <c r="E65" s="359" t="s">
        <v>410</v>
      </c>
      <c r="F65" s="397" t="s">
        <v>453</v>
      </c>
      <c r="G65" s="1" t="s">
        <v>396</v>
      </c>
      <c r="H65" s="477" t="s">
        <v>453</v>
      </c>
      <c r="I65" s="396">
        <v>1120</v>
      </c>
      <c r="J65" s="332" t="s">
        <v>396</v>
      </c>
    </row>
    <row r="66" spans="1:10" ht="9.9" customHeight="1" x14ac:dyDescent="0.3">
      <c r="A66" s="322" t="s">
        <v>89</v>
      </c>
      <c r="B66" s="489" t="s">
        <v>453</v>
      </c>
      <c r="C66" s="323">
        <f>AVERAGE(C68:C68)</f>
        <v>1033.4000000000001</v>
      </c>
      <c r="D66" s="334" t="s">
        <v>396</v>
      </c>
      <c r="E66" s="359" t="s">
        <v>410</v>
      </c>
      <c r="F66" s="402" t="s">
        <v>453</v>
      </c>
      <c r="G66" s="337" t="s">
        <v>396</v>
      </c>
      <c r="H66" s="489" t="s">
        <v>453</v>
      </c>
      <c r="I66" s="323">
        <f>AVERAGE(I67:I68)</f>
        <v>600</v>
      </c>
      <c r="J66" s="337" t="s">
        <v>396</v>
      </c>
    </row>
    <row r="67" spans="1:10" ht="9.9" customHeight="1" x14ac:dyDescent="0.3">
      <c r="A67" s="326" t="s">
        <v>559</v>
      </c>
      <c r="B67" s="477" t="s">
        <v>453</v>
      </c>
      <c r="C67" s="328">
        <v>1100</v>
      </c>
      <c r="D67" s="332" t="s">
        <v>396</v>
      </c>
      <c r="E67" s="359" t="s">
        <v>410</v>
      </c>
      <c r="F67" s="397" t="s">
        <v>453</v>
      </c>
      <c r="G67" s="336" t="s">
        <v>396</v>
      </c>
      <c r="H67" s="477" t="s">
        <v>453</v>
      </c>
      <c r="I67" s="396">
        <v>600</v>
      </c>
      <c r="J67" s="336" t="s">
        <v>396</v>
      </c>
    </row>
    <row r="68" spans="1:10" ht="9.9" customHeight="1" x14ac:dyDescent="0.3">
      <c r="A68" s="326" t="s">
        <v>90</v>
      </c>
      <c r="B68" s="477" t="s">
        <v>453</v>
      </c>
      <c r="C68" s="328">
        <v>1033.4000000000001</v>
      </c>
      <c r="D68" s="332" t="s">
        <v>396</v>
      </c>
      <c r="E68" s="359" t="s">
        <v>410</v>
      </c>
      <c r="F68" s="397" t="s">
        <v>453</v>
      </c>
      <c r="G68" s="336" t="s">
        <v>396</v>
      </c>
      <c r="H68" s="477" t="s">
        <v>453</v>
      </c>
      <c r="I68" s="398" t="s">
        <v>410</v>
      </c>
      <c r="J68" s="1" t="s">
        <v>396</v>
      </c>
    </row>
    <row r="69" spans="1:10" ht="9.9" customHeight="1" x14ac:dyDescent="0.3">
      <c r="A69" s="514" t="s">
        <v>71</v>
      </c>
      <c r="B69" s="520">
        <f>AVERAGE(B70:B71)</f>
        <v>1300</v>
      </c>
      <c r="C69" s="520">
        <f>AVERAGE(C70:C71)</f>
        <v>1300</v>
      </c>
      <c r="D69" s="333">
        <f t="shared" ref="D69" si="18">((C69/B69 -1)*100)</f>
        <v>0</v>
      </c>
      <c r="E69" s="360" t="s">
        <v>410</v>
      </c>
      <c r="F69" s="489" t="s">
        <v>453</v>
      </c>
      <c r="G69" s="337" t="s">
        <v>396</v>
      </c>
      <c r="H69" s="489" t="s">
        <v>453</v>
      </c>
      <c r="I69" s="406" t="s">
        <v>410</v>
      </c>
      <c r="J69" s="325" t="s">
        <v>396</v>
      </c>
    </row>
    <row r="70" spans="1:10" ht="9.9" customHeight="1" x14ac:dyDescent="0.3">
      <c r="A70" s="515" t="s">
        <v>452</v>
      </c>
      <c r="B70" s="480">
        <v>1200</v>
      </c>
      <c r="C70" s="328">
        <v>1200</v>
      </c>
      <c r="D70" s="516">
        <f t="shared" ref="D70:D71" si="19">((C70/B70 -1)*100)</f>
        <v>0</v>
      </c>
      <c r="E70" s="359" t="s">
        <v>410</v>
      </c>
      <c r="F70" s="477" t="s">
        <v>453</v>
      </c>
      <c r="G70" s="351" t="s">
        <v>396</v>
      </c>
      <c r="H70" s="477" t="s">
        <v>453</v>
      </c>
      <c r="I70" s="398" t="s">
        <v>410</v>
      </c>
      <c r="J70" s="1" t="s">
        <v>396</v>
      </c>
    </row>
    <row r="71" spans="1:10" ht="9.9" customHeight="1" x14ac:dyDescent="0.3">
      <c r="A71" s="484" t="s">
        <v>73</v>
      </c>
      <c r="B71" s="531">
        <v>1400</v>
      </c>
      <c r="C71" s="531">
        <v>1400</v>
      </c>
      <c r="D71" s="516">
        <f t="shared" si="19"/>
        <v>0</v>
      </c>
      <c r="E71" s="359" t="s">
        <v>410</v>
      </c>
      <c r="F71" s="477" t="s">
        <v>453</v>
      </c>
      <c r="G71" s="533" t="s">
        <v>396</v>
      </c>
      <c r="H71" s="532" t="s">
        <v>453</v>
      </c>
      <c r="I71" s="545" t="s">
        <v>410</v>
      </c>
      <c r="J71" s="533" t="s">
        <v>396</v>
      </c>
    </row>
    <row r="72" spans="1:10" ht="9" customHeight="1" x14ac:dyDescent="0.3">
      <c r="A72" s="534" t="s">
        <v>87</v>
      </c>
      <c r="B72" s="490"/>
      <c r="D72" s="4"/>
      <c r="E72" s="4"/>
      <c r="F72" s="4"/>
    </row>
    <row r="73" spans="1:10" ht="9" customHeight="1" x14ac:dyDescent="0.3">
      <c r="A73" s="535" t="s">
        <v>504</v>
      </c>
      <c r="B73" s="338"/>
    </row>
    <row r="74" spans="1:10" ht="9" customHeight="1" x14ac:dyDescent="0.3">
      <c r="A74" s="535" t="s">
        <v>68</v>
      </c>
      <c r="B74" s="338"/>
    </row>
    <row r="75" spans="1:10" ht="12.75" customHeight="1" x14ac:dyDescent="0.3"/>
    <row r="76" spans="1:10" ht="12.75" customHeight="1" x14ac:dyDescent="0.3"/>
    <row r="77" spans="1:10" ht="12.75" customHeight="1" x14ac:dyDescent="0.3"/>
    <row r="78" spans="1:10" ht="12.75" customHeight="1" x14ac:dyDescent="0.3"/>
    <row r="79" spans="1:10" ht="12.75" customHeight="1" x14ac:dyDescent="0.3"/>
    <row r="80" spans="1:1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</sheetData>
  <mergeCells count="4">
    <mergeCell ref="A5:A6"/>
    <mergeCell ref="B5:D5"/>
    <mergeCell ref="E5:G5"/>
    <mergeCell ref="H5:J5"/>
  </mergeCells>
  <pageMargins left="0.27559055118110237" right="0.27559055118110237" top="0.39370078740157483" bottom="0.39370078740157483" header="0" footer="0"/>
  <pageSetup paperSize="9" orientation="portrait" r:id="rId1"/>
  <ignoredErrors>
    <ignoredError sqref="D23:G32 D46:J5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3"/>
  <dimension ref="A1:F741"/>
  <sheetViews>
    <sheetView showGridLines="0" zoomScaleNormal="100" workbookViewId="0">
      <selection activeCell="A5" sqref="A5"/>
    </sheetView>
  </sheetViews>
  <sheetFormatPr baseColWidth="10" defaultColWidth="12.5546875" defaultRowHeight="15" customHeight="1" x14ac:dyDescent="0.3"/>
  <cols>
    <col min="1" max="1" width="16.88671875" style="2" customWidth="1"/>
    <col min="2" max="5" width="12.6640625" style="2" customWidth="1"/>
    <col min="6" max="6" width="2.109375" style="2" customWidth="1"/>
    <col min="7" max="7" width="16.109375" style="2" customWidth="1"/>
    <col min="8" max="8" width="8.44140625" style="2" customWidth="1"/>
    <col min="9" max="9" width="9.44140625" style="2" customWidth="1"/>
    <col min="10" max="10" width="8.88671875" style="2" customWidth="1"/>
    <col min="11" max="11" width="7.5546875" style="2" customWidth="1"/>
    <col min="12" max="23" width="12.6640625" style="2" customWidth="1"/>
    <col min="24" max="16384" width="12.5546875" style="2"/>
  </cols>
  <sheetData>
    <row r="1" spans="1:6" ht="18" customHeight="1" x14ac:dyDescent="0.3">
      <c r="A1" s="383" t="s">
        <v>604</v>
      </c>
    </row>
    <row r="2" spans="1:6" ht="12" customHeight="1" x14ac:dyDescent="0.3">
      <c r="A2" s="666" t="s">
        <v>605</v>
      </c>
    </row>
    <row r="3" spans="1:6" ht="12" customHeight="1" x14ac:dyDescent="0.3">
      <c r="A3" s="619" t="s">
        <v>598</v>
      </c>
    </row>
    <row r="4" spans="1:6" ht="5.0999999999999996" customHeight="1" x14ac:dyDescent="0.3">
      <c r="A4" s="619"/>
    </row>
    <row r="5" spans="1:6" ht="24" customHeight="1" x14ac:dyDescent="0.3">
      <c r="A5" s="414" t="s">
        <v>597</v>
      </c>
      <c r="B5" s="414" t="s">
        <v>599</v>
      </c>
      <c r="C5" s="414" t="s">
        <v>603</v>
      </c>
      <c r="D5" s="414" t="s">
        <v>601</v>
      </c>
      <c r="E5" s="414" t="s">
        <v>606</v>
      </c>
    </row>
    <row r="6" spans="1:6" ht="3.75" customHeight="1" x14ac:dyDescent="0.3">
      <c r="A6" s="661"/>
      <c r="B6" s="661"/>
      <c r="C6" s="661"/>
      <c r="D6" s="661"/>
      <c r="E6" s="661"/>
      <c r="F6" s="662"/>
    </row>
    <row r="7" spans="1:6" ht="12" customHeight="1" x14ac:dyDescent="0.3">
      <c r="A7" s="417" t="s">
        <v>473</v>
      </c>
      <c r="B7" s="418">
        <f>AVERAGE(B8:B9)</f>
        <v>65</v>
      </c>
      <c r="C7" s="418">
        <f>AVERAGE(C8:C9)</f>
        <v>66.25</v>
      </c>
      <c r="D7" s="418">
        <f>AVERAGE(D8:D9)</f>
        <v>113.5</v>
      </c>
      <c r="E7" s="418" t="s">
        <v>4</v>
      </c>
    </row>
    <row r="8" spans="1:6" ht="12" customHeight="1" x14ac:dyDescent="0.3">
      <c r="A8" s="419" t="s">
        <v>484</v>
      </c>
      <c r="B8" s="420">
        <v>65</v>
      </c>
      <c r="C8" s="420">
        <v>70</v>
      </c>
      <c r="D8" s="420">
        <v>127.5</v>
      </c>
      <c r="E8" s="420" t="s">
        <v>410</v>
      </c>
    </row>
    <row r="9" spans="1:6" ht="12" customHeight="1" x14ac:dyDescent="0.3">
      <c r="A9" s="419" t="s">
        <v>476</v>
      </c>
      <c r="B9" s="420" t="s">
        <v>410</v>
      </c>
      <c r="C9" s="420">
        <v>62.5</v>
      </c>
      <c r="D9" s="420">
        <v>99.5</v>
      </c>
      <c r="E9" s="420" t="s">
        <v>410</v>
      </c>
    </row>
    <row r="10" spans="1:6" ht="12" customHeight="1" x14ac:dyDescent="0.3">
      <c r="A10" s="417" t="s">
        <v>426</v>
      </c>
      <c r="B10" s="418">
        <f>AVERAGE(B11:B17)</f>
        <v>57.08428571428572</v>
      </c>
      <c r="C10" s="418" t="s">
        <v>4</v>
      </c>
      <c r="D10" s="418" t="s">
        <v>4</v>
      </c>
      <c r="E10" s="418" t="s">
        <v>4</v>
      </c>
    </row>
    <row r="11" spans="1:6" ht="12" customHeight="1" x14ac:dyDescent="0.3">
      <c r="A11" s="419" t="s">
        <v>427</v>
      </c>
      <c r="B11" s="420">
        <v>45</v>
      </c>
      <c r="C11" s="420" t="s">
        <v>410</v>
      </c>
      <c r="D11" s="420" t="s">
        <v>410</v>
      </c>
      <c r="E11" s="420" t="s">
        <v>410</v>
      </c>
    </row>
    <row r="12" spans="1:6" ht="12" customHeight="1" x14ac:dyDescent="0.3">
      <c r="A12" s="419" t="s">
        <v>588</v>
      </c>
      <c r="B12" s="420">
        <v>46.25</v>
      </c>
      <c r="C12" s="420" t="s">
        <v>410</v>
      </c>
      <c r="D12" s="420" t="s">
        <v>410</v>
      </c>
      <c r="E12" s="420" t="s">
        <v>410</v>
      </c>
    </row>
    <row r="13" spans="1:6" ht="12" customHeight="1" x14ac:dyDescent="0.3">
      <c r="A13" s="419" t="s">
        <v>428</v>
      </c>
      <c r="B13" s="420">
        <v>56.67</v>
      </c>
      <c r="C13" s="420" t="s">
        <v>410</v>
      </c>
      <c r="D13" s="420" t="s">
        <v>410</v>
      </c>
      <c r="E13" s="420" t="s">
        <v>410</v>
      </c>
    </row>
    <row r="14" spans="1:6" ht="12" customHeight="1" x14ac:dyDescent="0.3">
      <c r="A14" s="419" t="s">
        <v>507</v>
      </c>
      <c r="B14" s="420">
        <v>60</v>
      </c>
      <c r="C14" s="420" t="s">
        <v>410</v>
      </c>
      <c r="D14" s="420" t="s">
        <v>410</v>
      </c>
      <c r="E14" s="420" t="s">
        <v>410</v>
      </c>
    </row>
    <row r="15" spans="1:6" ht="12" customHeight="1" x14ac:dyDescent="0.3">
      <c r="A15" s="419" t="s">
        <v>429</v>
      </c>
      <c r="B15" s="420">
        <v>60</v>
      </c>
      <c r="C15" s="420" t="s">
        <v>410</v>
      </c>
      <c r="D15" s="420" t="s">
        <v>410</v>
      </c>
      <c r="E15" s="420" t="s">
        <v>410</v>
      </c>
    </row>
    <row r="16" spans="1:6" ht="12" customHeight="1" x14ac:dyDescent="0.3">
      <c r="A16" s="419" t="s">
        <v>585</v>
      </c>
      <c r="B16" s="420">
        <v>75</v>
      </c>
      <c r="C16" s="420" t="s">
        <v>410</v>
      </c>
      <c r="D16" s="420" t="s">
        <v>410</v>
      </c>
      <c r="E16" s="420" t="s">
        <v>410</v>
      </c>
    </row>
    <row r="17" spans="1:5" ht="12" customHeight="1" x14ac:dyDescent="0.3">
      <c r="A17" s="419" t="s">
        <v>449</v>
      </c>
      <c r="B17" s="420">
        <v>56.67</v>
      </c>
      <c r="C17" s="420" t="s">
        <v>410</v>
      </c>
      <c r="D17" s="420" t="s">
        <v>410</v>
      </c>
      <c r="E17" s="420" t="s">
        <v>410</v>
      </c>
    </row>
    <row r="18" spans="1:5" ht="12" customHeight="1" x14ac:dyDescent="0.3">
      <c r="A18" s="417" t="s">
        <v>77</v>
      </c>
      <c r="B18" s="418">
        <f t="shared" ref="B18:C18" si="0">AVERAGE(B19:B22)</f>
        <v>52.306666666666672</v>
      </c>
      <c r="C18" s="418">
        <f t="shared" si="0"/>
        <v>56.019999999999996</v>
      </c>
      <c r="D18" s="418" t="s">
        <v>4</v>
      </c>
      <c r="E18" s="418">
        <f>AVERAGE(E19:E22)</f>
        <v>46</v>
      </c>
    </row>
    <row r="19" spans="1:5" ht="12" customHeight="1" x14ac:dyDescent="0.3">
      <c r="A19" s="419" t="s">
        <v>153</v>
      </c>
      <c r="B19" s="421">
        <v>55.25</v>
      </c>
      <c r="C19" s="420">
        <v>60.58</v>
      </c>
      <c r="D19" s="420" t="s">
        <v>410</v>
      </c>
      <c r="E19" s="420">
        <v>45</v>
      </c>
    </row>
    <row r="20" spans="1:5" ht="12" customHeight="1" x14ac:dyDescent="0.3">
      <c r="A20" s="419" t="s">
        <v>589</v>
      </c>
      <c r="B20" s="421">
        <v>60</v>
      </c>
      <c r="C20" s="420">
        <v>61</v>
      </c>
      <c r="D20" s="420" t="s">
        <v>410</v>
      </c>
      <c r="E20" s="420">
        <v>47</v>
      </c>
    </row>
    <row r="21" spans="1:5" ht="12" customHeight="1" x14ac:dyDescent="0.3">
      <c r="A21" s="419" t="s">
        <v>156</v>
      </c>
      <c r="B21" s="420" t="s">
        <v>410</v>
      </c>
      <c r="C21" s="420">
        <v>61</v>
      </c>
      <c r="D21" s="420" t="s">
        <v>410</v>
      </c>
      <c r="E21" s="420" t="s">
        <v>410</v>
      </c>
    </row>
    <row r="22" spans="1:5" ht="12" customHeight="1" x14ac:dyDescent="0.3">
      <c r="A22" s="419" t="s">
        <v>159</v>
      </c>
      <c r="B22" s="421">
        <v>41.67</v>
      </c>
      <c r="C22" s="420">
        <v>41.5</v>
      </c>
      <c r="D22" s="420" t="s">
        <v>410</v>
      </c>
      <c r="E22" s="420" t="s">
        <v>410</v>
      </c>
    </row>
    <row r="23" spans="1:5" ht="12" customHeight="1" x14ac:dyDescent="0.3">
      <c r="A23" s="417" t="s">
        <v>2</v>
      </c>
      <c r="B23" s="418">
        <f>AVERAGE(B24:B30)</f>
        <v>57.9</v>
      </c>
      <c r="C23" s="418">
        <f>AVERAGE(C24:C30)</f>
        <v>52.791666666666664</v>
      </c>
      <c r="D23" s="418">
        <f>AVERAGE(D24:D30)</f>
        <v>101.69333333333333</v>
      </c>
      <c r="E23" s="418" t="s">
        <v>4</v>
      </c>
    </row>
    <row r="24" spans="1:5" ht="12" customHeight="1" x14ac:dyDescent="0.3">
      <c r="A24" s="422" t="s">
        <v>5</v>
      </c>
      <c r="B24" s="420">
        <v>55</v>
      </c>
      <c r="C24" s="420">
        <v>55</v>
      </c>
      <c r="D24" s="420" t="s">
        <v>410</v>
      </c>
      <c r="E24" s="420" t="s">
        <v>410</v>
      </c>
    </row>
    <row r="25" spans="1:5" ht="12" customHeight="1" x14ac:dyDescent="0.3">
      <c r="A25" s="422" t="s">
        <v>78</v>
      </c>
      <c r="B25" s="420">
        <v>47.5</v>
      </c>
      <c r="C25" s="420">
        <v>45</v>
      </c>
      <c r="D25" s="420">
        <v>104.75</v>
      </c>
      <c r="E25" s="420" t="s">
        <v>410</v>
      </c>
    </row>
    <row r="26" spans="1:5" ht="12" customHeight="1" x14ac:dyDescent="0.3">
      <c r="A26" s="422" t="s">
        <v>405</v>
      </c>
      <c r="B26" s="420" t="s">
        <v>410</v>
      </c>
      <c r="C26" s="420">
        <v>54</v>
      </c>
      <c r="D26" s="420">
        <v>108</v>
      </c>
      <c r="E26" s="420" t="s">
        <v>410</v>
      </c>
    </row>
    <row r="27" spans="1:5" ht="12" customHeight="1" x14ac:dyDescent="0.3">
      <c r="A27" s="422" t="s">
        <v>85</v>
      </c>
      <c r="B27" s="420">
        <v>47</v>
      </c>
      <c r="C27" s="420">
        <v>52.75</v>
      </c>
      <c r="D27" s="420" t="s">
        <v>410</v>
      </c>
      <c r="E27" s="420" t="s">
        <v>410</v>
      </c>
    </row>
    <row r="28" spans="1:5" ht="12" customHeight="1" x14ac:dyDescent="0.3">
      <c r="A28" s="422" t="s">
        <v>61</v>
      </c>
      <c r="B28" s="420">
        <v>65</v>
      </c>
      <c r="C28" s="420">
        <v>65</v>
      </c>
      <c r="D28" s="420">
        <v>92.33</v>
      </c>
      <c r="E28" s="420" t="s">
        <v>410</v>
      </c>
    </row>
    <row r="29" spans="1:5" ht="12" customHeight="1" x14ac:dyDescent="0.3">
      <c r="A29" s="422" t="s">
        <v>550</v>
      </c>
      <c r="B29" s="420">
        <v>75</v>
      </c>
      <c r="C29" s="420" t="s">
        <v>410</v>
      </c>
      <c r="D29" s="420"/>
      <c r="E29" s="420"/>
    </row>
    <row r="30" spans="1:5" ht="12" customHeight="1" x14ac:dyDescent="0.3">
      <c r="A30" s="422" t="s">
        <v>188</v>
      </c>
      <c r="B30" s="420" t="s">
        <v>410</v>
      </c>
      <c r="C30" s="420">
        <v>45</v>
      </c>
      <c r="D30" s="420" t="s">
        <v>410</v>
      </c>
      <c r="E30" s="420" t="s">
        <v>410</v>
      </c>
    </row>
    <row r="31" spans="1:5" ht="12" customHeight="1" x14ac:dyDescent="0.3">
      <c r="A31" s="423" t="s">
        <v>6</v>
      </c>
      <c r="B31" s="418">
        <f>AVERAGE(B32:B36)</f>
        <v>75.056666666666672</v>
      </c>
      <c r="C31" s="418">
        <f>AVERAGE(C32:C36)</f>
        <v>71.167500000000004</v>
      </c>
      <c r="D31" s="418" t="s">
        <v>4</v>
      </c>
      <c r="E31" s="418" t="s">
        <v>4</v>
      </c>
    </row>
    <row r="32" spans="1:5" ht="12" customHeight="1" x14ac:dyDescent="0.3">
      <c r="A32" s="422" t="s">
        <v>8</v>
      </c>
      <c r="B32" s="420" t="s">
        <v>410</v>
      </c>
      <c r="C32" s="420">
        <v>70.67</v>
      </c>
      <c r="D32" s="420" t="s">
        <v>410</v>
      </c>
      <c r="E32" s="420" t="s">
        <v>410</v>
      </c>
    </row>
    <row r="33" spans="1:5" ht="12" customHeight="1" x14ac:dyDescent="0.3">
      <c r="A33" s="422" t="s">
        <v>9</v>
      </c>
      <c r="B33" s="420">
        <v>57.67</v>
      </c>
      <c r="C33" s="420">
        <v>54</v>
      </c>
      <c r="D33" s="420" t="s">
        <v>410</v>
      </c>
      <c r="E33" s="420" t="s">
        <v>410</v>
      </c>
    </row>
    <row r="34" spans="1:5" ht="12" customHeight="1" x14ac:dyDescent="0.3">
      <c r="A34" s="422" t="s">
        <v>10</v>
      </c>
      <c r="B34" s="420" t="s">
        <v>410</v>
      </c>
      <c r="C34" s="420">
        <v>70</v>
      </c>
      <c r="D34" s="420" t="s">
        <v>410</v>
      </c>
      <c r="E34" s="420" t="s">
        <v>410</v>
      </c>
    </row>
    <row r="35" spans="1:5" ht="12" customHeight="1" x14ac:dyDescent="0.3">
      <c r="A35" s="422" t="s">
        <v>11</v>
      </c>
      <c r="B35" s="420">
        <v>82.5</v>
      </c>
      <c r="C35" s="420">
        <v>90</v>
      </c>
      <c r="D35" s="420" t="s">
        <v>410</v>
      </c>
      <c r="E35" s="420" t="s">
        <v>410</v>
      </c>
    </row>
    <row r="36" spans="1:5" ht="12" customHeight="1" x14ac:dyDescent="0.3">
      <c r="A36" s="422" t="s">
        <v>13</v>
      </c>
      <c r="B36" s="420">
        <v>85</v>
      </c>
      <c r="C36" s="420" t="s">
        <v>410</v>
      </c>
      <c r="D36" s="420" t="s">
        <v>410</v>
      </c>
      <c r="E36" s="420" t="s">
        <v>410</v>
      </c>
    </row>
    <row r="37" spans="1:5" ht="12" customHeight="1" x14ac:dyDescent="0.3">
      <c r="A37" s="423" t="s">
        <v>15</v>
      </c>
      <c r="B37" s="418" t="s">
        <v>410</v>
      </c>
      <c r="C37" s="418">
        <f>AVERAGE(C38:C38)</f>
        <v>81</v>
      </c>
      <c r="D37" s="418" t="s">
        <v>410</v>
      </c>
      <c r="E37" s="418" t="s">
        <v>4</v>
      </c>
    </row>
    <row r="38" spans="1:5" ht="12" customHeight="1" x14ac:dyDescent="0.3">
      <c r="A38" s="422" t="s">
        <v>69</v>
      </c>
      <c r="B38" s="420" t="s">
        <v>410</v>
      </c>
      <c r="C38" s="420">
        <v>81</v>
      </c>
      <c r="D38" s="420" t="s">
        <v>410</v>
      </c>
      <c r="E38" s="420" t="s">
        <v>410</v>
      </c>
    </row>
    <row r="39" spans="1:5" ht="12" customHeight="1" x14ac:dyDescent="0.3">
      <c r="A39" s="423" t="s">
        <v>16</v>
      </c>
      <c r="B39" s="418">
        <f t="shared" ref="B39:C39" si="1">AVERAGE(B40:B42)</f>
        <v>65</v>
      </c>
      <c r="C39" s="418">
        <f t="shared" si="1"/>
        <v>52.5</v>
      </c>
      <c r="D39" s="418" t="s">
        <v>4</v>
      </c>
      <c r="E39" s="418" t="s">
        <v>4</v>
      </c>
    </row>
    <row r="40" spans="1:5" ht="12" customHeight="1" x14ac:dyDescent="0.3">
      <c r="A40" s="422" t="s">
        <v>472</v>
      </c>
      <c r="B40" s="420" t="s">
        <v>410</v>
      </c>
      <c r="C40" s="420">
        <v>45.5</v>
      </c>
      <c r="D40" s="420" t="s">
        <v>410</v>
      </c>
      <c r="E40" s="420" t="s">
        <v>410</v>
      </c>
    </row>
    <row r="41" spans="1:5" ht="12" customHeight="1" x14ac:dyDescent="0.3">
      <c r="A41" s="422" t="s">
        <v>494</v>
      </c>
      <c r="B41" s="420">
        <v>65</v>
      </c>
      <c r="C41" s="420">
        <v>65</v>
      </c>
      <c r="D41" s="420" t="s">
        <v>410</v>
      </c>
      <c r="E41" s="420" t="s">
        <v>410</v>
      </c>
    </row>
    <row r="42" spans="1:5" ht="12" customHeight="1" x14ac:dyDescent="0.3">
      <c r="A42" s="422" t="s">
        <v>479</v>
      </c>
      <c r="B42" s="420" t="s">
        <v>410</v>
      </c>
      <c r="C42" s="420">
        <v>47</v>
      </c>
      <c r="D42" s="420" t="s">
        <v>410</v>
      </c>
      <c r="E42" s="420" t="s">
        <v>410</v>
      </c>
    </row>
    <row r="43" spans="1:5" ht="12" customHeight="1" x14ac:dyDescent="0.3">
      <c r="A43" s="423" t="s">
        <v>18</v>
      </c>
      <c r="B43" s="418">
        <f>AVERAGE(B44:B48)</f>
        <v>58.792500000000004</v>
      </c>
      <c r="C43" s="418">
        <f>AVERAGE(C44:C48)</f>
        <v>66.75</v>
      </c>
      <c r="D43" s="418" t="s">
        <v>4</v>
      </c>
      <c r="E43" s="418">
        <f>AVERAGE(E44:E48)</f>
        <v>44.67</v>
      </c>
    </row>
    <row r="44" spans="1:5" ht="12" customHeight="1" x14ac:dyDescent="0.3">
      <c r="A44" s="422" t="s">
        <v>19</v>
      </c>
      <c r="B44" s="420">
        <v>60</v>
      </c>
      <c r="C44" s="420">
        <v>60</v>
      </c>
      <c r="D44" s="420" t="s">
        <v>410</v>
      </c>
      <c r="E44" s="420" t="s">
        <v>410</v>
      </c>
    </row>
    <row r="45" spans="1:5" ht="12" customHeight="1" x14ac:dyDescent="0.3">
      <c r="A45" s="422" t="s">
        <v>20</v>
      </c>
      <c r="B45" s="420" t="s">
        <v>410</v>
      </c>
      <c r="C45" s="420">
        <v>72</v>
      </c>
      <c r="D45" s="420" t="s">
        <v>410</v>
      </c>
      <c r="E45" s="420" t="s">
        <v>410</v>
      </c>
    </row>
    <row r="46" spans="1:5" ht="12" customHeight="1" x14ac:dyDescent="0.3">
      <c r="A46" s="422" t="s">
        <v>21</v>
      </c>
      <c r="B46" s="420">
        <v>45.67</v>
      </c>
      <c r="C46" s="420" t="s">
        <v>410</v>
      </c>
      <c r="D46" s="420" t="s">
        <v>410</v>
      </c>
      <c r="E46" s="420">
        <v>44.67</v>
      </c>
    </row>
    <row r="47" spans="1:5" ht="12" customHeight="1" x14ac:dyDescent="0.3">
      <c r="A47" s="422" t="s">
        <v>22</v>
      </c>
      <c r="B47" s="420">
        <v>60</v>
      </c>
      <c r="C47" s="420">
        <v>65</v>
      </c>
      <c r="D47" s="420" t="s">
        <v>410</v>
      </c>
      <c r="E47" s="420" t="s">
        <v>410</v>
      </c>
    </row>
    <row r="48" spans="1:5" ht="12" customHeight="1" x14ac:dyDescent="0.3">
      <c r="A48" s="422" t="s">
        <v>430</v>
      </c>
      <c r="B48" s="420">
        <v>69.5</v>
      </c>
      <c r="C48" s="420">
        <v>70</v>
      </c>
      <c r="D48" s="420" t="s">
        <v>410</v>
      </c>
      <c r="E48" s="420" t="s">
        <v>410</v>
      </c>
    </row>
    <row r="49" spans="1:5" ht="12" customHeight="1" x14ac:dyDescent="0.3">
      <c r="A49" s="423" t="s">
        <v>25</v>
      </c>
      <c r="B49" s="418">
        <f>AVERAGE(B50:B54)</f>
        <v>54.6875</v>
      </c>
      <c r="C49" s="418">
        <f>AVERAGE(C50:C54)</f>
        <v>57.686</v>
      </c>
      <c r="D49" s="418">
        <f>AVERAGE(D50:D54)</f>
        <v>97.34</v>
      </c>
      <c r="E49" s="418">
        <f>AVERAGE(E50:E54)</f>
        <v>62.024999999999999</v>
      </c>
    </row>
    <row r="50" spans="1:5" ht="12" customHeight="1" x14ac:dyDescent="0.3">
      <c r="A50" s="422" t="s">
        <v>564</v>
      </c>
      <c r="B50" s="420">
        <v>52</v>
      </c>
      <c r="C50" s="420">
        <v>53</v>
      </c>
      <c r="D50" s="420">
        <v>87.5</v>
      </c>
      <c r="E50" s="420" t="s">
        <v>410</v>
      </c>
    </row>
    <row r="51" spans="1:5" ht="12" customHeight="1" x14ac:dyDescent="0.3">
      <c r="A51" s="422" t="s">
        <v>53</v>
      </c>
      <c r="B51" s="420">
        <v>60.75</v>
      </c>
      <c r="C51" s="420">
        <v>60.6</v>
      </c>
      <c r="D51" s="420">
        <v>95.7</v>
      </c>
      <c r="E51" s="420">
        <v>69.05</v>
      </c>
    </row>
    <row r="52" spans="1:5" ht="12" customHeight="1" x14ac:dyDescent="0.3">
      <c r="A52" s="422" t="s">
        <v>565</v>
      </c>
      <c r="B52" s="420">
        <v>54</v>
      </c>
      <c r="C52" s="420">
        <v>58.5</v>
      </c>
      <c r="D52" s="420">
        <v>98.5</v>
      </c>
      <c r="E52" s="420" t="s">
        <v>410</v>
      </c>
    </row>
    <row r="53" spans="1:5" ht="12" customHeight="1" x14ac:dyDescent="0.3">
      <c r="A53" s="611" t="s">
        <v>58</v>
      </c>
      <c r="B53" s="421" t="s">
        <v>410</v>
      </c>
      <c r="C53" s="421">
        <v>65</v>
      </c>
      <c r="D53" s="421">
        <v>115</v>
      </c>
      <c r="E53" s="421">
        <v>55</v>
      </c>
    </row>
    <row r="54" spans="1:5" ht="12" customHeight="1" x14ac:dyDescent="0.3">
      <c r="A54" s="422" t="s">
        <v>566</v>
      </c>
      <c r="B54" s="610">
        <v>52</v>
      </c>
      <c r="C54" s="420">
        <v>51.33</v>
      </c>
      <c r="D54" s="420">
        <v>90</v>
      </c>
      <c r="E54" s="420" t="s">
        <v>410</v>
      </c>
    </row>
    <row r="55" spans="1:5" ht="9" customHeight="1" x14ac:dyDescent="0.3">
      <c r="A55" s="424"/>
      <c r="B55" s="609"/>
      <c r="C55" s="426"/>
      <c r="D55" s="426"/>
      <c r="E55" s="426" t="s">
        <v>26</v>
      </c>
    </row>
    <row r="56" spans="1:5" ht="9" customHeight="1" x14ac:dyDescent="0.3">
      <c r="A56" s="663"/>
      <c r="B56" s="663"/>
      <c r="C56" s="663"/>
      <c r="D56" s="663"/>
      <c r="E56" s="663"/>
    </row>
    <row r="57" spans="1:5" ht="13.8" x14ac:dyDescent="0.3">
      <c r="A57" s="754" t="s">
        <v>511</v>
      </c>
    </row>
    <row r="58" spans="1:5" ht="7.5" customHeight="1" x14ac:dyDescent="0.3">
      <c r="A58" s="755"/>
    </row>
    <row r="59" spans="1:5" ht="24" customHeight="1" x14ac:dyDescent="0.3">
      <c r="A59" s="414" t="s">
        <v>597</v>
      </c>
      <c r="B59" s="414" t="s">
        <v>599</v>
      </c>
      <c r="C59" s="414" t="s">
        <v>600</v>
      </c>
      <c r="D59" s="414" t="s">
        <v>601</v>
      </c>
      <c r="E59" s="414" t="s">
        <v>602</v>
      </c>
    </row>
    <row r="60" spans="1:5" ht="4.5" customHeight="1" x14ac:dyDescent="0.3">
      <c r="A60" s="661"/>
      <c r="B60" s="661"/>
      <c r="C60" s="661"/>
      <c r="D60" s="661"/>
      <c r="E60" s="661"/>
    </row>
    <row r="61" spans="1:5" ht="12" customHeight="1" x14ac:dyDescent="0.3">
      <c r="A61" s="423" t="s">
        <v>86</v>
      </c>
      <c r="B61" s="418">
        <f>AVERAGE(B62:B73)</f>
        <v>53.967000000000006</v>
      </c>
      <c r="C61" s="418">
        <f>AVERAGE(C62:C73)</f>
        <v>55.166666666666664</v>
      </c>
      <c r="D61" s="418">
        <f>AVERAGE(D62:D73)</f>
        <v>91</v>
      </c>
      <c r="E61" s="418">
        <f>AVERAGE(E62:E73)</f>
        <v>51.67</v>
      </c>
    </row>
    <row r="62" spans="1:5" ht="12" customHeight="1" x14ac:dyDescent="0.3">
      <c r="A62" s="422" t="s">
        <v>28</v>
      </c>
      <c r="B62" s="420" t="s">
        <v>410</v>
      </c>
      <c r="C62" s="420">
        <v>55</v>
      </c>
      <c r="D62" s="420" t="s">
        <v>410</v>
      </c>
      <c r="E62" s="420" t="s">
        <v>410</v>
      </c>
    </row>
    <row r="63" spans="1:5" ht="12" customHeight="1" x14ac:dyDescent="0.3">
      <c r="A63" s="422" t="s">
        <v>447</v>
      </c>
      <c r="B63" s="420">
        <v>68</v>
      </c>
      <c r="C63" s="420">
        <v>71</v>
      </c>
      <c r="D63" s="420" t="s">
        <v>410</v>
      </c>
      <c r="E63" s="420" t="s">
        <v>410</v>
      </c>
    </row>
    <row r="64" spans="1:5" ht="12" customHeight="1" x14ac:dyDescent="0.3">
      <c r="A64" s="422" t="s">
        <v>29</v>
      </c>
      <c r="B64" s="420">
        <v>50</v>
      </c>
      <c r="C64" s="420">
        <v>50</v>
      </c>
      <c r="D64" s="420">
        <v>85</v>
      </c>
      <c r="E64" s="420" t="s">
        <v>410</v>
      </c>
    </row>
    <row r="65" spans="1:5" ht="12" customHeight="1" x14ac:dyDescent="0.3">
      <c r="A65" s="422" t="s">
        <v>30</v>
      </c>
      <c r="B65" s="420">
        <v>56.25</v>
      </c>
      <c r="C65" s="420">
        <v>56</v>
      </c>
      <c r="D65" s="420">
        <v>120</v>
      </c>
      <c r="E65" s="420" t="s">
        <v>410</v>
      </c>
    </row>
    <row r="66" spans="1:5" ht="12" customHeight="1" x14ac:dyDescent="0.3">
      <c r="A66" s="422" t="s">
        <v>64</v>
      </c>
      <c r="B66" s="420">
        <v>50</v>
      </c>
      <c r="C66" s="420">
        <v>60</v>
      </c>
      <c r="D66" s="420" t="s">
        <v>410</v>
      </c>
      <c r="E66" s="420" t="s">
        <v>410</v>
      </c>
    </row>
    <row r="67" spans="1:5" ht="12" customHeight="1" x14ac:dyDescent="0.3">
      <c r="A67" s="422" t="s">
        <v>31</v>
      </c>
      <c r="B67" s="420">
        <v>49.25</v>
      </c>
      <c r="C67" s="420">
        <v>54.5</v>
      </c>
      <c r="D67" s="420" t="s">
        <v>410</v>
      </c>
      <c r="E67" s="420" t="s">
        <v>410</v>
      </c>
    </row>
    <row r="68" spans="1:5" ht="12" customHeight="1" x14ac:dyDescent="0.3">
      <c r="A68" s="422" t="s">
        <v>83</v>
      </c>
      <c r="B68" s="420">
        <v>70</v>
      </c>
      <c r="C68" s="420" t="s">
        <v>403</v>
      </c>
      <c r="D68" s="420" t="s">
        <v>410</v>
      </c>
      <c r="E68" s="420">
        <v>51.67</v>
      </c>
    </row>
    <row r="69" spans="1:5" ht="12" customHeight="1" x14ac:dyDescent="0.3">
      <c r="A69" s="422" t="s">
        <v>54</v>
      </c>
      <c r="B69" s="420" t="s">
        <v>403</v>
      </c>
      <c r="C69" s="420">
        <v>45</v>
      </c>
      <c r="D69" s="420">
        <v>90</v>
      </c>
      <c r="E69" s="420" t="s">
        <v>410</v>
      </c>
    </row>
    <row r="70" spans="1:5" ht="12" customHeight="1" x14ac:dyDescent="0.3">
      <c r="A70" s="422" t="s">
        <v>32</v>
      </c>
      <c r="B70" s="420">
        <v>46.5</v>
      </c>
      <c r="C70" s="420" t="s">
        <v>403</v>
      </c>
      <c r="D70" s="420" t="s">
        <v>410</v>
      </c>
      <c r="E70" s="420" t="s">
        <v>410</v>
      </c>
    </row>
    <row r="71" spans="1:5" ht="12" customHeight="1" x14ac:dyDescent="0.3">
      <c r="A71" s="422" t="s">
        <v>33</v>
      </c>
      <c r="B71" s="420">
        <v>57</v>
      </c>
      <c r="C71" s="420" t="s">
        <v>403</v>
      </c>
      <c r="D71" s="420" t="s">
        <v>410</v>
      </c>
      <c r="E71" s="420" t="s">
        <v>410</v>
      </c>
    </row>
    <row r="72" spans="1:5" ht="12" customHeight="1" x14ac:dyDescent="0.3">
      <c r="A72" s="422" t="s">
        <v>34</v>
      </c>
      <c r="B72" s="420">
        <v>43.67</v>
      </c>
      <c r="C72" s="420">
        <v>51</v>
      </c>
      <c r="D72" s="420">
        <v>70</v>
      </c>
      <c r="E72" s="420" t="s">
        <v>410</v>
      </c>
    </row>
    <row r="73" spans="1:5" ht="12" customHeight="1" x14ac:dyDescent="0.3">
      <c r="A73" s="422" t="s">
        <v>66</v>
      </c>
      <c r="B73" s="420">
        <v>49</v>
      </c>
      <c r="C73" s="420">
        <v>54</v>
      </c>
      <c r="D73" s="420">
        <v>90</v>
      </c>
      <c r="E73" s="420" t="s">
        <v>410</v>
      </c>
    </row>
    <row r="74" spans="1:5" ht="12" customHeight="1" x14ac:dyDescent="0.3">
      <c r="A74" s="423" t="s">
        <v>35</v>
      </c>
      <c r="B74" s="665">
        <v>50.56</v>
      </c>
      <c r="C74" s="418">
        <f t="shared" ref="C74:D74" si="2">AVERAGE(C75:C77)</f>
        <v>53</v>
      </c>
      <c r="D74" s="418">
        <f t="shared" si="2"/>
        <v>79</v>
      </c>
      <c r="E74" s="429" t="s">
        <v>4</v>
      </c>
    </row>
    <row r="75" spans="1:5" ht="12" customHeight="1" x14ac:dyDescent="0.3">
      <c r="A75" s="422" t="s">
        <v>36</v>
      </c>
      <c r="B75" s="420">
        <v>46.67</v>
      </c>
      <c r="C75" s="420">
        <v>52</v>
      </c>
      <c r="D75" s="420">
        <v>77</v>
      </c>
      <c r="E75" s="420" t="s">
        <v>410</v>
      </c>
    </row>
    <row r="76" spans="1:5" ht="12" customHeight="1" x14ac:dyDescent="0.3">
      <c r="A76" s="422" t="s">
        <v>38</v>
      </c>
      <c r="B76" s="420">
        <v>51</v>
      </c>
      <c r="C76" s="420">
        <v>54</v>
      </c>
      <c r="D76" s="420">
        <v>81</v>
      </c>
      <c r="E76" s="420" t="s">
        <v>410</v>
      </c>
    </row>
    <row r="77" spans="1:5" ht="12" customHeight="1" x14ac:dyDescent="0.3">
      <c r="A77" s="422" t="s">
        <v>37</v>
      </c>
      <c r="B77" s="420">
        <v>54</v>
      </c>
      <c r="C77" s="420" t="s">
        <v>403</v>
      </c>
      <c r="D77" s="420" t="s">
        <v>410</v>
      </c>
      <c r="E77" s="420" t="s">
        <v>410</v>
      </c>
    </row>
    <row r="78" spans="1:5" ht="12" customHeight="1" x14ac:dyDescent="0.3">
      <c r="A78" s="423" t="s">
        <v>192</v>
      </c>
      <c r="B78" s="418">
        <v>49.67</v>
      </c>
      <c r="C78" s="418">
        <v>50</v>
      </c>
      <c r="D78" s="418" t="s">
        <v>4</v>
      </c>
      <c r="E78" s="418" t="s">
        <v>4</v>
      </c>
    </row>
    <row r="79" spans="1:5" ht="12" customHeight="1" x14ac:dyDescent="0.3">
      <c r="A79" s="422" t="s">
        <v>195</v>
      </c>
      <c r="B79" s="420">
        <v>49.67</v>
      </c>
      <c r="C79" s="420">
        <v>50</v>
      </c>
      <c r="D79" s="420" t="s">
        <v>410</v>
      </c>
      <c r="E79" s="420" t="s">
        <v>410</v>
      </c>
    </row>
    <row r="80" spans="1:5" ht="12" customHeight="1" x14ac:dyDescent="0.3">
      <c r="A80" s="423" t="s">
        <v>187</v>
      </c>
      <c r="B80" s="418" t="s">
        <v>403</v>
      </c>
      <c r="C80" s="418">
        <v>60.5</v>
      </c>
      <c r="D80" s="418" t="s">
        <v>4</v>
      </c>
      <c r="E80" s="418" t="s">
        <v>4</v>
      </c>
    </row>
    <row r="81" spans="1:5" ht="12" customHeight="1" x14ac:dyDescent="0.3">
      <c r="A81" s="422" t="s">
        <v>513</v>
      </c>
      <c r="B81" s="420" t="s">
        <v>403</v>
      </c>
      <c r="C81" s="420">
        <v>60.5</v>
      </c>
      <c r="D81" s="420" t="s">
        <v>410</v>
      </c>
      <c r="E81" s="420" t="s">
        <v>410</v>
      </c>
    </row>
    <row r="82" spans="1:5" ht="12" customHeight="1" x14ac:dyDescent="0.3">
      <c r="A82" s="423" t="s">
        <v>192</v>
      </c>
      <c r="B82" s="418">
        <v>50</v>
      </c>
      <c r="C82" s="418">
        <v>50</v>
      </c>
      <c r="D82" s="418" t="s">
        <v>4</v>
      </c>
      <c r="E82" s="418" t="s">
        <v>4</v>
      </c>
    </row>
    <row r="83" spans="1:5" ht="12" customHeight="1" x14ac:dyDescent="0.3">
      <c r="A83" s="422" t="s">
        <v>195</v>
      </c>
      <c r="B83" s="420">
        <v>50</v>
      </c>
      <c r="C83" s="420">
        <v>50</v>
      </c>
      <c r="D83" s="420" t="s">
        <v>410</v>
      </c>
      <c r="E83" s="420" t="s">
        <v>410</v>
      </c>
    </row>
    <row r="84" spans="1:5" ht="12" customHeight="1" x14ac:dyDescent="0.3">
      <c r="A84" s="423" t="s">
        <v>39</v>
      </c>
      <c r="B84" s="418">
        <f>AVERAGE(B85:B85)</f>
        <v>62.5</v>
      </c>
      <c r="C84" s="418">
        <f>AVERAGE(C85:C85)</f>
        <v>64.709999999999994</v>
      </c>
      <c r="D84" s="418" t="s">
        <v>4</v>
      </c>
      <c r="E84" s="418" t="s">
        <v>4</v>
      </c>
    </row>
    <row r="85" spans="1:5" ht="12" customHeight="1" x14ac:dyDescent="0.3">
      <c r="A85" s="422" t="s">
        <v>40</v>
      </c>
      <c r="B85" s="420">
        <v>62.5</v>
      </c>
      <c r="C85" s="420">
        <v>64.709999999999994</v>
      </c>
      <c r="D85" s="420" t="s">
        <v>410</v>
      </c>
      <c r="E85" s="420" t="s">
        <v>410</v>
      </c>
    </row>
    <row r="86" spans="1:5" ht="12" customHeight="1" x14ac:dyDescent="0.3">
      <c r="A86" s="423" t="s">
        <v>42</v>
      </c>
      <c r="B86" s="418">
        <f>AVERAGE(B87:B90)</f>
        <v>57.5</v>
      </c>
      <c r="C86" s="418">
        <f t="shared" ref="C86:D86" si="3">AVERAGE(C87:C90)</f>
        <v>46.5</v>
      </c>
      <c r="D86" s="418">
        <f t="shared" si="3"/>
        <v>79</v>
      </c>
      <c r="E86" s="418" t="s">
        <v>4</v>
      </c>
    </row>
    <row r="87" spans="1:5" ht="12" customHeight="1" x14ac:dyDescent="0.3">
      <c r="A87" s="422" t="s">
        <v>43</v>
      </c>
      <c r="B87" s="420" t="s">
        <v>410</v>
      </c>
      <c r="C87" s="420">
        <v>32.5</v>
      </c>
      <c r="D87" s="420" t="s">
        <v>410</v>
      </c>
      <c r="E87" s="420" t="s">
        <v>410</v>
      </c>
    </row>
    <row r="88" spans="1:5" ht="12" customHeight="1" x14ac:dyDescent="0.3">
      <c r="A88" s="422" t="s">
        <v>44</v>
      </c>
      <c r="B88" s="420">
        <v>57</v>
      </c>
      <c r="C88" s="420">
        <v>55</v>
      </c>
      <c r="D88" s="420" t="s">
        <v>410</v>
      </c>
      <c r="E88" s="420" t="s">
        <v>410</v>
      </c>
    </row>
    <row r="89" spans="1:5" ht="12" customHeight="1" x14ac:dyDescent="0.3">
      <c r="A89" s="422" t="s">
        <v>45</v>
      </c>
      <c r="B89" s="420">
        <v>58</v>
      </c>
      <c r="C89" s="420" t="s">
        <v>410</v>
      </c>
      <c r="D89" s="420" t="s">
        <v>410</v>
      </c>
      <c r="E89" s="420" t="s">
        <v>410</v>
      </c>
    </row>
    <row r="90" spans="1:5" ht="12" customHeight="1" x14ac:dyDescent="0.3">
      <c r="A90" s="422" t="s">
        <v>414</v>
      </c>
      <c r="B90" s="420" t="s">
        <v>410</v>
      </c>
      <c r="C90" s="420">
        <v>52</v>
      </c>
      <c r="D90" s="420">
        <v>79</v>
      </c>
      <c r="E90" s="420" t="s">
        <v>410</v>
      </c>
    </row>
    <row r="91" spans="1:5" ht="12" customHeight="1" x14ac:dyDescent="0.3">
      <c r="A91" s="423" t="s">
        <v>196</v>
      </c>
      <c r="B91" s="418">
        <f>AVERAGE(B92:B96)</f>
        <v>66.125</v>
      </c>
      <c r="C91" s="418">
        <f>AVERAGE(C92:C96)</f>
        <v>59.375</v>
      </c>
      <c r="D91" s="418">
        <f>AVERAGE(D92:D96)</f>
        <v>90</v>
      </c>
      <c r="E91" s="418" t="s">
        <v>4</v>
      </c>
    </row>
    <row r="92" spans="1:5" ht="12" customHeight="1" x14ac:dyDescent="0.3">
      <c r="A92" s="422" t="s">
        <v>204</v>
      </c>
      <c r="B92" s="420">
        <v>60</v>
      </c>
      <c r="C92" s="420" t="s">
        <v>410</v>
      </c>
      <c r="D92" s="420" t="s">
        <v>410</v>
      </c>
      <c r="E92" s="420" t="s">
        <v>410</v>
      </c>
    </row>
    <row r="93" spans="1:5" ht="12" customHeight="1" x14ac:dyDescent="0.3">
      <c r="A93" s="422" t="s">
        <v>198</v>
      </c>
      <c r="B93" s="420" t="s">
        <v>410</v>
      </c>
      <c r="C93" s="420">
        <v>40</v>
      </c>
      <c r="D93" s="420" t="s">
        <v>410</v>
      </c>
      <c r="E93" s="420" t="s">
        <v>410</v>
      </c>
    </row>
    <row r="94" spans="1:5" ht="12" customHeight="1" x14ac:dyDescent="0.3">
      <c r="A94" s="422" t="s">
        <v>557</v>
      </c>
      <c r="B94" s="420">
        <v>60</v>
      </c>
      <c r="C94" s="420">
        <v>55</v>
      </c>
      <c r="D94" s="420">
        <v>90</v>
      </c>
      <c r="E94" s="420" t="s">
        <v>410</v>
      </c>
    </row>
    <row r="95" spans="1:5" ht="12" customHeight="1" x14ac:dyDescent="0.3">
      <c r="A95" s="422" t="s">
        <v>65</v>
      </c>
      <c r="B95" s="420">
        <v>88.5</v>
      </c>
      <c r="C95" s="420">
        <v>87.5</v>
      </c>
      <c r="D95" s="420" t="s">
        <v>410</v>
      </c>
      <c r="E95" s="420" t="s">
        <v>410</v>
      </c>
    </row>
    <row r="96" spans="1:5" ht="12" customHeight="1" x14ac:dyDescent="0.3">
      <c r="A96" s="422" t="s">
        <v>432</v>
      </c>
      <c r="B96" s="420">
        <v>56</v>
      </c>
      <c r="C96" s="420">
        <v>55</v>
      </c>
      <c r="D96" s="420" t="s">
        <v>410</v>
      </c>
      <c r="E96" s="420" t="s">
        <v>410</v>
      </c>
    </row>
    <row r="97" spans="1:5" ht="12" customHeight="1" x14ac:dyDescent="0.3">
      <c r="A97" s="423" t="s">
        <v>84</v>
      </c>
      <c r="B97" s="418">
        <f>AVERAGE(B98:B100)</f>
        <v>60</v>
      </c>
      <c r="C97" s="418">
        <f>AVERAGE(C98:C100)</f>
        <v>64.833333333333329</v>
      </c>
      <c r="D97" s="418">
        <f>AVERAGE(D98:D100)</f>
        <v>80</v>
      </c>
      <c r="E97" s="418" t="s">
        <v>4</v>
      </c>
    </row>
    <row r="98" spans="1:5" ht="12" customHeight="1" x14ac:dyDescent="0.3">
      <c r="A98" s="422" t="s">
        <v>59</v>
      </c>
      <c r="B98" s="420">
        <v>65</v>
      </c>
      <c r="C98" s="420">
        <v>67.5</v>
      </c>
      <c r="D98" s="420" t="s">
        <v>410</v>
      </c>
      <c r="E98" s="420" t="s">
        <v>410</v>
      </c>
    </row>
    <row r="99" spans="1:5" ht="12" customHeight="1" x14ac:dyDescent="0.3">
      <c r="A99" s="422" t="s">
        <v>558</v>
      </c>
      <c r="B99" s="420">
        <v>65</v>
      </c>
      <c r="C99" s="420">
        <v>70</v>
      </c>
      <c r="D99" s="420" t="s">
        <v>410</v>
      </c>
      <c r="E99" s="420" t="s">
        <v>410</v>
      </c>
    </row>
    <row r="100" spans="1:5" ht="12" customHeight="1" x14ac:dyDescent="0.3">
      <c r="A100" s="422" t="s">
        <v>60</v>
      </c>
      <c r="B100" s="420">
        <v>50</v>
      </c>
      <c r="C100" s="420">
        <v>57</v>
      </c>
      <c r="D100" s="420">
        <v>80</v>
      </c>
      <c r="E100" s="420" t="s">
        <v>410</v>
      </c>
    </row>
    <row r="101" spans="1:5" ht="12" customHeight="1" x14ac:dyDescent="0.3">
      <c r="A101" s="423" t="s">
        <v>89</v>
      </c>
      <c r="B101" s="418">
        <f>AVERAGE(B103)</f>
        <v>52.67</v>
      </c>
      <c r="C101" s="418">
        <f>AVERAGE(C103)</f>
        <v>52.67</v>
      </c>
      <c r="D101" s="418">
        <f>AVERAGE(D103)</f>
        <v>107.33</v>
      </c>
      <c r="E101" s="418" t="s">
        <v>4</v>
      </c>
    </row>
    <row r="102" spans="1:5" ht="12" customHeight="1" x14ac:dyDescent="0.3">
      <c r="A102" s="422" t="s">
        <v>559</v>
      </c>
      <c r="B102" s="420">
        <v>50</v>
      </c>
      <c r="C102" s="420" t="s">
        <v>410</v>
      </c>
      <c r="D102" s="420" t="s">
        <v>410</v>
      </c>
      <c r="E102" s="420" t="s">
        <v>410</v>
      </c>
    </row>
    <row r="103" spans="1:5" ht="12" customHeight="1" x14ac:dyDescent="0.3">
      <c r="A103" s="422" t="s">
        <v>90</v>
      </c>
      <c r="B103" s="420">
        <v>52.67</v>
      </c>
      <c r="C103" s="420">
        <v>52.67</v>
      </c>
      <c r="D103" s="420">
        <v>107.33</v>
      </c>
      <c r="E103" s="420" t="s">
        <v>410</v>
      </c>
    </row>
    <row r="104" spans="1:5" ht="12" customHeight="1" x14ac:dyDescent="0.3">
      <c r="A104" s="423" t="s">
        <v>71</v>
      </c>
      <c r="B104" s="418" t="s">
        <v>4</v>
      </c>
      <c r="C104" s="418">
        <v>60</v>
      </c>
      <c r="D104" s="418" t="s">
        <v>4</v>
      </c>
      <c r="E104" s="418" t="s">
        <v>4</v>
      </c>
    </row>
    <row r="105" spans="1:5" ht="12" customHeight="1" x14ac:dyDescent="0.3">
      <c r="A105" s="422" t="s">
        <v>72</v>
      </c>
      <c r="B105" s="420" t="s">
        <v>410</v>
      </c>
      <c r="C105" s="420">
        <v>60</v>
      </c>
      <c r="D105" s="420" t="s">
        <v>410</v>
      </c>
      <c r="E105" s="420" t="s">
        <v>410</v>
      </c>
    </row>
    <row r="106" spans="1:5" ht="12" customHeight="1" x14ac:dyDescent="0.3">
      <c r="A106" s="423" t="s">
        <v>46</v>
      </c>
      <c r="B106" s="418">
        <f t="shared" ref="B106:C106" si="4">AVERAGE(B107)</f>
        <v>47.5</v>
      </c>
      <c r="C106" s="418">
        <f t="shared" si="4"/>
        <v>50</v>
      </c>
      <c r="D106" s="418" t="s">
        <v>4</v>
      </c>
      <c r="E106" s="418" t="s">
        <v>4</v>
      </c>
    </row>
    <row r="107" spans="1:5" ht="12" customHeight="1" x14ac:dyDescent="0.3">
      <c r="A107" s="430" t="s">
        <v>47</v>
      </c>
      <c r="B107" s="431">
        <v>47.5</v>
      </c>
      <c r="C107" s="431">
        <v>50</v>
      </c>
      <c r="D107" s="431" t="s">
        <v>410</v>
      </c>
      <c r="E107" s="431" t="s">
        <v>410</v>
      </c>
    </row>
    <row r="108" spans="1:5" ht="9" customHeight="1" x14ac:dyDescent="0.3">
      <c r="A108" s="664" t="s">
        <v>87</v>
      </c>
      <c r="B108" s="491"/>
      <c r="C108" s="492"/>
      <c r="D108" s="492"/>
      <c r="E108" s="492"/>
    </row>
    <row r="109" spans="1:5" ht="9" customHeight="1" x14ac:dyDescent="0.3">
      <c r="A109" s="493" t="s">
        <v>67</v>
      </c>
      <c r="B109" s="439"/>
      <c r="C109" s="492"/>
      <c r="D109" s="492"/>
      <c r="E109" s="492"/>
    </row>
    <row r="110" spans="1:5" ht="9" customHeight="1" x14ac:dyDescent="0.3">
      <c r="A110" s="494" t="s">
        <v>68</v>
      </c>
      <c r="B110" s="495"/>
      <c r="C110" s="495"/>
      <c r="D110" s="495"/>
      <c r="E110" s="495"/>
    </row>
    <row r="111" spans="1:5" ht="9" customHeight="1" x14ac:dyDescent="0.3"/>
    <row r="112" spans="1:5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</sheetData>
  <mergeCells count="1">
    <mergeCell ref="A57:A58"/>
  </mergeCells>
  <pageMargins left="0.27559055118110237" right="0.27559055118110237" top="0.39370078740157483" bottom="0.39370078740157483" header="0" footer="0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2"/>
  <dimension ref="A1:Z636"/>
  <sheetViews>
    <sheetView showGridLines="0" zoomScaleNormal="100" workbookViewId="0">
      <pane ySplit="3" topLeftCell="A28" activePane="bottomLeft" state="frozen"/>
      <selection activeCell="J12" sqref="J12"/>
      <selection pane="bottomLeft" activeCell="C54" sqref="C54"/>
    </sheetView>
  </sheetViews>
  <sheetFormatPr baseColWidth="10" defaultColWidth="12.5546875" defaultRowHeight="15" customHeight="1" x14ac:dyDescent="0.3"/>
  <cols>
    <col min="1" max="1" width="16.88671875" style="2" customWidth="1"/>
    <col min="2" max="5" width="12.6640625" style="2" customWidth="1"/>
    <col min="6" max="6" width="1.88671875" style="2" customWidth="1"/>
    <col min="7" max="7" width="2.109375" style="2" customWidth="1"/>
    <col min="8" max="25" width="11.44140625" style="2" customWidth="1"/>
    <col min="26" max="16384" width="12.5546875" style="2"/>
  </cols>
  <sheetData>
    <row r="1" spans="1:26" ht="12.75" customHeight="1" x14ac:dyDescent="0.3">
      <c r="A1" s="383" t="s">
        <v>443</v>
      </c>
      <c r="B1" s="389"/>
      <c r="C1" s="386"/>
      <c r="D1" s="389"/>
      <c r="E1" s="389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</row>
    <row r="2" spans="1:26" ht="12.75" customHeight="1" x14ac:dyDescent="0.3">
      <c r="A2" s="385" t="s">
        <v>607</v>
      </c>
      <c r="B2" s="389"/>
      <c r="C2" s="386"/>
      <c r="D2" s="389"/>
      <c r="E2" s="389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</row>
    <row r="3" spans="1:26" ht="4.5" customHeight="1" x14ac:dyDescent="0.3">
      <c r="A3" s="619"/>
      <c r="B3" s="387"/>
      <c r="C3" s="390"/>
      <c r="D3" s="387"/>
      <c r="E3" s="387"/>
      <c r="F3" s="384"/>
      <c r="G3" s="384"/>
      <c r="H3" s="384"/>
      <c r="I3" s="384"/>
      <c r="J3" s="384"/>
      <c r="K3" s="384"/>
      <c r="L3" s="384"/>
      <c r="M3" s="384"/>
      <c r="N3" s="384"/>
      <c r="O3" s="384"/>
      <c r="P3" s="384"/>
      <c r="Q3" s="384"/>
      <c r="R3" s="384"/>
      <c r="S3" s="384"/>
      <c r="T3" s="384"/>
      <c r="U3" s="384"/>
      <c r="V3" s="384"/>
      <c r="W3" s="384"/>
      <c r="X3" s="384"/>
      <c r="Y3" s="384"/>
      <c r="Z3" s="384"/>
    </row>
    <row r="4" spans="1:26" ht="24" customHeight="1" x14ac:dyDescent="0.3">
      <c r="A4" s="414" t="s">
        <v>597</v>
      </c>
      <c r="B4" s="414" t="s">
        <v>444</v>
      </c>
      <c r="C4" s="414" t="s">
        <v>445</v>
      </c>
      <c r="D4" s="414" t="s">
        <v>446</v>
      </c>
      <c r="E4" s="414" t="s">
        <v>466</v>
      </c>
    </row>
    <row r="5" spans="1:26" ht="3" customHeight="1" x14ac:dyDescent="0.3">
      <c r="A5" s="415"/>
      <c r="B5" s="415"/>
      <c r="C5" s="415"/>
      <c r="D5" s="415"/>
      <c r="E5" s="415"/>
    </row>
    <row r="6" spans="1:26" ht="12" customHeight="1" x14ac:dyDescent="0.3">
      <c r="A6" s="417" t="s">
        <v>473</v>
      </c>
      <c r="B6" s="432">
        <f>AVERAGE(B7:B9)</f>
        <v>25</v>
      </c>
      <c r="C6" s="432" t="s">
        <v>4</v>
      </c>
      <c r="D6" s="432">
        <f>AVERAGE(D7:D9)</f>
        <v>87.166666666666671</v>
      </c>
      <c r="E6" s="432">
        <f t="shared" ref="E6" si="0">AVERAGE(E7:E9)</f>
        <v>24</v>
      </c>
    </row>
    <row r="7" spans="1:26" ht="12" customHeight="1" x14ac:dyDescent="0.3">
      <c r="A7" s="419" t="s">
        <v>475</v>
      </c>
      <c r="B7" s="433" t="s">
        <v>410</v>
      </c>
      <c r="C7" s="433" t="s">
        <v>410</v>
      </c>
      <c r="D7" s="433">
        <v>76.5</v>
      </c>
      <c r="E7" s="433" t="s">
        <v>410</v>
      </c>
    </row>
    <row r="8" spans="1:26" ht="12" customHeight="1" x14ac:dyDescent="0.3">
      <c r="A8" s="419" t="s">
        <v>484</v>
      </c>
      <c r="B8" s="433" t="s">
        <v>410</v>
      </c>
      <c r="C8" s="433" t="s">
        <v>410</v>
      </c>
      <c r="D8" s="433">
        <v>100</v>
      </c>
      <c r="E8" s="433" t="s">
        <v>410</v>
      </c>
    </row>
    <row r="9" spans="1:26" ht="12" customHeight="1" x14ac:dyDescent="0.3">
      <c r="A9" s="419" t="s">
        <v>474</v>
      </c>
      <c r="B9" s="433">
        <v>25</v>
      </c>
      <c r="C9" s="433" t="s">
        <v>410</v>
      </c>
      <c r="D9" s="433">
        <v>85</v>
      </c>
      <c r="E9" s="433">
        <v>24</v>
      </c>
    </row>
    <row r="10" spans="1:26" ht="12" customHeight="1" x14ac:dyDescent="0.3">
      <c r="A10" s="417" t="s">
        <v>426</v>
      </c>
      <c r="B10" s="434">
        <f>AVERAGE(B11:B16)</f>
        <v>19.98</v>
      </c>
      <c r="C10" s="434" t="s">
        <v>4</v>
      </c>
      <c r="D10" s="434">
        <f>AVERAGE(D11:D16)</f>
        <v>84.11</v>
      </c>
      <c r="E10" s="434">
        <f>AVERAGE(E11:E16)</f>
        <v>34.664999999999999</v>
      </c>
    </row>
    <row r="11" spans="1:26" ht="12" customHeight="1" x14ac:dyDescent="0.3">
      <c r="A11" s="419" t="s">
        <v>427</v>
      </c>
      <c r="B11" s="433" t="s">
        <v>410</v>
      </c>
      <c r="C11" s="433" t="s">
        <v>410</v>
      </c>
      <c r="D11" s="433">
        <v>98</v>
      </c>
      <c r="E11" s="433" t="s">
        <v>410</v>
      </c>
    </row>
    <row r="12" spans="1:26" ht="12" customHeight="1" x14ac:dyDescent="0.3">
      <c r="A12" s="419" t="s">
        <v>584</v>
      </c>
      <c r="B12" s="433">
        <v>19.29</v>
      </c>
      <c r="C12" s="433" t="s">
        <v>410</v>
      </c>
      <c r="D12" s="433" t="s">
        <v>410</v>
      </c>
      <c r="E12" s="433" t="s">
        <v>410</v>
      </c>
    </row>
    <row r="13" spans="1:26" ht="12" customHeight="1" x14ac:dyDescent="0.3">
      <c r="A13" s="419" t="s">
        <v>428</v>
      </c>
      <c r="B13" s="433" t="s">
        <v>410</v>
      </c>
      <c r="C13" s="433" t="s">
        <v>410</v>
      </c>
      <c r="D13" s="433">
        <v>82.33</v>
      </c>
      <c r="E13" s="433">
        <v>24.33</v>
      </c>
    </row>
    <row r="14" spans="1:26" ht="12" customHeight="1" x14ac:dyDescent="0.3">
      <c r="A14" s="419" t="s">
        <v>449</v>
      </c>
      <c r="B14" s="433">
        <v>20.67</v>
      </c>
      <c r="C14" s="433" t="s">
        <v>410</v>
      </c>
      <c r="D14" s="433" t="s">
        <v>410</v>
      </c>
      <c r="E14" s="433" t="s">
        <v>410</v>
      </c>
    </row>
    <row r="15" spans="1:26" ht="12" customHeight="1" x14ac:dyDescent="0.3">
      <c r="A15" s="419" t="s">
        <v>429</v>
      </c>
      <c r="B15" s="420" t="s">
        <v>410</v>
      </c>
      <c r="C15" s="420" t="s">
        <v>410</v>
      </c>
      <c r="D15" s="433">
        <v>72</v>
      </c>
      <c r="E15" s="433" t="s">
        <v>410</v>
      </c>
    </row>
    <row r="16" spans="1:26" ht="12" customHeight="1" x14ac:dyDescent="0.3">
      <c r="A16" s="419" t="s">
        <v>585</v>
      </c>
      <c r="B16" s="433" t="s">
        <v>410</v>
      </c>
      <c r="C16" s="433" t="s">
        <v>410</v>
      </c>
      <c r="D16" s="433" t="s">
        <v>410</v>
      </c>
      <c r="E16" s="433">
        <v>45</v>
      </c>
    </row>
    <row r="17" spans="1:5" ht="12" customHeight="1" x14ac:dyDescent="0.3">
      <c r="A17" s="417" t="s">
        <v>77</v>
      </c>
      <c r="B17" s="434">
        <f>AVERAGE(B18:B20)</f>
        <v>61.664999999999999</v>
      </c>
      <c r="C17" s="434">
        <f t="shared" ref="C17:E17" si="1">AVERAGE(C18:C20)</f>
        <v>86.33</v>
      </c>
      <c r="D17" s="434">
        <f t="shared" si="1"/>
        <v>76.943333333333328</v>
      </c>
      <c r="E17" s="434">
        <f t="shared" si="1"/>
        <v>48.223333333333336</v>
      </c>
    </row>
    <row r="18" spans="1:5" ht="12" customHeight="1" x14ac:dyDescent="0.3">
      <c r="A18" s="419" t="s">
        <v>153</v>
      </c>
      <c r="B18" s="435">
        <v>61.33</v>
      </c>
      <c r="C18" s="433">
        <v>86.33</v>
      </c>
      <c r="D18" s="433">
        <v>90.33</v>
      </c>
      <c r="E18" s="433">
        <v>44</v>
      </c>
    </row>
    <row r="19" spans="1:5" ht="12" customHeight="1" x14ac:dyDescent="0.3">
      <c r="A19" s="419" t="s">
        <v>589</v>
      </c>
      <c r="B19" s="435">
        <v>62</v>
      </c>
      <c r="C19" s="432" t="s">
        <v>410</v>
      </c>
      <c r="D19" s="433">
        <v>89.5</v>
      </c>
      <c r="E19" s="433">
        <v>45</v>
      </c>
    </row>
    <row r="20" spans="1:5" ht="12" customHeight="1" x14ac:dyDescent="0.3">
      <c r="A20" s="419" t="s">
        <v>156</v>
      </c>
      <c r="B20" s="433" t="s">
        <v>410</v>
      </c>
      <c r="C20" s="432" t="s">
        <v>410</v>
      </c>
      <c r="D20" s="433">
        <v>51</v>
      </c>
      <c r="E20" s="433">
        <v>55.67</v>
      </c>
    </row>
    <row r="21" spans="1:5" ht="12" customHeight="1" x14ac:dyDescent="0.3">
      <c r="A21" s="417" t="s">
        <v>2</v>
      </c>
      <c r="B21" s="432" t="s">
        <v>4</v>
      </c>
      <c r="C21" s="432" t="s">
        <v>4</v>
      </c>
      <c r="D21" s="432">
        <f>AVERAGE(D22:D28)</f>
        <v>83.131428571428586</v>
      </c>
      <c r="E21" s="432">
        <f>AVERAGE(E22:E28)</f>
        <v>25.556666666666668</v>
      </c>
    </row>
    <row r="22" spans="1:5" ht="12" customHeight="1" x14ac:dyDescent="0.3">
      <c r="A22" s="436" t="s">
        <v>5</v>
      </c>
      <c r="B22" s="433" t="s">
        <v>410</v>
      </c>
      <c r="C22" s="433" t="s">
        <v>410</v>
      </c>
      <c r="D22" s="433">
        <v>80</v>
      </c>
      <c r="E22" s="433" t="s">
        <v>410</v>
      </c>
    </row>
    <row r="23" spans="1:5" ht="12" customHeight="1" x14ac:dyDescent="0.3">
      <c r="A23" s="436" t="s">
        <v>85</v>
      </c>
      <c r="B23" s="433" t="s">
        <v>410</v>
      </c>
      <c r="C23" s="433" t="s">
        <v>410</v>
      </c>
      <c r="D23" s="433">
        <v>78.25</v>
      </c>
      <c r="E23" s="433">
        <v>26.75</v>
      </c>
    </row>
    <row r="24" spans="1:5" ht="12" customHeight="1" x14ac:dyDescent="0.3">
      <c r="A24" s="436" t="s">
        <v>78</v>
      </c>
      <c r="B24" s="433" t="s">
        <v>410</v>
      </c>
      <c r="C24" s="433" t="s">
        <v>410</v>
      </c>
      <c r="D24" s="433">
        <v>79.5</v>
      </c>
      <c r="E24" s="433">
        <v>23.25</v>
      </c>
    </row>
    <row r="25" spans="1:5" ht="12" customHeight="1" x14ac:dyDescent="0.3">
      <c r="A25" s="436" t="s">
        <v>405</v>
      </c>
      <c r="B25" s="433" t="s">
        <v>410</v>
      </c>
      <c r="C25" s="433" t="s">
        <v>410</v>
      </c>
      <c r="D25" s="433">
        <v>85.5</v>
      </c>
      <c r="E25" s="433" t="s">
        <v>410</v>
      </c>
    </row>
    <row r="26" spans="1:5" ht="12" customHeight="1" x14ac:dyDescent="0.3">
      <c r="A26" s="436" t="s">
        <v>61</v>
      </c>
      <c r="B26" s="433" t="s">
        <v>410</v>
      </c>
      <c r="C26" s="433" t="s">
        <v>410</v>
      </c>
      <c r="D26" s="433">
        <v>88.67</v>
      </c>
      <c r="E26" s="433">
        <v>26.67</v>
      </c>
    </row>
    <row r="27" spans="1:5" ht="12" customHeight="1" x14ac:dyDescent="0.3">
      <c r="A27" s="436" t="s">
        <v>550</v>
      </c>
      <c r="B27" s="433" t="s">
        <v>410</v>
      </c>
      <c r="C27" s="433" t="s">
        <v>410</v>
      </c>
      <c r="D27" s="433">
        <v>95</v>
      </c>
      <c r="E27" s="433" t="s">
        <v>410</v>
      </c>
    </row>
    <row r="28" spans="1:5" ht="12" customHeight="1" x14ac:dyDescent="0.3">
      <c r="A28" s="436" t="s">
        <v>188</v>
      </c>
      <c r="B28" s="433" t="s">
        <v>410</v>
      </c>
      <c r="C28" s="433" t="s">
        <v>410</v>
      </c>
      <c r="D28" s="433">
        <v>75</v>
      </c>
      <c r="E28" s="433" t="s">
        <v>410</v>
      </c>
    </row>
    <row r="29" spans="1:5" ht="12" customHeight="1" x14ac:dyDescent="0.3">
      <c r="A29" s="437" t="s">
        <v>6</v>
      </c>
      <c r="B29" s="432" t="s">
        <v>4</v>
      </c>
      <c r="C29" s="432" t="s">
        <v>4</v>
      </c>
      <c r="D29" s="432">
        <f t="shared" ref="D29:E29" si="2">AVERAGE(D31:D34)</f>
        <v>105.77666666666666</v>
      </c>
      <c r="E29" s="432">
        <f t="shared" si="2"/>
        <v>37.164999999999999</v>
      </c>
    </row>
    <row r="30" spans="1:5" ht="12" customHeight="1" x14ac:dyDescent="0.3">
      <c r="A30" s="422" t="s">
        <v>10</v>
      </c>
      <c r="B30" s="433" t="s">
        <v>410</v>
      </c>
      <c r="C30" s="433" t="s">
        <v>410</v>
      </c>
      <c r="D30" s="433">
        <v>97.67</v>
      </c>
      <c r="E30" s="433" t="s">
        <v>410</v>
      </c>
    </row>
    <row r="31" spans="1:5" ht="12" customHeight="1" x14ac:dyDescent="0.3">
      <c r="A31" s="422" t="s">
        <v>11</v>
      </c>
      <c r="B31" s="433" t="s">
        <v>410</v>
      </c>
      <c r="C31" s="433" t="s">
        <v>410</v>
      </c>
      <c r="D31" s="433">
        <v>118.33</v>
      </c>
      <c r="E31" s="433" t="s">
        <v>410</v>
      </c>
    </row>
    <row r="32" spans="1:5" ht="12" customHeight="1" x14ac:dyDescent="0.3">
      <c r="A32" s="422" t="s">
        <v>8</v>
      </c>
      <c r="B32" s="433" t="s">
        <v>410</v>
      </c>
      <c r="C32" s="433" t="s">
        <v>410</v>
      </c>
      <c r="D32" s="433">
        <v>90.67</v>
      </c>
      <c r="E32" s="433">
        <v>39.33</v>
      </c>
    </row>
    <row r="33" spans="1:5" ht="12" customHeight="1" x14ac:dyDescent="0.3">
      <c r="A33" s="422" t="s">
        <v>9</v>
      </c>
      <c r="B33" s="433" t="s">
        <v>410</v>
      </c>
      <c r="C33" s="433" t="s">
        <v>410</v>
      </c>
      <c r="D33" s="433" t="s">
        <v>410</v>
      </c>
      <c r="E33" s="433">
        <v>35</v>
      </c>
    </row>
    <row r="34" spans="1:5" ht="12" customHeight="1" x14ac:dyDescent="0.3">
      <c r="A34" s="422" t="s">
        <v>92</v>
      </c>
      <c r="B34" s="433" t="s">
        <v>410</v>
      </c>
      <c r="C34" s="433" t="s">
        <v>410</v>
      </c>
      <c r="D34" s="433">
        <v>108.33</v>
      </c>
      <c r="E34" s="433" t="s">
        <v>439</v>
      </c>
    </row>
    <row r="35" spans="1:5" ht="12" customHeight="1" x14ac:dyDescent="0.3">
      <c r="A35" s="423" t="s">
        <v>15</v>
      </c>
      <c r="B35" s="432" t="s">
        <v>4</v>
      </c>
      <c r="C35" s="432" t="s">
        <v>4</v>
      </c>
      <c r="D35" s="432">
        <f>AVERAGE(D36:D38)</f>
        <v>82</v>
      </c>
      <c r="E35" s="432">
        <f>AVERAGE(E36:E38)</f>
        <v>69</v>
      </c>
    </row>
    <row r="36" spans="1:5" ht="12" customHeight="1" x14ac:dyDescent="0.3">
      <c r="A36" s="422" t="s">
        <v>189</v>
      </c>
      <c r="B36" s="433" t="s">
        <v>410</v>
      </c>
      <c r="C36" s="433" t="s">
        <v>410</v>
      </c>
      <c r="D36" s="433">
        <v>85</v>
      </c>
      <c r="E36" s="433" t="s">
        <v>410</v>
      </c>
    </row>
    <row r="37" spans="1:5" ht="12" customHeight="1" x14ac:dyDescent="0.3">
      <c r="A37" s="422" t="s">
        <v>70</v>
      </c>
      <c r="B37" s="433" t="s">
        <v>410</v>
      </c>
      <c r="C37" s="433" t="s">
        <v>439</v>
      </c>
      <c r="D37" s="433">
        <v>79</v>
      </c>
      <c r="E37" s="433" t="s">
        <v>410</v>
      </c>
    </row>
    <row r="38" spans="1:5" ht="12" customHeight="1" x14ac:dyDescent="0.3">
      <c r="A38" s="422" t="s">
        <v>69</v>
      </c>
      <c r="B38" s="433" t="s">
        <v>410</v>
      </c>
      <c r="C38" s="433" t="s">
        <v>410</v>
      </c>
      <c r="D38" s="433" t="s">
        <v>439</v>
      </c>
      <c r="E38" s="433">
        <v>69</v>
      </c>
    </row>
    <row r="39" spans="1:5" ht="12" customHeight="1" x14ac:dyDescent="0.3">
      <c r="A39" s="423" t="s">
        <v>16</v>
      </c>
      <c r="B39" s="432" t="s">
        <v>4</v>
      </c>
      <c r="C39" s="432" t="s">
        <v>4</v>
      </c>
      <c r="D39" s="432">
        <f>AVERAGE(D40:D43)</f>
        <v>105.1875</v>
      </c>
      <c r="E39" s="432">
        <f>AVERAGE(E40:E43)</f>
        <v>44</v>
      </c>
    </row>
    <row r="40" spans="1:5" ht="12" customHeight="1" x14ac:dyDescent="0.3">
      <c r="A40" s="422" t="s">
        <v>494</v>
      </c>
      <c r="B40" s="433" t="s">
        <v>410</v>
      </c>
      <c r="C40" s="433" t="s">
        <v>410</v>
      </c>
      <c r="D40" s="433">
        <v>90</v>
      </c>
      <c r="E40" s="433" t="s">
        <v>410</v>
      </c>
    </row>
    <row r="41" spans="1:5" ht="12" customHeight="1" x14ac:dyDescent="0.3">
      <c r="A41" s="422" t="s">
        <v>479</v>
      </c>
      <c r="B41" s="433" t="s">
        <v>410</v>
      </c>
      <c r="C41" s="433" t="s">
        <v>410</v>
      </c>
      <c r="D41" s="433">
        <v>162.5</v>
      </c>
      <c r="E41" s="433" t="s">
        <v>410</v>
      </c>
    </row>
    <row r="42" spans="1:5" ht="12" customHeight="1" x14ac:dyDescent="0.3">
      <c r="A42" s="422" t="s">
        <v>17</v>
      </c>
      <c r="B42" s="433" t="s">
        <v>410</v>
      </c>
      <c r="C42" s="433" t="s">
        <v>410</v>
      </c>
      <c r="D42" s="433">
        <v>75</v>
      </c>
      <c r="E42" s="433" t="s">
        <v>410</v>
      </c>
    </row>
    <row r="43" spans="1:5" ht="12" customHeight="1" x14ac:dyDescent="0.3">
      <c r="A43" s="422" t="s">
        <v>190</v>
      </c>
      <c r="B43" s="433" t="s">
        <v>410</v>
      </c>
      <c r="C43" s="433" t="s">
        <v>410</v>
      </c>
      <c r="D43" s="433">
        <v>93.25</v>
      </c>
      <c r="E43" s="433">
        <v>44</v>
      </c>
    </row>
    <row r="44" spans="1:5" ht="12" customHeight="1" x14ac:dyDescent="0.3">
      <c r="A44" s="437" t="s">
        <v>18</v>
      </c>
      <c r="B44" s="432">
        <f>AVERAGE(B45:B51)</f>
        <v>43.67</v>
      </c>
      <c r="C44" s="432" t="s">
        <v>4</v>
      </c>
      <c r="D44" s="432">
        <f>AVERAGE(D45:D51)</f>
        <v>84.892857142857139</v>
      </c>
      <c r="E44" s="432">
        <f>AVERAGE(E45:E51)</f>
        <v>28.67</v>
      </c>
    </row>
    <row r="45" spans="1:5" ht="12" customHeight="1" x14ac:dyDescent="0.3">
      <c r="A45" s="422" t="s">
        <v>19</v>
      </c>
      <c r="B45" s="433" t="s">
        <v>410</v>
      </c>
      <c r="C45" s="433" t="s">
        <v>410</v>
      </c>
      <c r="D45" s="433">
        <v>81.33</v>
      </c>
      <c r="E45" s="433">
        <v>28.67</v>
      </c>
    </row>
    <row r="46" spans="1:5" ht="12" customHeight="1" x14ac:dyDescent="0.3">
      <c r="A46" s="422" t="s">
        <v>62</v>
      </c>
      <c r="B46" s="433" t="s">
        <v>410</v>
      </c>
      <c r="C46" s="433" t="s">
        <v>410</v>
      </c>
      <c r="D46" s="433">
        <v>100</v>
      </c>
      <c r="E46" s="433" t="s">
        <v>410</v>
      </c>
    </row>
    <row r="47" spans="1:5" ht="12" customHeight="1" x14ac:dyDescent="0.3">
      <c r="A47" s="422" t="s">
        <v>80</v>
      </c>
      <c r="B47" s="433" t="s">
        <v>439</v>
      </c>
      <c r="C47" s="433" t="s">
        <v>439</v>
      </c>
      <c r="D47" s="433">
        <v>86.67</v>
      </c>
      <c r="E47" s="433" t="s">
        <v>439</v>
      </c>
    </row>
    <row r="48" spans="1:5" ht="12" customHeight="1" x14ac:dyDescent="0.3">
      <c r="A48" s="422" t="s">
        <v>23</v>
      </c>
      <c r="B48" s="433" t="s">
        <v>410</v>
      </c>
      <c r="C48" s="433" t="s">
        <v>410</v>
      </c>
      <c r="D48" s="433">
        <v>100</v>
      </c>
      <c r="E48" s="433" t="s">
        <v>410</v>
      </c>
    </row>
    <row r="49" spans="1:5" ht="12" customHeight="1" x14ac:dyDescent="0.3">
      <c r="A49" s="422" t="s">
        <v>124</v>
      </c>
      <c r="B49" s="433" t="s">
        <v>410</v>
      </c>
      <c r="C49" s="433" t="s">
        <v>410</v>
      </c>
      <c r="D49" s="433">
        <v>65</v>
      </c>
      <c r="E49" s="433" t="s">
        <v>410</v>
      </c>
    </row>
    <row r="50" spans="1:5" ht="12" customHeight="1" x14ac:dyDescent="0.3">
      <c r="A50" s="422" t="s">
        <v>22</v>
      </c>
      <c r="B50" s="433" t="s">
        <v>410</v>
      </c>
      <c r="C50" s="433" t="s">
        <v>410</v>
      </c>
      <c r="D50" s="433">
        <v>91.25</v>
      </c>
      <c r="E50" s="433" t="s">
        <v>410</v>
      </c>
    </row>
    <row r="51" spans="1:5" ht="12" customHeight="1" x14ac:dyDescent="0.3">
      <c r="A51" s="422" t="s">
        <v>21</v>
      </c>
      <c r="B51" s="435">
        <v>43.67</v>
      </c>
      <c r="C51" s="433" t="s">
        <v>439</v>
      </c>
      <c r="D51" s="433">
        <v>70</v>
      </c>
      <c r="E51" s="433" t="s">
        <v>439</v>
      </c>
    </row>
    <row r="52" spans="1:5" ht="15.75" customHeight="1" x14ac:dyDescent="0.3">
      <c r="A52" s="424"/>
      <c r="B52" s="425"/>
      <c r="C52" s="425"/>
      <c r="D52" s="425"/>
      <c r="E52" s="426" t="s">
        <v>26</v>
      </c>
    </row>
    <row r="53" spans="1:5" ht="15.75" customHeight="1" x14ac:dyDescent="0.3">
      <c r="A53" s="427" t="s">
        <v>512</v>
      </c>
      <c r="B53" s="427"/>
      <c r="C53" s="427"/>
      <c r="D53" s="439"/>
      <c r="E53" s="439"/>
    </row>
    <row r="54" spans="1:5" ht="24" customHeight="1" x14ac:dyDescent="0.3">
      <c r="A54" s="414" t="s">
        <v>597</v>
      </c>
      <c r="B54" s="413" t="s">
        <v>444</v>
      </c>
      <c r="C54" s="413" t="s">
        <v>445</v>
      </c>
      <c r="D54" s="413" t="s">
        <v>446</v>
      </c>
      <c r="E54" s="413" t="s">
        <v>466</v>
      </c>
    </row>
    <row r="55" spans="1:5" ht="3" customHeight="1" x14ac:dyDescent="0.3">
      <c r="A55" s="440"/>
      <c r="B55" s="439"/>
      <c r="C55" s="439"/>
      <c r="D55" s="439"/>
      <c r="E55" s="439"/>
    </row>
    <row r="56" spans="1:5" ht="12" customHeight="1" x14ac:dyDescent="0.3">
      <c r="A56" s="437" t="s">
        <v>25</v>
      </c>
      <c r="B56" s="432">
        <f>AVERAGE(B57:B61)</f>
        <v>34.225000000000001</v>
      </c>
      <c r="C56" s="432">
        <f>AVERAGE(C57:C61)</f>
        <v>53</v>
      </c>
      <c r="D56" s="432">
        <f>AVERAGE(D57:D61)</f>
        <v>94.073999999999998</v>
      </c>
      <c r="E56" s="432">
        <f>AVERAGE(E57:E61)</f>
        <v>31.133333333333336</v>
      </c>
    </row>
    <row r="57" spans="1:5" ht="12" customHeight="1" x14ac:dyDescent="0.3">
      <c r="A57" s="422" t="s">
        <v>564</v>
      </c>
      <c r="B57" s="433" t="s">
        <v>410</v>
      </c>
      <c r="C57" s="433">
        <v>58</v>
      </c>
      <c r="D57" s="433">
        <v>83</v>
      </c>
      <c r="E57" s="433" t="s">
        <v>410</v>
      </c>
    </row>
    <row r="58" spans="1:5" ht="12" customHeight="1" x14ac:dyDescent="0.3">
      <c r="A58" s="422" t="s">
        <v>53</v>
      </c>
      <c r="B58" s="433">
        <v>40.450000000000003</v>
      </c>
      <c r="C58" s="433" t="s">
        <v>439</v>
      </c>
      <c r="D58" s="433">
        <v>87.7</v>
      </c>
      <c r="E58" s="433">
        <v>36.4</v>
      </c>
    </row>
    <row r="59" spans="1:5" ht="12" customHeight="1" x14ac:dyDescent="0.3">
      <c r="A59" s="422" t="s">
        <v>565</v>
      </c>
      <c r="B59" s="433" t="s">
        <v>410</v>
      </c>
      <c r="C59" s="433" t="s">
        <v>439</v>
      </c>
      <c r="D59" s="433">
        <v>99</v>
      </c>
      <c r="E59" s="433" t="s">
        <v>410</v>
      </c>
    </row>
    <row r="60" spans="1:5" ht="12" customHeight="1" x14ac:dyDescent="0.3">
      <c r="A60" s="422" t="s">
        <v>58</v>
      </c>
      <c r="B60" s="433">
        <v>28</v>
      </c>
      <c r="C60" s="433" t="s">
        <v>439</v>
      </c>
      <c r="D60" s="433">
        <v>110</v>
      </c>
      <c r="E60" s="433">
        <v>30</v>
      </c>
    </row>
    <row r="61" spans="1:5" ht="12" customHeight="1" x14ac:dyDescent="0.3">
      <c r="A61" s="422" t="s">
        <v>566</v>
      </c>
      <c r="B61" s="433" t="s">
        <v>410</v>
      </c>
      <c r="C61" s="433">
        <v>48</v>
      </c>
      <c r="D61" s="433">
        <v>90.67</v>
      </c>
      <c r="E61" s="433">
        <v>27</v>
      </c>
    </row>
    <row r="62" spans="1:5" ht="12" customHeight="1" x14ac:dyDescent="0.3">
      <c r="A62" s="437" t="s">
        <v>86</v>
      </c>
      <c r="B62" s="432">
        <f>AVERAGE(B63:B74)</f>
        <v>88.834285714285713</v>
      </c>
      <c r="C62" s="432">
        <f>AVERAGE(C63:C74)</f>
        <v>71.63000000000001</v>
      </c>
      <c r="D62" s="432">
        <f>AVERAGE(D63:D74)</f>
        <v>91.120909090909109</v>
      </c>
      <c r="E62" s="432">
        <f>AVERAGE(E63:E74)</f>
        <v>24.833333333333332</v>
      </c>
    </row>
    <row r="63" spans="1:5" ht="12" customHeight="1" x14ac:dyDescent="0.3">
      <c r="A63" s="422" t="s">
        <v>28</v>
      </c>
      <c r="B63" s="433">
        <v>90.67</v>
      </c>
      <c r="C63" s="433">
        <v>70</v>
      </c>
      <c r="D63" s="433">
        <v>89.5</v>
      </c>
      <c r="E63" s="433">
        <v>24.5</v>
      </c>
    </row>
    <row r="64" spans="1:5" ht="12" customHeight="1" x14ac:dyDescent="0.3">
      <c r="A64" s="422" t="s">
        <v>82</v>
      </c>
      <c r="B64" s="433" t="s">
        <v>410</v>
      </c>
      <c r="C64" s="433">
        <v>91.5</v>
      </c>
      <c r="D64" s="433">
        <v>115</v>
      </c>
      <c r="E64" s="433" t="s">
        <v>410</v>
      </c>
    </row>
    <row r="65" spans="1:5" ht="12" customHeight="1" x14ac:dyDescent="0.3">
      <c r="A65" s="422" t="s">
        <v>29</v>
      </c>
      <c r="B65" s="433">
        <v>77.5</v>
      </c>
      <c r="C65" s="433">
        <v>65</v>
      </c>
      <c r="D65" s="433">
        <v>85</v>
      </c>
      <c r="E65" s="433" t="s">
        <v>410</v>
      </c>
    </row>
    <row r="66" spans="1:5" ht="12" customHeight="1" x14ac:dyDescent="0.3">
      <c r="A66" s="422" t="s">
        <v>30</v>
      </c>
      <c r="B66" s="433">
        <v>109</v>
      </c>
      <c r="C66" s="433">
        <v>69.67</v>
      </c>
      <c r="D66" s="433">
        <v>88.75</v>
      </c>
      <c r="E66" s="433">
        <v>28</v>
      </c>
    </row>
    <row r="67" spans="1:5" ht="12" customHeight="1" x14ac:dyDescent="0.3">
      <c r="A67" s="422" t="s">
        <v>64</v>
      </c>
      <c r="B67" s="433" t="s">
        <v>439</v>
      </c>
      <c r="C67" s="433" t="s">
        <v>439</v>
      </c>
      <c r="D67" s="433">
        <v>91.67</v>
      </c>
      <c r="E67" s="433" t="s">
        <v>410</v>
      </c>
    </row>
    <row r="68" spans="1:5" ht="12" customHeight="1" x14ac:dyDescent="0.3">
      <c r="A68" s="422" t="s">
        <v>31</v>
      </c>
      <c r="B68" s="433" t="s">
        <v>439</v>
      </c>
      <c r="C68" s="433">
        <v>65</v>
      </c>
      <c r="D68" s="433">
        <v>86</v>
      </c>
      <c r="E68" s="433" t="s">
        <v>439</v>
      </c>
    </row>
    <row r="69" spans="1:5" ht="12" customHeight="1" x14ac:dyDescent="0.3">
      <c r="A69" s="422" t="s">
        <v>54</v>
      </c>
      <c r="B69" s="433">
        <v>82.67</v>
      </c>
      <c r="C69" s="433" t="s">
        <v>410</v>
      </c>
      <c r="D69" s="433" t="s">
        <v>439</v>
      </c>
      <c r="E69" s="433" t="s">
        <v>439</v>
      </c>
    </row>
    <row r="70" spans="1:5" ht="12" customHeight="1" x14ac:dyDescent="0.3">
      <c r="A70" s="422" t="s">
        <v>83</v>
      </c>
      <c r="B70" s="433">
        <v>100</v>
      </c>
      <c r="C70" s="433">
        <v>90</v>
      </c>
      <c r="D70" s="433">
        <v>95</v>
      </c>
      <c r="E70" s="433" t="s">
        <v>439</v>
      </c>
    </row>
    <row r="71" spans="1:5" ht="12" customHeight="1" x14ac:dyDescent="0.3">
      <c r="A71" s="422" t="s">
        <v>32</v>
      </c>
      <c r="B71" s="433" t="s">
        <v>439</v>
      </c>
      <c r="C71" s="433">
        <v>65.5</v>
      </c>
      <c r="D71" s="433">
        <v>86.75</v>
      </c>
      <c r="E71" s="433" t="s">
        <v>439</v>
      </c>
    </row>
    <row r="72" spans="1:5" ht="12" customHeight="1" x14ac:dyDescent="0.3">
      <c r="A72" s="422" t="s">
        <v>33</v>
      </c>
      <c r="B72" s="433" t="s">
        <v>439</v>
      </c>
      <c r="C72" s="433" t="s">
        <v>439</v>
      </c>
      <c r="D72" s="433">
        <v>88.33</v>
      </c>
      <c r="E72" s="433" t="s">
        <v>439</v>
      </c>
    </row>
    <row r="73" spans="1:5" ht="12" customHeight="1" x14ac:dyDescent="0.3">
      <c r="A73" s="422" t="s">
        <v>34</v>
      </c>
      <c r="B73" s="433">
        <v>90</v>
      </c>
      <c r="C73" s="433">
        <v>60</v>
      </c>
      <c r="D73" s="433">
        <v>86.33</v>
      </c>
      <c r="E73" s="433" t="s">
        <v>410</v>
      </c>
    </row>
    <row r="74" spans="1:5" ht="12" customHeight="1" x14ac:dyDescent="0.3">
      <c r="A74" s="422" t="s">
        <v>66</v>
      </c>
      <c r="B74" s="433">
        <v>72</v>
      </c>
      <c r="C74" s="433">
        <v>68</v>
      </c>
      <c r="D74" s="433">
        <v>90</v>
      </c>
      <c r="E74" s="433">
        <v>22</v>
      </c>
    </row>
    <row r="75" spans="1:5" ht="12" customHeight="1" x14ac:dyDescent="0.3">
      <c r="A75" s="437" t="s">
        <v>35</v>
      </c>
      <c r="B75" s="432" t="s">
        <v>4</v>
      </c>
      <c r="C75" s="432">
        <f t="shared" ref="C75:D75" si="3">AVERAGE(C76:C78)</f>
        <v>58.166666666666664</v>
      </c>
      <c r="D75" s="432">
        <f t="shared" si="3"/>
        <v>85.666666666666671</v>
      </c>
      <c r="E75" s="433" t="s">
        <v>4</v>
      </c>
    </row>
    <row r="76" spans="1:5" ht="12" customHeight="1" x14ac:dyDescent="0.3">
      <c r="A76" s="422" t="s">
        <v>36</v>
      </c>
      <c r="B76" s="433" t="s">
        <v>410</v>
      </c>
      <c r="C76" s="433">
        <v>56.5</v>
      </c>
      <c r="D76" s="433">
        <v>84</v>
      </c>
      <c r="E76" s="433" t="s">
        <v>439</v>
      </c>
    </row>
    <row r="77" spans="1:5" ht="12" customHeight="1" x14ac:dyDescent="0.3">
      <c r="A77" s="422" t="s">
        <v>38</v>
      </c>
      <c r="B77" s="433" t="s">
        <v>410</v>
      </c>
      <c r="C77" s="433">
        <v>57.5</v>
      </c>
      <c r="D77" s="433">
        <v>85</v>
      </c>
      <c r="E77" s="433" t="s">
        <v>439</v>
      </c>
    </row>
    <row r="78" spans="1:5" ht="12" customHeight="1" x14ac:dyDescent="0.3">
      <c r="A78" s="422" t="s">
        <v>37</v>
      </c>
      <c r="B78" s="433" t="s">
        <v>410</v>
      </c>
      <c r="C78" s="433">
        <v>60.5</v>
      </c>
      <c r="D78" s="433">
        <v>88</v>
      </c>
      <c r="E78" s="433" t="s">
        <v>439</v>
      </c>
    </row>
    <row r="79" spans="1:5" ht="12" customHeight="1" x14ac:dyDescent="0.3">
      <c r="A79" s="437" t="s">
        <v>187</v>
      </c>
      <c r="B79" s="432" t="s">
        <v>4</v>
      </c>
      <c r="C79" s="432" t="s">
        <v>4</v>
      </c>
      <c r="D79" s="432">
        <v>96</v>
      </c>
      <c r="E79" s="432">
        <v>31</v>
      </c>
    </row>
    <row r="80" spans="1:5" ht="12" customHeight="1" x14ac:dyDescent="0.3">
      <c r="A80" s="436" t="s">
        <v>513</v>
      </c>
      <c r="B80" s="433" t="s">
        <v>410</v>
      </c>
      <c r="C80" s="433" t="s">
        <v>410</v>
      </c>
      <c r="D80" s="433">
        <v>96</v>
      </c>
      <c r="E80" s="433">
        <v>31</v>
      </c>
    </row>
    <row r="81" spans="1:5" ht="12" customHeight="1" x14ac:dyDescent="0.3">
      <c r="A81" s="437" t="s">
        <v>192</v>
      </c>
      <c r="B81" s="432">
        <f t="shared" ref="B81:E81" si="4">B82</f>
        <v>51.67</v>
      </c>
      <c r="C81" s="432">
        <f t="shared" si="4"/>
        <v>65</v>
      </c>
      <c r="D81" s="432">
        <f t="shared" si="4"/>
        <v>85</v>
      </c>
      <c r="E81" s="432">
        <f t="shared" si="4"/>
        <v>28</v>
      </c>
    </row>
    <row r="82" spans="1:5" ht="12" customHeight="1" x14ac:dyDescent="0.3">
      <c r="A82" s="422" t="s">
        <v>195</v>
      </c>
      <c r="B82" s="433">
        <v>51.67</v>
      </c>
      <c r="C82" s="433">
        <v>65</v>
      </c>
      <c r="D82" s="433">
        <v>85</v>
      </c>
      <c r="E82" s="433">
        <v>28</v>
      </c>
    </row>
    <row r="83" spans="1:5" ht="12" customHeight="1" x14ac:dyDescent="0.3">
      <c r="A83" s="437" t="s">
        <v>39</v>
      </c>
      <c r="B83" s="432">
        <f t="shared" ref="B83:E83" si="5">AVERAGE(B84:B86)</f>
        <v>46.814999999999998</v>
      </c>
      <c r="C83" s="432">
        <f t="shared" si="5"/>
        <v>65.495000000000005</v>
      </c>
      <c r="D83" s="432">
        <f t="shared" si="5"/>
        <v>88.773333333333326</v>
      </c>
      <c r="E83" s="432">
        <f t="shared" si="5"/>
        <v>28.81</v>
      </c>
    </row>
    <row r="84" spans="1:5" ht="12" customHeight="1" x14ac:dyDescent="0.3">
      <c r="A84" s="422" t="s">
        <v>41</v>
      </c>
      <c r="B84" s="433">
        <v>68</v>
      </c>
      <c r="C84" s="433">
        <v>69.89</v>
      </c>
      <c r="D84" s="433">
        <v>87.75</v>
      </c>
      <c r="E84" s="433">
        <v>27.33</v>
      </c>
    </row>
    <row r="85" spans="1:5" ht="12" customHeight="1" x14ac:dyDescent="0.3">
      <c r="A85" s="422" t="s">
        <v>40</v>
      </c>
      <c r="B85" s="433">
        <v>25.63</v>
      </c>
      <c r="C85" s="433">
        <v>61.1</v>
      </c>
      <c r="D85" s="433">
        <v>88.57</v>
      </c>
      <c r="E85" s="433">
        <v>30.29</v>
      </c>
    </row>
    <row r="86" spans="1:5" ht="12" customHeight="1" x14ac:dyDescent="0.3">
      <c r="A86" s="422" t="s">
        <v>401</v>
      </c>
      <c r="B86" s="433" t="s">
        <v>410</v>
      </c>
      <c r="C86" s="433" t="s">
        <v>410</v>
      </c>
      <c r="D86" s="433">
        <v>90</v>
      </c>
      <c r="E86" s="433" t="s">
        <v>410</v>
      </c>
    </row>
    <row r="87" spans="1:5" ht="12" customHeight="1" x14ac:dyDescent="0.3">
      <c r="A87" s="437" t="s">
        <v>42</v>
      </c>
      <c r="B87" s="432" t="s">
        <v>4</v>
      </c>
      <c r="C87" s="432">
        <f t="shared" ref="C87:E87" si="6">AVERAGE(C88:C91)</f>
        <v>61.5</v>
      </c>
      <c r="D87" s="432">
        <f t="shared" si="6"/>
        <v>93.542500000000004</v>
      </c>
      <c r="E87" s="432">
        <f t="shared" si="6"/>
        <v>20</v>
      </c>
    </row>
    <row r="88" spans="1:5" ht="12" customHeight="1" x14ac:dyDescent="0.3">
      <c r="A88" s="422" t="s">
        <v>45</v>
      </c>
      <c r="B88" s="433" t="s">
        <v>410</v>
      </c>
      <c r="C88" s="433" t="s">
        <v>410</v>
      </c>
      <c r="D88" s="433">
        <v>89.67</v>
      </c>
      <c r="E88" s="433" t="s">
        <v>410</v>
      </c>
    </row>
    <row r="89" spans="1:5" ht="12" customHeight="1" x14ac:dyDescent="0.3">
      <c r="A89" s="436" t="s">
        <v>414</v>
      </c>
      <c r="B89" s="433" t="s">
        <v>410</v>
      </c>
      <c r="C89" s="433">
        <v>61.5</v>
      </c>
      <c r="D89" s="433">
        <v>84.5</v>
      </c>
      <c r="E89" s="433" t="s">
        <v>410</v>
      </c>
    </row>
    <row r="90" spans="1:5" ht="12" customHeight="1" x14ac:dyDescent="0.3">
      <c r="A90" s="436" t="s">
        <v>44</v>
      </c>
      <c r="B90" s="433" t="s">
        <v>410</v>
      </c>
      <c r="C90" s="433" t="s">
        <v>410</v>
      </c>
      <c r="D90" s="433">
        <v>110</v>
      </c>
      <c r="E90" s="433" t="s">
        <v>410</v>
      </c>
    </row>
    <row r="91" spans="1:5" ht="12" customHeight="1" x14ac:dyDescent="0.3">
      <c r="A91" s="436" t="s">
        <v>402</v>
      </c>
      <c r="B91" s="433" t="s">
        <v>410</v>
      </c>
      <c r="C91" s="433" t="s">
        <v>410</v>
      </c>
      <c r="D91" s="433">
        <v>90</v>
      </c>
      <c r="E91" s="433">
        <v>20</v>
      </c>
    </row>
    <row r="92" spans="1:5" ht="12" customHeight="1" x14ac:dyDescent="0.3">
      <c r="A92" s="437" t="s">
        <v>196</v>
      </c>
      <c r="B92" s="432" t="s">
        <v>4</v>
      </c>
      <c r="C92" s="432">
        <f>AVERAGE(C93)</f>
        <v>76.5</v>
      </c>
      <c r="D92" s="432">
        <f t="shared" ref="D92:E92" si="7">AVERAGE(D93)</f>
        <v>89.5</v>
      </c>
      <c r="E92" s="432">
        <f t="shared" si="7"/>
        <v>65</v>
      </c>
    </row>
    <row r="93" spans="1:5" ht="12" customHeight="1" x14ac:dyDescent="0.3">
      <c r="A93" s="436" t="s">
        <v>199</v>
      </c>
      <c r="B93" s="433" t="s">
        <v>410</v>
      </c>
      <c r="C93" s="433">
        <v>76.5</v>
      </c>
      <c r="D93" s="433">
        <v>89.5</v>
      </c>
      <c r="E93" s="433">
        <v>65</v>
      </c>
    </row>
    <row r="94" spans="1:5" ht="12" customHeight="1" x14ac:dyDescent="0.3">
      <c r="A94" s="423" t="s">
        <v>89</v>
      </c>
      <c r="B94" s="418" t="s">
        <v>4</v>
      </c>
      <c r="C94" s="418" t="s">
        <v>4</v>
      </c>
      <c r="D94" s="432">
        <f t="shared" ref="D94:E94" si="8">AVERAGE(D95)</f>
        <v>85</v>
      </c>
      <c r="E94" s="432">
        <f t="shared" si="8"/>
        <v>25</v>
      </c>
    </row>
    <row r="95" spans="1:5" ht="12" customHeight="1" x14ac:dyDescent="0.3">
      <c r="A95" s="422" t="s">
        <v>90</v>
      </c>
      <c r="B95" s="420" t="s">
        <v>410</v>
      </c>
      <c r="C95" s="420" t="s">
        <v>410</v>
      </c>
      <c r="D95" s="433">
        <v>85</v>
      </c>
      <c r="E95" s="433">
        <v>25</v>
      </c>
    </row>
    <row r="96" spans="1:5" ht="12" customHeight="1" x14ac:dyDescent="0.3">
      <c r="A96" s="423" t="s">
        <v>71</v>
      </c>
      <c r="B96" s="432">
        <f>AVERAGE(B97)</f>
        <v>54</v>
      </c>
      <c r="C96" s="432" t="s">
        <v>4</v>
      </c>
      <c r="D96" s="432" t="s">
        <v>4</v>
      </c>
      <c r="E96" s="432" t="s">
        <v>4</v>
      </c>
    </row>
    <row r="97" spans="1:5" ht="12" customHeight="1" x14ac:dyDescent="0.3">
      <c r="A97" s="422" t="s">
        <v>74</v>
      </c>
      <c r="B97" s="433">
        <v>54</v>
      </c>
      <c r="C97" s="433" t="s">
        <v>410</v>
      </c>
      <c r="D97" s="433" t="s">
        <v>410</v>
      </c>
      <c r="E97" s="433" t="s">
        <v>410</v>
      </c>
    </row>
    <row r="98" spans="1:5" ht="12" customHeight="1" x14ac:dyDescent="0.3">
      <c r="A98" s="423" t="s">
        <v>46</v>
      </c>
      <c r="B98" s="432" t="s">
        <v>4</v>
      </c>
      <c r="C98" s="432" t="s">
        <v>4</v>
      </c>
      <c r="D98" s="432">
        <f>AVERAGE(D99)</f>
        <v>82.5</v>
      </c>
      <c r="E98" s="432">
        <f>AVERAGE(E99)</f>
        <v>35</v>
      </c>
    </row>
    <row r="99" spans="1:5" ht="12" customHeight="1" x14ac:dyDescent="0.3">
      <c r="A99" s="430" t="s">
        <v>47</v>
      </c>
      <c r="B99" s="433" t="s">
        <v>410</v>
      </c>
      <c r="C99" s="433" t="s">
        <v>410</v>
      </c>
      <c r="D99" s="433">
        <v>82.5</v>
      </c>
      <c r="E99" s="433">
        <v>35</v>
      </c>
    </row>
    <row r="100" spans="1:5" ht="9" customHeight="1" x14ac:dyDescent="0.3">
      <c r="A100" s="493" t="s">
        <v>87</v>
      </c>
      <c r="B100" s="496"/>
      <c r="C100" s="497"/>
      <c r="D100" s="498"/>
      <c r="E100" s="498"/>
    </row>
    <row r="101" spans="1:5" ht="9" customHeight="1" x14ac:dyDescent="0.3">
      <c r="A101" s="493" t="s">
        <v>67</v>
      </c>
      <c r="B101" s="499"/>
      <c r="C101" s="500"/>
      <c r="D101" s="499"/>
      <c r="E101" s="499"/>
    </row>
    <row r="102" spans="1:5" ht="9" customHeight="1" x14ac:dyDescent="0.3">
      <c r="A102" s="494" t="s">
        <v>68</v>
      </c>
      <c r="B102" s="455"/>
      <c r="C102" s="455"/>
      <c r="D102" s="455"/>
      <c r="E102" s="455"/>
    </row>
    <row r="103" spans="1:5" ht="15.75" customHeight="1" x14ac:dyDescent="0.3"/>
    <row r="104" spans="1:5" ht="15.75" customHeight="1" x14ac:dyDescent="0.3"/>
    <row r="105" spans="1:5" ht="15.75" customHeight="1" x14ac:dyDescent="0.3"/>
    <row r="106" spans="1:5" ht="15.75" customHeight="1" x14ac:dyDescent="0.3"/>
    <row r="107" spans="1:5" ht="15.75" customHeight="1" x14ac:dyDescent="0.3"/>
    <row r="108" spans="1:5" ht="15.75" customHeight="1" x14ac:dyDescent="0.3"/>
    <row r="109" spans="1:5" ht="15.75" customHeight="1" x14ac:dyDescent="0.3"/>
    <row r="110" spans="1:5" ht="15.75" customHeight="1" x14ac:dyDescent="0.3"/>
    <row r="111" spans="1:5" ht="15.75" customHeight="1" x14ac:dyDescent="0.3"/>
    <row r="112" spans="1:5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</sheetData>
  <pageMargins left="0.27559055118110237" right="0.27559055118110237" top="0.39370078740157483" bottom="0.39370078740157483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/>
  <dimension ref="A1:Z684"/>
  <sheetViews>
    <sheetView showGridLines="0" topLeftCell="A31" zoomScaleNormal="100" workbookViewId="0">
      <selection activeCell="A52" sqref="A52"/>
    </sheetView>
  </sheetViews>
  <sheetFormatPr baseColWidth="10" defaultColWidth="12.5546875" defaultRowHeight="15" customHeight="1" x14ac:dyDescent="0.3"/>
  <cols>
    <col min="1" max="1" width="17.33203125" style="2" customWidth="1"/>
    <col min="2" max="4" width="12.6640625" style="2" customWidth="1"/>
    <col min="5" max="5" width="6.33203125" style="2" customWidth="1"/>
    <col min="6" max="24" width="11.44140625" style="2" customWidth="1"/>
    <col min="25" max="16384" width="12.5546875" style="2"/>
  </cols>
  <sheetData>
    <row r="1" spans="1:26" ht="12.75" customHeight="1" x14ac:dyDescent="0.3">
      <c r="A1" s="383" t="s">
        <v>442</v>
      </c>
      <c r="B1" s="386"/>
      <c r="C1" s="386"/>
      <c r="D1" s="386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</row>
    <row r="2" spans="1:26" ht="12" customHeight="1" x14ac:dyDescent="0.3">
      <c r="A2" s="619" t="s">
        <v>590</v>
      </c>
      <c r="B2" s="386"/>
      <c r="C2" s="386"/>
      <c r="D2" s="386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</row>
    <row r="3" spans="1:26" ht="12" customHeight="1" x14ac:dyDescent="0.3">
      <c r="A3" s="619" t="s">
        <v>441</v>
      </c>
      <c r="B3" s="386"/>
      <c r="C3" s="386"/>
      <c r="D3" s="386"/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4"/>
      <c r="P3" s="384"/>
      <c r="Q3" s="384"/>
      <c r="R3" s="384"/>
      <c r="S3" s="384"/>
      <c r="T3" s="384"/>
      <c r="U3" s="384"/>
      <c r="V3" s="384"/>
      <c r="W3" s="384"/>
      <c r="X3" s="384"/>
      <c r="Y3" s="384"/>
      <c r="Z3" s="384"/>
    </row>
    <row r="4" spans="1:26" ht="4.5" customHeight="1" x14ac:dyDescent="0.3">
      <c r="A4" s="619"/>
      <c r="B4" s="387"/>
      <c r="C4" s="388"/>
      <c r="D4" s="387"/>
      <c r="E4" s="384"/>
      <c r="F4" s="384"/>
      <c r="G4" s="384"/>
      <c r="H4" s="384"/>
      <c r="I4" s="384"/>
      <c r="J4" s="384"/>
      <c r="K4" s="384"/>
      <c r="L4" s="384"/>
      <c r="M4" s="384"/>
      <c r="N4" s="384"/>
      <c r="O4" s="384"/>
      <c r="P4" s="384"/>
      <c r="Q4" s="384"/>
      <c r="R4" s="384"/>
      <c r="S4" s="384"/>
      <c r="T4" s="384"/>
      <c r="U4" s="384"/>
      <c r="V4" s="384"/>
      <c r="W4" s="384"/>
      <c r="X4" s="384"/>
      <c r="Y4" s="384"/>
      <c r="Z4" s="384"/>
    </row>
    <row r="5" spans="1:26" ht="24" customHeight="1" x14ac:dyDescent="0.3">
      <c r="A5" s="414" t="s">
        <v>597</v>
      </c>
      <c r="B5" s="414" t="s">
        <v>608</v>
      </c>
      <c r="C5" s="414" t="s">
        <v>609</v>
      </c>
      <c r="D5" s="414" t="s">
        <v>514</v>
      </c>
    </row>
    <row r="6" spans="1:26" ht="3.75" customHeight="1" x14ac:dyDescent="0.3">
      <c r="A6" s="415"/>
      <c r="B6" s="416"/>
      <c r="C6" s="416"/>
      <c r="D6" s="416"/>
    </row>
    <row r="7" spans="1:26" ht="12" customHeight="1" x14ac:dyDescent="0.3">
      <c r="A7" s="417" t="s">
        <v>426</v>
      </c>
      <c r="B7" s="432">
        <f>AVERAGE(B8:B10)</f>
        <v>22</v>
      </c>
      <c r="C7" s="432">
        <f>AVERAGE(C8:C10)</f>
        <v>38.5</v>
      </c>
      <c r="D7" s="432">
        <f>AVERAGE(D8:D10)</f>
        <v>108.33333333333333</v>
      </c>
    </row>
    <row r="8" spans="1:26" ht="12" customHeight="1" x14ac:dyDescent="0.3">
      <c r="A8" s="419" t="s">
        <v>584</v>
      </c>
      <c r="B8" s="433">
        <v>20</v>
      </c>
      <c r="C8" s="433">
        <v>50</v>
      </c>
      <c r="D8" s="433">
        <v>62.5</v>
      </c>
    </row>
    <row r="9" spans="1:26" ht="12" customHeight="1" x14ac:dyDescent="0.3">
      <c r="A9" s="419" t="s">
        <v>585</v>
      </c>
      <c r="B9" s="420" t="s">
        <v>410</v>
      </c>
      <c r="C9" s="433">
        <v>27</v>
      </c>
      <c r="D9" s="433">
        <v>62.5</v>
      </c>
    </row>
    <row r="10" spans="1:26" ht="12" customHeight="1" x14ac:dyDescent="0.3">
      <c r="A10" s="419" t="s">
        <v>449</v>
      </c>
      <c r="B10" s="433">
        <v>24</v>
      </c>
      <c r="C10" s="433" t="s">
        <v>410</v>
      </c>
      <c r="D10" s="433">
        <v>200</v>
      </c>
    </row>
    <row r="11" spans="1:26" ht="12" customHeight="1" x14ac:dyDescent="0.3">
      <c r="A11" s="417" t="s">
        <v>77</v>
      </c>
      <c r="B11" s="432">
        <f>AVERAGE(B12:B16)</f>
        <v>39.806666666666665</v>
      </c>
      <c r="C11" s="432">
        <f>AVERAGE(C12:C16)</f>
        <v>55</v>
      </c>
      <c r="D11" s="432">
        <f>AVERAGE(D12:D16)</f>
        <v>45.5</v>
      </c>
    </row>
    <row r="12" spans="1:26" ht="12" customHeight="1" x14ac:dyDescent="0.3">
      <c r="A12" s="436" t="s">
        <v>153</v>
      </c>
      <c r="B12" s="433">
        <v>34.92</v>
      </c>
      <c r="C12" s="433" t="s">
        <v>410</v>
      </c>
      <c r="D12" s="433">
        <v>40.5</v>
      </c>
    </row>
    <row r="13" spans="1:26" ht="12" customHeight="1" x14ac:dyDescent="0.3">
      <c r="A13" s="436" t="s">
        <v>154</v>
      </c>
      <c r="B13" s="433" t="s">
        <v>410</v>
      </c>
      <c r="C13" s="433" t="s">
        <v>410</v>
      </c>
      <c r="D13" s="433">
        <v>50.5</v>
      </c>
    </row>
    <row r="14" spans="1:26" ht="12" customHeight="1" x14ac:dyDescent="0.3">
      <c r="A14" s="436" t="s">
        <v>589</v>
      </c>
      <c r="B14" s="433">
        <v>34</v>
      </c>
      <c r="C14" s="433" t="s">
        <v>410</v>
      </c>
      <c r="D14" s="433" t="s">
        <v>410</v>
      </c>
    </row>
    <row r="15" spans="1:26" ht="12" customHeight="1" x14ac:dyDescent="0.3">
      <c r="A15" s="436" t="s">
        <v>156</v>
      </c>
      <c r="B15" s="433" t="s">
        <v>410</v>
      </c>
      <c r="C15" s="433">
        <v>55</v>
      </c>
      <c r="D15" s="433" t="s">
        <v>410</v>
      </c>
    </row>
    <row r="16" spans="1:26" ht="12" customHeight="1" x14ac:dyDescent="0.3">
      <c r="A16" s="436" t="s">
        <v>159</v>
      </c>
      <c r="B16" s="433">
        <v>50.5</v>
      </c>
      <c r="C16" s="433" t="s">
        <v>410</v>
      </c>
      <c r="D16" s="433" t="s">
        <v>410</v>
      </c>
    </row>
    <row r="17" spans="1:4" ht="12" customHeight="1" x14ac:dyDescent="0.3">
      <c r="A17" s="437" t="s">
        <v>2</v>
      </c>
      <c r="B17" s="432">
        <f>AVERAGE(B18:B23)</f>
        <v>23.565999999999999</v>
      </c>
      <c r="C17" s="432">
        <f>AVERAGE(C18:C23)</f>
        <v>61.75</v>
      </c>
      <c r="D17" s="432">
        <f>AVERAGE(D18:D23)</f>
        <v>169.03399999999999</v>
      </c>
    </row>
    <row r="18" spans="1:4" ht="12" customHeight="1" x14ac:dyDescent="0.3">
      <c r="A18" s="422" t="s">
        <v>188</v>
      </c>
      <c r="B18" s="433">
        <v>23</v>
      </c>
      <c r="C18" s="433">
        <v>80</v>
      </c>
      <c r="D18" s="433">
        <v>180</v>
      </c>
    </row>
    <row r="19" spans="1:4" ht="12" customHeight="1" x14ac:dyDescent="0.3">
      <c r="A19" s="419" t="s">
        <v>5</v>
      </c>
      <c r="B19" s="433">
        <v>20</v>
      </c>
      <c r="C19" s="433">
        <v>45</v>
      </c>
      <c r="D19" s="433">
        <v>150</v>
      </c>
    </row>
    <row r="20" spans="1:4" ht="12" customHeight="1" x14ac:dyDescent="0.3">
      <c r="A20" s="419" t="s">
        <v>78</v>
      </c>
      <c r="B20" s="433">
        <v>28.5</v>
      </c>
      <c r="C20" s="433">
        <v>60.25</v>
      </c>
      <c r="D20" s="433">
        <v>169.75</v>
      </c>
    </row>
    <row r="21" spans="1:4" ht="12" customHeight="1" x14ac:dyDescent="0.3">
      <c r="A21" s="419" t="s">
        <v>61</v>
      </c>
      <c r="B21" s="433">
        <v>24.33</v>
      </c>
      <c r="C21" s="433" t="s">
        <v>410</v>
      </c>
      <c r="D21" s="433">
        <v>177.67</v>
      </c>
    </row>
    <row r="22" spans="1:4" ht="12" customHeight="1" x14ac:dyDescent="0.3">
      <c r="A22" s="419" t="s">
        <v>405</v>
      </c>
      <c r="B22" s="433">
        <v>22</v>
      </c>
      <c r="C22" s="433" t="s">
        <v>410</v>
      </c>
      <c r="D22" s="433" t="s">
        <v>410</v>
      </c>
    </row>
    <row r="23" spans="1:4" ht="12" customHeight="1" x14ac:dyDescent="0.3">
      <c r="A23" s="419" t="s">
        <v>85</v>
      </c>
      <c r="B23" s="433" t="s">
        <v>410</v>
      </c>
      <c r="C23" s="433" t="s">
        <v>410</v>
      </c>
      <c r="D23" s="433">
        <v>167.75</v>
      </c>
    </row>
    <row r="24" spans="1:4" ht="12" customHeight="1" x14ac:dyDescent="0.3">
      <c r="A24" s="437" t="s">
        <v>6</v>
      </c>
      <c r="B24" s="432">
        <f>AVERAGE(B25:B29)</f>
        <v>35.556666666666665</v>
      </c>
      <c r="C24" s="432" t="s">
        <v>4</v>
      </c>
      <c r="D24" s="432">
        <f>AVERAGE(D25:D29)</f>
        <v>182.08250000000001</v>
      </c>
    </row>
    <row r="25" spans="1:4" ht="12" customHeight="1" x14ac:dyDescent="0.3">
      <c r="A25" s="422" t="s">
        <v>11</v>
      </c>
      <c r="B25" s="433">
        <v>46.67</v>
      </c>
      <c r="C25" s="433" t="s">
        <v>439</v>
      </c>
      <c r="D25" s="433">
        <v>195</v>
      </c>
    </row>
    <row r="26" spans="1:4" ht="12" customHeight="1" x14ac:dyDescent="0.3">
      <c r="A26" s="422" t="s">
        <v>10</v>
      </c>
      <c r="B26" s="433">
        <v>25</v>
      </c>
      <c r="C26" s="433" t="s">
        <v>410</v>
      </c>
      <c r="D26" s="433" t="s">
        <v>410</v>
      </c>
    </row>
    <row r="27" spans="1:4" ht="12" customHeight="1" x14ac:dyDescent="0.3">
      <c r="A27" s="422" t="s">
        <v>8</v>
      </c>
      <c r="B27" s="433" t="s">
        <v>410</v>
      </c>
      <c r="C27" s="433" t="s">
        <v>410</v>
      </c>
      <c r="D27" s="433">
        <v>193.33</v>
      </c>
    </row>
    <row r="28" spans="1:4" ht="12" customHeight="1" x14ac:dyDescent="0.3">
      <c r="A28" s="422" t="s">
        <v>9</v>
      </c>
      <c r="B28" s="433">
        <v>35</v>
      </c>
      <c r="C28" s="433" t="s">
        <v>410</v>
      </c>
      <c r="D28" s="433">
        <v>181.67</v>
      </c>
    </row>
    <row r="29" spans="1:4" ht="12" customHeight="1" x14ac:dyDescent="0.3">
      <c r="A29" s="422" t="s">
        <v>92</v>
      </c>
      <c r="B29" s="433" t="s">
        <v>439</v>
      </c>
      <c r="C29" s="433" t="s">
        <v>439</v>
      </c>
      <c r="D29" s="433">
        <v>158.33000000000001</v>
      </c>
    </row>
    <row r="30" spans="1:4" ht="12" customHeight="1" x14ac:dyDescent="0.3">
      <c r="A30" s="423" t="s">
        <v>15</v>
      </c>
      <c r="B30" s="432">
        <f>AVERAGE(B31:B33)</f>
        <v>35.333333333333336</v>
      </c>
      <c r="C30" s="432">
        <f>AVERAGE(C31:C33)</f>
        <v>67</v>
      </c>
      <c r="D30" s="432">
        <f>AVERAGE(D31:D33)</f>
        <v>165</v>
      </c>
    </row>
    <row r="31" spans="1:4" ht="12" customHeight="1" x14ac:dyDescent="0.3">
      <c r="A31" s="422" t="s">
        <v>189</v>
      </c>
      <c r="B31" s="433">
        <v>30</v>
      </c>
      <c r="C31" s="433" t="s">
        <v>410</v>
      </c>
      <c r="D31" s="433" t="s">
        <v>410</v>
      </c>
    </row>
    <row r="32" spans="1:4" ht="12" customHeight="1" x14ac:dyDescent="0.3">
      <c r="A32" s="422" t="s">
        <v>70</v>
      </c>
      <c r="B32" s="433">
        <v>35</v>
      </c>
      <c r="C32" s="433" t="s">
        <v>439</v>
      </c>
      <c r="D32" s="433">
        <v>165</v>
      </c>
    </row>
    <row r="33" spans="1:4" ht="12" customHeight="1" x14ac:dyDescent="0.3">
      <c r="A33" s="422" t="s">
        <v>69</v>
      </c>
      <c r="B33" s="433">
        <v>41</v>
      </c>
      <c r="C33" s="433">
        <v>67</v>
      </c>
      <c r="D33" s="433" t="s">
        <v>439</v>
      </c>
    </row>
    <row r="34" spans="1:4" ht="12" customHeight="1" x14ac:dyDescent="0.3">
      <c r="A34" s="437" t="s">
        <v>16</v>
      </c>
      <c r="B34" s="432">
        <f>AVERAGE(B35)</f>
        <v>36.5</v>
      </c>
      <c r="C34" s="432" t="s">
        <v>4</v>
      </c>
      <c r="D34" s="432">
        <f>AVERAGE(D35)</f>
        <v>135.5</v>
      </c>
    </row>
    <row r="35" spans="1:4" ht="12" customHeight="1" x14ac:dyDescent="0.3">
      <c r="A35" s="422" t="s">
        <v>479</v>
      </c>
      <c r="B35" s="433">
        <v>36.5</v>
      </c>
      <c r="C35" s="433" t="s">
        <v>410</v>
      </c>
      <c r="D35" s="433">
        <v>135.5</v>
      </c>
    </row>
    <row r="36" spans="1:4" ht="12" customHeight="1" x14ac:dyDescent="0.3">
      <c r="A36" s="437" t="s">
        <v>18</v>
      </c>
      <c r="B36" s="432">
        <f>AVERAGE(B37:B43)</f>
        <v>30.9375</v>
      </c>
      <c r="C36" s="432" t="s">
        <v>4</v>
      </c>
      <c r="D36" s="432">
        <f>AVERAGE(D37:D43)</f>
        <v>171.94333333333336</v>
      </c>
    </row>
    <row r="37" spans="1:4" ht="12" customHeight="1" x14ac:dyDescent="0.3">
      <c r="A37" s="422" t="s">
        <v>19</v>
      </c>
      <c r="B37" s="433" t="s">
        <v>410</v>
      </c>
      <c r="C37" s="433" t="s">
        <v>439</v>
      </c>
      <c r="D37" s="433">
        <v>155</v>
      </c>
    </row>
    <row r="38" spans="1:4" ht="12" customHeight="1" x14ac:dyDescent="0.3">
      <c r="A38" s="422" t="s">
        <v>21</v>
      </c>
      <c r="B38" s="433" t="s">
        <v>410</v>
      </c>
      <c r="C38" s="433" t="s">
        <v>410</v>
      </c>
      <c r="D38" s="433">
        <v>163.33000000000001</v>
      </c>
    </row>
    <row r="39" spans="1:4" ht="12" customHeight="1" x14ac:dyDescent="0.3">
      <c r="A39" s="422" t="s">
        <v>20</v>
      </c>
      <c r="B39" s="433">
        <v>39.5</v>
      </c>
      <c r="C39" s="433" t="s">
        <v>410</v>
      </c>
      <c r="D39" s="433" t="s">
        <v>410</v>
      </c>
    </row>
    <row r="40" spans="1:4" ht="12" customHeight="1" x14ac:dyDescent="0.3">
      <c r="A40" s="422" t="s">
        <v>62</v>
      </c>
      <c r="B40" s="433">
        <v>35</v>
      </c>
      <c r="C40" s="433" t="s">
        <v>410</v>
      </c>
      <c r="D40" s="433" t="s">
        <v>410</v>
      </c>
    </row>
    <row r="41" spans="1:4" ht="12" customHeight="1" x14ac:dyDescent="0.3">
      <c r="A41" s="422" t="s">
        <v>80</v>
      </c>
      <c r="B41" s="433" t="s">
        <v>410</v>
      </c>
      <c r="C41" s="433" t="s">
        <v>439</v>
      </c>
      <c r="D41" s="433">
        <v>197.5</v>
      </c>
    </row>
    <row r="42" spans="1:4" ht="12" customHeight="1" x14ac:dyDescent="0.3">
      <c r="A42" s="422" t="s">
        <v>23</v>
      </c>
      <c r="B42" s="433">
        <v>27.5</v>
      </c>
      <c r="C42" s="433" t="s">
        <v>439</v>
      </c>
      <c r="D42" s="433" t="s">
        <v>439</v>
      </c>
    </row>
    <row r="43" spans="1:4" ht="12" customHeight="1" x14ac:dyDescent="0.3">
      <c r="A43" s="422" t="s">
        <v>22</v>
      </c>
      <c r="B43" s="433">
        <v>21.75</v>
      </c>
      <c r="C43" s="433" t="s">
        <v>410</v>
      </c>
      <c r="D43" s="433" t="s">
        <v>410</v>
      </c>
    </row>
    <row r="44" spans="1:4" ht="12" customHeight="1" x14ac:dyDescent="0.3">
      <c r="A44" s="437" t="s">
        <v>25</v>
      </c>
      <c r="B44" s="432">
        <f>AVERAGE(B45:B49)</f>
        <v>40.325000000000003</v>
      </c>
      <c r="C44" s="432" t="s">
        <v>4</v>
      </c>
      <c r="D44" s="432">
        <f>AVERAGE(D45:D49)</f>
        <v>188.4</v>
      </c>
    </row>
    <row r="45" spans="1:4" ht="12" customHeight="1" x14ac:dyDescent="0.3">
      <c r="A45" s="422" t="s">
        <v>53</v>
      </c>
      <c r="B45" s="433">
        <v>47.65</v>
      </c>
      <c r="C45" s="433" t="s">
        <v>410</v>
      </c>
      <c r="D45" s="433">
        <v>178.6</v>
      </c>
    </row>
    <row r="46" spans="1:4" ht="12" customHeight="1" x14ac:dyDescent="0.3">
      <c r="A46" s="422" t="s">
        <v>564</v>
      </c>
      <c r="B46" s="433" t="s">
        <v>410</v>
      </c>
      <c r="C46" s="433" t="s">
        <v>410</v>
      </c>
      <c r="D46" s="433">
        <v>198</v>
      </c>
    </row>
    <row r="47" spans="1:4" ht="12" customHeight="1" x14ac:dyDescent="0.3">
      <c r="A47" s="422" t="s">
        <v>565</v>
      </c>
      <c r="B47" s="433" t="s">
        <v>410</v>
      </c>
      <c r="C47" s="433" t="s">
        <v>410</v>
      </c>
      <c r="D47" s="433">
        <v>195</v>
      </c>
    </row>
    <row r="48" spans="1:4" ht="12" customHeight="1" x14ac:dyDescent="0.3">
      <c r="A48" s="422" t="s">
        <v>566</v>
      </c>
      <c r="B48" s="433" t="s">
        <v>410</v>
      </c>
      <c r="C48" s="433" t="s">
        <v>410</v>
      </c>
      <c r="D48" s="433">
        <v>182</v>
      </c>
    </row>
    <row r="49" spans="1:4" ht="12" customHeight="1" x14ac:dyDescent="0.3">
      <c r="A49" s="422" t="s">
        <v>58</v>
      </c>
      <c r="B49" s="433">
        <v>33</v>
      </c>
      <c r="C49" s="433" t="s">
        <v>410</v>
      </c>
      <c r="D49" s="433" t="s">
        <v>410</v>
      </c>
    </row>
    <row r="50" spans="1:4" ht="12" customHeight="1" x14ac:dyDescent="0.3">
      <c r="A50" s="424"/>
      <c r="B50" s="425"/>
      <c r="C50" s="425"/>
      <c r="D50" s="426" t="s">
        <v>26</v>
      </c>
    </row>
    <row r="51" spans="1:4" ht="12" customHeight="1" x14ac:dyDescent="0.3">
      <c r="A51" s="427" t="s">
        <v>515</v>
      </c>
      <c r="B51" s="427"/>
      <c r="C51" s="427"/>
      <c r="D51" s="439"/>
    </row>
    <row r="52" spans="1:4" ht="24" customHeight="1" x14ac:dyDescent="0.3">
      <c r="A52" s="414" t="s">
        <v>597</v>
      </c>
      <c r="B52" s="414" t="s">
        <v>608</v>
      </c>
      <c r="C52" s="414" t="s">
        <v>609</v>
      </c>
      <c r="D52" s="414" t="s">
        <v>514</v>
      </c>
    </row>
    <row r="53" spans="1:4" ht="4.5" customHeight="1" x14ac:dyDescent="0.3">
      <c r="A53" s="440"/>
      <c r="B53" s="439"/>
      <c r="C53" s="439"/>
      <c r="D53" s="439"/>
    </row>
    <row r="54" spans="1:4" ht="12" customHeight="1" x14ac:dyDescent="0.3">
      <c r="A54" s="437" t="s">
        <v>86</v>
      </c>
      <c r="B54" s="432">
        <f>AVERAGE(B55:B64)</f>
        <v>29</v>
      </c>
      <c r="C54" s="432" t="s">
        <v>4</v>
      </c>
      <c r="D54" s="432">
        <f>AVERAGE(D55:D64)</f>
        <v>206.26285714285717</v>
      </c>
    </row>
    <row r="55" spans="1:4" ht="12" customHeight="1" x14ac:dyDescent="0.3">
      <c r="A55" s="422" t="s">
        <v>28</v>
      </c>
      <c r="B55" s="433">
        <v>21</v>
      </c>
      <c r="C55" s="433" t="s">
        <v>439</v>
      </c>
      <c r="D55" s="433">
        <v>191.5</v>
      </c>
    </row>
    <row r="56" spans="1:4" ht="12" customHeight="1" x14ac:dyDescent="0.3">
      <c r="A56" s="422" t="s">
        <v>82</v>
      </c>
      <c r="B56" s="433">
        <v>44</v>
      </c>
      <c r="C56" s="433" t="s">
        <v>439</v>
      </c>
      <c r="D56" s="433" t="s">
        <v>439</v>
      </c>
    </row>
    <row r="57" spans="1:4" ht="12" customHeight="1" x14ac:dyDescent="0.3">
      <c r="A57" s="422" t="s">
        <v>30</v>
      </c>
      <c r="B57" s="433">
        <v>25</v>
      </c>
      <c r="C57" s="433" t="s">
        <v>439</v>
      </c>
      <c r="D57" s="433">
        <v>255</v>
      </c>
    </row>
    <row r="58" spans="1:4" ht="12" customHeight="1" x14ac:dyDescent="0.3">
      <c r="A58" s="422" t="s">
        <v>64</v>
      </c>
      <c r="B58" s="433" t="s">
        <v>410</v>
      </c>
      <c r="C58" s="433" t="s">
        <v>410</v>
      </c>
      <c r="D58" s="433">
        <v>260</v>
      </c>
    </row>
    <row r="59" spans="1:4" ht="12" customHeight="1" x14ac:dyDescent="0.3">
      <c r="A59" s="422" t="s">
        <v>83</v>
      </c>
      <c r="B59" s="433">
        <v>41.33</v>
      </c>
      <c r="C59" s="433" t="s">
        <v>439</v>
      </c>
      <c r="D59" s="433" t="s">
        <v>439</v>
      </c>
    </row>
    <row r="60" spans="1:4" ht="12" customHeight="1" x14ac:dyDescent="0.3">
      <c r="A60" s="422" t="s">
        <v>31</v>
      </c>
      <c r="B60" s="433">
        <v>30</v>
      </c>
      <c r="C60" s="433" t="s">
        <v>439</v>
      </c>
      <c r="D60" s="433">
        <v>181.67</v>
      </c>
    </row>
    <row r="61" spans="1:4" ht="12" customHeight="1" x14ac:dyDescent="0.3">
      <c r="A61" s="422" t="s">
        <v>54</v>
      </c>
      <c r="B61" s="433">
        <v>25.67</v>
      </c>
      <c r="C61" s="433" t="s">
        <v>439</v>
      </c>
      <c r="D61" s="433" t="s">
        <v>439</v>
      </c>
    </row>
    <row r="62" spans="1:4" ht="12" customHeight="1" x14ac:dyDescent="0.3">
      <c r="A62" s="422" t="s">
        <v>32</v>
      </c>
      <c r="B62" s="433" t="s">
        <v>439</v>
      </c>
      <c r="C62" s="433" t="s">
        <v>439</v>
      </c>
      <c r="D62" s="433">
        <v>189.5</v>
      </c>
    </row>
    <row r="63" spans="1:4" ht="12" customHeight="1" x14ac:dyDescent="0.3">
      <c r="A63" s="422" t="s">
        <v>34</v>
      </c>
      <c r="B63" s="433">
        <v>16</v>
      </c>
      <c r="C63" s="433" t="s">
        <v>439</v>
      </c>
      <c r="D63" s="433">
        <v>184.67</v>
      </c>
    </row>
    <row r="64" spans="1:4" ht="12" customHeight="1" x14ac:dyDescent="0.3">
      <c r="A64" s="422" t="s">
        <v>66</v>
      </c>
      <c r="B64" s="433" t="s">
        <v>410</v>
      </c>
      <c r="C64" s="433" t="s">
        <v>439</v>
      </c>
      <c r="D64" s="433">
        <v>181.5</v>
      </c>
    </row>
    <row r="65" spans="1:4" ht="12" customHeight="1" x14ac:dyDescent="0.3">
      <c r="A65" s="437" t="s">
        <v>35</v>
      </c>
      <c r="B65" s="432">
        <f>AVERAGE(B66:B68)</f>
        <v>25.666666666666668</v>
      </c>
      <c r="C65" s="432" t="s">
        <v>4</v>
      </c>
      <c r="D65" s="432">
        <f>AVERAGE(D66:D68)</f>
        <v>185.5</v>
      </c>
    </row>
    <row r="66" spans="1:4" ht="12" customHeight="1" x14ac:dyDescent="0.3">
      <c r="A66" s="422" t="s">
        <v>36</v>
      </c>
      <c r="B66" s="433">
        <v>24</v>
      </c>
      <c r="C66" s="433" t="s">
        <v>439</v>
      </c>
      <c r="D66" s="433">
        <v>182.5</v>
      </c>
    </row>
    <row r="67" spans="1:4" ht="12" customHeight="1" x14ac:dyDescent="0.3">
      <c r="A67" s="422" t="s">
        <v>38</v>
      </c>
      <c r="B67" s="433">
        <v>25.5</v>
      </c>
      <c r="C67" s="433" t="s">
        <v>439</v>
      </c>
      <c r="D67" s="433">
        <v>188.5</v>
      </c>
    </row>
    <row r="68" spans="1:4" ht="12" customHeight="1" x14ac:dyDescent="0.3">
      <c r="A68" s="422" t="s">
        <v>37</v>
      </c>
      <c r="B68" s="433">
        <v>27.5</v>
      </c>
      <c r="C68" s="433" t="s">
        <v>439</v>
      </c>
      <c r="D68" s="433" t="s">
        <v>410</v>
      </c>
    </row>
    <row r="69" spans="1:4" ht="12" customHeight="1" x14ac:dyDescent="0.3">
      <c r="A69" s="437" t="s">
        <v>192</v>
      </c>
      <c r="B69" s="432">
        <f t="shared" ref="B69:D69" si="0">AVERAGE(B70)</f>
        <v>25</v>
      </c>
      <c r="C69" s="432">
        <f t="shared" si="0"/>
        <v>56.67</v>
      </c>
      <c r="D69" s="432">
        <f t="shared" si="0"/>
        <v>183.33</v>
      </c>
    </row>
    <row r="70" spans="1:4" ht="12" customHeight="1" x14ac:dyDescent="0.3">
      <c r="A70" s="441" t="s">
        <v>195</v>
      </c>
      <c r="B70" s="433">
        <v>25</v>
      </c>
      <c r="C70" s="442">
        <v>56.67</v>
      </c>
      <c r="D70" s="442">
        <v>183.33</v>
      </c>
    </row>
    <row r="71" spans="1:4" ht="12" customHeight="1" x14ac:dyDescent="0.3">
      <c r="A71" s="437" t="s">
        <v>39</v>
      </c>
      <c r="B71" s="432">
        <f>AVERAGE(B72:B73)</f>
        <v>24.244999999999997</v>
      </c>
      <c r="C71" s="432" t="s">
        <v>4</v>
      </c>
      <c r="D71" s="432">
        <f>AVERAGE(D72:D73)</f>
        <v>130</v>
      </c>
    </row>
    <row r="72" spans="1:4" ht="12" customHeight="1" x14ac:dyDescent="0.3">
      <c r="A72" s="422" t="s">
        <v>41</v>
      </c>
      <c r="B72" s="433">
        <v>29.36</v>
      </c>
      <c r="C72" s="433" t="s">
        <v>410</v>
      </c>
      <c r="D72" s="433" t="s">
        <v>410</v>
      </c>
    </row>
    <row r="73" spans="1:4" ht="12" customHeight="1" x14ac:dyDescent="0.3">
      <c r="A73" s="422" t="s">
        <v>40</v>
      </c>
      <c r="B73" s="433">
        <v>19.13</v>
      </c>
      <c r="C73" s="433" t="s">
        <v>439</v>
      </c>
      <c r="D73" s="433">
        <v>130</v>
      </c>
    </row>
    <row r="74" spans="1:4" ht="12" customHeight="1" x14ac:dyDescent="0.3">
      <c r="A74" s="437" t="s">
        <v>42</v>
      </c>
      <c r="B74" s="432">
        <f>AVERAGE(B75:B77)</f>
        <v>25.5</v>
      </c>
      <c r="C74" s="432" t="s">
        <v>4</v>
      </c>
      <c r="D74" s="432">
        <f>AVERAGE(D75:D77)</f>
        <v>89.75</v>
      </c>
    </row>
    <row r="75" spans="1:4" ht="12" customHeight="1" x14ac:dyDescent="0.3">
      <c r="A75" s="441" t="s">
        <v>414</v>
      </c>
      <c r="B75" s="433">
        <v>25.5</v>
      </c>
      <c r="C75" s="433" t="s">
        <v>410</v>
      </c>
      <c r="D75" s="433" t="s">
        <v>410</v>
      </c>
    </row>
    <row r="76" spans="1:4" ht="12" customHeight="1" x14ac:dyDescent="0.3">
      <c r="A76" s="441" t="s">
        <v>43</v>
      </c>
      <c r="B76" s="432" t="s">
        <v>410</v>
      </c>
      <c r="C76" s="433" t="s">
        <v>410</v>
      </c>
      <c r="D76" s="433" t="s">
        <v>410</v>
      </c>
    </row>
    <row r="77" spans="1:4" ht="12" customHeight="1" x14ac:dyDescent="0.3">
      <c r="A77" s="436" t="s">
        <v>44</v>
      </c>
      <c r="B77" s="432" t="s">
        <v>410</v>
      </c>
      <c r="C77" s="433" t="s">
        <v>410</v>
      </c>
      <c r="D77" s="442">
        <v>89.75</v>
      </c>
    </row>
    <row r="78" spans="1:4" ht="12" customHeight="1" x14ac:dyDescent="0.3">
      <c r="A78" s="437" t="s">
        <v>196</v>
      </c>
      <c r="B78" s="432">
        <f>AVERAGE(B79:B80)</f>
        <v>33.664999999999999</v>
      </c>
      <c r="C78" s="432">
        <f t="shared" ref="C78:D78" si="1">AVERAGE(C79:C80)</f>
        <v>30</v>
      </c>
      <c r="D78" s="432">
        <f t="shared" si="1"/>
        <v>119.5</v>
      </c>
    </row>
    <row r="79" spans="1:4" ht="12" customHeight="1" x14ac:dyDescent="0.3">
      <c r="A79" s="436" t="s">
        <v>557</v>
      </c>
      <c r="B79" s="433">
        <v>45</v>
      </c>
      <c r="C79" s="433">
        <v>30</v>
      </c>
      <c r="D79" s="433">
        <v>50</v>
      </c>
    </row>
    <row r="80" spans="1:4" ht="12" customHeight="1" x14ac:dyDescent="0.3">
      <c r="A80" s="436" t="s">
        <v>199</v>
      </c>
      <c r="B80" s="433">
        <v>22.33</v>
      </c>
      <c r="C80" s="433" t="s">
        <v>410</v>
      </c>
      <c r="D80" s="433">
        <v>189</v>
      </c>
    </row>
    <row r="81" spans="1:4" ht="12" customHeight="1" x14ac:dyDescent="0.3">
      <c r="A81" s="437" t="s">
        <v>84</v>
      </c>
      <c r="B81" s="432">
        <f>AVERAGE(B82:B84)</f>
        <v>19.556666666666668</v>
      </c>
      <c r="C81" s="432" t="s">
        <v>4</v>
      </c>
      <c r="D81" s="432" t="s">
        <v>4</v>
      </c>
    </row>
    <row r="82" spans="1:4" ht="12" customHeight="1" x14ac:dyDescent="0.3">
      <c r="A82" s="422" t="s">
        <v>59</v>
      </c>
      <c r="B82" s="433">
        <v>20</v>
      </c>
      <c r="C82" s="433" t="s">
        <v>410</v>
      </c>
      <c r="D82" s="433" t="s">
        <v>410</v>
      </c>
    </row>
    <row r="83" spans="1:4" ht="12" customHeight="1" x14ac:dyDescent="0.3">
      <c r="A83" s="422" t="s">
        <v>558</v>
      </c>
      <c r="B83" s="433">
        <v>19.670000000000002</v>
      </c>
      <c r="C83" s="433" t="s">
        <v>410</v>
      </c>
      <c r="D83" s="433" t="s">
        <v>410</v>
      </c>
    </row>
    <row r="84" spans="1:4" ht="12" customHeight="1" x14ac:dyDescent="0.3">
      <c r="A84" s="422" t="s">
        <v>60</v>
      </c>
      <c r="B84" s="433">
        <v>19</v>
      </c>
      <c r="C84" s="433" t="s">
        <v>439</v>
      </c>
      <c r="D84" s="433" t="s">
        <v>410</v>
      </c>
    </row>
    <row r="85" spans="1:4" ht="12" customHeight="1" x14ac:dyDescent="0.3">
      <c r="A85" s="423" t="s">
        <v>89</v>
      </c>
      <c r="B85" s="432" t="s">
        <v>4</v>
      </c>
      <c r="C85" s="432">
        <f t="shared" ref="C85:D85" si="2">AVERAGE(C86:C87)</f>
        <v>45</v>
      </c>
      <c r="D85" s="432">
        <f t="shared" si="2"/>
        <v>196</v>
      </c>
    </row>
    <row r="86" spans="1:4" ht="12" customHeight="1" x14ac:dyDescent="0.3">
      <c r="A86" s="422" t="s">
        <v>559</v>
      </c>
      <c r="B86" s="433" t="s">
        <v>410</v>
      </c>
      <c r="C86" s="433">
        <v>45</v>
      </c>
      <c r="D86" s="433" t="s">
        <v>410</v>
      </c>
    </row>
    <row r="87" spans="1:4" ht="12" customHeight="1" x14ac:dyDescent="0.3">
      <c r="A87" s="422" t="s">
        <v>90</v>
      </c>
      <c r="B87" s="433" t="s">
        <v>410</v>
      </c>
      <c r="C87" s="433" t="s">
        <v>410</v>
      </c>
      <c r="D87" s="433">
        <v>196</v>
      </c>
    </row>
    <row r="88" spans="1:4" ht="12" customHeight="1" x14ac:dyDescent="0.3">
      <c r="A88" s="423" t="s">
        <v>71</v>
      </c>
      <c r="B88" s="432">
        <v>20</v>
      </c>
      <c r="C88" s="432" t="s">
        <v>4</v>
      </c>
      <c r="D88" s="432" t="s">
        <v>4</v>
      </c>
    </row>
    <row r="89" spans="1:4" ht="12" customHeight="1" x14ac:dyDescent="0.3">
      <c r="A89" s="422" t="s">
        <v>72</v>
      </c>
      <c r="B89" s="433">
        <v>20</v>
      </c>
      <c r="C89" s="433" t="s">
        <v>410</v>
      </c>
      <c r="D89" s="433" t="s">
        <v>410</v>
      </c>
    </row>
    <row r="90" spans="1:4" ht="12" customHeight="1" x14ac:dyDescent="0.3">
      <c r="A90" s="423" t="s">
        <v>46</v>
      </c>
      <c r="B90" s="432">
        <f>AVERAGE(B91)</f>
        <v>15</v>
      </c>
      <c r="C90" s="432" t="s">
        <v>4</v>
      </c>
      <c r="D90" s="432" t="s">
        <v>4</v>
      </c>
    </row>
    <row r="91" spans="1:4" ht="12" customHeight="1" x14ac:dyDescent="0.3">
      <c r="A91" s="430" t="s">
        <v>47</v>
      </c>
      <c r="B91" s="433">
        <v>15</v>
      </c>
      <c r="C91" s="433" t="s">
        <v>410</v>
      </c>
      <c r="D91" s="433" t="s">
        <v>410</v>
      </c>
    </row>
    <row r="92" spans="1:4" ht="9" customHeight="1" x14ac:dyDescent="0.3">
      <c r="A92" s="493" t="s">
        <v>87</v>
      </c>
      <c r="B92" s="496"/>
      <c r="C92" s="497"/>
      <c r="D92" s="496"/>
    </row>
    <row r="93" spans="1:4" ht="9" customHeight="1" x14ac:dyDescent="0.3">
      <c r="A93" s="493" t="s">
        <v>67</v>
      </c>
      <c r="B93" s="499"/>
      <c r="C93" s="500"/>
      <c r="D93" s="499"/>
    </row>
    <row r="94" spans="1:4" ht="9" customHeight="1" x14ac:dyDescent="0.3">
      <c r="A94" s="494" t="s">
        <v>68</v>
      </c>
      <c r="B94" s="455"/>
      <c r="C94" s="455"/>
      <c r="D94" s="455"/>
    </row>
    <row r="95" spans="1:4" ht="15.75" customHeight="1" x14ac:dyDescent="0.3"/>
    <row r="96" spans="1:4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</sheetData>
  <pageMargins left="0.27559055118110237" right="0.27559055118110237" top="0.39370078740157483" bottom="0.39370078740157483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9"/>
  <dimension ref="A1:D717"/>
  <sheetViews>
    <sheetView showGridLines="0" zoomScaleNormal="100" workbookViewId="0">
      <pane ySplit="4" topLeftCell="A5" activePane="bottomLeft" state="frozen"/>
      <selection activeCell="J12" sqref="J12"/>
      <selection pane="bottomLeft" sqref="A1:D74"/>
    </sheetView>
  </sheetViews>
  <sheetFormatPr baseColWidth="10" defaultColWidth="12.5546875" defaultRowHeight="15" customHeight="1" x14ac:dyDescent="0.3"/>
  <cols>
    <col min="1" max="1" width="19.44140625" style="632" customWidth="1"/>
    <col min="2" max="4" width="14.6640625" style="632" customWidth="1"/>
    <col min="5" max="5" width="12.6640625" style="632" customWidth="1"/>
    <col min="6" max="22" width="11.44140625" style="632" customWidth="1"/>
    <col min="23" max="24" width="12.5546875" style="632" customWidth="1"/>
    <col min="25" max="16384" width="12.5546875" style="632"/>
  </cols>
  <sheetData>
    <row r="1" spans="1:4" ht="17.25" customHeight="1" x14ac:dyDescent="0.3">
      <c r="A1" s="630" t="s">
        <v>440</v>
      </c>
      <c r="B1" s="633"/>
    </row>
    <row r="2" spans="1:4" ht="12" customHeight="1" x14ac:dyDescent="0.3">
      <c r="A2" s="501" t="s">
        <v>610</v>
      </c>
      <c r="B2" s="633"/>
    </row>
    <row r="3" spans="1:4" ht="12" customHeight="1" x14ac:dyDescent="0.3">
      <c r="A3" s="501" t="s">
        <v>611</v>
      </c>
      <c r="B3" s="633"/>
    </row>
    <row r="4" spans="1:4" ht="4.5" customHeight="1" x14ac:dyDescent="0.3">
      <c r="A4" s="634"/>
      <c r="B4" s="633"/>
    </row>
    <row r="5" spans="1:4" ht="24" customHeight="1" x14ac:dyDescent="0.3">
      <c r="A5" s="414" t="s">
        <v>612</v>
      </c>
      <c r="B5" s="443" t="s">
        <v>517</v>
      </c>
      <c r="C5" s="414" t="s">
        <v>518</v>
      </c>
      <c r="D5" s="444" t="s">
        <v>519</v>
      </c>
    </row>
    <row r="6" spans="1:4" ht="4.5" customHeight="1" x14ac:dyDescent="0.3">
      <c r="A6" s="415"/>
      <c r="B6" s="445"/>
      <c r="C6" s="416"/>
      <c r="D6" s="416"/>
    </row>
    <row r="7" spans="1:4" ht="11.1" customHeight="1" x14ac:dyDescent="0.3">
      <c r="A7" s="446" t="s">
        <v>473</v>
      </c>
      <c r="B7" s="432">
        <f>AVERAGE(B8:B9)</f>
        <v>34.164999999999999</v>
      </c>
      <c r="C7" s="432">
        <f>AVERAGE(C8:C9)</f>
        <v>40</v>
      </c>
      <c r="D7" s="432" t="s">
        <v>4</v>
      </c>
    </row>
    <row r="8" spans="1:4" ht="11.1" customHeight="1" x14ac:dyDescent="0.3">
      <c r="A8" s="438" t="s">
        <v>484</v>
      </c>
      <c r="B8" s="433">
        <v>43.33</v>
      </c>
      <c r="C8" s="433">
        <v>40</v>
      </c>
      <c r="D8" s="420" t="s">
        <v>410</v>
      </c>
    </row>
    <row r="9" spans="1:4" ht="11.1" customHeight="1" x14ac:dyDescent="0.3">
      <c r="A9" s="438" t="s">
        <v>476</v>
      </c>
      <c r="B9" s="433">
        <v>25</v>
      </c>
      <c r="C9" s="433" t="s">
        <v>410</v>
      </c>
      <c r="D9" s="420" t="s">
        <v>410</v>
      </c>
    </row>
    <row r="10" spans="1:4" ht="11.1" customHeight="1" x14ac:dyDescent="0.3">
      <c r="A10" s="417" t="s">
        <v>426</v>
      </c>
      <c r="B10" s="432">
        <f>AVERAGE(B11:B14)</f>
        <v>31.7</v>
      </c>
      <c r="C10" s="432">
        <f>AVERAGE(C13:C14)</f>
        <v>39</v>
      </c>
      <c r="D10" s="432">
        <f>AVERAGE(D11:D14)</f>
        <v>31.166666666666668</v>
      </c>
    </row>
    <row r="11" spans="1:4" ht="11.1" customHeight="1" x14ac:dyDescent="0.3">
      <c r="A11" s="419" t="s">
        <v>427</v>
      </c>
      <c r="B11" s="433">
        <v>17.8</v>
      </c>
      <c r="C11" s="433" t="s">
        <v>410</v>
      </c>
      <c r="D11" s="420" t="s">
        <v>410</v>
      </c>
    </row>
    <row r="12" spans="1:4" ht="11.1" customHeight="1" x14ac:dyDescent="0.3">
      <c r="A12" s="419" t="s">
        <v>428</v>
      </c>
      <c r="B12" s="433">
        <v>10</v>
      </c>
      <c r="C12" s="433" t="s">
        <v>410</v>
      </c>
      <c r="D12" s="433">
        <v>10</v>
      </c>
    </row>
    <row r="13" spans="1:4" ht="11.1" customHeight="1" x14ac:dyDescent="0.3">
      <c r="A13" s="419" t="s">
        <v>429</v>
      </c>
      <c r="B13" s="433">
        <v>60</v>
      </c>
      <c r="C13" s="433" t="s">
        <v>410</v>
      </c>
      <c r="D13" s="433">
        <v>50</v>
      </c>
    </row>
    <row r="14" spans="1:4" ht="11.1" customHeight="1" x14ac:dyDescent="0.3">
      <c r="A14" s="419" t="s">
        <v>585</v>
      </c>
      <c r="B14" s="433">
        <v>39</v>
      </c>
      <c r="C14" s="433">
        <v>39</v>
      </c>
      <c r="D14" s="433">
        <v>33.5</v>
      </c>
    </row>
    <row r="15" spans="1:4" ht="11.1" customHeight="1" x14ac:dyDescent="0.3">
      <c r="A15" s="417" t="s">
        <v>77</v>
      </c>
      <c r="B15" s="432">
        <f t="shared" ref="B15:D15" si="0">AVERAGE(B16:B19)</f>
        <v>43.556666666666672</v>
      </c>
      <c r="C15" s="432">
        <f t="shared" si="0"/>
        <v>46.556666666666672</v>
      </c>
      <c r="D15" s="432">
        <f t="shared" si="0"/>
        <v>37.335000000000001</v>
      </c>
    </row>
    <row r="16" spans="1:4" ht="11.1" customHeight="1" x14ac:dyDescent="0.3">
      <c r="A16" s="436" t="s">
        <v>153</v>
      </c>
      <c r="B16" s="433">
        <v>30.67</v>
      </c>
      <c r="C16" s="433">
        <v>44.67</v>
      </c>
      <c r="D16" s="433">
        <v>25.67</v>
      </c>
    </row>
    <row r="17" spans="1:4" ht="11.1" customHeight="1" x14ac:dyDescent="0.3">
      <c r="A17" s="436" t="s">
        <v>154</v>
      </c>
      <c r="B17" s="433">
        <v>50.5</v>
      </c>
      <c r="C17" s="433" t="s">
        <v>439</v>
      </c>
      <c r="D17" s="433" t="s">
        <v>439</v>
      </c>
    </row>
    <row r="18" spans="1:4" ht="11.1" customHeight="1" x14ac:dyDescent="0.3">
      <c r="A18" s="436" t="s">
        <v>589</v>
      </c>
      <c r="B18" s="433" t="s">
        <v>439</v>
      </c>
      <c r="C18" s="433">
        <v>46</v>
      </c>
      <c r="D18" s="433" t="s">
        <v>439</v>
      </c>
    </row>
    <row r="19" spans="1:4" ht="11.1" customHeight="1" x14ac:dyDescent="0.3">
      <c r="A19" s="436" t="s">
        <v>156</v>
      </c>
      <c r="B19" s="433">
        <v>49.5</v>
      </c>
      <c r="C19" s="433">
        <v>49</v>
      </c>
      <c r="D19" s="433">
        <v>49</v>
      </c>
    </row>
    <row r="20" spans="1:4" ht="11.1" customHeight="1" x14ac:dyDescent="0.3">
      <c r="A20" s="446" t="s">
        <v>2</v>
      </c>
      <c r="B20" s="432">
        <f t="shared" ref="B20:C20" si="1">AVERAGE(B21:B24)</f>
        <v>24.333333333333332</v>
      </c>
      <c r="C20" s="432">
        <f t="shared" si="1"/>
        <v>26.375</v>
      </c>
      <c r="D20" s="432">
        <f>AVERAGE(D21:D23)</f>
        <v>82.164999999999992</v>
      </c>
    </row>
    <row r="21" spans="1:4" ht="11.1" customHeight="1" x14ac:dyDescent="0.3">
      <c r="A21" s="419" t="s">
        <v>5</v>
      </c>
      <c r="B21" s="433">
        <v>28</v>
      </c>
      <c r="C21" s="433">
        <v>30</v>
      </c>
      <c r="D21" s="433">
        <v>82</v>
      </c>
    </row>
    <row r="22" spans="1:4" ht="11.1" customHeight="1" x14ac:dyDescent="0.3">
      <c r="A22" s="419" t="s">
        <v>405</v>
      </c>
      <c r="B22" s="433">
        <v>21.5</v>
      </c>
      <c r="C22" s="433" t="s">
        <v>410</v>
      </c>
      <c r="D22" s="433" t="s">
        <v>410</v>
      </c>
    </row>
    <row r="23" spans="1:4" ht="11.1" customHeight="1" x14ac:dyDescent="0.3">
      <c r="A23" s="419" t="s">
        <v>61</v>
      </c>
      <c r="B23" s="433" t="s">
        <v>410</v>
      </c>
      <c r="C23" s="433" t="s">
        <v>410</v>
      </c>
      <c r="D23" s="433">
        <v>82.33</v>
      </c>
    </row>
    <row r="24" spans="1:4" ht="11.1" customHeight="1" x14ac:dyDescent="0.3">
      <c r="A24" s="419" t="s">
        <v>78</v>
      </c>
      <c r="B24" s="433">
        <v>23.5</v>
      </c>
      <c r="C24" s="433">
        <v>22.75</v>
      </c>
      <c r="D24" s="433" t="s">
        <v>410</v>
      </c>
    </row>
    <row r="25" spans="1:4" ht="11.1" customHeight="1" x14ac:dyDescent="0.3">
      <c r="A25" s="437" t="s">
        <v>6</v>
      </c>
      <c r="B25" s="432">
        <f>AVERAGE(B26:B28)</f>
        <v>32.5</v>
      </c>
      <c r="C25" s="432" t="s">
        <v>4</v>
      </c>
      <c r="D25" s="432">
        <f>AVERAGE(D26:D28)</f>
        <v>40.833333333333336</v>
      </c>
    </row>
    <row r="26" spans="1:4" ht="11.1" customHeight="1" x14ac:dyDescent="0.3">
      <c r="A26" s="422" t="s">
        <v>11</v>
      </c>
      <c r="B26" s="433">
        <v>36.67</v>
      </c>
      <c r="C26" s="433" t="s">
        <v>410</v>
      </c>
      <c r="D26" s="433">
        <v>55</v>
      </c>
    </row>
    <row r="27" spans="1:4" ht="11.1" customHeight="1" x14ac:dyDescent="0.3">
      <c r="A27" s="422" t="s">
        <v>467</v>
      </c>
      <c r="B27" s="433" t="s">
        <v>410</v>
      </c>
      <c r="C27" s="433" t="s">
        <v>410</v>
      </c>
      <c r="D27" s="433">
        <v>33.5</v>
      </c>
    </row>
    <row r="28" spans="1:4" ht="11.1" customHeight="1" x14ac:dyDescent="0.3">
      <c r="A28" s="422" t="s">
        <v>92</v>
      </c>
      <c r="B28" s="433">
        <v>28.33</v>
      </c>
      <c r="C28" s="433" t="s">
        <v>410</v>
      </c>
      <c r="D28" s="433">
        <v>34</v>
      </c>
    </row>
    <row r="29" spans="1:4" ht="11.1" customHeight="1" x14ac:dyDescent="0.3">
      <c r="A29" s="423" t="s">
        <v>15</v>
      </c>
      <c r="B29" s="432">
        <f>AVERAGE(B30:B32)</f>
        <v>28.666666666666668</v>
      </c>
      <c r="C29" s="432" t="s">
        <v>4</v>
      </c>
      <c r="D29" s="432">
        <f>AVERAGE(D30:D32)</f>
        <v>59.5</v>
      </c>
    </row>
    <row r="30" spans="1:4" ht="11.1" customHeight="1" x14ac:dyDescent="0.3">
      <c r="A30" s="422" t="s">
        <v>189</v>
      </c>
      <c r="B30" s="433">
        <v>30</v>
      </c>
      <c r="C30" s="433" t="s">
        <v>448</v>
      </c>
      <c r="D30" s="433" t="s">
        <v>410</v>
      </c>
    </row>
    <row r="31" spans="1:4" ht="11.1" customHeight="1" x14ac:dyDescent="0.3">
      <c r="A31" s="422" t="s">
        <v>70</v>
      </c>
      <c r="B31" s="433">
        <v>30</v>
      </c>
      <c r="C31" s="433" t="s">
        <v>448</v>
      </c>
      <c r="D31" s="433" t="s">
        <v>439</v>
      </c>
    </row>
    <row r="32" spans="1:4" ht="11.1" customHeight="1" x14ac:dyDescent="0.3">
      <c r="A32" s="422" t="s">
        <v>69</v>
      </c>
      <c r="B32" s="433">
        <v>26</v>
      </c>
      <c r="C32" s="433" t="s">
        <v>410</v>
      </c>
      <c r="D32" s="433">
        <v>59.5</v>
      </c>
    </row>
    <row r="33" spans="1:4" ht="11.1" customHeight="1" x14ac:dyDescent="0.3">
      <c r="A33" s="437" t="s">
        <v>16</v>
      </c>
      <c r="B33" s="432">
        <f>AVERAGE(B34:B37)</f>
        <v>31.25</v>
      </c>
      <c r="C33" s="432">
        <f>AVERAGE(C34:C37)</f>
        <v>25</v>
      </c>
      <c r="D33" s="432">
        <f>AVERAGE(D34:D37)</f>
        <v>29.5</v>
      </c>
    </row>
    <row r="34" spans="1:4" ht="11.1" customHeight="1" x14ac:dyDescent="0.3">
      <c r="A34" s="422" t="s">
        <v>472</v>
      </c>
      <c r="B34" s="433">
        <v>22.75</v>
      </c>
      <c r="C34" s="433">
        <v>25</v>
      </c>
      <c r="D34" s="433">
        <v>26.5</v>
      </c>
    </row>
    <row r="35" spans="1:4" ht="11.1" customHeight="1" x14ac:dyDescent="0.3">
      <c r="A35" s="422" t="s">
        <v>479</v>
      </c>
      <c r="B35" s="433">
        <v>41</v>
      </c>
      <c r="C35" s="433" t="s">
        <v>410</v>
      </c>
      <c r="D35" s="433" t="s">
        <v>410</v>
      </c>
    </row>
    <row r="36" spans="1:4" ht="11.1" customHeight="1" x14ac:dyDescent="0.3">
      <c r="A36" s="422" t="s">
        <v>17</v>
      </c>
      <c r="B36" s="433">
        <v>30</v>
      </c>
      <c r="C36" s="433" t="s">
        <v>410</v>
      </c>
      <c r="D36" s="433" t="s">
        <v>410</v>
      </c>
    </row>
    <row r="37" spans="1:4" ht="11.1" customHeight="1" x14ac:dyDescent="0.3">
      <c r="A37" s="422" t="s">
        <v>190</v>
      </c>
      <c r="B37" s="433" t="s">
        <v>410</v>
      </c>
      <c r="C37" s="433" t="s">
        <v>410</v>
      </c>
      <c r="D37" s="433">
        <v>32.5</v>
      </c>
    </row>
    <row r="38" spans="1:4" ht="11.1" customHeight="1" x14ac:dyDescent="0.3">
      <c r="A38" s="437" t="s">
        <v>18</v>
      </c>
      <c r="B38" s="432">
        <f t="shared" ref="B38:D38" si="2">AVERAGE(B39:B45)</f>
        <v>19</v>
      </c>
      <c r="C38" s="432">
        <f t="shared" si="2"/>
        <v>30.276666666666667</v>
      </c>
      <c r="D38" s="432">
        <f t="shared" si="2"/>
        <v>31.903333333333336</v>
      </c>
    </row>
    <row r="39" spans="1:4" ht="11.1" customHeight="1" x14ac:dyDescent="0.3">
      <c r="A39" s="422" t="s">
        <v>24</v>
      </c>
      <c r="B39" s="433" t="s">
        <v>439</v>
      </c>
      <c r="C39" s="433">
        <v>32.5</v>
      </c>
      <c r="D39" s="433">
        <v>50.25</v>
      </c>
    </row>
    <row r="40" spans="1:4" ht="11.1" customHeight="1" x14ac:dyDescent="0.3">
      <c r="A40" s="422" t="s">
        <v>19</v>
      </c>
      <c r="B40" s="433" t="s">
        <v>410</v>
      </c>
      <c r="C40" s="433" t="s">
        <v>410</v>
      </c>
      <c r="D40" s="433">
        <v>31.33</v>
      </c>
    </row>
    <row r="41" spans="1:4" ht="11.1" customHeight="1" x14ac:dyDescent="0.3">
      <c r="A41" s="422" t="s">
        <v>20</v>
      </c>
      <c r="B41" s="433" t="s">
        <v>410</v>
      </c>
      <c r="C41" s="433" t="s">
        <v>410</v>
      </c>
      <c r="D41" s="433">
        <v>36.67</v>
      </c>
    </row>
    <row r="42" spans="1:4" ht="11.1" customHeight="1" x14ac:dyDescent="0.3">
      <c r="A42" s="422" t="s">
        <v>62</v>
      </c>
      <c r="B42" s="433" t="s">
        <v>410</v>
      </c>
      <c r="C42" s="433" t="s">
        <v>410</v>
      </c>
      <c r="D42" s="433">
        <v>20</v>
      </c>
    </row>
    <row r="43" spans="1:4" ht="11.1" customHeight="1" x14ac:dyDescent="0.3">
      <c r="A43" s="422" t="s">
        <v>21</v>
      </c>
      <c r="B43" s="433" t="s">
        <v>410</v>
      </c>
      <c r="C43" s="433">
        <v>33.33</v>
      </c>
      <c r="D43" s="433">
        <v>26.67</v>
      </c>
    </row>
    <row r="44" spans="1:4" ht="11.1" customHeight="1" x14ac:dyDescent="0.3">
      <c r="A44" s="422" t="s">
        <v>80</v>
      </c>
      <c r="B44" s="433" t="s">
        <v>410</v>
      </c>
      <c r="C44" s="433">
        <v>25</v>
      </c>
      <c r="D44" s="433">
        <v>26.5</v>
      </c>
    </row>
    <row r="45" spans="1:4" ht="11.1" customHeight="1" x14ac:dyDescent="0.3">
      <c r="A45" s="422" t="s">
        <v>23</v>
      </c>
      <c r="B45" s="433">
        <v>19</v>
      </c>
      <c r="C45" s="433" t="s">
        <v>410</v>
      </c>
      <c r="D45" s="433" t="s">
        <v>410</v>
      </c>
    </row>
    <row r="46" spans="1:4" ht="11.1" customHeight="1" x14ac:dyDescent="0.3">
      <c r="A46" s="446" t="s">
        <v>25</v>
      </c>
      <c r="B46" s="432">
        <f>AVERAGE(B47:B50)</f>
        <v>41.05</v>
      </c>
      <c r="C46" s="432">
        <f>AVERAGE(C47:C50)</f>
        <v>18</v>
      </c>
      <c r="D46" s="432">
        <f>AVERAGE(D47:D50)</f>
        <v>28.824999999999999</v>
      </c>
    </row>
    <row r="47" spans="1:4" ht="11.1" customHeight="1" x14ac:dyDescent="0.3">
      <c r="A47" s="438" t="s">
        <v>53</v>
      </c>
      <c r="B47" s="433">
        <v>33.1</v>
      </c>
      <c r="C47" s="433" t="s">
        <v>439</v>
      </c>
      <c r="D47" s="433">
        <v>27.65</v>
      </c>
    </row>
    <row r="48" spans="1:4" ht="11.1" customHeight="1" x14ac:dyDescent="0.3">
      <c r="A48" s="438" t="s">
        <v>565</v>
      </c>
      <c r="B48" s="433">
        <v>49</v>
      </c>
      <c r="C48" s="433" t="s">
        <v>439</v>
      </c>
      <c r="D48" s="433" t="s">
        <v>410</v>
      </c>
    </row>
    <row r="49" spans="1:4" ht="11.1" customHeight="1" x14ac:dyDescent="0.3">
      <c r="A49" s="438" t="s">
        <v>566</v>
      </c>
      <c r="B49" s="433" t="s">
        <v>410</v>
      </c>
      <c r="C49" s="433">
        <v>18</v>
      </c>
      <c r="D49" s="433" t="s">
        <v>410</v>
      </c>
    </row>
    <row r="50" spans="1:4" ht="11.1" customHeight="1" x14ac:dyDescent="0.3">
      <c r="A50" s="438" t="s">
        <v>58</v>
      </c>
      <c r="B50" s="433" t="s">
        <v>410</v>
      </c>
      <c r="C50" s="433" t="s">
        <v>439</v>
      </c>
      <c r="D50" s="433">
        <v>30</v>
      </c>
    </row>
    <row r="51" spans="1:4" ht="11.1" customHeight="1" x14ac:dyDescent="0.3">
      <c r="A51" s="437" t="s">
        <v>86</v>
      </c>
      <c r="B51" s="432">
        <f>AVERAGE(B52:B53)</f>
        <v>32.5</v>
      </c>
      <c r="C51" s="432">
        <f>AVERAGE(C52:C53)</f>
        <v>30.5</v>
      </c>
      <c r="D51" s="432" t="s">
        <v>4</v>
      </c>
    </row>
    <row r="52" spans="1:4" ht="11.1" customHeight="1" x14ac:dyDescent="0.3">
      <c r="A52" s="422" t="s">
        <v>31</v>
      </c>
      <c r="B52" s="433">
        <v>25</v>
      </c>
      <c r="C52" s="433">
        <v>23</v>
      </c>
      <c r="D52" s="433" t="s">
        <v>439</v>
      </c>
    </row>
    <row r="53" spans="1:4" ht="11.1" customHeight="1" x14ac:dyDescent="0.3">
      <c r="A53" s="422" t="s">
        <v>83</v>
      </c>
      <c r="B53" s="433">
        <v>40</v>
      </c>
      <c r="C53" s="433">
        <v>38</v>
      </c>
      <c r="D53" s="433" t="s">
        <v>410</v>
      </c>
    </row>
    <row r="54" spans="1:4" ht="11.1" customHeight="1" x14ac:dyDescent="0.3">
      <c r="A54" s="437" t="s">
        <v>35</v>
      </c>
      <c r="B54" s="432">
        <f>AVERAGE(B55:B57)</f>
        <v>65</v>
      </c>
      <c r="C54" s="432" t="s">
        <v>4</v>
      </c>
      <c r="D54" s="432">
        <f>AVERAGE(D55:D57)</f>
        <v>56.443333333333328</v>
      </c>
    </row>
    <row r="55" spans="1:4" ht="11.1" customHeight="1" x14ac:dyDescent="0.3">
      <c r="A55" s="422" t="s">
        <v>36</v>
      </c>
      <c r="B55" s="433">
        <v>63</v>
      </c>
      <c r="C55" s="433" t="s">
        <v>439</v>
      </c>
      <c r="D55" s="433">
        <v>52.33</v>
      </c>
    </row>
    <row r="56" spans="1:4" ht="11.1" customHeight="1" x14ac:dyDescent="0.3">
      <c r="A56" s="422" t="s">
        <v>38</v>
      </c>
      <c r="B56" s="433">
        <v>67</v>
      </c>
      <c r="C56" s="433" t="s">
        <v>439</v>
      </c>
      <c r="D56" s="433">
        <v>57</v>
      </c>
    </row>
    <row r="57" spans="1:4" ht="11.1" customHeight="1" x14ac:dyDescent="0.3">
      <c r="A57" s="422" t="s">
        <v>37</v>
      </c>
      <c r="B57" s="433" t="s">
        <v>410</v>
      </c>
      <c r="C57" s="433" t="s">
        <v>439</v>
      </c>
      <c r="D57" s="433">
        <v>60</v>
      </c>
    </row>
    <row r="58" spans="1:4" ht="11.1" customHeight="1" x14ac:dyDescent="0.3">
      <c r="A58" s="437" t="s">
        <v>39</v>
      </c>
      <c r="B58" s="432" t="s">
        <v>4</v>
      </c>
      <c r="C58" s="432">
        <f t="shared" ref="C58:D58" si="3">AVERAGE(C59:C60)</f>
        <v>30.75</v>
      </c>
      <c r="D58" s="432">
        <f t="shared" si="3"/>
        <v>40</v>
      </c>
    </row>
    <row r="59" spans="1:4" ht="11.1" customHeight="1" x14ac:dyDescent="0.3">
      <c r="A59" s="422" t="s">
        <v>41</v>
      </c>
      <c r="B59" s="433" t="s">
        <v>410</v>
      </c>
      <c r="C59" s="433">
        <v>30.75</v>
      </c>
      <c r="D59" s="433" t="s">
        <v>439</v>
      </c>
    </row>
    <row r="60" spans="1:4" ht="11.1" customHeight="1" x14ac:dyDescent="0.3">
      <c r="A60" s="436" t="s">
        <v>516</v>
      </c>
      <c r="B60" s="433" t="s">
        <v>410</v>
      </c>
      <c r="C60" s="433" t="s">
        <v>410</v>
      </c>
      <c r="D60" s="433">
        <v>40</v>
      </c>
    </row>
    <row r="61" spans="1:4" ht="11.1" customHeight="1" x14ac:dyDescent="0.3">
      <c r="A61" s="437" t="s">
        <v>42</v>
      </c>
      <c r="B61" s="432">
        <f>AVERAGE(B62:B62)</f>
        <v>45</v>
      </c>
      <c r="C61" s="432" t="s">
        <v>4</v>
      </c>
      <c r="D61" s="432" t="s">
        <v>4</v>
      </c>
    </row>
    <row r="62" spans="1:4" ht="11.1" customHeight="1" x14ac:dyDescent="0.3">
      <c r="A62" s="436" t="s">
        <v>44</v>
      </c>
      <c r="B62" s="433">
        <v>45</v>
      </c>
      <c r="C62" s="433" t="s">
        <v>410</v>
      </c>
      <c r="D62" s="433" t="s">
        <v>410</v>
      </c>
    </row>
    <row r="63" spans="1:4" ht="11.1" customHeight="1" x14ac:dyDescent="0.3">
      <c r="A63" s="437" t="s">
        <v>196</v>
      </c>
      <c r="B63" s="432">
        <f>AVERAGE(B64:B66)</f>
        <v>36</v>
      </c>
      <c r="C63" s="432">
        <f>AVERAGE(C64:C66)</f>
        <v>37</v>
      </c>
      <c r="D63" s="432">
        <f>AVERAGE(D64:D66)</f>
        <v>46.75</v>
      </c>
    </row>
    <row r="64" spans="1:4" ht="11.1" customHeight="1" x14ac:dyDescent="0.3">
      <c r="A64" s="436" t="s">
        <v>557</v>
      </c>
      <c r="B64" s="433">
        <v>37</v>
      </c>
      <c r="C64" s="433">
        <v>35</v>
      </c>
      <c r="D64" s="433">
        <v>25</v>
      </c>
    </row>
    <row r="65" spans="1:4" ht="11.1" customHeight="1" x14ac:dyDescent="0.3">
      <c r="A65" s="436" t="s">
        <v>198</v>
      </c>
      <c r="B65" s="433">
        <v>35</v>
      </c>
      <c r="C65" s="433" t="s">
        <v>410</v>
      </c>
      <c r="D65" s="433" t="s">
        <v>410</v>
      </c>
    </row>
    <row r="66" spans="1:4" ht="11.1" customHeight="1" x14ac:dyDescent="0.3">
      <c r="A66" s="436" t="s">
        <v>65</v>
      </c>
      <c r="B66" s="433" t="s">
        <v>410</v>
      </c>
      <c r="C66" s="433">
        <v>39</v>
      </c>
      <c r="D66" s="433">
        <v>68.5</v>
      </c>
    </row>
    <row r="67" spans="1:4" ht="11.1" customHeight="1" x14ac:dyDescent="0.3">
      <c r="A67" s="437" t="s">
        <v>71</v>
      </c>
      <c r="B67" s="432">
        <f>AVERAGE(B68:B69)</f>
        <v>14.67</v>
      </c>
      <c r="C67" s="432">
        <f>AVERAGE(C68:C69)</f>
        <v>70</v>
      </c>
      <c r="D67" s="432">
        <f>AVERAGE(D68:D69)</f>
        <v>50</v>
      </c>
    </row>
    <row r="68" spans="1:4" ht="11.1" customHeight="1" x14ac:dyDescent="0.3">
      <c r="A68" s="436" t="s">
        <v>72</v>
      </c>
      <c r="B68" s="433">
        <v>14.67</v>
      </c>
      <c r="C68" s="433" t="s">
        <v>410</v>
      </c>
      <c r="D68" s="433" t="s">
        <v>410</v>
      </c>
    </row>
    <row r="69" spans="1:4" ht="11.1" customHeight="1" x14ac:dyDescent="0.3">
      <c r="A69" s="436" t="s">
        <v>73</v>
      </c>
      <c r="B69" s="433" t="s">
        <v>410</v>
      </c>
      <c r="C69" s="433">
        <v>70</v>
      </c>
      <c r="D69" s="433">
        <v>50</v>
      </c>
    </row>
    <row r="70" spans="1:4" ht="11.1" customHeight="1" x14ac:dyDescent="0.3">
      <c r="A70" s="437" t="s">
        <v>46</v>
      </c>
      <c r="B70" s="432" t="s">
        <v>410</v>
      </c>
      <c r="C70" s="432" t="s">
        <v>410</v>
      </c>
      <c r="D70" s="432">
        <f>AVERAGE(D71:D72)</f>
        <v>20</v>
      </c>
    </row>
    <row r="71" spans="1:4" ht="11.1" customHeight="1" x14ac:dyDescent="0.3">
      <c r="A71" s="447" t="s">
        <v>47</v>
      </c>
      <c r="B71" s="448" t="s">
        <v>410</v>
      </c>
      <c r="C71" s="448" t="s">
        <v>410</v>
      </c>
      <c r="D71" s="448">
        <v>20</v>
      </c>
    </row>
    <row r="72" spans="1:4" ht="9" customHeight="1" x14ac:dyDescent="0.3">
      <c r="A72" s="493" t="s">
        <v>87</v>
      </c>
      <c r="B72" s="459"/>
      <c r="C72" s="459"/>
      <c r="D72" s="459"/>
    </row>
    <row r="73" spans="1:4" ht="9" customHeight="1" x14ac:dyDescent="0.3">
      <c r="A73" s="493" t="s">
        <v>67</v>
      </c>
      <c r="B73" s="502"/>
      <c r="C73" s="502"/>
      <c r="D73" s="502"/>
    </row>
    <row r="74" spans="1:4" ht="9" customHeight="1" x14ac:dyDescent="0.3">
      <c r="A74" s="494" t="s">
        <v>68</v>
      </c>
      <c r="B74" s="455"/>
      <c r="C74" s="455"/>
      <c r="D74" s="455"/>
    </row>
    <row r="75" spans="1:4" ht="15.75" customHeight="1" x14ac:dyDescent="0.3"/>
    <row r="76" spans="1:4" ht="15.75" customHeight="1" x14ac:dyDescent="0.3"/>
    <row r="77" spans="1:4" ht="15.75" customHeight="1" x14ac:dyDescent="0.3"/>
    <row r="78" spans="1:4" ht="15.75" customHeight="1" x14ac:dyDescent="0.3"/>
    <row r="79" spans="1:4" ht="15.75" customHeight="1" x14ac:dyDescent="0.3"/>
    <row r="80" spans="1:4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</sheetData>
  <pageMargins left="0.27559055118110237" right="0.27559055118110237" top="0.39370078740157483" bottom="0.39370078740157483" header="0" footer="0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/>
  <dimension ref="A1:Z654"/>
  <sheetViews>
    <sheetView showGridLines="0" tabSelected="1" zoomScaleNormal="100" workbookViewId="0">
      <pane ySplit="4" topLeftCell="A86" activePane="bottomLeft" state="frozen"/>
      <selection activeCell="J12" sqref="J12"/>
      <selection pane="bottomLeft" activeCell="A60" sqref="A60:E114"/>
    </sheetView>
  </sheetViews>
  <sheetFormatPr baseColWidth="10" defaultColWidth="12.5546875" defaultRowHeight="15" customHeight="1" x14ac:dyDescent="0.3"/>
  <cols>
    <col min="1" max="1" width="16.88671875" style="2" customWidth="1"/>
    <col min="2" max="5" width="12.6640625" style="2" customWidth="1"/>
    <col min="6" max="25" width="11.44140625" style="2" customWidth="1"/>
    <col min="26" max="16384" width="12.5546875" style="2"/>
  </cols>
  <sheetData>
    <row r="1" spans="1:26" ht="12.75" customHeight="1" x14ac:dyDescent="0.3">
      <c r="A1" s="383" t="s">
        <v>433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</row>
    <row r="2" spans="1:26" ht="12" customHeight="1" x14ac:dyDescent="0.3">
      <c r="A2" s="385" t="s">
        <v>591</v>
      </c>
      <c r="B2" s="384"/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</row>
    <row r="3" spans="1:26" ht="12" customHeight="1" x14ac:dyDescent="0.3">
      <c r="A3" s="385" t="s">
        <v>434</v>
      </c>
      <c r="B3" s="384"/>
      <c r="C3" s="384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4"/>
      <c r="P3" s="384"/>
      <c r="Q3" s="384"/>
      <c r="R3" s="384"/>
      <c r="S3" s="384"/>
      <c r="T3" s="384"/>
      <c r="U3" s="384"/>
      <c r="V3" s="384"/>
      <c r="W3" s="384"/>
      <c r="X3" s="384"/>
      <c r="Y3" s="384"/>
      <c r="Z3" s="384"/>
    </row>
    <row r="4" spans="1:26" ht="4.5" customHeight="1" x14ac:dyDescent="0.3">
      <c r="A4" s="384"/>
      <c r="B4" s="384"/>
      <c r="C4" s="384"/>
      <c r="D4" s="384"/>
      <c r="E4" s="384"/>
      <c r="F4" s="384"/>
      <c r="G4" s="384"/>
      <c r="H4" s="384"/>
      <c r="I4" s="384"/>
      <c r="J4" s="384"/>
      <c r="K4" s="384"/>
      <c r="L4" s="384"/>
      <c r="M4" s="384"/>
      <c r="N4" s="384"/>
      <c r="O4" s="384"/>
      <c r="P4" s="384"/>
      <c r="Q4" s="384"/>
      <c r="R4" s="384"/>
      <c r="S4" s="384"/>
      <c r="T4" s="384"/>
      <c r="U4" s="384"/>
      <c r="V4" s="384"/>
      <c r="W4" s="384"/>
      <c r="X4" s="384"/>
      <c r="Y4" s="384"/>
      <c r="Z4" s="384"/>
    </row>
    <row r="5" spans="1:26" ht="24" customHeight="1" x14ac:dyDescent="0.3">
      <c r="A5" s="414" t="s">
        <v>597</v>
      </c>
      <c r="B5" s="449" t="s">
        <v>435</v>
      </c>
      <c r="C5" s="449" t="s">
        <v>436</v>
      </c>
      <c r="D5" s="449" t="s">
        <v>437</v>
      </c>
      <c r="E5" s="414" t="s">
        <v>438</v>
      </c>
    </row>
    <row r="6" spans="1:26" ht="4.5" customHeight="1" x14ac:dyDescent="0.3">
      <c r="A6" s="415"/>
      <c r="B6" s="415"/>
      <c r="C6" s="415"/>
      <c r="D6" s="415"/>
      <c r="E6" s="450"/>
    </row>
    <row r="7" spans="1:26" ht="12" customHeight="1" x14ac:dyDescent="0.3">
      <c r="A7" s="437" t="s">
        <v>473</v>
      </c>
      <c r="B7" s="432">
        <f>AVERAGE(B8:B9)</f>
        <v>33.5</v>
      </c>
      <c r="C7" s="432">
        <f>AVERAGE(C8:C9)</f>
        <v>17</v>
      </c>
      <c r="D7" s="432" t="s">
        <v>4</v>
      </c>
      <c r="E7" s="432">
        <f>AVERAGE(E8:E9)</f>
        <v>22.75</v>
      </c>
    </row>
    <row r="8" spans="1:26" ht="12" customHeight="1" x14ac:dyDescent="0.3">
      <c r="A8" s="436" t="s">
        <v>476</v>
      </c>
      <c r="B8" s="433">
        <v>21</v>
      </c>
      <c r="C8" s="433" t="s">
        <v>410</v>
      </c>
      <c r="D8" s="433" t="s">
        <v>410</v>
      </c>
      <c r="E8" s="433">
        <v>15.5</v>
      </c>
    </row>
    <row r="9" spans="1:26" ht="12" customHeight="1" x14ac:dyDescent="0.3">
      <c r="A9" s="436" t="s">
        <v>484</v>
      </c>
      <c r="B9" s="433">
        <v>46</v>
      </c>
      <c r="C9" s="433">
        <v>17</v>
      </c>
      <c r="D9" s="433" t="s">
        <v>410</v>
      </c>
      <c r="E9" s="433">
        <v>30</v>
      </c>
    </row>
    <row r="10" spans="1:26" ht="12" customHeight="1" x14ac:dyDescent="0.3">
      <c r="A10" s="417" t="s">
        <v>426</v>
      </c>
      <c r="B10" s="432">
        <f>AVERAGE(B11:B15)</f>
        <v>20</v>
      </c>
      <c r="C10" s="432">
        <f>AVERAGE(C11:C15)</f>
        <v>23.833333333333332</v>
      </c>
      <c r="D10" s="432" t="s">
        <v>4</v>
      </c>
      <c r="E10" s="432">
        <f>AVERAGE(E11:E15)</f>
        <v>24.25</v>
      </c>
    </row>
    <row r="11" spans="1:26" ht="12" customHeight="1" x14ac:dyDescent="0.3">
      <c r="A11" s="419" t="s">
        <v>429</v>
      </c>
      <c r="B11" s="433">
        <v>25</v>
      </c>
      <c r="C11" s="433">
        <v>26</v>
      </c>
      <c r="D11" s="433" t="s">
        <v>410</v>
      </c>
      <c r="E11" s="433" t="s">
        <v>410</v>
      </c>
    </row>
    <row r="12" spans="1:26" ht="12" customHeight="1" x14ac:dyDescent="0.3">
      <c r="A12" s="419" t="s">
        <v>428</v>
      </c>
      <c r="B12" s="433">
        <v>12</v>
      </c>
      <c r="C12" s="433" t="s">
        <v>410</v>
      </c>
      <c r="D12" s="433" t="s">
        <v>410</v>
      </c>
      <c r="E12" s="433" t="s">
        <v>410</v>
      </c>
    </row>
    <row r="13" spans="1:26" ht="12" customHeight="1" x14ac:dyDescent="0.3">
      <c r="A13" s="419" t="s">
        <v>588</v>
      </c>
      <c r="B13" s="433" t="s">
        <v>410</v>
      </c>
      <c r="C13" s="433" t="s">
        <v>410</v>
      </c>
      <c r="D13" s="433" t="s">
        <v>410</v>
      </c>
      <c r="E13" s="433">
        <v>18.25</v>
      </c>
    </row>
    <row r="14" spans="1:26" ht="12" customHeight="1" x14ac:dyDescent="0.3">
      <c r="A14" s="419" t="s">
        <v>585</v>
      </c>
      <c r="B14" s="433">
        <v>33</v>
      </c>
      <c r="C14" s="433">
        <v>35.5</v>
      </c>
      <c r="D14" s="433">
        <v>47.5</v>
      </c>
      <c r="E14" s="433">
        <v>31.5</v>
      </c>
    </row>
    <row r="15" spans="1:26" ht="12" customHeight="1" x14ac:dyDescent="0.3">
      <c r="A15" s="419" t="s">
        <v>427</v>
      </c>
      <c r="B15" s="433">
        <v>10</v>
      </c>
      <c r="C15" s="433">
        <v>10</v>
      </c>
      <c r="D15" s="433" t="s">
        <v>410</v>
      </c>
      <c r="E15" s="433">
        <v>23</v>
      </c>
    </row>
    <row r="16" spans="1:26" ht="12" customHeight="1" x14ac:dyDescent="0.3">
      <c r="A16" s="417" t="s">
        <v>77</v>
      </c>
      <c r="B16" s="432">
        <f t="shared" ref="B16:E16" si="0">AVERAGE(B17:B20)</f>
        <v>36.167500000000004</v>
      </c>
      <c r="C16" s="432">
        <f t="shared" si="0"/>
        <v>30.113333333333333</v>
      </c>
      <c r="D16" s="432">
        <f t="shared" si="0"/>
        <v>37</v>
      </c>
      <c r="E16" s="432">
        <f t="shared" si="0"/>
        <v>22.914999999999999</v>
      </c>
    </row>
    <row r="17" spans="1:5" ht="12" customHeight="1" x14ac:dyDescent="0.3">
      <c r="A17" s="436" t="s">
        <v>153</v>
      </c>
      <c r="B17" s="433">
        <v>30.67</v>
      </c>
      <c r="C17" s="433">
        <v>32.67</v>
      </c>
      <c r="D17" s="433">
        <v>33</v>
      </c>
      <c r="E17" s="433">
        <v>15.33</v>
      </c>
    </row>
    <row r="18" spans="1:5" ht="12" customHeight="1" x14ac:dyDescent="0.3">
      <c r="A18" s="436" t="s">
        <v>154</v>
      </c>
      <c r="B18" s="433">
        <v>34.33</v>
      </c>
      <c r="C18" s="433">
        <v>30</v>
      </c>
      <c r="D18" s="433" t="s">
        <v>410</v>
      </c>
      <c r="E18" s="433">
        <v>30.5</v>
      </c>
    </row>
    <row r="19" spans="1:5" ht="12" customHeight="1" x14ac:dyDescent="0.3">
      <c r="A19" s="436" t="s">
        <v>156</v>
      </c>
      <c r="B19" s="433">
        <v>35</v>
      </c>
      <c r="C19" s="433">
        <v>27.67</v>
      </c>
      <c r="D19" s="433">
        <v>41</v>
      </c>
      <c r="E19" s="433" t="s">
        <v>410</v>
      </c>
    </row>
    <row r="20" spans="1:5" ht="12" customHeight="1" x14ac:dyDescent="0.3">
      <c r="A20" s="436" t="s">
        <v>159</v>
      </c>
      <c r="B20" s="433">
        <v>44.67</v>
      </c>
      <c r="C20" s="433" t="s">
        <v>410</v>
      </c>
      <c r="D20" s="433" t="s">
        <v>410</v>
      </c>
      <c r="E20" s="433" t="s">
        <v>410</v>
      </c>
    </row>
    <row r="21" spans="1:5" ht="12" customHeight="1" x14ac:dyDescent="0.3">
      <c r="A21" s="437" t="s">
        <v>2</v>
      </c>
      <c r="B21" s="432">
        <f t="shared" ref="B21:E21" si="1">AVERAGE(B22:B28)</f>
        <v>21.282</v>
      </c>
      <c r="C21" s="432">
        <f t="shared" si="1"/>
        <v>15</v>
      </c>
      <c r="D21" s="432">
        <f t="shared" si="1"/>
        <v>41.25</v>
      </c>
      <c r="E21" s="432">
        <f t="shared" si="1"/>
        <v>21.7</v>
      </c>
    </row>
    <row r="22" spans="1:5" ht="12" customHeight="1" x14ac:dyDescent="0.3">
      <c r="A22" s="422" t="s">
        <v>127</v>
      </c>
      <c r="B22" s="433">
        <v>20</v>
      </c>
      <c r="C22" s="433" t="s">
        <v>410</v>
      </c>
      <c r="D22" s="433" t="s">
        <v>410</v>
      </c>
      <c r="E22" s="433" t="s">
        <v>410</v>
      </c>
    </row>
    <row r="23" spans="1:5" ht="12" customHeight="1" x14ac:dyDescent="0.3">
      <c r="A23" s="422" t="s">
        <v>5</v>
      </c>
      <c r="B23" s="433">
        <v>17</v>
      </c>
      <c r="C23" s="433">
        <v>15</v>
      </c>
      <c r="D23" s="433">
        <v>34</v>
      </c>
      <c r="E23" s="433">
        <v>22</v>
      </c>
    </row>
    <row r="24" spans="1:5" ht="12" customHeight="1" x14ac:dyDescent="0.3">
      <c r="A24" s="419" t="s">
        <v>78</v>
      </c>
      <c r="B24" s="433" t="s">
        <v>410</v>
      </c>
      <c r="C24" s="433" t="s">
        <v>410</v>
      </c>
      <c r="D24" s="433">
        <v>35.5</v>
      </c>
      <c r="E24" s="433">
        <v>19.5</v>
      </c>
    </row>
    <row r="25" spans="1:5" ht="12" customHeight="1" x14ac:dyDescent="0.3">
      <c r="A25" s="419" t="s">
        <v>85</v>
      </c>
      <c r="B25" s="433">
        <v>26.75</v>
      </c>
      <c r="C25" s="433" t="s">
        <v>410</v>
      </c>
      <c r="D25" s="433">
        <v>37</v>
      </c>
      <c r="E25" s="433" t="s">
        <v>410</v>
      </c>
    </row>
    <row r="26" spans="1:5" ht="12" customHeight="1" x14ac:dyDescent="0.3">
      <c r="A26" s="419" t="s">
        <v>61</v>
      </c>
      <c r="B26" s="433">
        <v>27.33</v>
      </c>
      <c r="C26" s="433" t="s">
        <v>410</v>
      </c>
      <c r="D26" s="433">
        <v>58.5</v>
      </c>
      <c r="E26" s="433">
        <v>24.5</v>
      </c>
    </row>
    <row r="27" spans="1:5" ht="12" customHeight="1" x14ac:dyDescent="0.3">
      <c r="A27" s="419" t="s">
        <v>405</v>
      </c>
      <c r="B27" s="433">
        <v>15.33</v>
      </c>
      <c r="C27" s="433">
        <v>15</v>
      </c>
      <c r="D27" s="433" t="s">
        <v>410</v>
      </c>
      <c r="E27" s="433">
        <v>18.5</v>
      </c>
    </row>
    <row r="28" spans="1:5" ht="12" customHeight="1" x14ac:dyDescent="0.3">
      <c r="A28" s="419" t="s">
        <v>188</v>
      </c>
      <c r="B28" s="433" t="s">
        <v>410</v>
      </c>
      <c r="C28" s="433" t="s">
        <v>410</v>
      </c>
      <c r="D28" s="433" t="s">
        <v>410</v>
      </c>
      <c r="E28" s="433">
        <v>24</v>
      </c>
    </row>
    <row r="29" spans="1:5" ht="12" customHeight="1" x14ac:dyDescent="0.3">
      <c r="A29" s="437" t="s">
        <v>6</v>
      </c>
      <c r="B29" s="432">
        <f>AVERAGE(B30:B36)</f>
        <v>20.153333333333332</v>
      </c>
      <c r="C29" s="432">
        <f>AVERAGE(C30:C36)</f>
        <v>18</v>
      </c>
      <c r="D29" s="432">
        <f>AVERAGE(D30:D36)</f>
        <v>35.25</v>
      </c>
      <c r="E29" s="432" t="s">
        <v>4</v>
      </c>
    </row>
    <row r="30" spans="1:5" ht="12" customHeight="1" x14ac:dyDescent="0.3">
      <c r="A30" s="422" t="s">
        <v>13</v>
      </c>
      <c r="B30" s="433">
        <v>38</v>
      </c>
      <c r="C30" s="433" t="s">
        <v>410</v>
      </c>
      <c r="D30" s="433" t="s">
        <v>439</v>
      </c>
      <c r="E30" s="433" t="s">
        <v>410</v>
      </c>
    </row>
    <row r="31" spans="1:5" ht="12" customHeight="1" x14ac:dyDescent="0.3">
      <c r="A31" s="422" t="s">
        <v>8</v>
      </c>
      <c r="B31" s="433" t="s">
        <v>410</v>
      </c>
      <c r="C31" s="433" t="s">
        <v>410</v>
      </c>
      <c r="D31" s="433">
        <v>41.67</v>
      </c>
      <c r="E31" s="433" t="s">
        <v>410</v>
      </c>
    </row>
    <row r="32" spans="1:5" ht="12" customHeight="1" x14ac:dyDescent="0.3">
      <c r="A32" s="422" t="s">
        <v>7</v>
      </c>
      <c r="B32" s="433">
        <v>12.33</v>
      </c>
      <c r="C32" s="433">
        <v>31</v>
      </c>
      <c r="D32" s="433">
        <v>40.67</v>
      </c>
      <c r="E32" s="433" t="s">
        <v>410</v>
      </c>
    </row>
    <row r="33" spans="1:5" ht="12" customHeight="1" x14ac:dyDescent="0.3">
      <c r="A33" s="422" t="s">
        <v>11</v>
      </c>
      <c r="B33" s="433">
        <v>20.67</v>
      </c>
      <c r="C33" s="433">
        <v>17</v>
      </c>
      <c r="D33" s="433">
        <v>20.329999999999998</v>
      </c>
      <c r="E33" s="433" t="s">
        <v>410</v>
      </c>
    </row>
    <row r="34" spans="1:5" ht="12" customHeight="1" x14ac:dyDescent="0.3">
      <c r="A34" s="422" t="s">
        <v>9</v>
      </c>
      <c r="B34" s="433">
        <v>10</v>
      </c>
      <c r="C34" s="433">
        <v>10</v>
      </c>
      <c r="D34" s="433">
        <v>38.33</v>
      </c>
      <c r="E34" s="433" t="s">
        <v>410</v>
      </c>
    </row>
    <row r="35" spans="1:5" ht="12" customHeight="1" x14ac:dyDescent="0.3">
      <c r="A35" s="422" t="s">
        <v>467</v>
      </c>
      <c r="B35" s="433">
        <v>17.25</v>
      </c>
      <c r="C35" s="433">
        <v>16</v>
      </c>
      <c r="D35" s="433" t="s">
        <v>410</v>
      </c>
      <c r="E35" s="433" t="s">
        <v>410</v>
      </c>
    </row>
    <row r="36" spans="1:5" ht="12" customHeight="1" x14ac:dyDescent="0.3">
      <c r="A36" s="422" t="s">
        <v>92</v>
      </c>
      <c r="B36" s="433">
        <v>22.67</v>
      </c>
      <c r="C36" s="433">
        <v>16</v>
      </c>
      <c r="D36" s="433" t="s">
        <v>410</v>
      </c>
      <c r="E36" s="433" t="s">
        <v>410</v>
      </c>
    </row>
    <row r="37" spans="1:5" ht="12" customHeight="1" x14ac:dyDescent="0.3">
      <c r="A37" s="423" t="s">
        <v>15</v>
      </c>
      <c r="B37" s="432">
        <f>AVERAGE(B38:B39)</f>
        <v>34</v>
      </c>
      <c r="C37" s="432">
        <f>AVERAGE(C38:C39)</f>
        <v>41.5</v>
      </c>
      <c r="D37" s="432">
        <f>AVERAGE(D38:D39)</f>
        <v>55</v>
      </c>
      <c r="E37" s="432">
        <f>AVERAGE(E38:E39)</f>
        <v>18.75</v>
      </c>
    </row>
    <row r="38" spans="1:5" ht="12" customHeight="1" x14ac:dyDescent="0.3">
      <c r="A38" s="422" t="s">
        <v>70</v>
      </c>
      <c r="B38" s="433">
        <v>18</v>
      </c>
      <c r="C38" s="433">
        <v>35</v>
      </c>
      <c r="D38" s="433" t="s">
        <v>410</v>
      </c>
      <c r="E38" s="433">
        <v>16.5</v>
      </c>
    </row>
    <row r="39" spans="1:5" ht="12" customHeight="1" x14ac:dyDescent="0.3">
      <c r="A39" s="422" t="s">
        <v>69</v>
      </c>
      <c r="B39" s="433">
        <v>50</v>
      </c>
      <c r="C39" s="433">
        <v>48</v>
      </c>
      <c r="D39" s="433">
        <v>55</v>
      </c>
      <c r="E39" s="433">
        <v>21</v>
      </c>
    </row>
    <row r="40" spans="1:5" ht="12" customHeight="1" x14ac:dyDescent="0.3">
      <c r="A40" s="423" t="s">
        <v>16</v>
      </c>
      <c r="B40" s="432">
        <f t="shared" ref="B40:D40" si="2">AVERAGE(B41:B45)</f>
        <v>27.55</v>
      </c>
      <c r="C40" s="432">
        <f t="shared" si="2"/>
        <v>27.5</v>
      </c>
      <c r="D40" s="432">
        <f t="shared" si="2"/>
        <v>43.5</v>
      </c>
      <c r="E40" s="432" t="s">
        <v>4</v>
      </c>
    </row>
    <row r="41" spans="1:5" ht="12" customHeight="1" x14ac:dyDescent="0.3">
      <c r="A41" s="422" t="s">
        <v>17</v>
      </c>
      <c r="B41" s="433">
        <v>25</v>
      </c>
      <c r="C41" s="433">
        <v>25</v>
      </c>
      <c r="D41" s="433" t="s">
        <v>410</v>
      </c>
      <c r="E41" s="433" t="s">
        <v>410</v>
      </c>
    </row>
    <row r="42" spans="1:5" ht="12" customHeight="1" x14ac:dyDescent="0.3">
      <c r="A42" s="422" t="s">
        <v>494</v>
      </c>
      <c r="B42" s="433">
        <v>15</v>
      </c>
      <c r="C42" s="433" t="s">
        <v>410</v>
      </c>
      <c r="D42" s="433" t="s">
        <v>410</v>
      </c>
      <c r="E42" s="433" t="s">
        <v>410</v>
      </c>
    </row>
    <row r="43" spans="1:5" ht="12" customHeight="1" x14ac:dyDescent="0.3">
      <c r="A43" s="422" t="s">
        <v>472</v>
      </c>
      <c r="B43" s="433">
        <v>29.25</v>
      </c>
      <c r="C43" s="433" t="s">
        <v>410</v>
      </c>
      <c r="D43" s="433" t="s">
        <v>410</v>
      </c>
      <c r="E43" s="433" t="s">
        <v>410</v>
      </c>
    </row>
    <row r="44" spans="1:5" ht="12" customHeight="1" x14ac:dyDescent="0.3">
      <c r="A44" s="422" t="s">
        <v>479</v>
      </c>
      <c r="B44" s="433">
        <v>32</v>
      </c>
      <c r="C44" s="433">
        <v>30</v>
      </c>
      <c r="D44" s="433">
        <v>43.5</v>
      </c>
      <c r="E44" s="433" t="s">
        <v>410</v>
      </c>
    </row>
    <row r="45" spans="1:5" ht="12" customHeight="1" x14ac:dyDescent="0.3">
      <c r="A45" s="422" t="s">
        <v>190</v>
      </c>
      <c r="B45" s="433">
        <v>36.5</v>
      </c>
      <c r="C45" s="433" t="s">
        <v>410</v>
      </c>
      <c r="D45" s="433" t="s">
        <v>410</v>
      </c>
      <c r="E45" s="433" t="s">
        <v>410</v>
      </c>
    </row>
    <row r="46" spans="1:5" ht="12" customHeight="1" x14ac:dyDescent="0.3">
      <c r="A46" s="423" t="s">
        <v>18</v>
      </c>
      <c r="B46" s="432">
        <f>AVERAGE(B47:B53)</f>
        <v>17.528333333333332</v>
      </c>
      <c r="C46" s="432">
        <f>AVERAGE(C47:C53)</f>
        <v>19.015999999999998</v>
      </c>
      <c r="D46" s="432">
        <f>AVERAGE(D47:D53)</f>
        <v>28.27</v>
      </c>
      <c r="E46" s="432">
        <f>AVERAGE(E47:E53)</f>
        <v>19.7925</v>
      </c>
    </row>
    <row r="47" spans="1:5" ht="12" customHeight="1" x14ac:dyDescent="0.3">
      <c r="A47" s="422" t="s">
        <v>19</v>
      </c>
      <c r="B47" s="433" t="s">
        <v>410</v>
      </c>
      <c r="C47" s="433" t="s">
        <v>410</v>
      </c>
      <c r="D47" s="433">
        <v>32.5</v>
      </c>
      <c r="E47" s="433" t="s">
        <v>410</v>
      </c>
    </row>
    <row r="48" spans="1:5" ht="12" customHeight="1" x14ac:dyDescent="0.3">
      <c r="A48" s="422" t="s">
        <v>20</v>
      </c>
      <c r="B48" s="433">
        <v>20</v>
      </c>
      <c r="C48" s="433">
        <v>33.75</v>
      </c>
      <c r="D48" s="433" t="s">
        <v>410</v>
      </c>
      <c r="E48" s="433" t="s">
        <v>410</v>
      </c>
    </row>
    <row r="49" spans="1:5" ht="12" customHeight="1" x14ac:dyDescent="0.3">
      <c r="A49" s="422" t="s">
        <v>21</v>
      </c>
      <c r="B49" s="433">
        <v>18</v>
      </c>
      <c r="C49" s="433" t="s">
        <v>410</v>
      </c>
      <c r="D49" s="433">
        <v>26.33</v>
      </c>
      <c r="E49" s="433">
        <v>17.670000000000002</v>
      </c>
    </row>
    <row r="50" spans="1:5" ht="12" customHeight="1" x14ac:dyDescent="0.3">
      <c r="A50" s="422" t="s">
        <v>62</v>
      </c>
      <c r="B50" s="433">
        <v>15</v>
      </c>
      <c r="C50" s="433">
        <v>15</v>
      </c>
      <c r="D50" s="433" t="s">
        <v>410</v>
      </c>
      <c r="E50" s="433">
        <v>20</v>
      </c>
    </row>
    <row r="51" spans="1:5" ht="12" customHeight="1" x14ac:dyDescent="0.3">
      <c r="A51" s="422" t="s">
        <v>80</v>
      </c>
      <c r="B51" s="433">
        <v>17.670000000000002</v>
      </c>
      <c r="C51" s="433">
        <v>13</v>
      </c>
      <c r="D51" s="433">
        <v>21.5</v>
      </c>
      <c r="E51" s="433">
        <v>26</v>
      </c>
    </row>
    <row r="52" spans="1:5" ht="12" customHeight="1" x14ac:dyDescent="0.3">
      <c r="A52" s="422" t="s">
        <v>22</v>
      </c>
      <c r="B52" s="433">
        <v>22.5</v>
      </c>
      <c r="C52" s="433">
        <v>21.33</v>
      </c>
      <c r="D52" s="433">
        <v>32.75</v>
      </c>
      <c r="E52" s="433" t="s">
        <v>410</v>
      </c>
    </row>
    <row r="53" spans="1:5" ht="12" customHeight="1" x14ac:dyDescent="0.3">
      <c r="A53" s="422" t="s">
        <v>23</v>
      </c>
      <c r="B53" s="433">
        <v>12</v>
      </c>
      <c r="C53" s="433">
        <v>12</v>
      </c>
      <c r="D53" s="433" t="s">
        <v>410</v>
      </c>
      <c r="E53" s="433">
        <v>15.5</v>
      </c>
    </row>
    <row r="54" spans="1:5" ht="12" customHeight="1" x14ac:dyDescent="0.3">
      <c r="A54" s="437" t="s">
        <v>25</v>
      </c>
      <c r="B54" s="432">
        <f t="shared" ref="B54" si="3">AVERAGE(B55:B58)</f>
        <v>16</v>
      </c>
      <c r="C54" s="432" t="s">
        <v>4</v>
      </c>
      <c r="D54" s="432">
        <f>AVERAGE(D55:D58)</f>
        <v>36.583333333333336</v>
      </c>
      <c r="E54" s="432">
        <f>AVERAGE(E55:E58)</f>
        <v>24.78</v>
      </c>
    </row>
    <row r="55" spans="1:5" ht="12" customHeight="1" x14ac:dyDescent="0.3">
      <c r="A55" s="422" t="s">
        <v>53</v>
      </c>
      <c r="B55" s="433" t="s">
        <v>410</v>
      </c>
      <c r="C55" s="433" t="s">
        <v>410</v>
      </c>
      <c r="D55" s="433">
        <v>44.75</v>
      </c>
      <c r="E55" s="433">
        <v>28.2</v>
      </c>
    </row>
    <row r="56" spans="1:5" ht="12" customHeight="1" x14ac:dyDescent="0.3">
      <c r="A56" s="422" t="s">
        <v>565</v>
      </c>
      <c r="B56" s="433" t="s">
        <v>410</v>
      </c>
      <c r="C56" s="433" t="s">
        <v>410</v>
      </c>
      <c r="D56" s="433" t="s">
        <v>410</v>
      </c>
      <c r="E56" s="433">
        <v>21.25</v>
      </c>
    </row>
    <row r="57" spans="1:5" ht="12" customHeight="1" x14ac:dyDescent="0.3">
      <c r="A57" s="422" t="s">
        <v>566</v>
      </c>
      <c r="B57" s="433">
        <v>16</v>
      </c>
      <c r="C57" s="433" t="s">
        <v>410</v>
      </c>
      <c r="D57" s="433">
        <v>37</v>
      </c>
      <c r="E57" s="433">
        <v>21.67</v>
      </c>
    </row>
    <row r="58" spans="1:5" ht="12" customHeight="1" x14ac:dyDescent="0.3">
      <c r="A58" s="422" t="s">
        <v>58</v>
      </c>
      <c r="B58" s="433" t="s">
        <v>410</v>
      </c>
      <c r="C58" s="433" t="s">
        <v>410</v>
      </c>
      <c r="D58" s="433">
        <v>28</v>
      </c>
      <c r="E58" s="433">
        <v>28</v>
      </c>
    </row>
    <row r="59" spans="1:5" ht="15.75" customHeight="1" x14ac:dyDescent="0.3">
      <c r="A59" s="451"/>
      <c r="B59" s="452"/>
      <c r="C59" s="452"/>
      <c r="D59" s="452"/>
      <c r="E59" s="453" t="s">
        <v>26</v>
      </c>
    </row>
    <row r="60" spans="1:5" ht="15.75" customHeight="1" x14ac:dyDescent="0.3">
      <c r="A60" s="454" t="s">
        <v>520</v>
      </c>
      <c r="B60" s="455"/>
      <c r="C60" s="455"/>
      <c r="D60" s="456"/>
      <c r="E60" s="457"/>
    </row>
    <row r="61" spans="1:5" ht="24" customHeight="1" x14ac:dyDescent="0.3">
      <c r="A61" s="414" t="s">
        <v>626</v>
      </c>
      <c r="B61" s="449" t="s">
        <v>435</v>
      </c>
      <c r="C61" s="449" t="s">
        <v>436</v>
      </c>
      <c r="D61" s="449" t="s">
        <v>437</v>
      </c>
      <c r="E61" s="562" t="s">
        <v>438</v>
      </c>
    </row>
    <row r="62" spans="1:5" ht="5.25" customHeight="1" x14ac:dyDescent="0.3">
      <c r="A62" s="440"/>
      <c r="B62" s="439"/>
      <c r="C62" s="439"/>
      <c r="D62" s="439"/>
      <c r="E62" s="439"/>
    </row>
    <row r="63" spans="1:5" ht="12" customHeight="1" x14ac:dyDescent="0.3">
      <c r="A63" s="437" t="s">
        <v>86</v>
      </c>
      <c r="B63" s="432">
        <f t="shared" ref="B63:E63" si="4">AVERAGE(B64:B74)</f>
        <v>22.785714285714285</v>
      </c>
      <c r="C63" s="432">
        <f t="shared" si="4"/>
        <v>20.333333333333332</v>
      </c>
      <c r="D63" s="432">
        <f t="shared" si="4"/>
        <v>33.875</v>
      </c>
      <c r="E63" s="432">
        <f t="shared" si="4"/>
        <v>23.665555555555549</v>
      </c>
    </row>
    <row r="64" spans="1:5" ht="12" customHeight="1" x14ac:dyDescent="0.3">
      <c r="A64" s="422" t="s">
        <v>28</v>
      </c>
      <c r="B64" s="433">
        <v>22</v>
      </c>
      <c r="C64" s="433" t="s">
        <v>410</v>
      </c>
      <c r="D64" s="433" t="s">
        <v>410</v>
      </c>
      <c r="E64" s="433">
        <v>34</v>
      </c>
    </row>
    <row r="65" spans="1:5" ht="12" customHeight="1" x14ac:dyDescent="0.3">
      <c r="A65" s="422" t="s">
        <v>29</v>
      </c>
      <c r="B65" s="433" t="s">
        <v>410</v>
      </c>
      <c r="C65" s="433" t="s">
        <v>410</v>
      </c>
      <c r="D65" s="433">
        <v>30</v>
      </c>
      <c r="E65" s="433" t="s">
        <v>410</v>
      </c>
    </row>
    <row r="66" spans="1:5" ht="12" customHeight="1" x14ac:dyDescent="0.3">
      <c r="A66" s="422" t="s">
        <v>30</v>
      </c>
      <c r="B66" s="433">
        <v>30</v>
      </c>
      <c r="C66" s="433" t="s">
        <v>410</v>
      </c>
      <c r="D66" s="433">
        <v>37</v>
      </c>
      <c r="E66" s="433">
        <v>24</v>
      </c>
    </row>
    <row r="67" spans="1:5" ht="12" customHeight="1" x14ac:dyDescent="0.3">
      <c r="A67" s="422" t="s">
        <v>31</v>
      </c>
      <c r="B67" s="433">
        <v>20</v>
      </c>
      <c r="C67" s="433">
        <v>18</v>
      </c>
      <c r="D67" s="433" t="s">
        <v>410</v>
      </c>
      <c r="E67" s="433">
        <v>19.329999999999998</v>
      </c>
    </row>
    <row r="68" spans="1:5" ht="12" customHeight="1" x14ac:dyDescent="0.3">
      <c r="A68" s="422" t="s">
        <v>83</v>
      </c>
      <c r="B68" s="433">
        <v>20</v>
      </c>
      <c r="C68" s="433">
        <v>18</v>
      </c>
      <c r="D68" s="433" t="s">
        <v>439</v>
      </c>
      <c r="E68" s="433">
        <v>20</v>
      </c>
    </row>
    <row r="69" spans="1:5" ht="12" customHeight="1" x14ac:dyDescent="0.3">
      <c r="A69" s="422" t="s">
        <v>64</v>
      </c>
      <c r="B69" s="433">
        <v>22.5</v>
      </c>
      <c r="C69" s="433">
        <v>25</v>
      </c>
      <c r="D69" s="433" t="s">
        <v>439</v>
      </c>
      <c r="E69" s="433" t="s">
        <v>439</v>
      </c>
    </row>
    <row r="70" spans="1:5" ht="12" customHeight="1" x14ac:dyDescent="0.3">
      <c r="A70" s="422" t="s">
        <v>82</v>
      </c>
      <c r="B70" s="433">
        <v>30</v>
      </c>
      <c r="C70" s="433" t="s">
        <v>410</v>
      </c>
      <c r="D70" s="433" t="s">
        <v>439</v>
      </c>
      <c r="E70" s="433">
        <v>38</v>
      </c>
    </row>
    <row r="71" spans="1:5" ht="12" customHeight="1" x14ac:dyDescent="0.3">
      <c r="A71" s="422" t="s">
        <v>32</v>
      </c>
      <c r="B71" s="433" t="s">
        <v>410</v>
      </c>
      <c r="C71" s="433" t="s">
        <v>410</v>
      </c>
      <c r="D71" s="433" t="s">
        <v>439</v>
      </c>
      <c r="E71" s="433">
        <v>21</v>
      </c>
    </row>
    <row r="72" spans="1:5" ht="12" customHeight="1" x14ac:dyDescent="0.3">
      <c r="A72" s="422" t="s">
        <v>33</v>
      </c>
      <c r="B72" s="433" t="s">
        <v>410</v>
      </c>
      <c r="C72" s="433" t="s">
        <v>410</v>
      </c>
      <c r="D72" s="433" t="s">
        <v>439</v>
      </c>
      <c r="E72" s="433">
        <v>17.329999999999998</v>
      </c>
    </row>
    <row r="73" spans="1:5" ht="12" customHeight="1" x14ac:dyDescent="0.3">
      <c r="A73" s="422" t="s">
        <v>34</v>
      </c>
      <c r="B73" s="433">
        <v>15</v>
      </c>
      <c r="C73" s="433" t="s">
        <v>410</v>
      </c>
      <c r="D73" s="433">
        <v>32.5</v>
      </c>
      <c r="E73" s="433">
        <v>18.329999999999998</v>
      </c>
    </row>
    <row r="74" spans="1:5" ht="12" customHeight="1" x14ac:dyDescent="0.3">
      <c r="A74" s="422" t="s">
        <v>66</v>
      </c>
      <c r="B74" s="433" t="s">
        <v>439</v>
      </c>
      <c r="C74" s="433" t="s">
        <v>410</v>
      </c>
      <c r="D74" s="433">
        <v>36</v>
      </c>
      <c r="E74" s="433">
        <v>21</v>
      </c>
    </row>
    <row r="75" spans="1:5" ht="12" customHeight="1" x14ac:dyDescent="0.3">
      <c r="A75" s="437" t="s">
        <v>35</v>
      </c>
      <c r="B75" s="432">
        <f>AVERAGE(B76:B78)</f>
        <v>19.166666666666668</v>
      </c>
      <c r="C75" s="432" t="s">
        <v>4</v>
      </c>
      <c r="D75" s="432">
        <f t="shared" ref="D75:E75" si="5">AVERAGE(D76:D78)</f>
        <v>38.89</v>
      </c>
      <c r="E75" s="432">
        <f t="shared" si="5"/>
        <v>18.333333333333332</v>
      </c>
    </row>
    <row r="76" spans="1:5" ht="12" customHeight="1" x14ac:dyDescent="0.3">
      <c r="A76" s="422" t="s">
        <v>36</v>
      </c>
      <c r="B76" s="433">
        <v>16.5</v>
      </c>
      <c r="C76" s="433" t="s">
        <v>410</v>
      </c>
      <c r="D76" s="433">
        <v>35.67</v>
      </c>
      <c r="E76" s="433">
        <v>16.5</v>
      </c>
    </row>
    <row r="77" spans="1:5" ht="12" customHeight="1" x14ac:dyDescent="0.3">
      <c r="A77" s="422" t="s">
        <v>38</v>
      </c>
      <c r="B77" s="433">
        <v>19</v>
      </c>
      <c r="C77" s="433" t="s">
        <v>410</v>
      </c>
      <c r="D77" s="433">
        <v>39</v>
      </c>
      <c r="E77" s="433">
        <v>18</v>
      </c>
    </row>
    <row r="78" spans="1:5" ht="12" customHeight="1" x14ac:dyDescent="0.3">
      <c r="A78" s="422" t="s">
        <v>37</v>
      </c>
      <c r="B78" s="433">
        <v>22</v>
      </c>
      <c r="C78" s="433" t="s">
        <v>410</v>
      </c>
      <c r="D78" s="433">
        <v>42</v>
      </c>
      <c r="E78" s="433">
        <v>20.5</v>
      </c>
    </row>
    <row r="79" spans="1:5" ht="12" customHeight="1" x14ac:dyDescent="0.3">
      <c r="A79" s="437" t="s">
        <v>187</v>
      </c>
      <c r="B79" s="432">
        <v>20.5</v>
      </c>
      <c r="C79" s="432" t="s">
        <v>4</v>
      </c>
      <c r="D79" s="432">
        <v>41</v>
      </c>
      <c r="E79" s="432">
        <v>21.5</v>
      </c>
    </row>
    <row r="80" spans="1:5" ht="12" customHeight="1" x14ac:dyDescent="0.3">
      <c r="A80" s="437" t="s">
        <v>192</v>
      </c>
      <c r="B80" s="432">
        <v>14.33</v>
      </c>
      <c r="C80" s="432">
        <v>15</v>
      </c>
      <c r="D80" s="432">
        <v>35</v>
      </c>
      <c r="E80" s="432">
        <v>20</v>
      </c>
    </row>
    <row r="81" spans="1:5" ht="12" customHeight="1" x14ac:dyDescent="0.3">
      <c r="A81" s="422" t="s">
        <v>195</v>
      </c>
      <c r="B81" s="433">
        <v>14.33</v>
      </c>
      <c r="C81" s="433">
        <v>15</v>
      </c>
      <c r="D81" s="433">
        <v>35</v>
      </c>
      <c r="E81" s="433">
        <v>20</v>
      </c>
    </row>
    <row r="82" spans="1:5" ht="12" customHeight="1" x14ac:dyDescent="0.3">
      <c r="A82" s="423" t="s">
        <v>39</v>
      </c>
      <c r="B82" s="432">
        <f>AVERAGE(B83:B85)</f>
        <v>21.7</v>
      </c>
      <c r="C82" s="432" t="s">
        <v>4</v>
      </c>
      <c r="D82" s="432">
        <f>AVERAGE(D83:D85)</f>
        <v>33.725000000000001</v>
      </c>
      <c r="E82" s="432">
        <f>AVERAGE(E83:E85)</f>
        <v>22.335000000000001</v>
      </c>
    </row>
    <row r="83" spans="1:5" ht="12" customHeight="1" x14ac:dyDescent="0.3">
      <c r="A83" s="422" t="s">
        <v>41</v>
      </c>
      <c r="B83" s="433">
        <v>28.4</v>
      </c>
      <c r="C83" s="433" t="s">
        <v>410</v>
      </c>
      <c r="D83" s="433">
        <v>32</v>
      </c>
      <c r="E83" s="433">
        <v>25.17</v>
      </c>
    </row>
    <row r="84" spans="1:5" ht="12" customHeight="1" x14ac:dyDescent="0.3">
      <c r="A84" s="422" t="s">
        <v>40</v>
      </c>
      <c r="B84" s="433" t="s">
        <v>410</v>
      </c>
      <c r="C84" s="433" t="s">
        <v>410</v>
      </c>
      <c r="D84" s="433">
        <v>35.450000000000003</v>
      </c>
      <c r="E84" s="433">
        <v>19.5</v>
      </c>
    </row>
    <row r="85" spans="1:5" ht="12" customHeight="1" x14ac:dyDescent="0.3">
      <c r="A85" s="422" t="s">
        <v>401</v>
      </c>
      <c r="B85" s="433">
        <v>15</v>
      </c>
      <c r="C85" s="433" t="s">
        <v>410</v>
      </c>
      <c r="D85" s="433" t="s">
        <v>410</v>
      </c>
      <c r="E85" s="433" t="s">
        <v>410</v>
      </c>
    </row>
    <row r="86" spans="1:5" ht="12" customHeight="1" x14ac:dyDescent="0.3">
      <c r="A86" s="423" t="s">
        <v>42</v>
      </c>
      <c r="B86" s="432">
        <f>AVERAGE(B87:B90)</f>
        <v>24</v>
      </c>
      <c r="C86" s="432">
        <f>AVERAGE(C87:C90)</f>
        <v>26.333333333333332</v>
      </c>
      <c r="D86" s="432">
        <f>AVERAGE(D87:D90)</f>
        <v>35</v>
      </c>
      <c r="E86" s="432">
        <f>AVERAGE(E87:E90)</f>
        <v>29.5</v>
      </c>
    </row>
    <row r="87" spans="1:5" ht="12" customHeight="1" x14ac:dyDescent="0.3">
      <c r="A87" s="422" t="s">
        <v>45</v>
      </c>
      <c r="B87" s="433">
        <v>27</v>
      </c>
      <c r="C87" s="433">
        <v>29</v>
      </c>
      <c r="D87" s="433" t="s">
        <v>410</v>
      </c>
      <c r="E87" s="433" t="s">
        <v>410</v>
      </c>
    </row>
    <row r="88" spans="1:5" ht="12" customHeight="1" x14ac:dyDescent="0.3">
      <c r="A88" s="422" t="s">
        <v>414</v>
      </c>
      <c r="B88" s="433" t="s">
        <v>410</v>
      </c>
      <c r="C88" s="433" t="s">
        <v>410</v>
      </c>
      <c r="D88" s="433">
        <v>35</v>
      </c>
      <c r="E88" s="433" t="s">
        <v>410</v>
      </c>
    </row>
    <row r="89" spans="1:5" ht="12" customHeight="1" x14ac:dyDescent="0.3">
      <c r="A89" s="422" t="s">
        <v>44</v>
      </c>
      <c r="B89" s="433">
        <v>25</v>
      </c>
      <c r="C89" s="433">
        <v>25</v>
      </c>
      <c r="D89" s="433" t="s">
        <v>410</v>
      </c>
      <c r="E89" s="433">
        <v>29.5</v>
      </c>
    </row>
    <row r="90" spans="1:5" ht="12" customHeight="1" x14ac:dyDescent="0.3">
      <c r="A90" s="422" t="s">
        <v>43</v>
      </c>
      <c r="B90" s="433">
        <v>20</v>
      </c>
      <c r="C90" s="433">
        <v>25</v>
      </c>
      <c r="D90" s="433" t="s">
        <v>410</v>
      </c>
      <c r="E90" s="433" t="s">
        <v>410</v>
      </c>
    </row>
    <row r="91" spans="1:5" ht="12" customHeight="1" x14ac:dyDescent="0.3">
      <c r="A91" s="423" t="s">
        <v>196</v>
      </c>
      <c r="B91" s="432">
        <f>AVERAGE(B92:B97)</f>
        <v>16.0425</v>
      </c>
      <c r="C91" s="432">
        <f t="shared" ref="C91" si="6">AVERAGE(C92:C97)</f>
        <v>20.39</v>
      </c>
      <c r="D91" s="432" t="s">
        <v>4</v>
      </c>
      <c r="E91" s="432">
        <f>AVERAGE(E92:E97)</f>
        <v>21</v>
      </c>
    </row>
    <row r="92" spans="1:5" ht="12" customHeight="1" x14ac:dyDescent="0.3">
      <c r="A92" s="422" t="s">
        <v>199</v>
      </c>
      <c r="B92" s="433" t="s">
        <v>410</v>
      </c>
      <c r="C92" s="433">
        <v>32.5</v>
      </c>
      <c r="D92" s="433" t="s">
        <v>410</v>
      </c>
      <c r="E92" s="433" t="s">
        <v>410</v>
      </c>
    </row>
    <row r="93" spans="1:5" ht="12" customHeight="1" x14ac:dyDescent="0.3">
      <c r="A93" s="422" t="s">
        <v>198</v>
      </c>
      <c r="B93" s="433" t="s">
        <v>410</v>
      </c>
      <c r="C93" s="433" t="s">
        <v>410</v>
      </c>
      <c r="D93" s="433" t="s">
        <v>410</v>
      </c>
      <c r="E93" s="433">
        <v>20</v>
      </c>
    </row>
    <row r="94" spans="1:5" ht="12" customHeight="1" x14ac:dyDescent="0.3">
      <c r="A94" s="422" t="s">
        <v>65</v>
      </c>
      <c r="B94" s="433">
        <v>21.5</v>
      </c>
      <c r="C94" s="433" t="s">
        <v>410</v>
      </c>
      <c r="D94" s="433" t="s">
        <v>410</v>
      </c>
      <c r="E94" s="433">
        <v>21</v>
      </c>
    </row>
    <row r="95" spans="1:5" ht="12" customHeight="1" x14ac:dyDescent="0.3">
      <c r="A95" s="422" t="s">
        <v>197</v>
      </c>
      <c r="B95" s="433">
        <v>10.67</v>
      </c>
      <c r="C95" s="433">
        <v>10.67</v>
      </c>
      <c r="D95" s="433" t="s">
        <v>410</v>
      </c>
      <c r="E95" s="433" t="s">
        <v>410</v>
      </c>
    </row>
    <row r="96" spans="1:5" ht="12" customHeight="1" x14ac:dyDescent="0.3">
      <c r="A96" s="422" t="s">
        <v>197</v>
      </c>
      <c r="B96" s="433">
        <v>20</v>
      </c>
      <c r="C96" s="433">
        <v>18</v>
      </c>
      <c r="D96" s="433">
        <v>30</v>
      </c>
      <c r="E96" s="433">
        <v>22</v>
      </c>
    </row>
    <row r="97" spans="1:5" ht="12" customHeight="1" x14ac:dyDescent="0.3">
      <c r="A97" s="422" t="s">
        <v>204</v>
      </c>
      <c r="B97" s="433">
        <v>12</v>
      </c>
      <c r="C97" s="433" t="s">
        <v>410</v>
      </c>
      <c r="D97" s="433" t="s">
        <v>410</v>
      </c>
      <c r="E97" s="433" t="s">
        <v>410</v>
      </c>
    </row>
    <row r="98" spans="1:5" ht="12" customHeight="1" x14ac:dyDescent="0.3">
      <c r="A98" s="423" t="s">
        <v>84</v>
      </c>
      <c r="B98" s="432">
        <f>AVERAGE(B99:B101)</f>
        <v>13.333333333333334</v>
      </c>
      <c r="C98" s="432">
        <f t="shared" ref="C98" si="7">AVERAGE(C99:C101)</f>
        <v>10</v>
      </c>
      <c r="D98" s="432" t="s">
        <v>4</v>
      </c>
      <c r="E98" s="432" t="s">
        <v>4</v>
      </c>
    </row>
    <row r="99" spans="1:5" ht="12" customHeight="1" x14ac:dyDescent="0.3">
      <c r="A99" s="422" t="s">
        <v>59</v>
      </c>
      <c r="B99" s="433">
        <v>10</v>
      </c>
      <c r="C99" s="433">
        <v>10</v>
      </c>
      <c r="D99" s="433" t="s">
        <v>410</v>
      </c>
      <c r="E99" s="433" t="s">
        <v>410</v>
      </c>
    </row>
    <row r="100" spans="1:5" ht="12" customHeight="1" x14ac:dyDescent="0.3">
      <c r="A100" s="422" t="s">
        <v>558</v>
      </c>
      <c r="B100" s="433">
        <v>10</v>
      </c>
      <c r="C100" s="433">
        <v>10</v>
      </c>
      <c r="D100" s="433" t="s">
        <v>410</v>
      </c>
      <c r="E100" s="433" t="s">
        <v>410</v>
      </c>
    </row>
    <row r="101" spans="1:5" ht="12" customHeight="1" x14ac:dyDescent="0.3">
      <c r="A101" s="422" t="s">
        <v>60</v>
      </c>
      <c r="B101" s="433">
        <v>20</v>
      </c>
      <c r="C101" s="433" t="s">
        <v>410</v>
      </c>
      <c r="D101" s="433" t="s">
        <v>410</v>
      </c>
      <c r="E101" s="433" t="s">
        <v>410</v>
      </c>
    </row>
    <row r="102" spans="1:5" ht="12" customHeight="1" x14ac:dyDescent="0.3">
      <c r="A102" s="423" t="s">
        <v>89</v>
      </c>
      <c r="B102" s="432">
        <f>AVERAGE(B103:B105)</f>
        <v>16.164999999999999</v>
      </c>
      <c r="C102" s="432">
        <f t="shared" ref="C102" si="8">AVERAGE(C103:C105)</f>
        <v>16.670000000000002</v>
      </c>
      <c r="D102" s="432">
        <f>AVERAGE(D103:D105)</f>
        <v>32.33</v>
      </c>
      <c r="E102" s="432">
        <f>AVERAGE(E103:E105)</f>
        <v>26.164999999999999</v>
      </c>
    </row>
    <row r="103" spans="1:5" ht="12" customHeight="1" x14ac:dyDescent="0.3">
      <c r="A103" s="422" t="s">
        <v>450</v>
      </c>
      <c r="B103" s="433" t="s">
        <v>410</v>
      </c>
      <c r="C103" s="433" t="s">
        <v>410</v>
      </c>
      <c r="D103" s="433" t="s">
        <v>410</v>
      </c>
      <c r="E103" s="433">
        <v>28</v>
      </c>
    </row>
    <row r="104" spans="1:5" ht="12" customHeight="1" x14ac:dyDescent="0.3">
      <c r="A104" s="422" t="s">
        <v>559</v>
      </c>
      <c r="B104" s="433">
        <v>15</v>
      </c>
      <c r="C104" s="433" t="s">
        <v>410</v>
      </c>
      <c r="D104" s="433" t="s">
        <v>410</v>
      </c>
      <c r="E104" s="433" t="s">
        <v>410</v>
      </c>
    </row>
    <row r="105" spans="1:5" ht="12" customHeight="1" x14ac:dyDescent="0.3">
      <c r="A105" s="422" t="s">
        <v>90</v>
      </c>
      <c r="B105" s="433">
        <v>17.329999999999998</v>
      </c>
      <c r="C105" s="433">
        <v>16.670000000000002</v>
      </c>
      <c r="D105" s="433">
        <v>32.33</v>
      </c>
      <c r="E105" s="433">
        <v>24.33</v>
      </c>
    </row>
    <row r="106" spans="1:5" ht="12" customHeight="1" x14ac:dyDescent="0.3">
      <c r="A106" s="423" t="s">
        <v>71</v>
      </c>
      <c r="B106" s="432">
        <f>AVERAGE(B107:B109)</f>
        <v>26.666666666666668</v>
      </c>
      <c r="C106" s="432">
        <f>AVERAGE(C107:C109)</f>
        <v>31.5</v>
      </c>
      <c r="D106" s="432">
        <f>AVERAGE(D107:D109)</f>
        <v>47.5</v>
      </c>
      <c r="E106" s="432" t="s">
        <v>4</v>
      </c>
    </row>
    <row r="107" spans="1:5" ht="12" customHeight="1" x14ac:dyDescent="0.3">
      <c r="A107" s="422" t="s">
        <v>72</v>
      </c>
      <c r="B107" s="433">
        <v>25</v>
      </c>
      <c r="C107" s="433">
        <v>24.5</v>
      </c>
      <c r="D107" s="433">
        <v>47.5</v>
      </c>
      <c r="E107" s="433" t="s">
        <v>410</v>
      </c>
    </row>
    <row r="108" spans="1:5" ht="12" customHeight="1" x14ac:dyDescent="0.3">
      <c r="A108" s="422" t="s">
        <v>73</v>
      </c>
      <c r="B108" s="433">
        <v>30</v>
      </c>
      <c r="C108" s="433">
        <v>45</v>
      </c>
      <c r="D108" s="433" t="s">
        <v>410</v>
      </c>
      <c r="E108" s="433" t="s">
        <v>410</v>
      </c>
    </row>
    <row r="109" spans="1:5" ht="12" customHeight="1" x14ac:dyDescent="0.3">
      <c r="A109" s="422" t="s">
        <v>74</v>
      </c>
      <c r="B109" s="433">
        <v>25</v>
      </c>
      <c r="C109" s="433">
        <v>25</v>
      </c>
      <c r="D109" s="433" t="s">
        <v>410</v>
      </c>
      <c r="E109" s="433" t="s">
        <v>410</v>
      </c>
    </row>
    <row r="110" spans="1:5" ht="12" customHeight="1" x14ac:dyDescent="0.3">
      <c r="A110" s="423" t="s">
        <v>46</v>
      </c>
      <c r="B110" s="432" t="s">
        <v>4</v>
      </c>
      <c r="C110" s="432" t="s">
        <v>4</v>
      </c>
      <c r="D110" s="432">
        <f>AVERAGE(D111)</f>
        <v>39</v>
      </c>
      <c r="E110" s="432" t="s">
        <v>4</v>
      </c>
    </row>
    <row r="111" spans="1:5" ht="12" customHeight="1" x14ac:dyDescent="0.3">
      <c r="A111" s="430" t="s">
        <v>47</v>
      </c>
      <c r="B111" s="433" t="s">
        <v>410</v>
      </c>
      <c r="C111" s="433" t="s">
        <v>410</v>
      </c>
      <c r="D111" s="433">
        <v>39</v>
      </c>
      <c r="E111" s="433" t="s">
        <v>410</v>
      </c>
    </row>
    <row r="112" spans="1:5" ht="9" customHeight="1" x14ac:dyDescent="0.3">
      <c r="A112" s="493" t="s">
        <v>87</v>
      </c>
      <c r="B112" s="496"/>
      <c r="C112" s="496"/>
      <c r="D112" s="496"/>
      <c r="E112" s="496"/>
    </row>
    <row r="113" spans="1:5" ht="9" customHeight="1" x14ac:dyDescent="0.3">
      <c r="A113" s="493" t="s">
        <v>67</v>
      </c>
      <c r="B113" s="503"/>
      <c r="C113" s="503"/>
      <c r="D113" s="503"/>
      <c r="E113" s="504"/>
    </row>
    <row r="114" spans="1:5" ht="9" customHeight="1" x14ac:dyDescent="0.3">
      <c r="A114" s="494" t="s">
        <v>68</v>
      </c>
      <c r="B114" s="455"/>
      <c r="C114" s="455"/>
      <c r="D114" s="455"/>
      <c r="E114" s="455"/>
    </row>
    <row r="115" spans="1:5" ht="15.75" customHeight="1" x14ac:dyDescent="0.3">
      <c r="A115" s="455"/>
      <c r="B115" s="455"/>
      <c r="C115" s="455"/>
      <c r="D115" s="455"/>
      <c r="E115" s="455"/>
    </row>
    <row r="116" spans="1:5" ht="15.75" customHeight="1" x14ac:dyDescent="0.3"/>
    <row r="117" spans="1:5" ht="15.75" customHeight="1" x14ac:dyDescent="0.3"/>
    <row r="118" spans="1:5" ht="15.75" customHeight="1" x14ac:dyDescent="0.3"/>
    <row r="119" spans="1:5" ht="15.75" customHeight="1" x14ac:dyDescent="0.3"/>
    <row r="120" spans="1:5" ht="15.75" customHeight="1" x14ac:dyDescent="0.3"/>
    <row r="121" spans="1:5" ht="15.75" customHeight="1" x14ac:dyDescent="0.3"/>
    <row r="122" spans="1:5" ht="15.75" customHeight="1" x14ac:dyDescent="0.3"/>
    <row r="123" spans="1:5" ht="15.75" customHeight="1" x14ac:dyDescent="0.3"/>
    <row r="124" spans="1:5" ht="15.75" customHeight="1" x14ac:dyDescent="0.3"/>
    <row r="125" spans="1:5" ht="15.75" customHeight="1" x14ac:dyDescent="0.3"/>
    <row r="126" spans="1:5" ht="15.75" customHeight="1" x14ac:dyDescent="0.3"/>
    <row r="127" spans="1:5" ht="15.75" customHeight="1" x14ac:dyDescent="0.3"/>
    <row r="128" spans="1:5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</sheetData>
  <pageMargins left="0.27559055118110237" right="0.27559055118110237" top="0.39370078740157483" bottom="0.39370078740157483" header="0" footer="0"/>
  <pageSetup paperSize="9" orientation="portrait"/>
  <ignoredErrors>
    <ignoredError sqref="B75:E75" formulaRange="1"/>
  </ignoredErrors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/>
  <dimension ref="A1:Z640"/>
  <sheetViews>
    <sheetView showGridLines="0" zoomScaleNormal="100" workbookViewId="0">
      <pane ySplit="4" topLeftCell="A65" activePane="bottomLeft" state="frozen"/>
      <selection activeCell="J12" sqref="J12"/>
      <selection pane="bottomLeft" activeCell="A57" sqref="A57:F101"/>
    </sheetView>
  </sheetViews>
  <sheetFormatPr baseColWidth="10" defaultColWidth="12.5546875" defaultRowHeight="15" customHeight="1" x14ac:dyDescent="0.3"/>
  <cols>
    <col min="1" max="1" width="18.44140625" style="632" customWidth="1"/>
    <col min="2" max="5" width="12.6640625" style="632" customWidth="1"/>
    <col min="6" max="25" width="11.44140625" style="632" customWidth="1"/>
    <col min="26" max="16384" width="12.5546875" style="632"/>
  </cols>
  <sheetData>
    <row r="1" spans="1:26" ht="12.75" customHeight="1" x14ac:dyDescent="0.3">
      <c r="A1" s="630" t="s">
        <v>422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1"/>
      <c r="P1" s="631"/>
      <c r="Q1" s="631"/>
      <c r="R1" s="631"/>
      <c r="S1" s="631"/>
      <c r="T1" s="631"/>
      <c r="U1" s="631"/>
      <c r="V1" s="631"/>
      <c r="W1" s="631"/>
      <c r="X1" s="631"/>
      <c r="Y1" s="631"/>
      <c r="Z1" s="631"/>
    </row>
    <row r="2" spans="1:26" ht="12" customHeight="1" x14ac:dyDescent="0.3">
      <c r="A2" s="505" t="s">
        <v>613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  <c r="R2" s="631"/>
      <c r="S2" s="631"/>
      <c r="T2" s="631"/>
      <c r="U2" s="631"/>
      <c r="V2" s="631"/>
      <c r="W2" s="631"/>
      <c r="X2" s="631"/>
      <c r="Y2" s="631"/>
      <c r="Z2" s="631"/>
    </row>
    <row r="3" spans="1:26" ht="12" customHeight="1" x14ac:dyDescent="0.3">
      <c r="A3" s="505" t="s">
        <v>434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  <c r="R3" s="631"/>
      <c r="S3" s="631"/>
      <c r="T3" s="631"/>
      <c r="U3" s="631"/>
      <c r="V3" s="631"/>
      <c r="W3" s="631"/>
      <c r="X3" s="631"/>
      <c r="Y3" s="631"/>
      <c r="Z3" s="631"/>
    </row>
    <row r="4" spans="1:26" ht="4.5" customHeight="1" x14ac:dyDescent="0.3">
      <c r="A4" s="633"/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  <c r="Q4" s="631"/>
      <c r="R4" s="631"/>
      <c r="S4" s="631"/>
      <c r="T4" s="631"/>
      <c r="U4" s="631"/>
      <c r="V4" s="631"/>
      <c r="W4" s="631"/>
      <c r="X4" s="631"/>
      <c r="Y4" s="631"/>
      <c r="Z4" s="631"/>
    </row>
    <row r="5" spans="1:26" ht="24" customHeight="1" x14ac:dyDescent="0.3">
      <c r="A5" s="414" t="s">
        <v>597</v>
      </c>
      <c r="B5" s="449" t="s">
        <v>423</v>
      </c>
      <c r="C5" s="449" t="s">
        <v>424</v>
      </c>
      <c r="D5" s="449" t="s">
        <v>425</v>
      </c>
      <c r="E5" s="414" t="s">
        <v>521</v>
      </c>
      <c r="F5" s="455"/>
    </row>
    <row r="6" spans="1:26" ht="4.5" customHeight="1" x14ac:dyDescent="0.3">
      <c r="A6" s="415"/>
      <c r="B6" s="415"/>
      <c r="C6" s="415"/>
      <c r="D6" s="415"/>
      <c r="E6" s="415"/>
      <c r="F6" s="455"/>
    </row>
    <row r="7" spans="1:26" ht="12" customHeight="1" x14ac:dyDescent="0.3">
      <c r="A7" s="417" t="s">
        <v>473</v>
      </c>
      <c r="B7" s="432">
        <f>AVERAGE(B8:B10)</f>
        <v>16.25</v>
      </c>
      <c r="C7" s="432">
        <f>AVERAGE(C8:C10)</f>
        <v>45</v>
      </c>
      <c r="D7" s="432">
        <f>AVERAGE(D8:D10)</f>
        <v>49.333333333333336</v>
      </c>
      <c r="E7" s="432" t="s">
        <v>4</v>
      </c>
      <c r="F7" s="458"/>
    </row>
    <row r="8" spans="1:26" ht="12" customHeight="1" x14ac:dyDescent="0.3">
      <c r="A8" s="419" t="s">
        <v>476</v>
      </c>
      <c r="B8" s="433">
        <v>10.5</v>
      </c>
      <c r="C8" s="433" t="s">
        <v>410</v>
      </c>
      <c r="D8" s="433">
        <v>58</v>
      </c>
      <c r="E8" s="433" t="s">
        <v>410</v>
      </c>
      <c r="F8" s="458"/>
    </row>
    <row r="9" spans="1:26" ht="12" customHeight="1" x14ac:dyDescent="0.3">
      <c r="A9" s="419" t="s">
        <v>484</v>
      </c>
      <c r="B9" s="433">
        <v>22</v>
      </c>
      <c r="C9" s="433">
        <v>45</v>
      </c>
      <c r="D9" s="433">
        <v>45</v>
      </c>
      <c r="E9" s="433" t="s">
        <v>410</v>
      </c>
      <c r="F9" s="458"/>
    </row>
    <row r="10" spans="1:26" ht="12" customHeight="1" x14ac:dyDescent="0.3">
      <c r="A10" s="419" t="s">
        <v>474</v>
      </c>
      <c r="B10" s="433" t="s">
        <v>410</v>
      </c>
      <c r="C10" s="433">
        <v>45</v>
      </c>
      <c r="D10" s="433">
        <v>45</v>
      </c>
      <c r="E10" s="433" t="s">
        <v>410</v>
      </c>
      <c r="F10" s="458"/>
    </row>
    <row r="11" spans="1:26" ht="12" customHeight="1" x14ac:dyDescent="0.3">
      <c r="A11" s="417" t="s">
        <v>426</v>
      </c>
      <c r="B11" s="432">
        <f t="shared" ref="B11:E11" si="0">AVERAGE(B12:B18)</f>
        <v>15.428571428571429</v>
      </c>
      <c r="C11" s="432">
        <f t="shared" si="0"/>
        <v>15</v>
      </c>
      <c r="D11" s="432">
        <f t="shared" si="0"/>
        <v>81</v>
      </c>
      <c r="E11" s="432">
        <f t="shared" si="0"/>
        <v>85</v>
      </c>
      <c r="F11" s="458"/>
    </row>
    <row r="12" spans="1:26" ht="12" customHeight="1" x14ac:dyDescent="0.3">
      <c r="A12" s="419" t="s">
        <v>429</v>
      </c>
      <c r="B12" s="433">
        <v>15</v>
      </c>
      <c r="C12" s="433" t="s">
        <v>410</v>
      </c>
      <c r="D12" s="433" t="s">
        <v>410</v>
      </c>
      <c r="E12" s="433" t="s">
        <v>410</v>
      </c>
      <c r="F12" s="458"/>
    </row>
    <row r="13" spans="1:26" ht="12" customHeight="1" x14ac:dyDescent="0.3">
      <c r="A13" s="419" t="s">
        <v>428</v>
      </c>
      <c r="B13" s="433">
        <v>10</v>
      </c>
      <c r="C13" s="433">
        <v>15</v>
      </c>
      <c r="D13" s="433" t="s">
        <v>410</v>
      </c>
      <c r="E13" s="433" t="s">
        <v>410</v>
      </c>
      <c r="F13" s="458"/>
    </row>
    <row r="14" spans="1:26" ht="12" customHeight="1" x14ac:dyDescent="0.3">
      <c r="A14" s="419" t="s">
        <v>507</v>
      </c>
      <c r="B14" s="433">
        <v>30</v>
      </c>
      <c r="C14" s="433" t="s">
        <v>410</v>
      </c>
      <c r="D14" s="433" t="s">
        <v>410</v>
      </c>
      <c r="E14" s="433" t="s">
        <v>410</v>
      </c>
      <c r="F14" s="458"/>
    </row>
    <row r="15" spans="1:26" ht="12" customHeight="1" x14ac:dyDescent="0.3">
      <c r="A15" s="419" t="s">
        <v>588</v>
      </c>
      <c r="B15" s="433">
        <v>10</v>
      </c>
      <c r="C15" s="433" t="s">
        <v>410</v>
      </c>
      <c r="D15" s="433" t="s">
        <v>410</v>
      </c>
      <c r="E15" s="433" t="s">
        <v>410</v>
      </c>
      <c r="F15" s="458"/>
    </row>
    <row r="16" spans="1:26" ht="12" customHeight="1" x14ac:dyDescent="0.3">
      <c r="A16" s="419" t="s">
        <v>449</v>
      </c>
      <c r="B16" s="433">
        <v>19</v>
      </c>
      <c r="C16" s="433" t="s">
        <v>410</v>
      </c>
      <c r="D16" s="433">
        <v>81</v>
      </c>
      <c r="E16" s="433">
        <v>85</v>
      </c>
      <c r="F16" s="458"/>
    </row>
    <row r="17" spans="1:6" ht="12" customHeight="1" x14ac:dyDescent="0.3">
      <c r="A17" s="419" t="s">
        <v>585</v>
      </c>
      <c r="B17" s="433">
        <v>12</v>
      </c>
      <c r="C17" s="433" t="s">
        <v>410</v>
      </c>
      <c r="D17" s="433" t="s">
        <v>410</v>
      </c>
      <c r="E17" s="433" t="s">
        <v>410</v>
      </c>
      <c r="F17" s="458"/>
    </row>
    <row r="18" spans="1:6" ht="12" customHeight="1" x14ac:dyDescent="0.3">
      <c r="A18" s="419" t="s">
        <v>427</v>
      </c>
      <c r="B18" s="433">
        <v>12</v>
      </c>
      <c r="C18" s="433" t="s">
        <v>410</v>
      </c>
      <c r="D18" s="433" t="s">
        <v>410</v>
      </c>
      <c r="E18" s="433" t="s">
        <v>410</v>
      </c>
      <c r="F18" s="458"/>
    </row>
    <row r="19" spans="1:6" ht="12" customHeight="1" x14ac:dyDescent="0.3">
      <c r="A19" s="417" t="s">
        <v>77</v>
      </c>
      <c r="B19" s="432">
        <f t="shared" ref="B19:D19" si="1">AVERAGE(B20:B23)</f>
        <v>16.835000000000001</v>
      </c>
      <c r="C19" s="432">
        <f t="shared" si="1"/>
        <v>26.835000000000001</v>
      </c>
      <c r="D19" s="432">
        <f t="shared" si="1"/>
        <v>26</v>
      </c>
      <c r="E19" s="432" t="s">
        <v>4</v>
      </c>
      <c r="F19" s="458"/>
    </row>
    <row r="20" spans="1:6" ht="12" customHeight="1" x14ac:dyDescent="0.3">
      <c r="A20" s="436" t="s">
        <v>153</v>
      </c>
      <c r="B20" s="433">
        <v>16.670000000000002</v>
      </c>
      <c r="C20" s="433" t="s">
        <v>410</v>
      </c>
      <c r="D20" s="433">
        <v>29.67</v>
      </c>
      <c r="E20" s="433" t="s">
        <v>410</v>
      </c>
      <c r="F20" s="458"/>
    </row>
    <row r="21" spans="1:6" ht="12" customHeight="1" x14ac:dyDescent="0.3">
      <c r="A21" s="436" t="s">
        <v>154</v>
      </c>
      <c r="B21" s="433" t="s">
        <v>410</v>
      </c>
      <c r="C21" s="433">
        <v>32</v>
      </c>
      <c r="D21" s="433" t="s">
        <v>410</v>
      </c>
      <c r="E21" s="433" t="s">
        <v>410</v>
      </c>
      <c r="F21" s="458"/>
    </row>
    <row r="22" spans="1:6" ht="12" customHeight="1" x14ac:dyDescent="0.3">
      <c r="A22" s="436" t="s">
        <v>589</v>
      </c>
      <c r="B22" s="433">
        <v>17</v>
      </c>
      <c r="C22" s="433" t="s">
        <v>410</v>
      </c>
      <c r="D22" s="433" t="s">
        <v>410</v>
      </c>
      <c r="E22" s="433" t="s">
        <v>410</v>
      </c>
      <c r="F22" s="458"/>
    </row>
    <row r="23" spans="1:6" ht="12" customHeight="1" x14ac:dyDescent="0.3">
      <c r="A23" s="436" t="s">
        <v>156</v>
      </c>
      <c r="B23" s="433" t="s">
        <v>410</v>
      </c>
      <c r="C23" s="433">
        <v>21.67</v>
      </c>
      <c r="D23" s="433">
        <v>22.33</v>
      </c>
      <c r="E23" s="433" t="s">
        <v>410</v>
      </c>
      <c r="F23" s="458"/>
    </row>
    <row r="24" spans="1:6" ht="12" customHeight="1" x14ac:dyDescent="0.3">
      <c r="A24" s="417" t="s">
        <v>2</v>
      </c>
      <c r="B24" s="432">
        <f t="shared" ref="B24:E24" si="2">AVERAGE(B25:B30)</f>
        <v>11.596666666666666</v>
      </c>
      <c r="C24" s="432">
        <f t="shared" si="2"/>
        <v>52.75</v>
      </c>
      <c r="D24" s="432">
        <f t="shared" si="2"/>
        <v>61.034000000000006</v>
      </c>
      <c r="E24" s="432">
        <f t="shared" si="2"/>
        <v>130.96600000000001</v>
      </c>
      <c r="F24" s="458"/>
    </row>
    <row r="25" spans="1:6" ht="12" customHeight="1" x14ac:dyDescent="0.3">
      <c r="A25" s="436" t="s">
        <v>5</v>
      </c>
      <c r="B25" s="433">
        <v>10</v>
      </c>
      <c r="C25" s="433">
        <v>45</v>
      </c>
      <c r="D25" s="433">
        <v>45</v>
      </c>
      <c r="E25" s="433">
        <v>130</v>
      </c>
      <c r="F25" s="458"/>
    </row>
    <row r="26" spans="1:6" ht="12" customHeight="1" x14ac:dyDescent="0.3">
      <c r="A26" s="436" t="s">
        <v>188</v>
      </c>
      <c r="B26" s="433">
        <v>10</v>
      </c>
      <c r="C26" s="433" t="s">
        <v>410</v>
      </c>
      <c r="D26" s="433">
        <v>64</v>
      </c>
      <c r="E26" s="433">
        <v>124</v>
      </c>
      <c r="F26" s="458"/>
    </row>
    <row r="27" spans="1:6" ht="12" customHeight="1" x14ac:dyDescent="0.3">
      <c r="A27" s="436" t="s">
        <v>61</v>
      </c>
      <c r="B27" s="433">
        <v>11.33</v>
      </c>
      <c r="C27" s="433">
        <v>57.33</v>
      </c>
      <c r="D27" s="433">
        <v>57.67</v>
      </c>
      <c r="E27" s="433">
        <v>133.33000000000001</v>
      </c>
      <c r="F27" s="458"/>
    </row>
    <row r="28" spans="1:6" ht="12" customHeight="1" x14ac:dyDescent="0.3">
      <c r="A28" s="436" t="s">
        <v>550</v>
      </c>
      <c r="B28" s="433">
        <v>18</v>
      </c>
      <c r="C28" s="433" t="s">
        <v>410</v>
      </c>
      <c r="D28" s="433">
        <v>90</v>
      </c>
      <c r="E28" s="433" t="s">
        <v>410</v>
      </c>
      <c r="F28" s="458"/>
    </row>
    <row r="29" spans="1:6" ht="12" customHeight="1" x14ac:dyDescent="0.3">
      <c r="A29" s="436" t="s">
        <v>405</v>
      </c>
      <c r="B29" s="433">
        <v>10</v>
      </c>
      <c r="C29" s="433">
        <v>58.67</v>
      </c>
      <c r="D29" s="433" t="s">
        <v>410</v>
      </c>
      <c r="E29" s="433">
        <v>137</v>
      </c>
      <c r="F29" s="458"/>
    </row>
    <row r="30" spans="1:6" ht="12" customHeight="1" x14ac:dyDescent="0.3">
      <c r="A30" s="436" t="s">
        <v>78</v>
      </c>
      <c r="B30" s="433">
        <v>10.25</v>
      </c>
      <c r="C30" s="433">
        <v>50</v>
      </c>
      <c r="D30" s="433">
        <v>48.5</v>
      </c>
      <c r="E30" s="433">
        <v>130.5</v>
      </c>
      <c r="F30" s="458"/>
    </row>
    <row r="31" spans="1:6" ht="12" customHeight="1" x14ac:dyDescent="0.3">
      <c r="A31" s="437" t="s">
        <v>6</v>
      </c>
      <c r="B31" s="432">
        <f>AVERAGE(B32:B37)</f>
        <v>13.934000000000001</v>
      </c>
      <c r="C31" s="432">
        <f>AVERAGE(C32:C37)</f>
        <v>44.664999999999999</v>
      </c>
      <c r="D31" s="432">
        <f>AVERAGE(D32:D37)</f>
        <v>38.75</v>
      </c>
      <c r="E31" s="432" t="s">
        <v>4</v>
      </c>
      <c r="F31" s="458"/>
    </row>
    <row r="32" spans="1:6" ht="12" customHeight="1" x14ac:dyDescent="0.3">
      <c r="A32" s="422" t="s">
        <v>92</v>
      </c>
      <c r="B32" s="433">
        <v>12.33</v>
      </c>
      <c r="C32" s="433" t="s">
        <v>410</v>
      </c>
      <c r="D32" s="433" t="s">
        <v>410</v>
      </c>
      <c r="E32" s="433" t="s">
        <v>410</v>
      </c>
      <c r="F32" s="458"/>
    </row>
    <row r="33" spans="1:6" ht="12" customHeight="1" x14ac:dyDescent="0.3">
      <c r="A33" s="422" t="s">
        <v>8</v>
      </c>
      <c r="B33" s="433">
        <v>14</v>
      </c>
      <c r="C33" s="433" t="s">
        <v>410</v>
      </c>
      <c r="D33" s="433" t="s">
        <v>410</v>
      </c>
      <c r="E33" s="433" t="s">
        <v>410</v>
      </c>
      <c r="F33" s="458"/>
    </row>
    <row r="34" spans="1:6" ht="12" customHeight="1" x14ac:dyDescent="0.3">
      <c r="A34" s="422" t="s">
        <v>9</v>
      </c>
      <c r="B34" s="433">
        <v>14.67</v>
      </c>
      <c r="C34" s="433">
        <v>54.33</v>
      </c>
      <c r="D34" s="433">
        <v>45</v>
      </c>
      <c r="E34" s="433" t="s">
        <v>410</v>
      </c>
      <c r="F34" s="458"/>
    </row>
    <row r="35" spans="1:6" ht="12" customHeight="1" x14ac:dyDescent="0.3">
      <c r="A35" s="422" t="s">
        <v>13</v>
      </c>
      <c r="B35" s="433">
        <v>18</v>
      </c>
      <c r="C35" s="433" t="s">
        <v>410</v>
      </c>
      <c r="D35" s="433" t="s">
        <v>410</v>
      </c>
      <c r="E35" s="433" t="s">
        <v>410</v>
      </c>
      <c r="F35" s="458"/>
    </row>
    <row r="36" spans="1:6" ht="12" customHeight="1" x14ac:dyDescent="0.3">
      <c r="A36" s="422" t="s">
        <v>14</v>
      </c>
      <c r="B36" s="433" t="s">
        <v>410</v>
      </c>
      <c r="C36" s="433">
        <v>35</v>
      </c>
      <c r="D36" s="433" t="s">
        <v>410</v>
      </c>
      <c r="E36" s="433" t="s">
        <v>410</v>
      </c>
      <c r="F36" s="458"/>
    </row>
    <row r="37" spans="1:6" ht="12" customHeight="1" x14ac:dyDescent="0.3">
      <c r="A37" s="422" t="s">
        <v>11</v>
      </c>
      <c r="B37" s="433">
        <v>10.67</v>
      </c>
      <c r="C37" s="433" t="s">
        <v>410</v>
      </c>
      <c r="D37" s="433">
        <v>32.5</v>
      </c>
      <c r="E37" s="433" t="s">
        <v>410</v>
      </c>
      <c r="F37" s="458"/>
    </row>
    <row r="38" spans="1:6" ht="12" customHeight="1" x14ac:dyDescent="0.3">
      <c r="A38" s="423" t="s">
        <v>15</v>
      </c>
      <c r="B38" s="432">
        <f>AVERAGE(B39:B40)</f>
        <v>13.5</v>
      </c>
      <c r="C38" s="432">
        <f>AVERAGE(C39:C40)</f>
        <v>56.75</v>
      </c>
      <c r="D38" s="432" t="s">
        <v>4</v>
      </c>
      <c r="E38" s="432">
        <f>AVERAGE(E39:E40)</f>
        <v>70</v>
      </c>
      <c r="F38" s="458"/>
    </row>
    <row r="39" spans="1:6" ht="12" customHeight="1" x14ac:dyDescent="0.3">
      <c r="A39" s="422" t="s">
        <v>70</v>
      </c>
      <c r="B39" s="433">
        <v>12</v>
      </c>
      <c r="C39" s="433">
        <v>64.5</v>
      </c>
      <c r="D39" s="433" t="s">
        <v>410</v>
      </c>
      <c r="E39" s="433" t="s">
        <v>410</v>
      </c>
      <c r="F39" s="458"/>
    </row>
    <row r="40" spans="1:6" ht="12" customHeight="1" x14ac:dyDescent="0.3">
      <c r="A40" s="422" t="s">
        <v>69</v>
      </c>
      <c r="B40" s="433">
        <v>15</v>
      </c>
      <c r="C40" s="433">
        <v>49</v>
      </c>
      <c r="D40" s="433" t="s">
        <v>410</v>
      </c>
      <c r="E40" s="433">
        <v>70</v>
      </c>
      <c r="F40" s="458"/>
    </row>
    <row r="41" spans="1:6" ht="12" customHeight="1" x14ac:dyDescent="0.3">
      <c r="A41" s="437" t="s">
        <v>16</v>
      </c>
      <c r="B41" s="432">
        <f t="shared" ref="B41:D41" si="3">AVERAGE(B42:B43)</f>
        <v>11</v>
      </c>
      <c r="C41" s="432" t="s">
        <v>4</v>
      </c>
      <c r="D41" s="432">
        <f t="shared" si="3"/>
        <v>33.75</v>
      </c>
      <c r="E41" s="432" t="s">
        <v>4</v>
      </c>
      <c r="F41" s="458"/>
    </row>
    <row r="42" spans="1:6" ht="12" customHeight="1" x14ac:dyDescent="0.3">
      <c r="A42" s="422" t="s">
        <v>494</v>
      </c>
      <c r="B42" s="433">
        <v>11</v>
      </c>
      <c r="C42" s="433" t="s">
        <v>410</v>
      </c>
      <c r="D42" s="433" t="s">
        <v>410</v>
      </c>
      <c r="E42" s="433" t="s">
        <v>410</v>
      </c>
      <c r="F42" s="458"/>
    </row>
    <row r="43" spans="1:6" ht="12" customHeight="1" x14ac:dyDescent="0.3">
      <c r="A43" s="422" t="s">
        <v>190</v>
      </c>
      <c r="B43" s="433" t="s">
        <v>410</v>
      </c>
      <c r="C43" s="433" t="s">
        <v>410</v>
      </c>
      <c r="D43" s="433">
        <v>33.75</v>
      </c>
      <c r="E43" s="433" t="s">
        <v>403</v>
      </c>
      <c r="F43" s="458"/>
    </row>
    <row r="44" spans="1:6" ht="12" customHeight="1" x14ac:dyDescent="0.3">
      <c r="A44" s="437" t="s">
        <v>18</v>
      </c>
      <c r="B44" s="432">
        <f>AVERAGE(B45:B49)</f>
        <v>14</v>
      </c>
      <c r="C44" s="432">
        <f>AVERAGE(C45:C49)</f>
        <v>72.664999999999992</v>
      </c>
      <c r="D44" s="432">
        <f>AVERAGE(D45:D49)</f>
        <v>70</v>
      </c>
      <c r="E44" s="432" t="s">
        <v>4</v>
      </c>
      <c r="F44" s="458"/>
    </row>
    <row r="45" spans="1:6" ht="12" customHeight="1" x14ac:dyDescent="0.3">
      <c r="A45" s="422" t="s">
        <v>21</v>
      </c>
      <c r="B45" s="433" t="s">
        <v>410</v>
      </c>
      <c r="C45" s="433">
        <v>74.33</v>
      </c>
      <c r="D45" s="433" t="s">
        <v>403</v>
      </c>
      <c r="E45" s="433" t="s">
        <v>403</v>
      </c>
      <c r="F45" s="458"/>
    </row>
    <row r="46" spans="1:6" ht="12" customHeight="1" x14ac:dyDescent="0.3">
      <c r="A46" s="422" t="s">
        <v>19</v>
      </c>
      <c r="B46" s="433">
        <v>10</v>
      </c>
      <c r="C46" s="433" t="s">
        <v>410</v>
      </c>
      <c r="D46" s="433">
        <v>70</v>
      </c>
      <c r="E46" s="433" t="s">
        <v>410</v>
      </c>
      <c r="F46" s="458"/>
    </row>
    <row r="47" spans="1:6" ht="12" customHeight="1" x14ac:dyDescent="0.3">
      <c r="A47" s="422" t="s">
        <v>80</v>
      </c>
      <c r="B47" s="433">
        <v>12</v>
      </c>
      <c r="C47" s="433" t="s">
        <v>403</v>
      </c>
      <c r="D47" s="433" t="s">
        <v>403</v>
      </c>
      <c r="E47" s="433" t="s">
        <v>403</v>
      </c>
      <c r="F47" s="458"/>
    </row>
    <row r="48" spans="1:6" ht="12" customHeight="1" x14ac:dyDescent="0.3">
      <c r="A48" s="422" t="s">
        <v>22</v>
      </c>
      <c r="B48" s="433">
        <v>24</v>
      </c>
      <c r="C48" s="433">
        <v>71</v>
      </c>
      <c r="D48" s="433" t="s">
        <v>410</v>
      </c>
      <c r="E48" s="433" t="s">
        <v>410</v>
      </c>
      <c r="F48" s="458"/>
    </row>
    <row r="49" spans="1:6" ht="12" customHeight="1" x14ac:dyDescent="0.3">
      <c r="A49" s="422" t="s">
        <v>430</v>
      </c>
      <c r="B49" s="433">
        <v>10</v>
      </c>
      <c r="C49" s="433" t="s">
        <v>410</v>
      </c>
      <c r="D49" s="433" t="s">
        <v>410</v>
      </c>
      <c r="E49" s="433" t="s">
        <v>410</v>
      </c>
      <c r="F49" s="458"/>
    </row>
    <row r="50" spans="1:6" ht="12" customHeight="1" x14ac:dyDescent="0.3">
      <c r="A50" s="437" t="s">
        <v>25</v>
      </c>
      <c r="B50" s="432">
        <f>AVERAGE(B51:B55)</f>
        <v>11.0875</v>
      </c>
      <c r="C50" s="432" t="s">
        <v>4</v>
      </c>
      <c r="D50" s="432">
        <f>AVERAGE(D51:D55)</f>
        <v>56.75</v>
      </c>
      <c r="E50" s="432" t="s">
        <v>4</v>
      </c>
      <c r="F50" s="458"/>
    </row>
    <row r="51" spans="1:6" ht="12" customHeight="1" x14ac:dyDescent="0.3">
      <c r="A51" s="422" t="s">
        <v>53</v>
      </c>
      <c r="B51" s="433">
        <v>9.6</v>
      </c>
      <c r="C51" s="433" t="s">
        <v>403</v>
      </c>
      <c r="D51" s="433">
        <v>58.75</v>
      </c>
      <c r="E51" s="433" t="s">
        <v>403</v>
      </c>
      <c r="F51" s="458"/>
    </row>
    <row r="52" spans="1:6" ht="12" customHeight="1" x14ac:dyDescent="0.3">
      <c r="A52" s="422" t="s">
        <v>564</v>
      </c>
      <c r="B52" s="433">
        <v>10</v>
      </c>
      <c r="C52" s="433" t="s">
        <v>410</v>
      </c>
      <c r="D52" s="433" t="s">
        <v>410</v>
      </c>
      <c r="E52" s="433" t="s">
        <v>410</v>
      </c>
      <c r="F52" s="458"/>
    </row>
    <row r="53" spans="1:6" ht="12" customHeight="1" x14ac:dyDescent="0.3">
      <c r="A53" s="422" t="s">
        <v>566</v>
      </c>
      <c r="B53" s="433" t="s">
        <v>410</v>
      </c>
      <c r="C53" s="433" t="s">
        <v>410</v>
      </c>
      <c r="D53" s="433">
        <v>57</v>
      </c>
      <c r="E53" s="433" t="s">
        <v>410</v>
      </c>
      <c r="F53" s="458"/>
    </row>
    <row r="54" spans="1:6" ht="12" customHeight="1" x14ac:dyDescent="0.3">
      <c r="A54" s="422" t="s">
        <v>565</v>
      </c>
      <c r="B54" s="433">
        <v>9.75</v>
      </c>
      <c r="C54" s="433" t="s">
        <v>410</v>
      </c>
      <c r="D54" s="433">
        <v>54.5</v>
      </c>
      <c r="E54" s="433" t="s">
        <v>410</v>
      </c>
      <c r="F54" s="458"/>
    </row>
    <row r="55" spans="1:6" ht="12" customHeight="1" x14ac:dyDescent="0.3">
      <c r="A55" s="422" t="s">
        <v>58</v>
      </c>
      <c r="B55" s="612">
        <v>15</v>
      </c>
      <c r="C55" s="612" t="s">
        <v>403</v>
      </c>
      <c r="D55" s="433" t="s">
        <v>410</v>
      </c>
      <c r="E55" s="433" t="s">
        <v>403</v>
      </c>
      <c r="F55" s="458"/>
    </row>
    <row r="56" spans="1:6" ht="15.75" customHeight="1" x14ac:dyDescent="0.3">
      <c r="A56" s="451"/>
      <c r="B56" s="459"/>
      <c r="C56" s="459"/>
      <c r="D56" s="460"/>
      <c r="E56" s="461" t="s">
        <v>26</v>
      </c>
      <c r="F56" s="455"/>
    </row>
    <row r="57" spans="1:6" ht="15.75" customHeight="1" x14ac:dyDescent="0.3">
      <c r="A57" s="756" t="s">
        <v>522</v>
      </c>
      <c r="B57" s="757"/>
      <c r="C57" s="757"/>
      <c r="D57" s="757"/>
      <c r="E57" s="757"/>
      <c r="F57" s="757"/>
    </row>
    <row r="58" spans="1:6" ht="24" customHeight="1" x14ac:dyDescent="0.3">
      <c r="A58" s="414" t="s">
        <v>597</v>
      </c>
      <c r="B58" s="449" t="s">
        <v>423</v>
      </c>
      <c r="C58" s="449" t="s">
        <v>424</v>
      </c>
      <c r="D58" s="449" t="s">
        <v>425</v>
      </c>
      <c r="E58" s="562" t="s">
        <v>521</v>
      </c>
      <c r="F58" s="455"/>
    </row>
    <row r="59" spans="1:6" ht="5.25" customHeight="1" x14ac:dyDescent="0.3">
      <c r="A59" s="440"/>
      <c r="B59" s="462"/>
      <c r="C59" s="462"/>
      <c r="D59" s="428"/>
      <c r="E59" s="462"/>
      <c r="F59" s="455"/>
    </row>
    <row r="60" spans="1:6" ht="12" customHeight="1" x14ac:dyDescent="0.3">
      <c r="A60" s="437" t="s">
        <v>86</v>
      </c>
      <c r="B60" s="432">
        <f t="shared" ref="B60:E60" si="4">AVERAGE(B61:B69)</f>
        <v>12.203333333333333</v>
      </c>
      <c r="C60" s="432">
        <f t="shared" si="4"/>
        <v>56.25</v>
      </c>
      <c r="D60" s="432">
        <f t="shared" si="4"/>
        <v>50.571428571428569</v>
      </c>
      <c r="E60" s="432">
        <f t="shared" si="4"/>
        <v>130</v>
      </c>
      <c r="F60" s="458"/>
    </row>
    <row r="61" spans="1:6" ht="12" customHeight="1" x14ac:dyDescent="0.3">
      <c r="A61" s="422" t="s">
        <v>28</v>
      </c>
      <c r="B61" s="433">
        <v>10</v>
      </c>
      <c r="C61" s="433" t="s">
        <v>410</v>
      </c>
      <c r="D61" s="433">
        <v>58</v>
      </c>
      <c r="E61" s="433" t="s">
        <v>403</v>
      </c>
      <c r="F61" s="458"/>
    </row>
    <row r="62" spans="1:6" ht="12" customHeight="1" x14ac:dyDescent="0.3">
      <c r="A62" s="422" t="s">
        <v>29</v>
      </c>
      <c r="B62" s="433">
        <v>10.33</v>
      </c>
      <c r="C62" s="433" t="s">
        <v>410</v>
      </c>
      <c r="D62" s="433">
        <v>49</v>
      </c>
      <c r="E62" s="433" t="s">
        <v>410</v>
      </c>
      <c r="F62" s="458"/>
    </row>
    <row r="63" spans="1:6" ht="12" customHeight="1" x14ac:dyDescent="0.3">
      <c r="A63" s="422" t="s">
        <v>30</v>
      </c>
      <c r="B63" s="433">
        <v>12</v>
      </c>
      <c r="C63" s="433">
        <v>55.5</v>
      </c>
      <c r="D63" s="433">
        <v>51</v>
      </c>
      <c r="E63" s="433">
        <v>130</v>
      </c>
      <c r="F63" s="458"/>
    </row>
    <row r="64" spans="1:6" ht="12" customHeight="1" x14ac:dyDescent="0.3">
      <c r="A64" s="422" t="s">
        <v>31</v>
      </c>
      <c r="B64" s="433">
        <v>11.5</v>
      </c>
      <c r="C64" s="433" t="s">
        <v>403</v>
      </c>
      <c r="D64" s="433">
        <v>40</v>
      </c>
      <c r="E64" s="433" t="s">
        <v>403</v>
      </c>
      <c r="F64" s="458"/>
    </row>
    <row r="65" spans="1:6" ht="12" customHeight="1" x14ac:dyDescent="0.3">
      <c r="A65" s="422" t="s">
        <v>54</v>
      </c>
      <c r="B65" s="433">
        <v>7.67</v>
      </c>
      <c r="C65" s="433" t="s">
        <v>403</v>
      </c>
      <c r="D65" s="433" t="s">
        <v>403</v>
      </c>
      <c r="E65" s="433" t="s">
        <v>403</v>
      </c>
      <c r="F65" s="458"/>
    </row>
    <row r="66" spans="1:6" ht="12" customHeight="1" x14ac:dyDescent="0.3">
      <c r="A66" s="422" t="s">
        <v>64</v>
      </c>
      <c r="B66" s="433">
        <v>18</v>
      </c>
      <c r="C66" s="433">
        <v>57</v>
      </c>
      <c r="D66" s="433">
        <v>50</v>
      </c>
      <c r="E66" s="433" t="s">
        <v>403</v>
      </c>
      <c r="F66" s="458"/>
    </row>
    <row r="67" spans="1:6" ht="12" customHeight="1" x14ac:dyDescent="0.3">
      <c r="A67" s="422" t="s">
        <v>431</v>
      </c>
      <c r="B67" s="433">
        <v>20</v>
      </c>
      <c r="C67" s="433" t="s">
        <v>403</v>
      </c>
      <c r="D67" s="433" t="s">
        <v>403</v>
      </c>
      <c r="E67" s="433" t="s">
        <v>403</v>
      </c>
      <c r="F67" s="458"/>
    </row>
    <row r="68" spans="1:6" ht="12" customHeight="1" x14ac:dyDescent="0.3">
      <c r="A68" s="422" t="s">
        <v>34</v>
      </c>
      <c r="B68" s="433">
        <v>10.33</v>
      </c>
      <c r="C68" s="433" t="s">
        <v>410</v>
      </c>
      <c r="D68" s="433">
        <v>49</v>
      </c>
      <c r="E68" s="433" t="s">
        <v>403</v>
      </c>
      <c r="F68" s="458"/>
    </row>
    <row r="69" spans="1:6" ht="12" customHeight="1" x14ac:dyDescent="0.3">
      <c r="A69" s="422" t="s">
        <v>66</v>
      </c>
      <c r="B69" s="433">
        <v>10</v>
      </c>
      <c r="C69" s="433" t="s">
        <v>403</v>
      </c>
      <c r="D69" s="433">
        <v>57</v>
      </c>
      <c r="E69" s="433" t="s">
        <v>403</v>
      </c>
      <c r="F69" s="458"/>
    </row>
    <row r="70" spans="1:6" ht="12" customHeight="1" x14ac:dyDescent="0.3">
      <c r="A70" s="437" t="s">
        <v>35</v>
      </c>
      <c r="B70" s="432">
        <f t="shared" ref="B70:D70" si="5">AVERAGE(B71:B73)</f>
        <v>10.833333333333334</v>
      </c>
      <c r="C70" s="432">
        <f t="shared" si="5"/>
        <v>28.333333333333332</v>
      </c>
      <c r="D70" s="432">
        <f t="shared" si="5"/>
        <v>45.5</v>
      </c>
      <c r="E70" s="432" t="s">
        <v>4</v>
      </c>
      <c r="F70" s="455"/>
    </row>
    <row r="71" spans="1:6" ht="12" customHeight="1" x14ac:dyDescent="0.3">
      <c r="A71" s="422" t="s">
        <v>36</v>
      </c>
      <c r="B71" s="433">
        <v>10</v>
      </c>
      <c r="C71" s="433">
        <v>27</v>
      </c>
      <c r="D71" s="433">
        <v>43</v>
      </c>
      <c r="E71" s="433" t="s">
        <v>403</v>
      </c>
      <c r="F71" s="455"/>
    </row>
    <row r="72" spans="1:6" ht="12" customHeight="1" x14ac:dyDescent="0.3">
      <c r="A72" s="422" t="s">
        <v>38</v>
      </c>
      <c r="B72" s="433">
        <v>10.5</v>
      </c>
      <c r="C72" s="433">
        <v>28</v>
      </c>
      <c r="D72" s="433">
        <v>45.5</v>
      </c>
      <c r="E72" s="433" t="s">
        <v>403</v>
      </c>
      <c r="F72" s="455"/>
    </row>
    <row r="73" spans="1:6" ht="12" customHeight="1" x14ac:dyDescent="0.3">
      <c r="A73" s="422" t="s">
        <v>37</v>
      </c>
      <c r="B73" s="433">
        <v>12</v>
      </c>
      <c r="C73" s="433">
        <v>30</v>
      </c>
      <c r="D73" s="433">
        <v>48</v>
      </c>
      <c r="E73" s="433" t="s">
        <v>403</v>
      </c>
      <c r="F73" s="455"/>
    </row>
    <row r="74" spans="1:6" ht="12" customHeight="1" x14ac:dyDescent="0.3">
      <c r="A74" s="437" t="s">
        <v>187</v>
      </c>
      <c r="B74" s="433">
        <v>10.5</v>
      </c>
      <c r="C74" s="432" t="s">
        <v>4</v>
      </c>
      <c r="D74" s="432" t="s">
        <v>4</v>
      </c>
      <c r="E74" s="432" t="s">
        <v>4</v>
      </c>
      <c r="F74" s="455"/>
    </row>
    <row r="75" spans="1:6" ht="12" customHeight="1" x14ac:dyDescent="0.3">
      <c r="A75" s="437" t="s">
        <v>192</v>
      </c>
      <c r="B75" s="432">
        <f t="shared" ref="B75:C75" si="6">AVERAGE(B76)</f>
        <v>9.17</v>
      </c>
      <c r="C75" s="432">
        <f t="shared" si="6"/>
        <v>25</v>
      </c>
      <c r="D75" s="432" t="s">
        <v>4</v>
      </c>
      <c r="E75" s="432">
        <v>135</v>
      </c>
      <c r="F75" s="458"/>
    </row>
    <row r="76" spans="1:6" ht="12" customHeight="1" x14ac:dyDescent="0.3">
      <c r="A76" s="422" t="s">
        <v>195</v>
      </c>
      <c r="B76" s="433">
        <v>9.17</v>
      </c>
      <c r="C76" s="433">
        <v>25</v>
      </c>
      <c r="D76" s="433" t="s">
        <v>403</v>
      </c>
      <c r="E76" s="433">
        <v>120</v>
      </c>
      <c r="F76" s="458"/>
    </row>
    <row r="77" spans="1:6" ht="12" customHeight="1" x14ac:dyDescent="0.3">
      <c r="A77" s="463" t="s">
        <v>39</v>
      </c>
      <c r="B77" s="464">
        <f>AVERAGE(B78:B79)</f>
        <v>12.275</v>
      </c>
      <c r="C77" s="464" t="s">
        <v>4</v>
      </c>
      <c r="D77" s="464">
        <f t="shared" ref="D77:E77" si="7">AVERAGE(D78:D79)</f>
        <v>45</v>
      </c>
      <c r="E77" s="464">
        <f t="shared" si="7"/>
        <v>116.67</v>
      </c>
      <c r="F77" s="455"/>
    </row>
    <row r="78" spans="1:6" ht="12" customHeight="1" x14ac:dyDescent="0.3">
      <c r="A78" s="465" t="s">
        <v>41</v>
      </c>
      <c r="B78" s="442">
        <v>14</v>
      </c>
      <c r="C78" s="442" t="s">
        <v>403</v>
      </c>
      <c r="D78" s="442" t="s">
        <v>403</v>
      </c>
      <c r="E78" s="442" t="s">
        <v>403</v>
      </c>
      <c r="F78" s="455"/>
    </row>
    <row r="79" spans="1:6" ht="12" customHeight="1" x14ac:dyDescent="0.3">
      <c r="A79" s="465" t="s">
        <v>40</v>
      </c>
      <c r="B79" s="442">
        <v>10.55</v>
      </c>
      <c r="C79" s="442" t="s">
        <v>410</v>
      </c>
      <c r="D79" s="442">
        <v>45</v>
      </c>
      <c r="E79" s="442">
        <v>116.67</v>
      </c>
      <c r="F79" s="458"/>
    </row>
    <row r="80" spans="1:6" ht="12" customHeight="1" x14ac:dyDescent="0.3">
      <c r="A80" s="423" t="s">
        <v>42</v>
      </c>
      <c r="B80" s="432">
        <f>AVERAGE(B81:B82)</f>
        <v>11.335000000000001</v>
      </c>
      <c r="C80" s="432">
        <f>AVERAGE(C81:C82)</f>
        <v>40</v>
      </c>
      <c r="D80" s="432">
        <f>AVERAGE(D81:D82)</f>
        <v>56</v>
      </c>
      <c r="E80" s="432" t="s">
        <v>4</v>
      </c>
      <c r="F80" s="458"/>
    </row>
    <row r="81" spans="1:6" ht="12" customHeight="1" x14ac:dyDescent="0.3">
      <c r="A81" s="422" t="s">
        <v>45</v>
      </c>
      <c r="B81" s="433">
        <v>12.67</v>
      </c>
      <c r="C81" s="433" t="s">
        <v>410</v>
      </c>
      <c r="D81" s="433" t="s">
        <v>410</v>
      </c>
      <c r="E81" s="433" t="s">
        <v>410</v>
      </c>
      <c r="F81" s="458"/>
    </row>
    <row r="82" spans="1:6" ht="12" customHeight="1" x14ac:dyDescent="0.3">
      <c r="A82" s="422" t="s">
        <v>414</v>
      </c>
      <c r="B82" s="433">
        <v>10</v>
      </c>
      <c r="C82" s="433">
        <v>40</v>
      </c>
      <c r="D82" s="433">
        <v>56</v>
      </c>
      <c r="E82" s="433" t="s">
        <v>410</v>
      </c>
      <c r="F82" s="458"/>
    </row>
    <row r="83" spans="1:6" ht="12" customHeight="1" x14ac:dyDescent="0.3">
      <c r="A83" s="423" t="s">
        <v>196</v>
      </c>
      <c r="B83" s="432">
        <f>AVERAGE(B84:B88)</f>
        <v>15.1</v>
      </c>
      <c r="C83" s="432">
        <f t="shared" ref="C83:E83" si="8">AVERAGE(C84:C88)</f>
        <v>15</v>
      </c>
      <c r="D83" s="432">
        <f t="shared" si="8"/>
        <v>68.5</v>
      </c>
      <c r="E83" s="432">
        <f t="shared" si="8"/>
        <v>90</v>
      </c>
      <c r="F83" s="455"/>
    </row>
    <row r="84" spans="1:6" ht="12" customHeight="1" x14ac:dyDescent="0.3">
      <c r="A84" s="422" t="s">
        <v>432</v>
      </c>
      <c r="B84" s="433">
        <v>20</v>
      </c>
      <c r="C84" s="433" t="s">
        <v>410</v>
      </c>
      <c r="D84" s="433" t="s">
        <v>410</v>
      </c>
      <c r="E84" s="433" t="s">
        <v>410</v>
      </c>
      <c r="F84" s="455"/>
    </row>
    <row r="85" spans="1:6" ht="12" customHeight="1" x14ac:dyDescent="0.3">
      <c r="A85" s="422" t="s">
        <v>557</v>
      </c>
      <c r="B85" s="433">
        <v>10</v>
      </c>
      <c r="C85" s="433">
        <v>15</v>
      </c>
      <c r="D85" s="433">
        <v>85</v>
      </c>
      <c r="E85" s="433">
        <v>90</v>
      </c>
      <c r="F85" s="455"/>
    </row>
    <row r="86" spans="1:6" ht="12" customHeight="1" x14ac:dyDescent="0.3">
      <c r="A86" s="422" t="s">
        <v>198</v>
      </c>
      <c r="B86" s="433">
        <v>16</v>
      </c>
      <c r="C86" s="433" t="s">
        <v>410</v>
      </c>
      <c r="D86" s="433" t="s">
        <v>410</v>
      </c>
      <c r="E86" s="433" t="s">
        <v>410</v>
      </c>
      <c r="F86" s="455"/>
    </row>
    <row r="87" spans="1:6" ht="12" customHeight="1" x14ac:dyDescent="0.3">
      <c r="A87" s="422" t="s">
        <v>197</v>
      </c>
      <c r="B87" s="433">
        <v>10</v>
      </c>
      <c r="C87" s="433" t="s">
        <v>410</v>
      </c>
      <c r="D87" s="433" t="s">
        <v>410</v>
      </c>
      <c r="E87" s="433" t="s">
        <v>410</v>
      </c>
      <c r="F87" s="455"/>
    </row>
    <row r="88" spans="1:6" ht="12" customHeight="1" x14ac:dyDescent="0.3">
      <c r="A88" s="422" t="s">
        <v>65</v>
      </c>
      <c r="B88" s="433">
        <v>19.5</v>
      </c>
      <c r="C88" s="433" t="s">
        <v>410</v>
      </c>
      <c r="D88" s="433">
        <v>52</v>
      </c>
      <c r="E88" s="433" t="s">
        <v>410</v>
      </c>
      <c r="F88" s="455"/>
    </row>
    <row r="89" spans="1:6" ht="12" customHeight="1" x14ac:dyDescent="0.3">
      <c r="A89" s="423" t="s">
        <v>84</v>
      </c>
      <c r="B89" s="432">
        <f>AVERAGE(B90)</f>
        <v>10</v>
      </c>
      <c r="C89" s="432" t="s">
        <v>4</v>
      </c>
      <c r="D89" s="432" t="s">
        <v>4</v>
      </c>
      <c r="E89" s="432" t="s">
        <v>4</v>
      </c>
      <c r="F89" s="455"/>
    </row>
    <row r="90" spans="1:6" ht="12" customHeight="1" x14ac:dyDescent="0.3">
      <c r="A90" s="422" t="s">
        <v>60</v>
      </c>
      <c r="B90" s="433">
        <v>10</v>
      </c>
      <c r="C90" s="433" t="s">
        <v>410</v>
      </c>
      <c r="D90" s="433" t="s">
        <v>410</v>
      </c>
      <c r="E90" s="433" t="s">
        <v>410</v>
      </c>
      <c r="F90" s="455"/>
    </row>
    <row r="91" spans="1:6" ht="12" customHeight="1" x14ac:dyDescent="0.3">
      <c r="A91" s="423" t="s">
        <v>89</v>
      </c>
      <c r="B91" s="432">
        <f>AVERAGE(B92:B94)</f>
        <v>10</v>
      </c>
      <c r="C91" s="432" t="s">
        <v>4</v>
      </c>
      <c r="D91" s="432">
        <f>AVERAGE(D92:D94)</f>
        <v>38</v>
      </c>
      <c r="E91" s="432">
        <f t="shared" ref="E91" si="9">AVERAGE(E92:E94)</f>
        <v>145</v>
      </c>
      <c r="F91" s="455"/>
    </row>
    <row r="92" spans="1:6" ht="12" customHeight="1" x14ac:dyDescent="0.3">
      <c r="A92" s="422" t="s">
        <v>90</v>
      </c>
      <c r="B92" s="433">
        <v>10</v>
      </c>
      <c r="C92" s="433" t="s">
        <v>410</v>
      </c>
      <c r="D92" s="433" t="s">
        <v>410</v>
      </c>
      <c r="E92" s="433">
        <v>145</v>
      </c>
      <c r="F92" s="455"/>
    </row>
    <row r="93" spans="1:6" ht="12" customHeight="1" x14ac:dyDescent="0.3">
      <c r="A93" s="422" t="s">
        <v>468</v>
      </c>
      <c r="B93" s="433">
        <v>10</v>
      </c>
      <c r="C93" s="433" t="s">
        <v>410</v>
      </c>
      <c r="D93" s="433" t="s">
        <v>410</v>
      </c>
      <c r="E93" s="433" t="s">
        <v>410</v>
      </c>
      <c r="F93" s="455"/>
    </row>
    <row r="94" spans="1:6" ht="12" customHeight="1" x14ac:dyDescent="0.3">
      <c r="A94" s="422" t="s">
        <v>559</v>
      </c>
      <c r="B94" s="433">
        <v>10</v>
      </c>
      <c r="C94" s="433">
        <v>30</v>
      </c>
      <c r="D94" s="433">
        <v>38</v>
      </c>
      <c r="E94" s="433" t="s">
        <v>410</v>
      </c>
      <c r="F94" s="455"/>
    </row>
    <row r="95" spans="1:6" ht="12" customHeight="1" x14ac:dyDescent="0.3">
      <c r="A95" s="423" t="s">
        <v>71</v>
      </c>
      <c r="B95" s="432">
        <f>AVERAGE(B96)</f>
        <v>8</v>
      </c>
      <c r="C95" s="432">
        <f>AVERAGE(C96)</f>
        <v>22</v>
      </c>
      <c r="D95" s="432" t="s">
        <v>4</v>
      </c>
      <c r="E95" s="432" t="s">
        <v>4</v>
      </c>
      <c r="F95" s="458"/>
    </row>
    <row r="96" spans="1:6" ht="12" customHeight="1" x14ac:dyDescent="0.3">
      <c r="A96" s="422" t="s">
        <v>72</v>
      </c>
      <c r="B96" s="433">
        <v>8</v>
      </c>
      <c r="C96" s="433">
        <v>22</v>
      </c>
      <c r="D96" s="433" t="s">
        <v>410</v>
      </c>
      <c r="E96" s="433" t="s">
        <v>410</v>
      </c>
      <c r="F96" s="458"/>
    </row>
    <row r="97" spans="1:6" ht="12" customHeight="1" x14ac:dyDescent="0.3">
      <c r="A97" s="423" t="s">
        <v>46</v>
      </c>
      <c r="B97" s="432">
        <f>AVERAGE(B98)</f>
        <v>10</v>
      </c>
      <c r="C97" s="432" t="s">
        <v>4</v>
      </c>
      <c r="D97" s="432" t="s">
        <v>4</v>
      </c>
      <c r="E97" s="432" t="s">
        <v>4</v>
      </c>
      <c r="F97" s="455"/>
    </row>
    <row r="98" spans="1:6" ht="12" customHeight="1" x14ac:dyDescent="0.3">
      <c r="A98" s="430" t="s">
        <v>483</v>
      </c>
      <c r="B98" s="433">
        <v>10</v>
      </c>
      <c r="C98" s="433" t="s">
        <v>410</v>
      </c>
      <c r="D98" s="433" t="s">
        <v>410</v>
      </c>
      <c r="E98" s="433" t="s">
        <v>410</v>
      </c>
      <c r="F98" s="455"/>
    </row>
    <row r="99" spans="1:6" ht="9" customHeight="1" x14ac:dyDescent="0.3">
      <c r="A99" s="493" t="s">
        <v>87</v>
      </c>
      <c r="B99" s="506"/>
      <c r="C99" s="506"/>
      <c r="D99" s="507"/>
      <c r="E99" s="507"/>
      <c r="F99" s="455"/>
    </row>
    <row r="100" spans="1:6" ht="9" customHeight="1" x14ac:dyDescent="0.3">
      <c r="A100" s="493" t="s">
        <v>67</v>
      </c>
      <c r="B100" s="508"/>
      <c r="C100" s="508"/>
      <c r="D100" s="502"/>
      <c r="E100" s="502"/>
      <c r="F100" s="455"/>
    </row>
    <row r="101" spans="1:6" ht="9" customHeight="1" x14ac:dyDescent="0.3">
      <c r="A101" s="494" t="s">
        <v>68</v>
      </c>
      <c r="B101" s="509"/>
      <c r="C101" s="509"/>
      <c r="D101" s="509"/>
      <c r="E101" s="509"/>
      <c r="F101" s="455"/>
    </row>
    <row r="102" spans="1:6" ht="15.75" customHeight="1" x14ac:dyDescent="0.3"/>
    <row r="103" spans="1:6" ht="15.75" customHeight="1" x14ac:dyDescent="0.3"/>
    <row r="104" spans="1:6" ht="15.75" customHeight="1" x14ac:dyDescent="0.3"/>
    <row r="105" spans="1:6" ht="15.75" customHeight="1" x14ac:dyDescent="0.3"/>
    <row r="106" spans="1:6" ht="15.75" customHeight="1" x14ac:dyDescent="0.3"/>
    <row r="107" spans="1:6" ht="15.75" customHeight="1" x14ac:dyDescent="0.3"/>
    <row r="108" spans="1:6" ht="15.75" customHeight="1" x14ac:dyDescent="0.3"/>
    <row r="109" spans="1:6" ht="15.75" customHeight="1" x14ac:dyDescent="0.3"/>
    <row r="110" spans="1:6" ht="15.75" customHeight="1" x14ac:dyDescent="0.3"/>
    <row r="111" spans="1:6" ht="15.75" customHeight="1" x14ac:dyDescent="0.3"/>
    <row r="112" spans="1:6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</sheetData>
  <mergeCells count="1">
    <mergeCell ref="A57:F57"/>
  </mergeCells>
  <pageMargins left="0.27559055118110237" right="0.27559055118110237" top="0.39370078740157483" bottom="0.39370078740157483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/>
  <dimension ref="A1:O203"/>
  <sheetViews>
    <sheetView showGridLines="0" topLeftCell="A152" zoomScaleNormal="100" workbookViewId="0">
      <selection activeCell="A133" sqref="A133:N203"/>
    </sheetView>
  </sheetViews>
  <sheetFormatPr baseColWidth="10" defaultColWidth="11.44140625" defaultRowHeight="13.8" x14ac:dyDescent="0.3"/>
  <cols>
    <col min="1" max="1" width="12.33203125" style="119" customWidth="1"/>
    <col min="2" max="2" width="5.44140625" style="119" customWidth="1"/>
    <col min="3" max="14" width="5.88671875" style="119" customWidth="1"/>
    <col min="15" max="16384" width="11.44140625" style="119"/>
  </cols>
  <sheetData>
    <row r="1" spans="1:15" x14ac:dyDescent="0.3">
      <c r="A1" s="758" t="s">
        <v>544</v>
      </c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9"/>
      <c r="N1" s="759"/>
    </row>
    <row r="2" spans="1:15" ht="12" customHeight="1" x14ac:dyDescent="0.3">
      <c r="A2" s="760" t="s">
        <v>121</v>
      </c>
      <c r="B2" s="758"/>
      <c r="C2" s="758"/>
      <c r="D2" s="758"/>
      <c r="E2" s="758"/>
      <c r="F2" s="758"/>
      <c r="G2" s="758"/>
      <c r="H2" s="758"/>
      <c r="I2" s="758"/>
      <c r="J2" s="758"/>
      <c r="K2" s="758"/>
      <c r="L2" s="758"/>
      <c r="M2" s="759"/>
      <c r="N2" s="759"/>
    </row>
    <row r="3" spans="1:15" ht="5.0999999999999996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16"/>
    </row>
    <row r="4" spans="1:15" ht="15.9" customHeight="1" x14ac:dyDescent="0.3">
      <c r="A4" s="217" t="s">
        <v>94</v>
      </c>
      <c r="B4" s="217" t="s">
        <v>95</v>
      </c>
      <c r="C4" s="217" t="s">
        <v>96</v>
      </c>
      <c r="D4" s="217" t="s">
        <v>97</v>
      </c>
      <c r="E4" s="217" t="s">
        <v>98</v>
      </c>
      <c r="F4" s="217" t="s">
        <v>99</v>
      </c>
      <c r="G4" s="217" t="s">
        <v>100</v>
      </c>
      <c r="H4" s="217" t="s">
        <v>101</v>
      </c>
      <c r="I4" s="217" t="s">
        <v>102</v>
      </c>
      <c r="J4" s="218" t="s">
        <v>103</v>
      </c>
      <c r="K4" s="218" t="s">
        <v>104</v>
      </c>
      <c r="L4" s="217" t="s">
        <v>105</v>
      </c>
      <c r="M4" s="217" t="s">
        <v>106</v>
      </c>
      <c r="N4" s="217" t="s">
        <v>107</v>
      </c>
    </row>
    <row r="5" spans="1:15" ht="3" customHeight="1" x14ac:dyDescent="0.3">
      <c r="A5" s="8"/>
      <c r="B5" s="8"/>
      <c r="C5" s="8"/>
      <c r="D5" s="8"/>
      <c r="E5" s="8"/>
      <c r="F5" s="8"/>
      <c r="G5" s="8"/>
      <c r="H5" s="8"/>
      <c r="I5" s="8"/>
      <c r="J5" s="219"/>
      <c r="K5" s="219"/>
      <c r="L5" s="8"/>
      <c r="M5" s="8"/>
      <c r="N5" s="8"/>
      <c r="O5" s="203"/>
    </row>
    <row r="6" spans="1:15" ht="11.1" customHeight="1" x14ac:dyDescent="0.3">
      <c r="A6" s="17" t="s">
        <v>52</v>
      </c>
      <c r="B6" s="18">
        <v>2018</v>
      </c>
      <c r="C6" s="19">
        <v>35</v>
      </c>
      <c r="D6" s="19">
        <v>36.5</v>
      </c>
      <c r="E6" s="19">
        <v>37.5</v>
      </c>
      <c r="F6" s="19">
        <v>37.5</v>
      </c>
      <c r="G6" s="19">
        <v>37.5</v>
      </c>
      <c r="H6" s="19">
        <v>37.9</v>
      </c>
      <c r="I6" s="19">
        <v>38.5</v>
      </c>
      <c r="J6" s="19">
        <v>38.5</v>
      </c>
      <c r="K6" s="19">
        <v>38.5</v>
      </c>
      <c r="L6" s="19">
        <v>37.5</v>
      </c>
      <c r="M6" s="20">
        <v>37.5</v>
      </c>
      <c r="N6" s="19">
        <v>37.5</v>
      </c>
    </row>
    <row r="7" spans="1:15" ht="11.1" customHeight="1" x14ac:dyDescent="0.3">
      <c r="A7" s="17"/>
      <c r="B7" s="18">
        <v>2019</v>
      </c>
      <c r="C7" s="19">
        <v>40</v>
      </c>
      <c r="D7" s="19">
        <v>40</v>
      </c>
      <c r="E7" s="19">
        <v>40</v>
      </c>
      <c r="F7" s="19">
        <v>40</v>
      </c>
      <c r="G7" s="19">
        <v>40</v>
      </c>
      <c r="H7" s="19">
        <v>40</v>
      </c>
      <c r="I7" s="19">
        <v>38.5</v>
      </c>
      <c r="J7" s="19">
        <v>38.5</v>
      </c>
      <c r="K7" s="19">
        <v>45</v>
      </c>
      <c r="L7" s="19">
        <v>40</v>
      </c>
      <c r="M7" s="20">
        <v>45</v>
      </c>
      <c r="N7" s="19">
        <v>45</v>
      </c>
    </row>
    <row r="8" spans="1:15" ht="11.1" customHeight="1" x14ac:dyDescent="0.3">
      <c r="A8" s="17"/>
      <c r="B8" s="18">
        <v>2020</v>
      </c>
      <c r="C8" s="19">
        <v>45</v>
      </c>
      <c r="D8" s="19">
        <v>45</v>
      </c>
      <c r="E8" s="19">
        <v>45</v>
      </c>
      <c r="F8" s="19">
        <v>35</v>
      </c>
      <c r="G8" s="19">
        <v>45</v>
      </c>
      <c r="H8" s="19">
        <v>45</v>
      </c>
      <c r="I8" s="19">
        <v>46</v>
      </c>
      <c r="J8" s="19">
        <v>45</v>
      </c>
      <c r="K8" s="19">
        <v>45</v>
      </c>
      <c r="L8" s="19">
        <v>45</v>
      </c>
      <c r="M8" s="20">
        <v>45</v>
      </c>
      <c r="N8" s="19">
        <v>45</v>
      </c>
    </row>
    <row r="9" spans="1:15" ht="11.1" customHeight="1" x14ac:dyDescent="0.3">
      <c r="A9" s="17"/>
      <c r="B9" s="18">
        <v>2021</v>
      </c>
      <c r="C9" s="19">
        <v>45</v>
      </c>
      <c r="D9" s="19">
        <v>45</v>
      </c>
      <c r="E9" s="19">
        <v>45</v>
      </c>
      <c r="F9" s="19">
        <v>45</v>
      </c>
      <c r="G9" s="19">
        <v>45</v>
      </c>
      <c r="H9" s="19">
        <v>45</v>
      </c>
      <c r="I9" s="19">
        <v>46</v>
      </c>
      <c r="J9" s="19">
        <v>45</v>
      </c>
      <c r="K9" s="19">
        <v>45</v>
      </c>
      <c r="L9" s="19">
        <v>45</v>
      </c>
      <c r="M9" s="20">
        <v>45</v>
      </c>
      <c r="N9" s="19">
        <v>45</v>
      </c>
    </row>
    <row r="10" spans="1:15" ht="11.1" customHeight="1" x14ac:dyDescent="0.3">
      <c r="A10" s="17"/>
      <c r="B10" s="18">
        <v>2022</v>
      </c>
      <c r="C10" s="19">
        <v>45</v>
      </c>
      <c r="D10" s="19">
        <v>45</v>
      </c>
      <c r="E10" s="19">
        <v>45</v>
      </c>
      <c r="F10" s="19">
        <v>40</v>
      </c>
      <c r="G10" s="19">
        <v>45</v>
      </c>
      <c r="H10" s="19">
        <v>45</v>
      </c>
      <c r="I10" s="19">
        <v>40</v>
      </c>
      <c r="J10" s="19">
        <v>40</v>
      </c>
      <c r="K10" s="19">
        <v>40</v>
      </c>
      <c r="L10" s="19">
        <v>40</v>
      </c>
      <c r="M10" s="19">
        <v>40</v>
      </c>
      <c r="N10" s="19">
        <v>40</v>
      </c>
    </row>
    <row r="11" spans="1:15" ht="11.1" customHeight="1" x14ac:dyDescent="0.3">
      <c r="A11" s="17"/>
      <c r="B11" s="18">
        <v>2023</v>
      </c>
      <c r="C11" s="19" t="s">
        <v>4</v>
      </c>
      <c r="D11" s="19" t="s">
        <v>4</v>
      </c>
      <c r="E11" s="19" t="s">
        <v>4</v>
      </c>
      <c r="F11" s="19">
        <v>50</v>
      </c>
      <c r="G11" s="19">
        <v>50</v>
      </c>
      <c r="H11" s="19">
        <v>50</v>
      </c>
      <c r="I11" s="19">
        <v>50</v>
      </c>
      <c r="J11" s="19">
        <v>50</v>
      </c>
      <c r="K11" s="19">
        <v>50</v>
      </c>
      <c r="L11" s="19">
        <v>50</v>
      </c>
      <c r="M11" s="19">
        <v>50</v>
      </c>
      <c r="N11" s="19">
        <v>50</v>
      </c>
    </row>
    <row r="12" spans="1:15" ht="11.1" customHeight="1" x14ac:dyDescent="0.3">
      <c r="A12" s="17"/>
      <c r="B12" s="18">
        <v>2024</v>
      </c>
      <c r="C12" s="19">
        <v>50</v>
      </c>
      <c r="D12" s="19">
        <v>50</v>
      </c>
      <c r="E12" s="19">
        <v>56</v>
      </c>
      <c r="F12" s="19">
        <v>56</v>
      </c>
      <c r="G12" s="19">
        <v>55</v>
      </c>
      <c r="H12" s="19">
        <v>55</v>
      </c>
      <c r="I12" s="19">
        <v>55</v>
      </c>
      <c r="J12" s="19">
        <v>55</v>
      </c>
      <c r="K12" s="19">
        <v>55</v>
      </c>
      <c r="L12" s="19">
        <v>52.5</v>
      </c>
      <c r="M12" s="19">
        <v>51</v>
      </c>
      <c r="N12" s="19">
        <v>54</v>
      </c>
    </row>
    <row r="13" spans="1:15" ht="11.1" customHeight="1" x14ac:dyDescent="0.3">
      <c r="A13" s="21"/>
      <c r="B13" s="22">
        <v>2025</v>
      </c>
      <c r="C13" s="23">
        <v>54</v>
      </c>
      <c r="D13" s="23">
        <v>54</v>
      </c>
      <c r="E13" s="23">
        <v>52</v>
      </c>
      <c r="F13" s="23" t="s">
        <v>4</v>
      </c>
      <c r="G13" s="23" t="s">
        <v>4</v>
      </c>
      <c r="H13" s="23">
        <v>49</v>
      </c>
      <c r="I13" s="23">
        <v>55</v>
      </c>
      <c r="J13" s="23">
        <v>54</v>
      </c>
      <c r="K13" s="23"/>
      <c r="L13" s="23"/>
      <c r="M13" s="23"/>
      <c r="N13" s="23"/>
    </row>
    <row r="14" spans="1:15" ht="11.1" customHeight="1" x14ac:dyDescent="0.3">
      <c r="A14" s="24" t="s">
        <v>91</v>
      </c>
      <c r="B14" s="25">
        <v>2018</v>
      </c>
      <c r="C14" s="26">
        <v>39.4</v>
      </c>
      <c r="D14" s="26">
        <v>39.299999999999997</v>
      </c>
      <c r="E14" s="26">
        <v>39.299999999999997</v>
      </c>
      <c r="F14" s="26">
        <v>39.595238095238088</v>
      </c>
      <c r="G14" s="26">
        <v>38.5</v>
      </c>
      <c r="H14" s="26">
        <v>38.5</v>
      </c>
      <c r="I14" s="26">
        <v>40.200000000000003</v>
      </c>
      <c r="J14" s="26">
        <v>39.5</v>
      </c>
      <c r="K14" s="26">
        <v>39.5</v>
      </c>
      <c r="L14" s="26">
        <v>38.904761904761912</v>
      </c>
      <c r="M14" s="27">
        <v>38.904761904761912</v>
      </c>
      <c r="N14" s="26">
        <v>38.5</v>
      </c>
    </row>
    <row r="15" spans="1:15" ht="11.1" customHeight="1" x14ac:dyDescent="0.3">
      <c r="A15" s="28"/>
      <c r="B15" s="18">
        <v>2019</v>
      </c>
      <c r="C15" s="19">
        <v>36.595238095238088</v>
      </c>
      <c r="D15" s="19">
        <v>39</v>
      </c>
      <c r="E15" s="19">
        <v>40.5</v>
      </c>
      <c r="F15" s="19">
        <v>41</v>
      </c>
      <c r="G15" s="19">
        <v>40.5</v>
      </c>
      <c r="H15" s="19">
        <v>40.5</v>
      </c>
      <c r="I15" s="19">
        <v>40.5</v>
      </c>
      <c r="J15" s="19">
        <v>41</v>
      </c>
      <c r="K15" s="19">
        <v>48</v>
      </c>
      <c r="L15" s="19">
        <v>44</v>
      </c>
      <c r="M15" s="20">
        <v>46.5</v>
      </c>
      <c r="N15" s="19">
        <v>45</v>
      </c>
    </row>
    <row r="16" spans="1:15" ht="11.1" customHeight="1" x14ac:dyDescent="0.3">
      <c r="A16" s="28"/>
      <c r="B16" s="18">
        <v>2020</v>
      </c>
      <c r="C16" s="19">
        <v>51</v>
      </c>
      <c r="D16" s="19" t="s">
        <v>4</v>
      </c>
      <c r="E16" s="19" t="s">
        <v>4</v>
      </c>
      <c r="F16" s="19" t="s">
        <v>4</v>
      </c>
      <c r="G16" s="19" t="s">
        <v>4</v>
      </c>
      <c r="H16" s="19" t="s">
        <v>4</v>
      </c>
      <c r="I16" s="19" t="s">
        <v>4</v>
      </c>
      <c r="J16" s="19">
        <v>50</v>
      </c>
      <c r="K16" s="19">
        <v>50</v>
      </c>
      <c r="L16" s="19">
        <v>50</v>
      </c>
      <c r="M16" s="20">
        <v>50</v>
      </c>
      <c r="N16" s="19">
        <v>50</v>
      </c>
    </row>
    <row r="17" spans="1:14" ht="11.1" customHeight="1" x14ac:dyDescent="0.3">
      <c r="A17" s="28"/>
      <c r="B17" s="18">
        <v>2021</v>
      </c>
      <c r="C17" s="19">
        <v>52.5</v>
      </c>
      <c r="D17" s="19">
        <v>45</v>
      </c>
      <c r="E17" s="19">
        <v>50</v>
      </c>
      <c r="F17" s="19">
        <v>50</v>
      </c>
      <c r="G17" s="19">
        <v>50</v>
      </c>
      <c r="H17" s="19">
        <v>55</v>
      </c>
      <c r="I17" s="19">
        <v>55</v>
      </c>
      <c r="J17" s="19">
        <v>55</v>
      </c>
      <c r="K17" s="19">
        <v>55</v>
      </c>
      <c r="L17" s="19">
        <v>55</v>
      </c>
      <c r="M17" s="20">
        <v>60</v>
      </c>
      <c r="N17" s="19">
        <v>60</v>
      </c>
    </row>
    <row r="18" spans="1:14" ht="11.1" customHeight="1" x14ac:dyDescent="0.3">
      <c r="A18" s="28"/>
      <c r="B18" s="18">
        <v>2022</v>
      </c>
      <c r="C18" s="19">
        <v>60</v>
      </c>
      <c r="D18" s="19">
        <v>60</v>
      </c>
      <c r="E18" s="19">
        <v>60</v>
      </c>
      <c r="F18" s="19">
        <v>60</v>
      </c>
      <c r="G18" s="19">
        <v>60</v>
      </c>
      <c r="H18" s="19">
        <v>55</v>
      </c>
      <c r="I18" s="19">
        <v>55</v>
      </c>
      <c r="J18" s="19">
        <v>55</v>
      </c>
      <c r="K18" s="19">
        <v>55</v>
      </c>
      <c r="L18" s="19">
        <v>55</v>
      </c>
      <c r="M18" s="20">
        <v>55</v>
      </c>
      <c r="N18" s="19">
        <v>55</v>
      </c>
    </row>
    <row r="19" spans="1:14" ht="11.1" customHeight="1" x14ac:dyDescent="0.3">
      <c r="A19" s="28"/>
      <c r="B19" s="18">
        <v>2023</v>
      </c>
      <c r="C19" s="19">
        <v>60</v>
      </c>
      <c r="D19" s="19">
        <v>62.5</v>
      </c>
      <c r="E19" s="19">
        <v>62.5</v>
      </c>
      <c r="F19" s="19">
        <v>62</v>
      </c>
      <c r="G19" s="19">
        <v>60</v>
      </c>
      <c r="H19" s="19">
        <v>60</v>
      </c>
      <c r="I19" s="19">
        <v>77</v>
      </c>
      <c r="J19" s="19">
        <v>73</v>
      </c>
      <c r="K19" s="19">
        <v>76</v>
      </c>
      <c r="L19" s="19">
        <v>70</v>
      </c>
      <c r="M19" s="19">
        <v>73</v>
      </c>
      <c r="N19" s="19">
        <v>77.5</v>
      </c>
    </row>
    <row r="20" spans="1:14" ht="11.1" customHeight="1" x14ac:dyDescent="0.3">
      <c r="A20" s="28"/>
      <c r="B20" s="18">
        <v>2024</v>
      </c>
      <c r="C20" s="19">
        <v>68</v>
      </c>
      <c r="D20" s="19">
        <v>83</v>
      </c>
      <c r="E20" s="19">
        <v>83</v>
      </c>
      <c r="F20" s="19">
        <v>79</v>
      </c>
      <c r="G20" s="19">
        <v>79</v>
      </c>
      <c r="H20" s="19">
        <v>95</v>
      </c>
      <c r="I20" s="19">
        <v>80</v>
      </c>
      <c r="J20" s="19">
        <v>80</v>
      </c>
      <c r="K20" s="19">
        <v>83</v>
      </c>
      <c r="L20" s="19">
        <v>65.5</v>
      </c>
      <c r="M20" s="19">
        <v>70</v>
      </c>
      <c r="N20" s="19">
        <v>74</v>
      </c>
    </row>
    <row r="21" spans="1:14" ht="11.1" customHeight="1" x14ac:dyDescent="0.3">
      <c r="A21" s="201"/>
      <c r="B21" s="22">
        <v>2025</v>
      </c>
      <c r="C21" s="23">
        <v>76</v>
      </c>
      <c r="D21" s="23">
        <v>77</v>
      </c>
      <c r="E21" s="23">
        <v>76</v>
      </c>
      <c r="F21" s="23">
        <v>80</v>
      </c>
      <c r="G21" s="23">
        <v>85</v>
      </c>
      <c r="H21" s="23">
        <v>86</v>
      </c>
      <c r="I21" s="23">
        <v>81</v>
      </c>
      <c r="J21" s="23">
        <v>80</v>
      </c>
      <c r="K21" s="201"/>
      <c r="L21" s="201"/>
      <c r="M21" s="201"/>
      <c r="N21" s="201"/>
    </row>
    <row r="22" spans="1:14" ht="11.1" customHeight="1" x14ac:dyDescent="0.3">
      <c r="A22" s="30" t="s">
        <v>108</v>
      </c>
      <c r="B22" s="18">
        <v>2024</v>
      </c>
      <c r="C22" s="19" t="s">
        <v>4</v>
      </c>
      <c r="D22" s="19" t="s">
        <v>4</v>
      </c>
      <c r="E22" s="19">
        <v>90</v>
      </c>
      <c r="F22" s="19">
        <v>90</v>
      </c>
      <c r="G22" s="19">
        <v>95</v>
      </c>
      <c r="H22" s="19">
        <v>95</v>
      </c>
      <c r="I22" s="19">
        <v>95</v>
      </c>
      <c r="J22" s="19">
        <v>100</v>
      </c>
      <c r="K22" s="19">
        <v>89.5</v>
      </c>
      <c r="L22" s="19">
        <v>87.5</v>
      </c>
      <c r="M22" s="19">
        <v>78.41</v>
      </c>
      <c r="N22" s="19">
        <v>78</v>
      </c>
    </row>
    <row r="23" spans="1:14" ht="11.1" customHeight="1" x14ac:dyDescent="0.3">
      <c r="B23" s="22">
        <v>2025</v>
      </c>
      <c r="C23" s="19">
        <v>87</v>
      </c>
      <c r="D23" s="19">
        <v>83</v>
      </c>
      <c r="E23" s="19">
        <v>87</v>
      </c>
      <c r="F23" s="19">
        <v>92</v>
      </c>
      <c r="G23" s="19">
        <v>85</v>
      </c>
      <c r="H23" s="19">
        <v>82</v>
      </c>
      <c r="I23" s="19">
        <v>82</v>
      </c>
      <c r="J23" s="19">
        <v>92</v>
      </c>
    </row>
    <row r="24" spans="1:14" ht="11.1" customHeight="1" x14ac:dyDescent="0.3">
      <c r="A24" s="24" t="s">
        <v>109</v>
      </c>
      <c r="B24" s="18">
        <v>2018</v>
      </c>
      <c r="C24" s="26">
        <v>43</v>
      </c>
      <c r="D24" s="26">
        <v>42</v>
      </c>
      <c r="E24" s="26">
        <v>42.5</v>
      </c>
      <c r="F24" s="26">
        <v>40.5</v>
      </c>
      <c r="G24" s="26">
        <v>42</v>
      </c>
      <c r="H24" s="26">
        <v>42</v>
      </c>
      <c r="I24" s="26">
        <v>42</v>
      </c>
      <c r="J24" s="26">
        <v>43</v>
      </c>
      <c r="K24" s="26">
        <v>42.5</v>
      </c>
      <c r="L24" s="26">
        <v>44</v>
      </c>
      <c r="M24" s="27">
        <v>44</v>
      </c>
      <c r="N24" s="26">
        <v>44</v>
      </c>
    </row>
    <row r="25" spans="1:14" ht="11.1" customHeight="1" x14ac:dyDescent="0.3">
      <c r="A25" s="28"/>
      <c r="B25" s="18">
        <v>2019</v>
      </c>
      <c r="C25" s="19">
        <v>41.5</v>
      </c>
      <c r="D25" s="19">
        <v>43</v>
      </c>
      <c r="E25" s="19">
        <v>42.5</v>
      </c>
      <c r="F25" s="19">
        <v>43.5</v>
      </c>
      <c r="G25" s="19">
        <v>44</v>
      </c>
      <c r="H25" s="19">
        <v>43.5</v>
      </c>
      <c r="I25" s="19">
        <v>42.5</v>
      </c>
      <c r="J25" s="19">
        <v>44.5</v>
      </c>
      <c r="K25" s="19">
        <v>45</v>
      </c>
      <c r="L25" s="19">
        <v>47.5</v>
      </c>
      <c r="M25" s="20">
        <v>47.5</v>
      </c>
      <c r="N25" s="19">
        <v>45</v>
      </c>
    </row>
    <row r="26" spans="1:14" ht="11.1" customHeight="1" x14ac:dyDescent="0.3">
      <c r="A26" s="28"/>
      <c r="B26" s="18">
        <v>2020</v>
      </c>
      <c r="C26" s="19">
        <v>40</v>
      </c>
      <c r="D26" s="19">
        <v>40</v>
      </c>
      <c r="E26" s="19">
        <v>40</v>
      </c>
      <c r="F26" s="19">
        <v>40</v>
      </c>
      <c r="G26" s="19">
        <v>40</v>
      </c>
      <c r="H26" s="19">
        <v>45</v>
      </c>
      <c r="I26" s="19">
        <v>40</v>
      </c>
      <c r="J26" s="19">
        <v>40</v>
      </c>
      <c r="K26" s="19">
        <v>40</v>
      </c>
      <c r="L26" s="19">
        <v>40</v>
      </c>
      <c r="M26" s="20">
        <v>45</v>
      </c>
      <c r="N26" s="19">
        <v>45</v>
      </c>
    </row>
    <row r="27" spans="1:14" ht="11.1" customHeight="1" x14ac:dyDescent="0.3">
      <c r="A27" s="28"/>
      <c r="B27" s="18">
        <v>2021</v>
      </c>
      <c r="C27" s="19">
        <v>45</v>
      </c>
      <c r="D27" s="19">
        <v>52.5</v>
      </c>
      <c r="E27" s="19">
        <v>45</v>
      </c>
      <c r="F27" s="19">
        <v>52.5</v>
      </c>
      <c r="G27" s="19">
        <v>47.5</v>
      </c>
      <c r="H27" s="19">
        <v>55</v>
      </c>
      <c r="I27" s="19">
        <v>47.5</v>
      </c>
      <c r="J27" s="19">
        <v>50</v>
      </c>
      <c r="K27" s="19">
        <v>47.5</v>
      </c>
      <c r="L27" s="19">
        <v>52.5</v>
      </c>
      <c r="M27" s="20">
        <v>50</v>
      </c>
      <c r="N27" s="19">
        <v>47.5</v>
      </c>
    </row>
    <row r="28" spans="1:14" ht="11.1" customHeight="1" x14ac:dyDescent="0.3">
      <c r="A28" s="28"/>
      <c r="B28" s="18">
        <v>2022</v>
      </c>
      <c r="C28" s="19">
        <v>50</v>
      </c>
      <c r="D28" s="19">
        <v>50</v>
      </c>
      <c r="E28" s="19">
        <v>50</v>
      </c>
      <c r="F28" s="19">
        <v>50</v>
      </c>
      <c r="G28" s="19">
        <v>50</v>
      </c>
      <c r="H28" s="19">
        <v>50</v>
      </c>
      <c r="I28" s="19">
        <v>50</v>
      </c>
      <c r="J28" s="19">
        <v>50</v>
      </c>
      <c r="K28" s="19">
        <v>50</v>
      </c>
      <c r="L28" s="19">
        <v>55</v>
      </c>
      <c r="M28" s="20">
        <v>48</v>
      </c>
      <c r="N28" s="19">
        <v>55</v>
      </c>
    </row>
    <row r="29" spans="1:14" ht="11.1" customHeight="1" x14ac:dyDescent="0.3">
      <c r="A29" s="28"/>
      <c r="B29" s="18">
        <v>2023</v>
      </c>
      <c r="C29" s="19">
        <v>55</v>
      </c>
      <c r="D29" s="19">
        <v>55</v>
      </c>
      <c r="E29" s="19">
        <v>50</v>
      </c>
      <c r="F29" s="19">
        <v>52.5</v>
      </c>
      <c r="G29" s="19">
        <v>55</v>
      </c>
      <c r="H29" s="19">
        <v>60</v>
      </c>
      <c r="I29" s="19">
        <v>55</v>
      </c>
      <c r="J29" s="19">
        <v>60</v>
      </c>
      <c r="K29" s="19">
        <v>60</v>
      </c>
      <c r="L29" s="19">
        <v>70</v>
      </c>
      <c r="M29" s="19">
        <v>67.5</v>
      </c>
      <c r="N29" s="19">
        <v>67.5</v>
      </c>
    </row>
    <row r="30" spans="1:14" ht="11.1" customHeight="1" x14ac:dyDescent="0.3">
      <c r="A30" s="28"/>
      <c r="B30" s="18">
        <v>2024</v>
      </c>
      <c r="C30" s="19">
        <v>70</v>
      </c>
      <c r="D30" s="19">
        <v>68</v>
      </c>
      <c r="E30" s="19">
        <v>63</v>
      </c>
      <c r="F30" s="19">
        <v>63</v>
      </c>
      <c r="G30" s="19">
        <v>63</v>
      </c>
      <c r="H30" s="19">
        <v>65</v>
      </c>
      <c r="I30" s="19">
        <v>60</v>
      </c>
      <c r="J30" s="19">
        <v>63</v>
      </c>
      <c r="K30" s="19">
        <v>57</v>
      </c>
      <c r="L30" s="19">
        <v>51</v>
      </c>
      <c r="M30" s="19">
        <v>51</v>
      </c>
      <c r="N30" s="19">
        <v>50</v>
      </c>
    </row>
    <row r="31" spans="1:14" ht="11.1" customHeight="1" x14ac:dyDescent="0.3">
      <c r="A31" s="29"/>
      <c r="B31" s="22">
        <v>2025</v>
      </c>
      <c r="C31" s="19">
        <v>51</v>
      </c>
      <c r="D31" s="19">
        <v>52</v>
      </c>
      <c r="E31" s="19">
        <v>54</v>
      </c>
      <c r="F31" s="19">
        <v>54</v>
      </c>
      <c r="G31" s="19">
        <v>54</v>
      </c>
      <c r="H31" s="19">
        <v>51</v>
      </c>
      <c r="I31" s="19">
        <v>52</v>
      </c>
      <c r="J31" s="19">
        <v>54</v>
      </c>
    </row>
    <row r="32" spans="1:14" ht="11.1" customHeight="1" x14ac:dyDescent="0.3">
      <c r="A32" s="24" t="s">
        <v>110</v>
      </c>
      <c r="B32" s="25">
        <v>2018</v>
      </c>
      <c r="C32" s="26">
        <v>32</v>
      </c>
      <c r="D32" s="26">
        <v>32</v>
      </c>
      <c r="E32" s="26">
        <v>31.5</v>
      </c>
      <c r="F32" s="26">
        <v>32</v>
      </c>
      <c r="G32" s="26">
        <v>32</v>
      </c>
      <c r="H32" s="26">
        <v>32</v>
      </c>
      <c r="I32" s="26">
        <v>32</v>
      </c>
      <c r="J32" s="26">
        <v>32</v>
      </c>
      <c r="K32" s="26">
        <v>32.5</v>
      </c>
      <c r="L32" s="26">
        <v>32.5</v>
      </c>
      <c r="M32" s="27">
        <v>32.5</v>
      </c>
      <c r="N32" s="26">
        <v>32.5</v>
      </c>
    </row>
    <row r="33" spans="1:15" ht="11.1" customHeight="1" x14ac:dyDescent="0.3">
      <c r="A33" s="28"/>
      <c r="B33" s="18">
        <v>2019</v>
      </c>
      <c r="C33" s="19">
        <v>31.5</v>
      </c>
      <c r="D33" s="19">
        <v>30.5</v>
      </c>
      <c r="E33" s="19">
        <v>30.5</v>
      </c>
      <c r="F33" s="19">
        <v>31</v>
      </c>
      <c r="G33" s="19">
        <v>34</v>
      </c>
      <c r="H33" s="19">
        <v>32</v>
      </c>
      <c r="I33" s="19">
        <v>32</v>
      </c>
      <c r="J33" s="19">
        <v>33</v>
      </c>
      <c r="K33" s="19">
        <v>33.5</v>
      </c>
      <c r="L33" s="19">
        <v>32.5</v>
      </c>
      <c r="M33" s="20">
        <v>33</v>
      </c>
      <c r="N33" s="19">
        <v>32.5</v>
      </c>
    </row>
    <row r="34" spans="1:15" ht="11.1" customHeight="1" x14ac:dyDescent="0.3">
      <c r="A34" s="28"/>
      <c r="B34" s="18">
        <v>2020</v>
      </c>
      <c r="C34" s="19">
        <v>32.5</v>
      </c>
      <c r="D34" s="19" t="s">
        <v>4</v>
      </c>
      <c r="E34" s="19" t="s">
        <v>4</v>
      </c>
      <c r="F34" s="19" t="s">
        <v>4</v>
      </c>
      <c r="G34" s="19" t="s">
        <v>4</v>
      </c>
      <c r="H34" s="19">
        <v>37.5</v>
      </c>
      <c r="I34" s="19">
        <v>37.5</v>
      </c>
      <c r="J34" s="19">
        <v>32.5</v>
      </c>
      <c r="K34" s="19">
        <v>37.5</v>
      </c>
      <c r="L34" s="19">
        <v>37.5</v>
      </c>
      <c r="M34" s="20">
        <v>40</v>
      </c>
      <c r="N34" s="19">
        <v>37.5</v>
      </c>
    </row>
    <row r="35" spans="1:15" ht="11.1" customHeight="1" x14ac:dyDescent="0.3">
      <c r="A35" s="28"/>
      <c r="B35" s="18">
        <v>2021</v>
      </c>
      <c r="C35" s="19">
        <v>37.5</v>
      </c>
      <c r="D35" s="19">
        <v>37.5</v>
      </c>
      <c r="E35" s="19">
        <v>37.5</v>
      </c>
      <c r="F35" s="19">
        <v>40</v>
      </c>
      <c r="G35" s="19">
        <v>37.5</v>
      </c>
      <c r="H35" s="19">
        <v>37.5</v>
      </c>
      <c r="I35" s="19">
        <v>37.5</v>
      </c>
      <c r="J35" s="19">
        <v>37.5</v>
      </c>
      <c r="K35" s="19">
        <v>37.5</v>
      </c>
      <c r="L35" s="19">
        <v>37.5</v>
      </c>
      <c r="M35" s="20">
        <v>37.5</v>
      </c>
      <c r="N35" s="19">
        <v>37.5</v>
      </c>
    </row>
    <row r="36" spans="1:15" ht="11.1" customHeight="1" x14ac:dyDescent="0.3">
      <c r="A36" s="28"/>
      <c r="B36" s="18">
        <v>2022</v>
      </c>
      <c r="C36" s="19">
        <v>37.5</v>
      </c>
      <c r="D36" s="19">
        <v>45</v>
      </c>
      <c r="E36" s="19">
        <v>45</v>
      </c>
      <c r="F36" s="19">
        <v>45</v>
      </c>
      <c r="G36" s="19">
        <v>45</v>
      </c>
      <c r="H36" s="19">
        <v>45</v>
      </c>
      <c r="I36" s="19">
        <v>47.5</v>
      </c>
      <c r="J36" s="19">
        <v>47.5</v>
      </c>
      <c r="K36" s="19">
        <v>50</v>
      </c>
      <c r="L36" s="19">
        <v>47.5</v>
      </c>
      <c r="M36" s="20">
        <v>47.5</v>
      </c>
      <c r="N36" s="19">
        <v>47.5</v>
      </c>
    </row>
    <row r="37" spans="1:15" ht="11.1" customHeight="1" x14ac:dyDescent="0.3">
      <c r="A37" s="28"/>
      <c r="B37" s="18">
        <v>2023</v>
      </c>
      <c r="C37" s="19">
        <v>47.5</v>
      </c>
      <c r="D37" s="19">
        <v>48</v>
      </c>
      <c r="E37" s="19">
        <v>48</v>
      </c>
      <c r="F37" s="19">
        <v>48</v>
      </c>
      <c r="G37" s="19">
        <v>48</v>
      </c>
      <c r="H37" s="19">
        <v>47</v>
      </c>
      <c r="I37" s="19">
        <v>50</v>
      </c>
      <c r="J37" s="19">
        <v>52</v>
      </c>
      <c r="K37" s="19">
        <v>50</v>
      </c>
      <c r="L37" s="19">
        <v>50</v>
      </c>
      <c r="M37" s="19">
        <v>50</v>
      </c>
      <c r="N37" s="19">
        <v>50</v>
      </c>
    </row>
    <row r="38" spans="1:15" ht="11.1" customHeight="1" x14ac:dyDescent="0.3">
      <c r="A38" s="28"/>
      <c r="B38" s="18">
        <v>2024</v>
      </c>
      <c r="C38" s="19">
        <v>45</v>
      </c>
      <c r="D38" s="19">
        <v>45</v>
      </c>
      <c r="E38" s="19">
        <v>48</v>
      </c>
      <c r="F38" s="19">
        <v>55</v>
      </c>
      <c r="G38" s="19">
        <v>70</v>
      </c>
      <c r="H38" s="19">
        <v>90</v>
      </c>
      <c r="I38" s="19">
        <v>60</v>
      </c>
      <c r="J38" s="19">
        <v>50</v>
      </c>
      <c r="K38" s="19">
        <v>49</v>
      </c>
      <c r="L38" s="19">
        <v>44</v>
      </c>
      <c r="M38" s="19">
        <v>44</v>
      </c>
      <c r="N38" s="19">
        <v>42</v>
      </c>
    </row>
    <row r="39" spans="1:15" ht="11.1" customHeight="1" x14ac:dyDescent="0.3">
      <c r="A39" s="29"/>
      <c r="B39" s="22">
        <v>2025</v>
      </c>
      <c r="C39" s="19">
        <v>45</v>
      </c>
      <c r="D39" s="19">
        <v>44</v>
      </c>
      <c r="E39" s="19">
        <v>46</v>
      </c>
      <c r="F39" s="19">
        <v>44</v>
      </c>
      <c r="G39" s="19">
        <v>40</v>
      </c>
      <c r="H39" s="19">
        <v>43</v>
      </c>
      <c r="I39" s="19">
        <v>44</v>
      </c>
      <c r="J39" s="19">
        <v>46</v>
      </c>
    </row>
    <row r="40" spans="1:15" ht="11.1" customHeight="1" x14ac:dyDescent="0.3">
      <c r="A40" s="31" t="s">
        <v>111</v>
      </c>
      <c r="B40" s="25">
        <v>2018</v>
      </c>
      <c r="C40" s="26">
        <v>37</v>
      </c>
      <c r="D40" s="26">
        <v>34.5</v>
      </c>
      <c r="E40" s="26">
        <v>36</v>
      </c>
      <c r="F40" s="26">
        <v>35</v>
      </c>
      <c r="G40" s="26">
        <v>35</v>
      </c>
      <c r="H40" s="26">
        <v>35</v>
      </c>
      <c r="I40" s="26">
        <v>35</v>
      </c>
      <c r="J40" s="26">
        <v>35</v>
      </c>
      <c r="K40" s="26">
        <v>35.5</v>
      </c>
      <c r="L40" s="26">
        <v>35</v>
      </c>
      <c r="M40" s="27">
        <v>35</v>
      </c>
      <c r="N40" s="26">
        <v>36</v>
      </c>
    </row>
    <row r="41" spans="1:15" ht="11.1" customHeight="1" x14ac:dyDescent="0.3">
      <c r="A41" s="17"/>
      <c r="B41" s="18">
        <v>2019</v>
      </c>
      <c r="C41" s="19">
        <v>32.5</v>
      </c>
      <c r="D41" s="19">
        <v>34</v>
      </c>
      <c r="E41" s="19">
        <v>30</v>
      </c>
      <c r="F41" s="19">
        <v>38</v>
      </c>
      <c r="G41" s="19">
        <v>39.700000000000003</v>
      </c>
      <c r="H41" s="19">
        <v>40</v>
      </c>
      <c r="I41" s="19">
        <v>37</v>
      </c>
      <c r="J41" s="19">
        <v>40</v>
      </c>
      <c r="K41" s="19">
        <v>50</v>
      </c>
      <c r="L41" s="19">
        <v>50</v>
      </c>
      <c r="M41" s="20">
        <v>55</v>
      </c>
      <c r="N41" s="19">
        <v>55</v>
      </c>
    </row>
    <row r="42" spans="1:15" ht="11.1" customHeight="1" x14ac:dyDescent="0.3">
      <c r="A42" s="17"/>
      <c r="B42" s="18">
        <v>2020</v>
      </c>
      <c r="C42" s="19">
        <v>55</v>
      </c>
      <c r="D42" s="19" t="s">
        <v>4</v>
      </c>
      <c r="E42" s="19" t="s">
        <v>4</v>
      </c>
      <c r="F42" s="19" t="s">
        <v>4</v>
      </c>
      <c r="G42" s="19" t="s">
        <v>4</v>
      </c>
      <c r="H42" s="19" t="s">
        <v>4</v>
      </c>
      <c r="I42" s="19" t="s">
        <v>4</v>
      </c>
      <c r="J42" s="19" t="s">
        <v>4</v>
      </c>
      <c r="K42" s="19" t="s">
        <v>4</v>
      </c>
      <c r="L42" s="19" t="s">
        <v>4</v>
      </c>
      <c r="M42" s="20" t="s">
        <v>4</v>
      </c>
      <c r="N42" s="19" t="s">
        <v>4</v>
      </c>
    </row>
    <row r="43" spans="1:15" ht="11.1" customHeight="1" x14ac:dyDescent="0.3">
      <c r="A43" s="28"/>
      <c r="B43" s="18">
        <v>2021</v>
      </c>
      <c r="C43" s="19" t="s">
        <v>4</v>
      </c>
      <c r="D43" s="19" t="s">
        <v>4</v>
      </c>
      <c r="E43" s="19" t="s">
        <v>4</v>
      </c>
      <c r="F43" s="19" t="s">
        <v>4</v>
      </c>
      <c r="G43" s="19" t="s">
        <v>4</v>
      </c>
      <c r="H43" s="19" t="s">
        <v>4</v>
      </c>
      <c r="I43" s="19">
        <v>57.5</v>
      </c>
      <c r="J43" s="19">
        <v>57.5</v>
      </c>
      <c r="K43" s="19" t="s">
        <v>4</v>
      </c>
      <c r="L43" s="19" t="s">
        <v>4</v>
      </c>
      <c r="M43" s="20">
        <v>62.5</v>
      </c>
      <c r="N43" s="19" t="s">
        <v>4</v>
      </c>
    </row>
    <row r="44" spans="1:15" ht="11.1" customHeight="1" x14ac:dyDescent="0.3">
      <c r="A44" s="28"/>
      <c r="B44" s="18">
        <v>2022</v>
      </c>
      <c r="C44" s="19">
        <v>62.5</v>
      </c>
      <c r="D44" s="19">
        <v>57.5</v>
      </c>
      <c r="E44" s="19">
        <v>57.5</v>
      </c>
      <c r="F44" s="19">
        <v>57.5</v>
      </c>
      <c r="G44" s="19">
        <v>62.5</v>
      </c>
      <c r="H44" s="19">
        <v>62.5</v>
      </c>
      <c r="I44" s="19">
        <v>57.5</v>
      </c>
      <c r="J44" s="19">
        <v>57.5</v>
      </c>
      <c r="K44" s="19">
        <v>57.5</v>
      </c>
      <c r="L44" s="19">
        <v>57.5</v>
      </c>
      <c r="M44" s="20" t="s">
        <v>4</v>
      </c>
      <c r="N44" s="19">
        <v>57.5</v>
      </c>
    </row>
    <row r="45" spans="1:15" ht="11.1" customHeight="1" x14ac:dyDescent="0.3">
      <c r="A45" s="28"/>
      <c r="B45" s="18">
        <v>2023</v>
      </c>
      <c r="C45" s="19">
        <v>57.5</v>
      </c>
      <c r="D45" s="19">
        <v>57.5</v>
      </c>
      <c r="E45" s="19">
        <v>67.5</v>
      </c>
      <c r="F45" s="19">
        <v>67.5</v>
      </c>
      <c r="G45" s="19" t="s">
        <v>4</v>
      </c>
      <c r="H45" s="19" t="s">
        <v>4</v>
      </c>
      <c r="I45" s="19" t="s">
        <v>4</v>
      </c>
      <c r="J45" s="19" t="s">
        <v>4</v>
      </c>
      <c r="K45" s="19" t="s">
        <v>4</v>
      </c>
      <c r="L45" s="19">
        <v>57.5</v>
      </c>
      <c r="M45" s="19">
        <v>63</v>
      </c>
      <c r="N45" s="19">
        <v>64</v>
      </c>
    </row>
    <row r="46" spans="1:15" ht="11.1" customHeight="1" x14ac:dyDescent="0.3">
      <c r="A46" s="28"/>
      <c r="B46" s="18">
        <v>2024</v>
      </c>
      <c r="C46" s="19">
        <v>57.5</v>
      </c>
      <c r="D46" s="19">
        <v>54</v>
      </c>
      <c r="E46" s="19">
        <v>50</v>
      </c>
      <c r="F46" s="19">
        <v>53</v>
      </c>
      <c r="G46" s="19">
        <v>60</v>
      </c>
      <c r="H46" s="19">
        <v>60</v>
      </c>
      <c r="I46" s="19">
        <v>63</v>
      </c>
      <c r="J46" s="19">
        <v>63</v>
      </c>
      <c r="K46" s="19">
        <v>55</v>
      </c>
      <c r="L46" s="19" t="s">
        <v>4</v>
      </c>
      <c r="M46" s="19" t="s">
        <v>4</v>
      </c>
      <c r="N46" s="19">
        <v>56</v>
      </c>
      <c r="O46" s="202"/>
    </row>
    <row r="47" spans="1:15" ht="11.1" customHeight="1" x14ac:dyDescent="0.3">
      <c r="A47" s="29"/>
      <c r="B47" s="22">
        <v>2025</v>
      </c>
      <c r="C47" s="23" t="s">
        <v>4</v>
      </c>
      <c r="D47" s="23" t="s">
        <v>4</v>
      </c>
      <c r="E47" s="23" t="s">
        <v>4</v>
      </c>
      <c r="F47" s="23" t="s">
        <v>4</v>
      </c>
      <c r="G47" s="23" t="s">
        <v>4</v>
      </c>
      <c r="H47" s="23" t="s">
        <v>4</v>
      </c>
      <c r="I47" s="23" t="s">
        <v>4</v>
      </c>
      <c r="J47" s="23" t="s">
        <v>4</v>
      </c>
    </row>
    <row r="48" spans="1:15" ht="11.1" customHeight="1" x14ac:dyDescent="0.3">
      <c r="A48" s="31" t="s">
        <v>17</v>
      </c>
      <c r="B48" s="25">
        <v>2018</v>
      </c>
      <c r="C48" s="26">
        <v>36.5</v>
      </c>
      <c r="D48" s="26">
        <v>36.5</v>
      </c>
      <c r="E48" s="26">
        <v>36.5</v>
      </c>
      <c r="F48" s="26">
        <v>36.799999999999997</v>
      </c>
      <c r="G48" s="26">
        <v>38</v>
      </c>
      <c r="H48" s="26">
        <v>38</v>
      </c>
      <c r="I48" s="26">
        <v>38</v>
      </c>
      <c r="J48" s="26">
        <v>34</v>
      </c>
      <c r="K48" s="26">
        <v>34</v>
      </c>
      <c r="L48" s="26">
        <v>34</v>
      </c>
      <c r="M48" s="27">
        <v>34</v>
      </c>
      <c r="N48" s="26">
        <v>36</v>
      </c>
    </row>
    <row r="49" spans="1:14" ht="11.1" customHeight="1" x14ac:dyDescent="0.3">
      <c r="A49" s="17"/>
      <c r="B49" s="18">
        <v>2019</v>
      </c>
      <c r="C49" s="19">
        <v>38</v>
      </c>
      <c r="D49" s="19">
        <v>38</v>
      </c>
      <c r="E49" s="19">
        <v>38</v>
      </c>
      <c r="F49" s="19">
        <v>38</v>
      </c>
      <c r="G49" s="19">
        <v>40</v>
      </c>
      <c r="H49" s="19">
        <v>40</v>
      </c>
      <c r="I49" s="19">
        <v>40</v>
      </c>
      <c r="J49" s="19">
        <v>40</v>
      </c>
      <c r="K49" s="19">
        <v>40</v>
      </c>
      <c r="L49" s="19">
        <v>40</v>
      </c>
      <c r="M49" s="20">
        <v>40</v>
      </c>
      <c r="N49" s="19">
        <v>40</v>
      </c>
    </row>
    <row r="50" spans="1:14" ht="11.1" customHeight="1" x14ac:dyDescent="0.3">
      <c r="A50" s="17"/>
      <c r="B50" s="18">
        <v>2020</v>
      </c>
      <c r="C50" s="19">
        <v>40</v>
      </c>
      <c r="D50" s="19" t="s">
        <v>4</v>
      </c>
      <c r="E50" s="19" t="s">
        <v>4</v>
      </c>
      <c r="F50" s="19" t="s">
        <v>4</v>
      </c>
      <c r="G50" s="19">
        <v>40</v>
      </c>
      <c r="H50" s="19">
        <v>40</v>
      </c>
      <c r="I50" s="19">
        <v>40</v>
      </c>
      <c r="J50" s="19">
        <v>40</v>
      </c>
      <c r="K50" s="19" t="s">
        <v>4</v>
      </c>
      <c r="L50" s="19">
        <v>40</v>
      </c>
      <c r="M50" s="20">
        <v>40</v>
      </c>
      <c r="N50" s="19">
        <v>40</v>
      </c>
    </row>
    <row r="51" spans="1:14" ht="11.1" customHeight="1" x14ac:dyDescent="0.3">
      <c r="A51" s="17"/>
      <c r="B51" s="18">
        <v>2021</v>
      </c>
      <c r="C51" s="19">
        <v>40</v>
      </c>
      <c r="D51" s="19">
        <v>40</v>
      </c>
      <c r="E51" s="19">
        <v>40</v>
      </c>
      <c r="F51" s="19">
        <v>40</v>
      </c>
      <c r="G51" s="19">
        <v>40</v>
      </c>
      <c r="H51" s="19">
        <v>40</v>
      </c>
      <c r="I51" s="19">
        <v>40</v>
      </c>
      <c r="J51" s="19">
        <v>40</v>
      </c>
      <c r="K51" s="19">
        <v>40</v>
      </c>
      <c r="L51" s="19">
        <v>40</v>
      </c>
      <c r="M51" s="20">
        <v>40</v>
      </c>
      <c r="N51" s="19">
        <v>42.5</v>
      </c>
    </row>
    <row r="52" spans="1:14" ht="11.1" customHeight="1" x14ac:dyDescent="0.3">
      <c r="A52" s="17"/>
      <c r="B52" s="18">
        <v>2022</v>
      </c>
      <c r="C52" s="19">
        <v>42.5</v>
      </c>
      <c r="D52" s="19">
        <v>42.5</v>
      </c>
      <c r="E52" s="19">
        <v>42.5</v>
      </c>
      <c r="F52" s="19">
        <v>43</v>
      </c>
      <c r="G52" s="19">
        <v>42.5</v>
      </c>
      <c r="H52" s="19">
        <v>43</v>
      </c>
      <c r="I52" s="19">
        <v>47.5</v>
      </c>
      <c r="J52" s="19">
        <v>47.5</v>
      </c>
      <c r="K52" s="19">
        <v>47.5</v>
      </c>
      <c r="L52" s="19">
        <v>47.5</v>
      </c>
      <c r="M52" s="20">
        <v>47.5</v>
      </c>
      <c r="N52" s="19">
        <v>47.5</v>
      </c>
    </row>
    <row r="53" spans="1:14" ht="11.1" customHeight="1" x14ac:dyDescent="0.3">
      <c r="A53" s="17"/>
      <c r="B53" s="18">
        <v>2023</v>
      </c>
      <c r="C53" s="19">
        <v>47.5</v>
      </c>
      <c r="D53" s="19">
        <v>47.5</v>
      </c>
      <c r="E53" s="19">
        <v>47.5</v>
      </c>
      <c r="F53" s="19">
        <v>47.5</v>
      </c>
      <c r="G53" s="19">
        <v>48</v>
      </c>
      <c r="H53" s="19">
        <v>47.5</v>
      </c>
      <c r="I53" s="19">
        <v>48</v>
      </c>
      <c r="J53" s="19">
        <v>48</v>
      </c>
      <c r="K53" s="19">
        <v>43</v>
      </c>
      <c r="L53" s="19">
        <v>48</v>
      </c>
      <c r="M53" s="19">
        <v>48</v>
      </c>
      <c r="N53" s="19">
        <v>48</v>
      </c>
    </row>
    <row r="54" spans="1:14" ht="11.1" customHeight="1" x14ac:dyDescent="0.3">
      <c r="A54" s="17"/>
      <c r="B54" s="18">
        <v>2024</v>
      </c>
      <c r="C54" s="19">
        <v>50</v>
      </c>
      <c r="D54" s="19">
        <v>58</v>
      </c>
      <c r="E54" s="19">
        <v>60</v>
      </c>
      <c r="F54" s="19">
        <v>58</v>
      </c>
      <c r="G54" s="19">
        <v>53</v>
      </c>
      <c r="H54" s="19">
        <v>53</v>
      </c>
      <c r="I54" s="19">
        <v>53</v>
      </c>
      <c r="J54" s="19">
        <v>53</v>
      </c>
      <c r="K54" s="19">
        <v>50</v>
      </c>
      <c r="L54" s="19">
        <v>49</v>
      </c>
      <c r="M54" s="19">
        <v>52.5</v>
      </c>
      <c r="N54" s="19">
        <v>54</v>
      </c>
    </row>
    <row r="55" spans="1:14" ht="11.1" customHeight="1" x14ac:dyDescent="0.3">
      <c r="A55" s="21"/>
      <c r="B55" s="22">
        <v>2025</v>
      </c>
      <c r="C55" s="19">
        <v>52</v>
      </c>
      <c r="D55" s="19">
        <v>50</v>
      </c>
      <c r="E55" s="19">
        <v>53</v>
      </c>
      <c r="F55" s="19">
        <v>54</v>
      </c>
      <c r="G55" s="19">
        <v>52</v>
      </c>
      <c r="H55" s="19">
        <v>53</v>
      </c>
      <c r="I55" s="19">
        <v>50</v>
      </c>
      <c r="J55" s="19">
        <v>52</v>
      </c>
    </row>
    <row r="56" spans="1:14" ht="11.1" customHeight="1" x14ac:dyDescent="0.3">
      <c r="A56" s="31" t="s">
        <v>21</v>
      </c>
      <c r="B56" s="25">
        <v>2018</v>
      </c>
      <c r="C56" s="26">
        <v>32</v>
      </c>
      <c r="D56" s="26">
        <v>32</v>
      </c>
      <c r="E56" s="26">
        <v>33</v>
      </c>
      <c r="F56" s="26">
        <v>34</v>
      </c>
      <c r="G56" s="26">
        <v>34</v>
      </c>
      <c r="H56" s="26">
        <v>34</v>
      </c>
      <c r="I56" s="26">
        <v>34</v>
      </c>
      <c r="J56" s="26">
        <v>34</v>
      </c>
      <c r="K56" s="26">
        <v>34</v>
      </c>
      <c r="L56" s="26">
        <v>33</v>
      </c>
      <c r="M56" s="27">
        <v>33</v>
      </c>
      <c r="N56" s="26">
        <v>33</v>
      </c>
    </row>
    <row r="57" spans="1:14" ht="11.1" customHeight="1" x14ac:dyDescent="0.3">
      <c r="A57" s="17"/>
      <c r="B57" s="18">
        <v>2019</v>
      </c>
      <c r="C57" s="19">
        <v>33</v>
      </c>
      <c r="D57" s="19">
        <v>33.5</v>
      </c>
      <c r="E57" s="19">
        <v>33.5</v>
      </c>
      <c r="F57" s="19">
        <v>34</v>
      </c>
      <c r="G57" s="19">
        <v>34</v>
      </c>
      <c r="H57" s="19">
        <v>37</v>
      </c>
      <c r="I57" s="19">
        <v>37</v>
      </c>
      <c r="J57" s="19">
        <v>37</v>
      </c>
      <c r="K57" s="19">
        <v>38</v>
      </c>
      <c r="L57" s="19">
        <v>35</v>
      </c>
      <c r="M57" s="20">
        <v>38</v>
      </c>
      <c r="N57" s="19">
        <v>38</v>
      </c>
    </row>
    <row r="58" spans="1:14" ht="11.1" customHeight="1" x14ac:dyDescent="0.3">
      <c r="A58" s="17"/>
      <c r="B58" s="18">
        <v>2020</v>
      </c>
      <c r="C58" s="19">
        <v>43</v>
      </c>
      <c r="D58" s="19">
        <v>43</v>
      </c>
      <c r="E58" s="19" t="s">
        <v>4</v>
      </c>
      <c r="F58" s="19">
        <v>43</v>
      </c>
      <c r="G58" s="19">
        <v>43</v>
      </c>
      <c r="H58" s="19">
        <v>43</v>
      </c>
      <c r="I58" s="19">
        <v>43</v>
      </c>
      <c r="J58" s="19">
        <v>43</v>
      </c>
      <c r="K58" s="19">
        <v>43</v>
      </c>
      <c r="L58" s="19">
        <v>63</v>
      </c>
      <c r="M58" s="20">
        <v>63</v>
      </c>
      <c r="N58" s="19">
        <v>63</v>
      </c>
    </row>
    <row r="59" spans="1:14" ht="11.1" customHeight="1" x14ac:dyDescent="0.3">
      <c r="A59" s="17"/>
      <c r="B59" s="18">
        <v>2021</v>
      </c>
      <c r="C59" s="19">
        <v>62.5</v>
      </c>
      <c r="D59" s="19">
        <v>62.5</v>
      </c>
      <c r="E59" s="19">
        <v>62.5</v>
      </c>
      <c r="F59" s="19">
        <v>62.5</v>
      </c>
      <c r="G59" s="19">
        <v>62.5</v>
      </c>
      <c r="H59" s="19">
        <v>62.5</v>
      </c>
      <c r="I59" s="19">
        <v>62.5</v>
      </c>
      <c r="J59" s="19">
        <v>62.5</v>
      </c>
      <c r="K59" s="19">
        <v>62.5</v>
      </c>
      <c r="L59" s="19">
        <v>62.5</v>
      </c>
      <c r="M59" s="20">
        <v>62.5</v>
      </c>
      <c r="N59" s="19">
        <v>62.5</v>
      </c>
    </row>
    <row r="60" spans="1:14" ht="11.1" customHeight="1" x14ac:dyDescent="0.3">
      <c r="A60" s="17"/>
      <c r="B60" s="18">
        <v>2022</v>
      </c>
      <c r="C60" s="19">
        <v>62.5</v>
      </c>
      <c r="D60" s="19">
        <v>65</v>
      </c>
      <c r="E60" s="19">
        <v>75</v>
      </c>
      <c r="F60" s="19">
        <v>72.5</v>
      </c>
      <c r="G60" s="19">
        <v>62.5</v>
      </c>
      <c r="H60" s="19">
        <v>75</v>
      </c>
      <c r="I60" s="19">
        <v>67.5</v>
      </c>
      <c r="J60" s="19">
        <v>65</v>
      </c>
      <c r="K60" s="19">
        <v>62.5</v>
      </c>
      <c r="L60" s="19">
        <v>65</v>
      </c>
      <c r="M60" s="20">
        <v>75</v>
      </c>
      <c r="N60" s="19">
        <v>65</v>
      </c>
    </row>
    <row r="61" spans="1:14" ht="11.1" customHeight="1" x14ac:dyDescent="0.3">
      <c r="A61" s="17"/>
      <c r="B61" s="18">
        <v>2023</v>
      </c>
      <c r="C61" s="19">
        <v>65</v>
      </c>
      <c r="D61" s="19">
        <v>67.5</v>
      </c>
      <c r="E61" s="19">
        <v>50</v>
      </c>
      <c r="F61" s="19">
        <v>60</v>
      </c>
      <c r="G61" s="19">
        <v>65</v>
      </c>
      <c r="H61" s="19">
        <v>70</v>
      </c>
      <c r="I61" s="19">
        <v>65</v>
      </c>
      <c r="J61" s="19">
        <v>65</v>
      </c>
      <c r="K61" s="19">
        <v>68</v>
      </c>
      <c r="L61" s="19">
        <v>55</v>
      </c>
      <c r="M61" s="19">
        <v>55</v>
      </c>
      <c r="N61" s="19">
        <v>60</v>
      </c>
    </row>
    <row r="62" spans="1:14" ht="11.1" customHeight="1" x14ac:dyDescent="0.3">
      <c r="A62" s="17"/>
      <c r="B62" s="18">
        <v>2024</v>
      </c>
      <c r="C62" s="19">
        <v>55</v>
      </c>
      <c r="D62" s="19">
        <v>55</v>
      </c>
      <c r="E62" s="19">
        <v>55</v>
      </c>
      <c r="F62" s="19">
        <v>49</v>
      </c>
      <c r="G62" s="19">
        <v>58</v>
      </c>
      <c r="H62" s="19">
        <v>65</v>
      </c>
      <c r="I62" s="19">
        <v>60</v>
      </c>
      <c r="J62" s="19">
        <v>60</v>
      </c>
      <c r="K62" s="19">
        <v>51</v>
      </c>
      <c r="L62" s="19">
        <v>46</v>
      </c>
      <c r="M62" s="19">
        <v>45</v>
      </c>
      <c r="N62" s="19">
        <v>46</v>
      </c>
    </row>
    <row r="63" spans="1:14" ht="11.1" customHeight="1" x14ac:dyDescent="0.3">
      <c r="A63" s="21"/>
      <c r="B63" s="22">
        <v>2025</v>
      </c>
      <c r="C63" s="19">
        <v>47</v>
      </c>
      <c r="D63" s="19">
        <v>47</v>
      </c>
      <c r="E63" s="19">
        <v>49</v>
      </c>
      <c r="F63" s="19">
        <v>46</v>
      </c>
      <c r="G63" s="19">
        <v>41</v>
      </c>
      <c r="H63" s="19">
        <v>47</v>
      </c>
      <c r="I63" s="19">
        <v>46</v>
      </c>
      <c r="J63" s="19">
        <v>46</v>
      </c>
    </row>
    <row r="64" spans="1:14" ht="11.1" customHeight="1" x14ac:dyDescent="0.3">
      <c r="A64" s="32"/>
      <c r="B64" s="33"/>
      <c r="C64" s="34"/>
      <c r="D64" s="34"/>
      <c r="E64" s="34"/>
      <c r="F64" s="34"/>
      <c r="G64" s="35"/>
      <c r="H64" s="35"/>
      <c r="I64" s="34"/>
      <c r="J64" s="34"/>
      <c r="K64" s="34"/>
      <c r="L64" s="35"/>
      <c r="M64" s="35"/>
      <c r="N64" s="36" t="s">
        <v>26</v>
      </c>
    </row>
    <row r="65" spans="1:15" ht="11.1" customHeight="1" x14ac:dyDescent="0.3">
      <c r="A65" s="761" t="s">
        <v>112</v>
      </c>
      <c r="B65" s="761"/>
      <c r="C65" s="761"/>
      <c r="D65" s="761"/>
      <c r="E65" s="761"/>
      <c r="F65" s="761"/>
      <c r="G65" s="37"/>
      <c r="H65" s="37"/>
      <c r="I65" s="38"/>
      <c r="J65" s="38"/>
      <c r="K65" s="19"/>
      <c r="L65" s="20"/>
      <c r="M65" s="20"/>
      <c r="N65" s="20"/>
    </row>
    <row r="66" spans="1:15" ht="15.9" customHeight="1" x14ac:dyDescent="0.3">
      <c r="A66" s="217" t="s">
        <v>94</v>
      </c>
      <c r="B66" s="217" t="s">
        <v>95</v>
      </c>
      <c r="C66" s="217" t="s">
        <v>96</v>
      </c>
      <c r="D66" s="217" t="s">
        <v>97</v>
      </c>
      <c r="E66" s="217" t="s">
        <v>98</v>
      </c>
      <c r="F66" s="217" t="s">
        <v>99</v>
      </c>
      <c r="G66" s="217" t="s">
        <v>100</v>
      </c>
      <c r="H66" s="217" t="s">
        <v>101</v>
      </c>
      <c r="I66" s="217" t="s">
        <v>102</v>
      </c>
      <c r="J66" s="218" t="s">
        <v>103</v>
      </c>
      <c r="K66" s="218" t="s">
        <v>104</v>
      </c>
      <c r="L66" s="217" t="s">
        <v>105</v>
      </c>
      <c r="M66" s="217" t="s">
        <v>106</v>
      </c>
      <c r="N66" s="217" t="s">
        <v>107</v>
      </c>
    </row>
    <row r="67" spans="1:15" ht="3" customHeight="1" x14ac:dyDescent="0.3">
      <c r="A67" s="17"/>
      <c r="B67" s="18"/>
      <c r="C67" s="19"/>
    </row>
    <row r="68" spans="1:15" ht="11.1" customHeight="1" x14ac:dyDescent="0.3">
      <c r="A68" s="17" t="s">
        <v>53</v>
      </c>
      <c r="B68" s="18">
        <v>2018</v>
      </c>
      <c r="C68" s="19">
        <v>49</v>
      </c>
      <c r="D68" s="19">
        <v>49</v>
      </c>
      <c r="E68" s="19">
        <v>49</v>
      </c>
      <c r="F68" s="19">
        <v>50</v>
      </c>
      <c r="G68" s="19">
        <v>50</v>
      </c>
      <c r="H68" s="19">
        <v>50</v>
      </c>
      <c r="I68" s="19">
        <v>44</v>
      </c>
      <c r="J68" s="19">
        <v>44</v>
      </c>
      <c r="K68" s="19">
        <v>50</v>
      </c>
      <c r="L68" s="19">
        <v>49</v>
      </c>
      <c r="M68" s="20">
        <v>49</v>
      </c>
      <c r="N68" s="19">
        <v>49</v>
      </c>
    </row>
    <row r="69" spans="1:15" ht="11.1" customHeight="1" x14ac:dyDescent="0.3">
      <c r="A69" s="17"/>
      <c r="B69" s="18">
        <v>2019</v>
      </c>
      <c r="C69" s="19">
        <v>43</v>
      </c>
      <c r="D69" s="19">
        <v>44</v>
      </c>
      <c r="E69" s="19">
        <v>50</v>
      </c>
      <c r="F69" s="19">
        <v>50</v>
      </c>
      <c r="G69" s="19">
        <v>45</v>
      </c>
      <c r="H69" s="19">
        <v>45</v>
      </c>
      <c r="I69" s="19">
        <v>40</v>
      </c>
      <c r="J69" s="19">
        <v>40</v>
      </c>
      <c r="K69" s="19">
        <v>40</v>
      </c>
      <c r="L69" s="19">
        <v>40</v>
      </c>
      <c r="M69" s="19">
        <v>40</v>
      </c>
      <c r="N69" s="19">
        <v>40</v>
      </c>
    </row>
    <row r="70" spans="1:15" ht="11.1" customHeight="1" x14ac:dyDescent="0.3">
      <c r="A70" s="17"/>
      <c r="B70" s="18">
        <v>2020</v>
      </c>
      <c r="C70" s="19">
        <v>40</v>
      </c>
      <c r="D70" s="19" t="s">
        <v>4</v>
      </c>
      <c r="E70" s="19" t="s">
        <v>4</v>
      </c>
      <c r="F70" s="19" t="s">
        <v>4</v>
      </c>
      <c r="G70" s="19" t="s">
        <v>4</v>
      </c>
      <c r="H70" s="19" t="s">
        <v>4</v>
      </c>
      <c r="I70" s="19" t="s">
        <v>4</v>
      </c>
      <c r="J70" s="19" t="s">
        <v>4</v>
      </c>
      <c r="K70" s="19" t="s">
        <v>4</v>
      </c>
      <c r="L70" s="19" t="s">
        <v>4</v>
      </c>
      <c r="M70" s="20" t="s">
        <v>4</v>
      </c>
      <c r="N70" s="19" t="s">
        <v>4</v>
      </c>
    </row>
    <row r="71" spans="1:15" ht="11.1" customHeight="1" x14ac:dyDescent="0.3">
      <c r="A71" s="17"/>
      <c r="B71" s="18">
        <v>2021</v>
      </c>
      <c r="C71" s="19">
        <v>42.5</v>
      </c>
      <c r="D71" s="19">
        <v>42.5</v>
      </c>
      <c r="E71" s="19">
        <v>47.5</v>
      </c>
      <c r="F71" s="19">
        <v>47.5</v>
      </c>
      <c r="G71" s="19">
        <v>50</v>
      </c>
      <c r="H71" s="19">
        <v>50</v>
      </c>
      <c r="I71" s="19">
        <v>47.5</v>
      </c>
      <c r="J71" s="19">
        <v>47.5</v>
      </c>
      <c r="K71" s="19">
        <v>46</v>
      </c>
      <c r="L71" s="19">
        <v>49</v>
      </c>
      <c r="M71" s="20">
        <v>47.5</v>
      </c>
      <c r="N71" s="19">
        <v>49</v>
      </c>
    </row>
    <row r="72" spans="1:15" ht="11.1" customHeight="1" x14ac:dyDescent="0.3">
      <c r="A72" s="17"/>
      <c r="B72" s="18">
        <v>2022</v>
      </c>
      <c r="C72" s="19">
        <v>57.5</v>
      </c>
      <c r="D72" s="19">
        <v>57.5</v>
      </c>
      <c r="E72" s="19">
        <v>57.5</v>
      </c>
      <c r="F72" s="19">
        <v>57.5</v>
      </c>
      <c r="G72" s="19">
        <v>53</v>
      </c>
      <c r="H72" s="19">
        <v>53</v>
      </c>
      <c r="I72" s="19">
        <v>60</v>
      </c>
      <c r="J72" s="19">
        <v>65</v>
      </c>
      <c r="K72" s="19">
        <v>60</v>
      </c>
      <c r="L72" s="19">
        <v>57.5</v>
      </c>
      <c r="M72" s="20" t="s">
        <v>4</v>
      </c>
      <c r="N72" s="20" t="s">
        <v>4</v>
      </c>
    </row>
    <row r="73" spans="1:15" ht="11.1" customHeight="1" x14ac:dyDescent="0.3">
      <c r="A73" s="17"/>
      <c r="B73" s="18">
        <v>2023</v>
      </c>
      <c r="C73" s="19" t="s">
        <v>4</v>
      </c>
      <c r="D73" s="19" t="s">
        <v>4</v>
      </c>
      <c r="E73" s="19" t="s">
        <v>4</v>
      </c>
      <c r="F73" s="19" t="s">
        <v>4</v>
      </c>
      <c r="G73" s="19" t="s">
        <v>4</v>
      </c>
      <c r="H73" s="19" t="s">
        <v>4</v>
      </c>
      <c r="I73" s="19">
        <v>55</v>
      </c>
      <c r="J73" s="19">
        <v>65</v>
      </c>
      <c r="K73" s="19">
        <v>57.5</v>
      </c>
      <c r="L73" s="19">
        <v>63</v>
      </c>
      <c r="M73" s="19">
        <v>61</v>
      </c>
      <c r="N73" s="19">
        <v>62</v>
      </c>
    </row>
    <row r="74" spans="1:15" ht="11.1" customHeight="1" x14ac:dyDescent="0.3">
      <c r="A74" s="17"/>
      <c r="B74" s="18">
        <v>2024</v>
      </c>
      <c r="C74" s="19">
        <v>67</v>
      </c>
      <c r="D74" s="19">
        <v>66</v>
      </c>
      <c r="E74" s="19">
        <v>65</v>
      </c>
      <c r="F74" s="19">
        <v>60</v>
      </c>
      <c r="G74" s="19">
        <v>63</v>
      </c>
      <c r="H74" s="19">
        <v>67</v>
      </c>
      <c r="I74" s="19">
        <v>66</v>
      </c>
      <c r="J74" s="19">
        <v>66</v>
      </c>
      <c r="K74" s="19">
        <v>60</v>
      </c>
      <c r="L74" s="19">
        <v>61</v>
      </c>
      <c r="M74" s="20">
        <v>61</v>
      </c>
      <c r="N74" s="19">
        <v>61</v>
      </c>
      <c r="O74" s="202"/>
    </row>
    <row r="75" spans="1:15" ht="11.1" customHeight="1" x14ac:dyDescent="0.3">
      <c r="A75" s="21"/>
      <c r="B75" s="18">
        <v>2025</v>
      </c>
      <c r="C75" s="19">
        <v>60</v>
      </c>
      <c r="D75" s="19">
        <v>66</v>
      </c>
      <c r="E75" s="19">
        <v>65</v>
      </c>
      <c r="F75" s="19">
        <v>66</v>
      </c>
      <c r="G75" s="19">
        <v>66</v>
      </c>
      <c r="H75" s="19">
        <v>66</v>
      </c>
      <c r="I75" s="19">
        <v>59</v>
      </c>
      <c r="J75" s="19">
        <v>66</v>
      </c>
      <c r="K75" s="202"/>
      <c r="L75" s="202"/>
      <c r="M75" s="202"/>
      <c r="N75" s="202"/>
    </row>
    <row r="76" spans="1:15" ht="11.1" customHeight="1" x14ac:dyDescent="0.3">
      <c r="A76" s="17" t="s">
        <v>27</v>
      </c>
      <c r="B76" s="25">
        <v>2018</v>
      </c>
      <c r="C76" s="26">
        <v>45.625</v>
      </c>
      <c r="D76" s="26">
        <v>45.625</v>
      </c>
      <c r="E76" s="26">
        <v>45.625</v>
      </c>
      <c r="F76" s="26">
        <v>45</v>
      </c>
      <c r="G76" s="26">
        <v>45</v>
      </c>
      <c r="H76" s="26">
        <v>45</v>
      </c>
      <c r="I76" s="26">
        <v>47.2</v>
      </c>
      <c r="J76" s="26">
        <v>47.2</v>
      </c>
      <c r="K76" s="26">
        <v>47.5</v>
      </c>
      <c r="L76" s="26">
        <v>47.5</v>
      </c>
      <c r="M76" s="27">
        <v>47.5</v>
      </c>
      <c r="N76" s="26">
        <v>47.5</v>
      </c>
    </row>
    <row r="77" spans="1:15" ht="11.1" customHeight="1" x14ac:dyDescent="0.3">
      <c r="A77" s="17"/>
      <c r="B77" s="18">
        <v>2019</v>
      </c>
      <c r="C77" s="19">
        <v>45</v>
      </c>
      <c r="D77" s="19">
        <v>47</v>
      </c>
      <c r="E77" s="19">
        <v>47</v>
      </c>
      <c r="F77" s="19">
        <v>46</v>
      </c>
      <c r="G77" s="19">
        <v>46</v>
      </c>
      <c r="H77" s="19">
        <v>46</v>
      </c>
      <c r="I77" s="19">
        <v>45.5</v>
      </c>
      <c r="J77" s="19">
        <v>45.7</v>
      </c>
      <c r="K77" s="19">
        <v>45</v>
      </c>
      <c r="L77" s="19">
        <v>45</v>
      </c>
      <c r="M77" s="20">
        <v>45</v>
      </c>
      <c r="N77" s="19">
        <v>45</v>
      </c>
    </row>
    <row r="78" spans="1:15" ht="11.1" customHeight="1" x14ac:dyDescent="0.3">
      <c r="A78" s="17"/>
      <c r="B78" s="18">
        <v>2020</v>
      </c>
      <c r="C78" s="19">
        <v>45</v>
      </c>
      <c r="D78" s="19">
        <v>45</v>
      </c>
      <c r="E78" s="19">
        <v>45</v>
      </c>
      <c r="F78" s="19">
        <v>47.5</v>
      </c>
      <c r="G78" s="19">
        <v>47.5</v>
      </c>
      <c r="H78" s="19">
        <v>47.5</v>
      </c>
      <c r="I78" s="19">
        <v>50</v>
      </c>
      <c r="J78" s="19">
        <v>47.5</v>
      </c>
      <c r="K78" s="19">
        <v>47.5</v>
      </c>
      <c r="L78" s="19">
        <v>50</v>
      </c>
      <c r="M78" s="20">
        <v>50</v>
      </c>
      <c r="N78" s="19">
        <v>47.5</v>
      </c>
    </row>
    <row r="79" spans="1:15" ht="11.1" customHeight="1" x14ac:dyDescent="0.3">
      <c r="A79" s="17"/>
      <c r="B79" s="18">
        <v>2021</v>
      </c>
      <c r="C79" s="19">
        <v>47.5</v>
      </c>
      <c r="D79" s="19">
        <v>47.5</v>
      </c>
      <c r="E79" s="19">
        <v>50</v>
      </c>
      <c r="F79" s="19">
        <v>50</v>
      </c>
      <c r="G79" s="19">
        <v>50</v>
      </c>
      <c r="H79" s="19">
        <v>50</v>
      </c>
      <c r="I79" s="19">
        <v>50</v>
      </c>
      <c r="J79" s="19">
        <v>50</v>
      </c>
      <c r="K79" s="19">
        <v>50</v>
      </c>
      <c r="L79" s="19">
        <v>50</v>
      </c>
      <c r="M79" s="20">
        <v>50</v>
      </c>
      <c r="N79" s="19">
        <v>50</v>
      </c>
    </row>
    <row r="80" spans="1:15" ht="11.1" customHeight="1" x14ac:dyDescent="0.3">
      <c r="A80" s="17"/>
      <c r="B80" s="18">
        <v>2022</v>
      </c>
      <c r="C80" s="19">
        <v>50</v>
      </c>
      <c r="D80" s="19">
        <v>50</v>
      </c>
      <c r="E80" s="19">
        <v>55</v>
      </c>
      <c r="F80" s="19">
        <v>55</v>
      </c>
      <c r="G80" s="19">
        <v>55</v>
      </c>
      <c r="H80" s="19">
        <v>55</v>
      </c>
      <c r="I80" s="19">
        <v>62</v>
      </c>
      <c r="J80" s="19">
        <v>60</v>
      </c>
      <c r="K80" s="19">
        <v>60</v>
      </c>
      <c r="L80" s="19">
        <v>60</v>
      </c>
      <c r="M80" s="20">
        <v>60</v>
      </c>
      <c r="N80" s="19">
        <v>60</v>
      </c>
    </row>
    <row r="81" spans="1:14" ht="11.1" customHeight="1" x14ac:dyDescent="0.3">
      <c r="A81" s="17"/>
      <c r="B81" s="18">
        <v>2023</v>
      </c>
      <c r="C81" s="19">
        <v>55</v>
      </c>
      <c r="D81" s="19">
        <v>50</v>
      </c>
      <c r="E81" s="19">
        <v>65</v>
      </c>
      <c r="F81" s="19">
        <v>60</v>
      </c>
      <c r="G81" s="19">
        <v>60</v>
      </c>
      <c r="H81" s="19">
        <v>60</v>
      </c>
      <c r="I81" s="19">
        <v>55</v>
      </c>
      <c r="J81" s="19">
        <v>55</v>
      </c>
      <c r="K81" s="19">
        <v>60</v>
      </c>
      <c r="L81" s="19">
        <v>60</v>
      </c>
      <c r="M81" s="19">
        <v>65</v>
      </c>
      <c r="N81" s="19">
        <v>60</v>
      </c>
    </row>
    <row r="82" spans="1:14" ht="11.1" customHeight="1" x14ac:dyDescent="0.3">
      <c r="A82" s="17"/>
      <c r="B82" s="18">
        <v>2024</v>
      </c>
      <c r="C82" s="19">
        <v>65</v>
      </c>
      <c r="D82" s="19">
        <v>60</v>
      </c>
      <c r="E82" s="19">
        <v>60</v>
      </c>
      <c r="F82" s="19">
        <v>62</v>
      </c>
      <c r="G82" s="19">
        <v>63</v>
      </c>
      <c r="H82" s="19">
        <v>75</v>
      </c>
      <c r="I82" s="19">
        <v>68</v>
      </c>
      <c r="J82" s="19">
        <v>65</v>
      </c>
      <c r="K82" s="19">
        <v>64</v>
      </c>
      <c r="L82" s="19">
        <v>64</v>
      </c>
      <c r="M82" s="19">
        <v>64</v>
      </c>
      <c r="N82" s="19">
        <v>58</v>
      </c>
    </row>
    <row r="83" spans="1:14" ht="11.1" customHeight="1" x14ac:dyDescent="0.3">
      <c r="A83" s="21"/>
      <c r="B83" s="22">
        <v>2025</v>
      </c>
      <c r="C83" s="23">
        <v>65</v>
      </c>
      <c r="D83" s="23">
        <v>56</v>
      </c>
      <c r="E83" s="23">
        <v>61</v>
      </c>
      <c r="F83" s="23">
        <v>70</v>
      </c>
      <c r="G83" s="23">
        <v>77</v>
      </c>
      <c r="H83" s="23">
        <v>80</v>
      </c>
      <c r="I83" s="23">
        <v>80</v>
      </c>
      <c r="J83" s="23">
        <v>67</v>
      </c>
      <c r="K83" s="201"/>
      <c r="L83" s="201"/>
      <c r="M83" s="201"/>
      <c r="N83" s="201"/>
    </row>
    <row r="84" spans="1:14" ht="11.1" customHeight="1" x14ac:dyDescent="0.3">
      <c r="A84" s="17" t="s">
        <v>113</v>
      </c>
      <c r="B84" s="18">
        <v>2018</v>
      </c>
      <c r="C84" s="19">
        <v>34</v>
      </c>
      <c r="D84" s="19">
        <v>35</v>
      </c>
      <c r="E84" s="19">
        <v>34</v>
      </c>
      <c r="F84" s="19">
        <v>34</v>
      </c>
      <c r="G84" s="19">
        <v>34</v>
      </c>
      <c r="H84" s="19">
        <v>34</v>
      </c>
      <c r="I84" s="19">
        <v>34</v>
      </c>
      <c r="J84" s="19">
        <v>34</v>
      </c>
      <c r="K84" s="19">
        <v>34</v>
      </c>
      <c r="L84" s="19">
        <v>34</v>
      </c>
      <c r="M84" s="20">
        <v>34</v>
      </c>
      <c r="N84" s="19">
        <v>34</v>
      </c>
    </row>
    <row r="85" spans="1:14" ht="11.1" customHeight="1" x14ac:dyDescent="0.3">
      <c r="A85" s="17"/>
      <c r="B85" s="18">
        <v>2019</v>
      </c>
      <c r="C85" s="19">
        <v>35</v>
      </c>
      <c r="D85" s="19">
        <v>35</v>
      </c>
      <c r="E85" s="19">
        <v>35</v>
      </c>
      <c r="F85" s="19">
        <v>35</v>
      </c>
      <c r="G85" s="19">
        <v>35</v>
      </c>
      <c r="H85" s="19">
        <v>35</v>
      </c>
      <c r="I85" s="19">
        <v>35</v>
      </c>
      <c r="J85" s="19">
        <v>36</v>
      </c>
      <c r="K85" s="19">
        <v>40</v>
      </c>
      <c r="L85" s="19">
        <v>38</v>
      </c>
      <c r="M85" s="20">
        <v>35</v>
      </c>
      <c r="N85" s="19">
        <v>38</v>
      </c>
    </row>
    <row r="86" spans="1:14" ht="11.1" customHeight="1" x14ac:dyDescent="0.3">
      <c r="A86" s="17"/>
      <c r="B86" s="18">
        <v>2020</v>
      </c>
      <c r="C86" s="19">
        <v>38</v>
      </c>
      <c r="D86" s="19" t="s">
        <v>4</v>
      </c>
      <c r="E86" s="19" t="s">
        <v>4</v>
      </c>
      <c r="F86" s="19" t="s">
        <v>4</v>
      </c>
      <c r="G86" s="19" t="s">
        <v>4</v>
      </c>
      <c r="H86" s="19" t="s">
        <v>4</v>
      </c>
      <c r="I86" s="19">
        <v>35</v>
      </c>
      <c r="J86" s="19">
        <v>30</v>
      </c>
      <c r="K86" s="19">
        <v>38</v>
      </c>
      <c r="L86" s="19">
        <v>38</v>
      </c>
      <c r="M86" s="20">
        <v>40</v>
      </c>
      <c r="N86" s="19">
        <v>40</v>
      </c>
    </row>
    <row r="87" spans="1:14" ht="11.1" customHeight="1" x14ac:dyDescent="0.3">
      <c r="A87" s="17"/>
      <c r="B87" s="18">
        <v>2021</v>
      </c>
      <c r="C87" s="19">
        <v>45</v>
      </c>
      <c r="D87" s="19">
        <v>43</v>
      </c>
      <c r="E87" s="19">
        <v>42.5</v>
      </c>
      <c r="F87" s="19">
        <v>42.5</v>
      </c>
      <c r="G87" s="19">
        <v>42.5</v>
      </c>
      <c r="H87" s="19">
        <v>42.5</v>
      </c>
      <c r="I87" s="19">
        <v>42.5</v>
      </c>
      <c r="J87" s="19">
        <v>42.5</v>
      </c>
      <c r="K87" s="19">
        <v>42.5</v>
      </c>
      <c r="L87" s="19">
        <v>42.5</v>
      </c>
      <c r="M87" s="20">
        <v>42.5</v>
      </c>
      <c r="N87" s="19">
        <v>42.5</v>
      </c>
    </row>
    <row r="88" spans="1:14" ht="11.1" customHeight="1" x14ac:dyDescent="0.3">
      <c r="A88" s="17"/>
      <c r="B88" s="18">
        <v>2022</v>
      </c>
      <c r="C88" s="19">
        <v>42.5</v>
      </c>
      <c r="D88" s="19">
        <v>42.5</v>
      </c>
      <c r="E88" s="19">
        <v>45</v>
      </c>
      <c r="F88" s="19">
        <v>45</v>
      </c>
      <c r="G88" s="19">
        <v>45</v>
      </c>
      <c r="H88" s="19">
        <v>45</v>
      </c>
      <c r="I88" s="19">
        <v>45</v>
      </c>
      <c r="J88" s="19">
        <v>45</v>
      </c>
      <c r="K88" s="19">
        <v>45</v>
      </c>
      <c r="L88" s="19">
        <v>47.5</v>
      </c>
      <c r="M88" s="20">
        <v>45</v>
      </c>
      <c r="N88" s="19">
        <v>47.5</v>
      </c>
    </row>
    <row r="89" spans="1:14" ht="11.1" customHeight="1" x14ac:dyDescent="0.3">
      <c r="A89" s="17"/>
      <c r="B89" s="18">
        <v>2023</v>
      </c>
      <c r="C89" s="19">
        <v>47.5</v>
      </c>
      <c r="D89" s="19">
        <v>50</v>
      </c>
      <c r="E89" s="19">
        <v>50</v>
      </c>
      <c r="F89" s="19">
        <v>50</v>
      </c>
      <c r="G89" s="19">
        <v>50</v>
      </c>
      <c r="H89" s="19">
        <v>50</v>
      </c>
      <c r="I89" s="19">
        <v>48</v>
      </c>
      <c r="J89" s="19">
        <v>48</v>
      </c>
      <c r="K89" s="19">
        <v>48</v>
      </c>
      <c r="L89" s="19">
        <v>45</v>
      </c>
      <c r="M89" s="19">
        <v>50</v>
      </c>
      <c r="N89" s="19">
        <v>50</v>
      </c>
    </row>
    <row r="90" spans="1:14" ht="11.1" customHeight="1" x14ac:dyDescent="0.3">
      <c r="A90" s="17"/>
      <c r="B90" s="18">
        <v>2024</v>
      </c>
      <c r="C90" s="19">
        <v>51</v>
      </c>
      <c r="D90" s="19">
        <v>59</v>
      </c>
      <c r="E90" s="19">
        <v>50</v>
      </c>
      <c r="F90" s="19">
        <v>45</v>
      </c>
      <c r="G90" s="19">
        <v>45</v>
      </c>
      <c r="H90" s="19">
        <v>45</v>
      </c>
      <c r="I90" s="19">
        <v>45</v>
      </c>
      <c r="J90" s="19">
        <v>50</v>
      </c>
      <c r="K90" s="19">
        <v>49</v>
      </c>
      <c r="L90" s="19">
        <v>48.5</v>
      </c>
      <c r="M90" s="19">
        <v>47</v>
      </c>
      <c r="N90" s="19">
        <v>45.5</v>
      </c>
    </row>
    <row r="91" spans="1:14" ht="11.1" customHeight="1" x14ac:dyDescent="0.3">
      <c r="A91" s="21"/>
      <c r="B91" s="22">
        <v>2025</v>
      </c>
      <c r="C91" s="23">
        <v>48</v>
      </c>
      <c r="D91" s="23">
        <v>49</v>
      </c>
      <c r="E91" s="23">
        <v>47</v>
      </c>
      <c r="F91" s="23">
        <v>48</v>
      </c>
      <c r="G91" s="23">
        <v>48</v>
      </c>
      <c r="H91" s="23">
        <v>48</v>
      </c>
      <c r="I91" s="23">
        <v>48</v>
      </c>
      <c r="J91" s="23">
        <v>49</v>
      </c>
      <c r="K91" s="201"/>
      <c r="L91" s="201"/>
      <c r="M91" s="201"/>
      <c r="N91" s="201"/>
    </row>
    <row r="92" spans="1:14" ht="11.1" customHeight="1" x14ac:dyDescent="0.3">
      <c r="A92" s="17" t="s">
        <v>38</v>
      </c>
      <c r="B92" s="18">
        <v>2018</v>
      </c>
      <c r="C92" s="19">
        <v>35</v>
      </c>
      <c r="D92" s="19">
        <v>41</v>
      </c>
      <c r="E92" s="19">
        <v>35</v>
      </c>
      <c r="F92" s="19">
        <v>35</v>
      </c>
      <c r="G92" s="19">
        <v>35</v>
      </c>
      <c r="H92" s="19">
        <v>35</v>
      </c>
      <c r="I92" s="19">
        <v>41</v>
      </c>
      <c r="J92" s="19">
        <v>41</v>
      </c>
      <c r="K92" s="19">
        <v>43</v>
      </c>
      <c r="L92" s="19">
        <v>44</v>
      </c>
      <c r="M92" s="20">
        <v>44</v>
      </c>
      <c r="N92" s="19">
        <v>44</v>
      </c>
    </row>
    <row r="93" spans="1:14" ht="11.1" customHeight="1" x14ac:dyDescent="0.3">
      <c r="A93" s="17"/>
      <c r="B93" s="18">
        <v>2019</v>
      </c>
      <c r="C93" s="19">
        <v>37</v>
      </c>
      <c r="D93" s="19">
        <v>39</v>
      </c>
      <c r="E93" s="19">
        <v>39</v>
      </c>
      <c r="F93" s="19">
        <v>37.5</v>
      </c>
      <c r="G93" s="19">
        <v>36</v>
      </c>
      <c r="H93" s="19">
        <v>34</v>
      </c>
      <c r="I93" s="19">
        <v>34</v>
      </c>
      <c r="J93" s="19">
        <v>34</v>
      </c>
      <c r="K93" s="19">
        <v>28</v>
      </c>
      <c r="L93" s="19">
        <v>28.8</v>
      </c>
      <c r="M93" s="20">
        <v>37.5</v>
      </c>
      <c r="N93" s="19">
        <v>35</v>
      </c>
    </row>
    <row r="94" spans="1:14" ht="11.1" customHeight="1" x14ac:dyDescent="0.3">
      <c r="A94" s="17"/>
      <c r="B94" s="18">
        <v>2020</v>
      </c>
      <c r="C94" s="19">
        <v>40</v>
      </c>
      <c r="D94" s="19">
        <v>41</v>
      </c>
      <c r="E94" s="19">
        <v>39</v>
      </c>
      <c r="F94" s="19" t="s">
        <v>4</v>
      </c>
      <c r="G94" s="19" t="s">
        <v>4</v>
      </c>
      <c r="H94" s="19">
        <v>33</v>
      </c>
      <c r="I94" s="19">
        <v>42</v>
      </c>
      <c r="J94" s="19">
        <v>33</v>
      </c>
      <c r="K94" s="19">
        <v>33</v>
      </c>
      <c r="L94" s="19" t="s">
        <v>4</v>
      </c>
      <c r="M94" s="20">
        <v>33</v>
      </c>
      <c r="N94" s="19">
        <v>33.5</v>
      </c>
    </row>
    <row r="95" spans="1:14" ht="11.1" customHeight="1" x14ac:dyDescent="0.3">
      <c r="A95" s="39"/>
      <c r="B95" s="18">
        <v>2021</v>
      </c>
      <c r="C95" s="19">
        <v>42.5</v>
      </c>
      <c r="D95" s="19">
        <v>45</v>
      </c>
      <c r="E95" s="19">
        <v>45</v>
      </c>
      <c r="F95" s="19">
        <v>40</v>
      </c>
      <c r="G95" s="19">
        <v>39</v>
      </c>
      <c r="H95" s="19">
        <v>37.5</v>
      </c>
      <c r="I95" s="19">
        <v>42.5</v>
      </c>
      <c r="J95" s="19">
        <v>37.5</v>
      </c>
      <c r="K95" s="19">
        <v>37.5</v>
      </c>
      <c r="L95" s="19">
        <v>38.5</v>
      </c>
      <c r="M95" s="20">
        <v>41</v>
      </c>
      <c r="N95" s="19">
        <v>42.5</v>
      </c>
    </row>
    <row r="96" spans="1:14" ht="11.1" customHeight="1" x14ac:dyDescent="0.3">
      <c r="A96" s="39"/>
      <c r="B96" s="18">
        <v>2022</v>
      </c>
      <c r="C96" s="19">
        <v>45</v>
      </c>
      <c r="D96" s="19">
        <v>45</v>
      </c>
      <c r="E96" s="19">
        <v>50</v>
      </c>
      <c r="F96" s="19">
        <v>50</v>
      </c>
      <c r="G96" s="19">
        <v>50</v>
      </c>
      <c r="H96" s="19">
        <v>55</v>
      </c>
      <c r="I96" s="19">
        <v>55</v>
      </c>
      <c r="J96" s="19">
        <v>55</v>
      </c>
      <c r="K96" s="19">
        <v>55</v>
      </c>
      <c r="L96" s="19">
        <v>60</v>
      </c>
      <c r="M96" s="20">
        <v>60</v>
      </c>
      <c r="N96" s="19">
        <v>60</v>
      </c>
    </row>
    <row r="97" spans="1:14" ht="11.1" customHeight="1" x14ac:dyDescent="0.3">
      <c r="A97" s="39"/>
      <c r="B97" s="18">
        <v>2023</v>
      </c>
      <c r="C97" s="19">
        <v>55</v>
      </c>
      <c r="D97" s="19">
        <v>55</v>
      </c>
      <c r="E97" s="19">
        <v>50</v>
      </c>
      <c r="F97" s="19">
        <v>50</v>
      </c>
      <c r="G97" s="19">
        <v>50</v>
      </c>
      <c r="H97" s="19">
        <v>50</v>
      </c>
      <c r="I97" s="19">
        <v>50</v>
      </c>
      <c r="J97" s="19">
        <v>50</v>
      </c>
      <c r="K97" s="19">
        <v>50</v>
      </c>
      <c r="L97" s="19">
        <v>50</v>
      </c>
      <c r="M97" s="19">
        <v>50</v>
      </c>
      <c r="N97" s="19">
        <v>50</v>
      </c>
    </row>
    <row r="98" spans="1:14" ht="11.1" customHeight="1" x14ac:dyDescent="0.3">
      <c r="A98" s="39"/>
      <c r="B98" s="18">
        <v>2024</v>
      </c>
      <c r="C98" s="19">
        <v>50</v>
      </c>
      <c r="D98" s="19">
        <v>50</v>
      </c>
      <c r="E98" s="19">
        <v>50</v>
      </c>
      <c r="F98" s="19">
        <v>50</v>
      </c>
      <c r="G98" s="19">
        <v>50</v>
      </c>
      <c r="H98" s="19">
        <v>50</v>
      </c>
      <c r="I98" s="19">
        <v>55</v>
      </c>
      <c r="J98" s="19">
        <v>50</v>
      </c>
      <c r="K98" s="19">
        <v>50</v>
      </c>
      <c r="L98" s="19">
        <v>50</v>
      </c>
      <c r="M98" s="19">
        <v>50</v>
      </c>
      <c r="N98" s="19">
        <v>50</v>
      </c>
    </row>
    <row r="99" spans="1:14" ht="11.1" customHeight="1" x14ac:dyDescent="0.3">
      <c r="A99" s="40"/>
      <c r="B99" s="22">
        <v>2025</v>
      </c>
      <c r="C99" s="23">
        <v>50</v>
      </c>
      <c r="D99" s="23">
        <v>50</v>
      </c>
      <c r="E99" s="23">
        <v>50</v>
      </c>
      <c r="F99" s="23">
        <v>50</v>
      </c>
      <c r="G99" s="23">
        <v>50</v>
      </c>
      <c r="H99" s="23">
        <v>50</v>
      </c>
      <c r="I99" s="23">
        <v>53</v>
      </c>
      <c r="J99" s="23">
        <v>53</v>
      </c>
      <c r="K99" s="201"/>
      <c r="L99" s="201"/>
      <c r="M99" s="201"/>
      <c r="N99" s="201"/>
    </row>
    <row r="100" spans="1:14" ht="11.1" customHeight="1" x14ac:dyDescent="0.3">
      <c r="A100" s="15" t="s">
        <v>114</v>
      </c>
      <c r="B100" s="11">
        <v>2018</v>
      </c>
      <c r="C100" s="20">
        <v>56</v>
      </c>
      <c r="D100" s="20">
        <v>56</v>
      </c>
      <c r="E100" s="20">
        <v>56</v>
      </c>
      <c r="F100" s="19">
        <v>56</v>
      </c>
      <c r="G100" s="19">
        <v>56</v>
      </c>
      <c r="H100" s="19">
        <v>56</v>
      </c>
      <c r="I100" s="19">
        <v>56</v>
      </c>
      <c r="J100" s="19">
        <v>56</v>
      </c>
      <c r="K100" s="19">
        <v>56</v>
      </c>
      <c r="L100" s="19">
        <v>56</v>
      </c>
      <c r="M100" s="20">
        <v>56</v>
      </c>
      <c r="N100" s="19">
        <v>56</v>
      </c>
    </row>
    <row r="101" spans="1:14" ht="11.1" customHeight="1" x14ac:dyDescent="0.3">
      <c r="A101" s="15"/>
      <c r="B101" s="11">
        <v>2019</v>
      </c>
      <c r="C101" s="20">
        <v>52.5</v>
      </c>
      <c r="D101" s="20">
        <v>52</v>
      </c>
      <c r="E101" s="20">
        <v>52.5</v>
      </c>
      <c r="F101" s="19">
        <v>52</v>
      </c>
      <c r="G101" s="19">
        <v>52</v>
      </c>
      <c r="H101" s="19">
        <v>50</v>
      </c>
      <c r="I101" s="19">
        <v>51</v>
      </c>
      <c r="J101" s="19">
        <v>51</v>
      </c>
      <c r="K101" s="19">
        <v>50</v>
      </c>
      <c r="L101" s="19">
        <v>55</v>
      </c>
      <c r="M101" s="20">
        <v>55</v>
      </c>
      <c r="N101" s="19">
        <v>55</v>
      </c>
    </row>
    <row r="102" spans="1:14" ht="11.1" customHeight="1" x14ac:dyDescent="0.3">
      <c r="A102" s="15"/>
      <c r="B102" s="11">
        <v>2020</v>
      </c>
      <c r="C102" s="20">
        <v>55</v>
      </c>
      <c r="D102" s="20">
        <v>55</v>
      </c>
      <c r="E102" s="20" t="s">
        <v>4</v>
      </c>
      <c r="F102" s="19" t="s">
        <v>4</v>
      </c>
      <c r="G102" s="19" t="s">
        <v>4</v>
      </c>
      <c r="H102" s="19" t="s">
        <v>4</v>
      </c>
      <c r="I102" s="19">
        <v>50</v>
      </c>
      <c r="J102" s="19">
        <v>50</v>
      </c>
      <c r="K102" s="19" t="s">
        <v>4</v>
      </c>
      <c r="L102" s="19">
        <v>50</v>
      </c>
      <c r="M102" s="20">
        <v>50</v>
      </c>
      <c r="N102" s="19">
        <v>52.5</v>
      </c>
    </row>
    <row r="103" spans="1:14" ht="11.1" customHeight="1" x14ac:dyDescent="0.3">
      <c r="A103" s="15"/>
      <c r="B103" s="11">
        <v>2021</v>
      </c>
      <c r="C103" s="20">
        <v>52.5</v>
      </c>
      <c r="D103" s="20" t="s">
        <v>4</v>
      </c>
      <c r="E103" s="20" t="s">
        <v>4</v>
      </c>
      <c r="F103" s="19" t="s">
        <v>4</v>
      </c>
      <c r="G103" s="19" t="s">
        <v>4</v>
      </c>
      <c r="H103" s="19">
        <v>65</v>
      </c>
      <c r="I103" s="19">
        <v>65</v>
      </c>
      <c r="J103" s="19">
        <v>65</v>
      </c>
      <c r="K103" s="19">
        <v>60</v>
      </c>
      <c r="L103" s="19">
        <v>60</v>
      </c>
      <c r="M103" s="20">
        <v>65</v>
      </c>
      <c r="N103" s="19">
        <v>65</v>
      </c>
    </row>
    <row r="104" spans="1:14" ht="11.1" customHeight="1" x14ac:dyDescent="0.3">
      <c r="A104" s="15"/>
      <c r="B104" s="11">
        <v>2022</v>
      </c>
      <c r="C104" s="20">
        <v>65</v>
      </c>
      <c r="D104" s="20">
        <v>65</v>
      </c>
      <c r="E104" s="20">
        <v>65</v>
      </c>
      <c r="F104" s="19">
        <v>60</v>
      </c>
      <c r="G104" s="19">
        <v>65</v>
      </c>
      <c r="H104" s="19">
        <v>65</v>
      </c>
      <c r="I104" s="19">
        <v>65</v>
      </c>
      <c r="J104" s="19">
        <v>65</v>
      </c>
      <c r="K104" s="19">
        <v>65</v>
      </c>
      <c r="L104" s="19">
        <v>65</v>
      </c>
      <c r="M104" s="20">
        <v>65</v>
      </c>
      <c r="N104" s="19">
        <v>65</v>
      </c>
    </row>
    <row r="105" spans="1:14" ht="11.1" customHeight="1" x14ac:dyDescent="0.3">
      <c r="A105" s="15"/>
      <c r="B105" s="11">
        <v>2023</v>
      </c>
      <c r="C105" s="19">
        <v>60</v>
      </c>
      <c r="D105" s="19">
        <v>60</v>
      </c>
      <c r="E105" s="19">
        <v>55</v>
      </c>
      <c r="F105" s="19">
        <v>55</v>
      </c>
      <c r="G105" s="19">
        <v>55</v>
      </c>
      <c r="H105" s="19">
        <v>55</v>
      </c>
      <c r="I105" s="19">
        <v>60</v>
      </c>
      <c r="J105" s="19">
        <v>60</v>
      </c>
      <c r="K105" s="19">
        <v>65</v>
      </c>
      <c r="L105" s="20">
        <v>85</v>
      </c>
      <c r="M105" s="19">
        <v>85</v>
      </c>
      <c r="N105" s="19">
        <v>75</v>
      </c>
    </row>
    <row r="106" spans="1:14" ht="11.1" customHeight="1" x14ac:dyDescent="0.3">
      <c r="A106" s="39"/>
      <c r="B106" s="18">
        <v>2024</v>
      </c>
      <c r="C106" s="19">
        <v>75</v>
      </c>
      <c r="D106" s="19">
        <v>65</v>
      </c>
      <c r="E106" s="19">
        <v>73</v>
      </c>
      <c r="F106" s="19">
        <v>75</v>
      </c>
      <c r="G106" s="19">
        <v>75</v>
      </c>
      <c r="H106" s="19">
        <v>75</v>
      </c>
      <c r="I106" s="19">
        <v>70</v>
      </c>
      <c r="J106" s="19">
        <v>70</v>
      </c>
      <c r="K106" s="19">
        <v>72.5</v>
      </c>
      <c r="L106" s="19" t="s">
        <v>4</v>
      </c>
      <c r="M106" s="19" t="s">
        <v>4</v>
      </c>
      <c r="N106" s="19" t="s">
        <v>4</v>
      </c>
    </row>
    <row r="107" spans="1:14" ht="11.1" customHeight="1" x14ac:dyDescent="0.3">
      <c r="A107" s="40"/>
      <c r="B107" s="22">
        <v>2025</v>
      </c>
      <c r="C107" s="23">
        <v>73</v>
      </c>
      <c r="D107" s="23">
        <v>73</v>
      </c>
      <c r="E107" s="23">
        <v>66</v>
      </c>
      <c r="F107" s="23">
        <v>70</v>
      </c>
      <c r="G107" s="23">
        <v>71</v>
      </c>
      <c r="H107" s="23">
        <v>53</v>
      </c>
      <c r="I107" s="23">
        <v>61</v>
      </c>
      <c r="J107" s="23">
        <v>62</v>
      </c>
      <c r="K107" s="23"/>
      <c r="L107" s="23"/>
      <c r="M107" s="23"/>
      <c r="N107" s="23"/>
    </row>
    <row r="108" spans="1:14" ht="11.1" customHeight="1" x14ac:dyDescent="0.3">
      <c r="A108" s="17" t="s">
        <v>185</v>
      </c>
      <c r="B108" s="18">
        <v>2018</v>
      </c>
      <c r="C108" s="19">
        <v>42</v>
      </c>
      <c r="D108" s="19">
        <v>42</v>
      </c>
      <c r="E108" s="19">
        <v>42</v>
      </c>
      <c r="F108" s="19">
        <v>42</v>
      </c>
      <c r="G108" s="19">
        <v>42</v>
      </c>
      <c r="H108" s="19">
        <v>42</v>
      </c>
      <c r="I108" s="19" t="s">
        <v>4</v>
      </c>
      <c r="J108" s="19" t="s">
        <v>4</v>
      </c>
      <c r="K108" s="19" t="s">
        <v>4</v>
      </c>
      <c r="L108" s="19" t="s">
        <v>4</v>
      </c>
      <c r="M108" s="20" t="s">
        <v>4</v>
      </c>
      <c r="N108" s="19" t="s">
        <v>4</v>
      </c>
    </row>
    <row r="109" spans="1:14" ht="11.1" customHeight="1" x14ac:dyDescent="0.3">
      <c r="A109" s="17"/>
      <c r="B109" s="18">
        <v>2019</v>
      </c>
      <c r="C109" s="19">
        <v>42</v>
      </c>
      <c r="D109" s="19">
        <v>42.5</v>
      </c>
      <c r="E109" s="19">
        <v>42.5</v>
      </c>
      <c r="F109" s="19">
        <v>42.5</v>
      </c>
      <c r="G109" s="19">
        <v>44</v>
      </c>
      <c r="H109" s="19">
        <v>44</v>
      </c>
      <c r="I109" s="19">
        <v>44</v>
      </c>
      <c r="J109" s="19">
        <v>45</v>
      </c>
      <c r="K109" s="19">
        <v>48</v>
      </c>
      <c r="L109" s="19">
        <v>47.5</v>
      </c>
      <c r="M109" s="20">
        <v>47.5</v>
      </c>
      <c r="N109" s="19">
        <v>47.5</v>
      </c>
    </row>
    <row r="110" spans="1:14" ht="11.1" customHeight="1" x14ac:dyDescent="0.3">
      <c r="A110" s="17"/>
      <c r="B110" s="18">
        <v>2020</v>
      </c>
      <c r="C110" s="19">
        <v>47.5</v>
      </c>
      <c r="D110" s="19">
        <v>40</v>
      </c>
      <c r="E110" s="19" t="s">
        <v>4</v>
      </c>
      <c r="F110" s="19" t="s">
        <v>4</v>
      </c>
      <c r="G110" s="19">
        <v>47.5</v>
      </c>
      <c r="H110" s="19">
        <v>47.5</v>
      </c>
      <c r="I110" s="19">
        <v>50</v>
      </c>
      <c r="J110" s="19">
        <v>47.5</v>
      </c>
      <c r="K110" s="19">
        <v>47.5</v>
      </c>
      <c r="L110" s="19">
        <v>47.5</v>
      </c>
      <c r="M110" s="20" t="s">
        <v>4</v>
      </c>
      <c r="N110" s="19">
        <v>47.5</v>
      </c>
    </row>
    <row r="111" spans="1:14" ht="11.1" customHeight="1" x14ac:dyDescent="0.3">
      <c r="A111" s="17"/>
      <c r="B111" s="18">
        <v>2021</v>
      </c>
      <c r="C111" s="19">
        <v>49</v>
      </c>
      <c r="D111" s="19">
        <v>47.5</v>
      </c>
      <c r="E111" s="19">
        <v>50</v>
      </c>
      <c r="F111" s="19">
        <v>50</v>
      </c>
      <c r="G111" s="19">
        <v>50</v>
      </c>
      <c r="H111" s="19">
        <v>50</v>
      </c>
      <c r="I111" s="19">
        <v>50</v>
      </c>
      <c r="J111" s="19">
        <v>50</v>
      </c>
      <c r="K111" s="19">
        <v>52</v>
      </c>
      <c r="L111" s="19" t="s">
        <v>116</v>
      </c>
      <c r="M111" s="20">
        <v>53</v>
      </c>
      <c r="N111" s="19" t="s">
        <v>116</v>
      </c>
    </row>
    <row r="112" spans="1:14" ht="11.1" customHeight="1" x14ac:dyDescent="0.3">
      <c r="A112" s="17"/>
      <c r="B112" s="18">
        <v>2022</v>
      </c>
      <c r="C112" s="19">
        <v>55</v>
      </c>
      <c r="D112" s="19">
        <v>52.5</v>
      </c>
      <c r="E112" s="19">
        <v>55</v>
      </c>
      <c r="F112" s="19">
        <v>55</v>
      </c>
      <c r="G112" s="19">
        <v>55</v>
      </c>
      <c r="H112" s="19">
        <v>57.5</v>
      </c>
      <c r="I112" s="19">
        <v>60</v>
      </c>
      <c r="J112" s="19">
        <v>60</v>
      </c>
      <c r="K112" s="19">
        <v>60</v>
      </c>
      <c r="L112" s="19">
        <v>60</v>
      </c>
      <c r="M112" s="20">
        <v>60</v>
      </c>
      <c r="N112" s="19">
        <v>60</v>
      </c>
    </row>
    <row r="113" spans="1:14" ht="11.1" customHeight="1" x14ac:dyDescent="0.3">
      <c r="A113" s="17"/>
      <c r="B113" s="18">
        <v>2023</v>
      </c>
      <c r="C113" s="19">
        <v>63</v>
      </c>
      <c r="D113" s="19">
        <v>53</v>
      </c>
      <c r="E113" s="19">
        <v>55</v>
      </c>
      <c r="F113" s="19">
        <v>55</v>
      </c>
      <c r="G113" s="19">
        <v>63</v>
      </c>
      <c r="H113" s="19">
        <v>57.5</v>
      </c>
      <c r="I113" s="19">
        <v>63</v>
      </c>
      <c r="J113" s="19">
        <v>63</v>
      </c>
      <c r="K113" s="19">
        <v>63</v>
      </c>
      <c r="L113" s="19">
        <v>63</v>
      </c>
      <c r="M113" s="19">
        <v>63</v>
      </c>
      <c r="N113" s="19">
        <v>64</v>
      </c>
    </row>
    <row r="114" spans="1:14" ht="11.1" customHeight="1" x14ac:dyDescent="0.3">
      <c r="A114" s="17"/>
      <c r="B114" s="18">
        <v>2024</v>
      </c>
      <c r="C114" s="19">
        <v>61</v>
      </c>
      <c r="D114" s="19">
        <v>60</v>
      </c>
      <c r="E114" s="19">
        <v>66</v>
      </c>
      <c r="F114" s="19">
        <v>61</v>
      </c>
      <c r="G114" s="19">
        <v>62</v>
      </c>
      <c r="H114" s="19">
        <v>67</v>
      </c>
      <c r="I114" s="19">
        <v>63</v>
      </c>
      <c r="J114" s="19">
        <v>62</v>
      </c>
      <c r="K114" s="19">
        <v>67</v>
      </c>
      <c r="L114" s="19">
        <v>60</v>
      </c>
      <c r="M114" s="19">
        <v>62</v>
      </c>
      <c r="N114" s="19">
        <v>62</v>
      </c>
    </row>
    <row r="115" spans="1:14" ht="11.1" customHeight="1" x14ac:dyDescent="0.3">
      <c r="A115" s="21"/>
      <c r="B115" s="22">
        <v>2025</v>
      </c>
      <c r="C115" s="23">
        <v>63</v>
      </c>
      <c r="D115" s="23">
        <v>65</v>
      </c>
      <c r="E115" s="23">
        <v>58</v>
      </c>
      <c r="F115" s="23">
        <v>62</v>
      </c>
      <c r="G115" s="23">
        <v>60</v>
      </c>
      <c r="H115" s="23" t="s">
        <v>4</v>
      </c>
      <c r="I115" s="23" t="s">
        <v>4</v>
      </c>
      <c r="J115" s="23" t="s">
        <v>4</v>
      </c>
      <c r="K115" s="201"/>
      <c r="L115" s="201"/>
      <c r="M115" s="201"/>
      <c r="N115" s="201"/>
    </row>
    <row r="116" spans="1:14" ht="11.1" customHeight="1" x14ac:dyDescent="0.3">
      <c r="A116" s="17" t="s">
        <v>117</v>
      </c>
      <c r="B116" s="18">
        <v>2018</v>
      </c>
      <c r="C116" s="19">
        <v>33</v>
      </c>
      <c r="D116" s="19">
        <v>33</v>
      </c>
      <c r="E116" s="19">
        <v>33</v>
      </c>
      <c r="F116" s="19">
        <v>33</v>
      </c>
      <c r="G116" s="19">
        <v>33</v>
      </c>
      <c r="H116" s="19">
        <v>33</v>
      </c>
      <c r="I116" s="19">
        <v>33</v>
      </c>
      <c r="J116" s="19">
        <v>33</v>
      </c>
      <c r="K116" s="19">
        <v>33</v>
      </c>
      <c r="L116" s="19">
        <v>33</v>
      </c>
      <c r="M116" s="20">
        <v>33</v>
      </c>
      <c r="N116" s="19">
        <v>33</v>
      </c>
    </row>
    <row r="117" spans="1:14" ht="11.1" customHeight="1" x14ac:dyDescent="0.3">
      <c r="A117" s="17"/>
      <c r="B117" s="18">
        <v>2019</v>
      </c>
      <c r="C117" s="19">
        <v>33</v>
      </c>
      <c r="D117" s="19">
        <v>33</v>
      </c>
      <c r="E117" s="19">
        <v>33</v>
      </c>
      <c r="F117" s="19">
        <v>33</v>
      </c>
      <c r="G117" s="19">
        <v>33</v>
      </c>
      <c r="H117" s="19">
        <v>33</v>
      </c>
      <c r="I117" s="19">
        <v>33</v>
      </c>
      <c r="J117" s="19">
        <v>34</v>
      </c>
      <c r="K117" s="19">
        <v>37.5</v>
      </c>
      <c r="L117" s="19">
        <v>37.5</v>
      </c>
      <c r="M117" s="20">
        <v>37.5</v>
      </c>
      <c r="N117" s="19">
        <v>37.5</v>
      </c>
    </row>
    <row r="118" spans="1:14" ht="11.1" customHeight="1" x14ac:dyDescent="0.3">
      <c r="A118" s="17"/>
      <c r="B118" s="18">
        <v>2020</v>
      </c>
      <c r="C118" s="19">
        <v>32.5</v>
      </c>
      <c r="D118" s="19" t="s">
        <v>4</v>
      </c>
      <c r="E118" s="19" t="s">
        <v>4</v>
      </c>
      <c r="F118" s="19" t="s">
        <v>4</v>
      </c>
      <c r="G118" s="19" t="s">
        <v>4</v>
      </c>
      <c r="H118" s="19" t="s">
        <v>4</v>
      </c>
      <c r="I118" s="19" t="s">
        <v>4</v>
      </c>
      <c r="J118" s="19" t="s">
        <v>4</v>
      </c>
      <c r="K118" s="19" t="s">
        <v>4</v>
      </c>
      <c r="L118" s="19" t="s">
        <v>4</v>
      </c>
      <c r="M118" s="20">
        <v>37.5</v>
      </c>
      <c r="N118" s="19">
        <v>37.5</v>
      </c>
    </row>
    <row r="119" spans="1:14" ht="11.1" customHeight="1" x14ac:dyDescent="0.3">
      <c r="A119" s="17"/>
      <c r="B119" s="18">
        <v>2021</v>
      </c>
      <c r="C119" s="19">
        <v>37.5</v>
      </c>
      <c r="D119" s="19">
        <v>40</v>
      </c>
      <c r="E119" s="19">
        <v>45</v>
      </c>
      <c r="F119" s="19">
        <v>37.5</v>
      </c>
      <c r="G119" s="19">
        <v>45</v>
      </c>
      <c r="H119" s="19">
        <v>37.5</v>
      </c>
      <c r="I119" s="19">
        <v>45</v>
      </c>
      <c r="J119" s="19">
        <v>37.5</v>
      </c>
      <c r="K119" s="19">
        <v>45</v>
      </c>
      <c r="L119" s="19">
        <v>38</v>
      </c>
      <c r="M119" s="20">
        <v>38</v>
      </c>
      <c r="N119" s="19">
        <v>37.5</v>
      </c>
    </row>
    <row r="120" spans="1:14" ht="11.1" customHeight="1" x14ac:dyDescent="0.3">
      <c r="A120" s="17"/>
      <c r="B120" s="18">
        <v>2022</v>
      </c>
      <c r="C120" s="19">
        <v>45</v>
      </c>
      <c r="D120" s="19">
        <v>45</v>
      </c>
      <c r="E120" s="19">
        <v>37.5</v>
      </c>
      <c r="F120" s="19">
        <v>45</v>
      </c>
      <c r="G120" s="19">
        <v>45</v>
      </c>
      <c r="H120" s="19">
        <v>45</v>
      </c>
      <c r="I120" s="19">
        <v>43</v>
      </c>
      <c r="J120" s="19">
        <v>45</v>
      </c>
      <c r="K120" s="19">
        <v>45</v>
      </c>
      <c r="L120" s="19">
        <v>55</v>
      </c>
      <c r="M120" s="20">
        <v>50</v>
      </c>
      <c r="N120" s="19">
        <v>50</v>
      </c>
    </row>
    <row r="121" spans="1:14" ht="11.1" customHeight="1" x14ac:dyDescent="0.3">
      <c r="A121" s="17"/>
      <c r="B121" s="18">
        <v>2023</v>
      </c>
      <c r="C121" s="19">
        <v>55</v>
      </c>
      <c r="D121" s="19">
        <v>50</v>
      </c>
      <c r="E121" s="19">
        <v>50</v>
      </c>
      <c r="F121" s="19">
        <v>50</v>
      </c>
      <c r="G121" s="19">
        <v>63</v>
      </c>
      <c r="H121" s="19">
        <v>50</v>
      </c>
      <c r="I121" s="19">
        <v>55</v>
      </c>
      <c r="J121" s="19">
        <v>55</v>
      </c>
      <c r="K121" s="19">
        <v>50</v>
      </c>
      <c r="L121" s="19">
        <v>60</v>
      </c>
      <c r="M121" s="19">
        <v>55</v>
      </c>
      <c r="N121" s="19">
        <v>55</v>
      </c>
    </row>
    <row r="122" spans="1:14" ht="11.1" customHeight="1" x14ac:dyDescent="0.3">
      <c r="A122" s="17"/>
      <c r="B122" s="18">
        <v>2024</v>
      </c>
      <c r="C122" s="19">
        <v>50</v>
      </c>
      <c r="D122" s="19">
        <v>50</v>
      </c>
      <c r="E122" s="19">
        <v>54</v>
      </c>
      <c r="F122" s="19">
        <v>50</v>
      </c>
      <c r="G122" s="19">
        <v>50</v>
      </c>
      <c r="H122" s="19">
        <v>50</v>
      </c>
      <c r="I122" s="19">
        <v>50</v>
      </c>
      <c r="J122" s="19">
        <v>50</v>
      </c>
      <c r="K122" s="19">
        <v>44</v>
      </c>
      <c r="L122" s="19" t="s">
        <v>4</v>
      </c>
      <c r="M122" s="19" t="s">
        <v>4</v>
      </c>
      <c r="N122" s="19" t="s">
        <v>4</v>
      </c>
    </row>
    <row r="123" spans="1:14" ht="11.1" customHeight="1" x14ac:dyDescent="0.3">
      <c r="A123" s="21"/>
      <c r="B123" s="22">
        <v>2025</v>
      </c>
      <c r="C123" s="23">
        <v>50</v>
      </c>
      <c r="D123" s="23">
        <v>59</v>
      </c>
      <c r="E123" s="23">
        <v>47</v>
      </c>
      <c r="F123" s="23">
        <v>42</v>
      </c>
      <c r="G123" s="23">
        <v>40</v>
      </c>
      <c r="H123" s="23">
        <v>39</v>
      </c>
      <c r="I123" s="23">
        <v>42</v>
      </c>
      <c r="J123" s="23">
        <v>30</v>
      </c>
      <c r="K123" s="201"/>
      <c r="L123" s="201"/>
      <c r="M123" s="201"/>
      <c r="N123" s="201"/>
    </row>
    <row r="124" spans="1:14" ht="11.1" customHeight="1" x14ac:dyDescent="0.3">
      <c r="A124" s="17" t="s">
        <v>118</v>
      </c>
      <c r="B124" s="18">
        <v>2018</v>
      </c>
      <c r="C124" s="19">
        <v>47</v>
      </c>
      <c r="D124" s="19">
        <v>47</v>
      </c>
      <c r="E124" s="19">
        <v>47</v>
      </c>
      <c r="F124" s="19">
        <v>47</v>
      </c>
      <c r="G124" s="19">
        <v>47</v>
      </c>
      <c r="H124" s="19">
        <v>47</v>
      </c>
      <c r="I124" s="19">
        <v>47</v>
      </c>
      <c r="J124" s="19">
        <v>47</v>
      </c>
      <c r="K124" s="19">
        <v>47</v>
      </c>
      <c r="L124" s="19">
        <v>47</v>
      </c>
      <c r="M124" s="20">
        <v>47</v>
      </c>
      <c r="N124" s="19">
        <v>47</v>
      </c>
    </row>
    <row r="125" spans="1:14" ht="11.1" customHeight="1" x14ac:dyDescent="0.3">
      <c r="A125" s="17"/>
      <c r="B125" s="18">
        <v>2019</v>
      </c>
      <c r="C125" s="19">
        <v>47</v>
      </c>
      <c r="D125" s="19">
        <v>47</v>
      </c>
      <c r="E125" s="19">
        <v>47</v>
      </c>
      <c r="F125" s="19">
        <v>47</v>
      </c>
      <c r="G125" s="19">
        <v>47</v>
      </c>
      <c r="H125" s="19">
        <v>47</v>
      </c>
      <c r="I125" s="19">
        <v>47</v>
      </c>
      <c r="J125" s="19">
        <v>50</v>
      </c>
      <c r="K125" s="19">
        <v>55</v>
      </c>
      <c r="L125" s="19">
        <v>50</v>
      </c>
      <c r="M125" s="20">
        <v>55</v>
      </c>
      <c r="N125" s="19">
        <v>52.5</v>
      </c>
    </row>
    <row r="126" spans="1:14" ht="11.1" customHeight="1" x14ac:dyDescent="0.3">
      <c r="A126" s="17"/>
      <c r="B126" s="18">
        <v>2020</v>
      </c>
      <c r="C126" s="19">
        <v>52.5</v>
      </c>
      <c r="D126" s="19">
        <v>52.5</v>
      </c>
      <c r="E126" s="19">
        <v>70</v>
      </c>
      <c r="F126" s="19" t="s">
        <v>4</v>
      </c>
      <c r="G126" s="19">
        <v>55</v>
      </c>
      <c r="H126" s="19">
        <v>55</v>
      </c>
      <c r="I126" s="19">
        <v>67.5</v>
      </c>
      <c r="J126" s="19" t="s">
        <v>4</v>
      </c>
      <c r="K126" s="19" t="s">
        <v>4</v>
      </c>
      <c r="L126" s="19" t="s">
        <v>4</v>
      </c>
      <c r="M126" s="20" t="s">
        <v>4</v>
      </c>
      <c r="N126" s="19" t="s">
        <v>4</v>
      </c>
    </row>
    <row r="127" spans="1:14" ht="11.1" customHeight="1" x14ac:dyDescent="0.3">
      <c r="A127" s="17"/>
      <c r="B127" s="18">
        <v>2021</v>
      </c>
      <c r="C127" s="19">
        <v>55</v>
      </c>
      <c r="D127" s="19">
        <v>55</v>
      </c>
      <c r="E127" s="19">
        <v>55</v>
      </c>
      <c r="F127" s="19">
        <v>55</v>
      </c>
      <c r="G127" s="19">
        <v>55</v>
      </c>
      <c r="H127" s="19">
        <v>55</v>
      </c>
      <c r="I127" s="19">
        <v>55</v>
      </c>
      <c r="J127" s="19">
        <v>55</v>
      </c>
      <c r="K127" s="19">
        <v>55</v>
      </c>
      <c r="L127" s="19">
        <v>55</v>
      </c>
      <c r="M127" s="20">
        <v>55</v>
      </c>
      <c r="N127" s="19">
        <v>57.5</v>
      </c>
    </row>
    <row r="128" spans="1:14" ht="11.1" customHeight="1" x14ac:dyDescent="0.3">
      <c r="A128" s="17"/>
      <c r="B128" s="18">
        <v>2022</v>
      </c>
      <c r="C128" s="19">
        <v>57.5</v>
      </c>
      <c r="D128" s="19">
        <v>57.5</v>
      </c>
      <c r="E128" s="19">
        <v>60</v>
      </c>
      <c r="F128" s="19">
        <v>60</v>
      </c>
      <c r="G128" s="19">
        <v>65</v>
      </c>
      <c r="H128" s="19">
        <v>65</v>
      </c>
      <c r="I128" s="19">
        <v>67.5</v>
      </c>
      <c r="J128" s="19">
        <v>67.5</v>
      </c>
      <c r="K128" s="19">
        <v>67.5</v>
      </c>
      <c r="L128" s="19">
        <v>72.5</v>
      </c>
      <c r="M128" s="20">
        <v>72.5</v>
      </c>
      <c r="N128" s="19">
        <v>72.5</v>
      </c>
    </row>
    <row r="129" spans="1:14" ht="11.1" customHeight="1" x14ac:dyDescent="0.3">
      <c r="A129" s="17"/>
      <c r="B129" s="18">
        <v>2023</v>
      </c>
      <c r="C129" s="19">
        <v>70</v>
      </c>
      <c r="D129" s="19">
        <v>70</v>
      </c>
      <c r="E129" s="19">
        <v>70</v>
      </c>
      <c r="F129" s="19">
        <v>65</v>
      </c>
      <c r="G129" s="19">
        <v>70</v>
      </c>
      <c r="H129" s="19">
        <v>65</v>
      </c>
      <c r="I129" s="19">
        <v>70</v>
      </c>
      <c r="J129" s="19">
        <v>75</v>
      </c>
      <c r="K129" s="20">
        <v>75</v>
      </c>
      <c r="L129" s="19">
        <v>65</v>
      </c>
      <c r="M129" s="19">
        <v>80</v>
      </c>
      <c r="N129" s="19">
        <v>75</v>
      </c>
    </row>
    <row r="130" spans="1:14" ht="11.1" customHeight="1" x14ac:dyDescent="0.3">
      <c r="A130" s="17"/>
      <c r="B130" s="18">
        <v>2024</v>
      </c>
      <c r="C130" s="19">
        <v>80</v>
      </c>
      <c r="D130" s="19">
        <v>80</v>
      </c>
      <c r="E130" s="19">
        <v>78</v>
      </c>
      <c r="F130" s="19">
        <v>80</v>
      </c>
      <c r="G130" s="19">
        <v>80</v>
      </c>
      <c r="H130" s="19">
        <v>80</v>
      </c>
      <c r="I130" s="19">
        <v>80</v>
      </c>
      <c r="J130" s="19">
        <v>80</v>
      </c>
      <c r="K130" s="19">
        <v>77</v>
      </c>
      <c r="L130" s="19">
        <v>70</v>
      </c>
      <c r="M130" s="19">
        <v>69</v>
      </c>
      <c r="N130" s="19" t="s">
        <v>4</v>
      </c>
    </row>
    <row r="131" spans="1:14" ht="11.1" customHeight="1" x14ac:dyDescent="0.3">
      <c r="A131" s="21"/>
      <c r="B131" s="22">
        <v>2025</v>
      </c>
      <c r="C131" s="23" t="s">
        <v>4</v>
      </c>
      <c r="D131" s="23" t="s">
        <v>4</v>
      </c>
      <c r="E131" s="23">
        <v>70</v>
      </c>
      <c r="F131" s="23">
        <v>65</v>
      </c>
      <c r="G131" s="23" t="s">
        <v>4</v>
      </c>
      <c r="H131" s="23" t="s">
        <v>4</v>
      </c>
      <c r="I131" s="23" t="s">
        <v>4</v>
      </c>
      <c r="J131" s="23">
        <v>90</v>
      </c>
    </row>
    <row r="132" spans="1:14" ht="10.65" customHeight="1" x14ac:dyDescent="0.3">
      <c r="A132" s="32"/>
      <c r="B132" s="33"/>
      <c r="C132" s="34"/>
      <c r="D132" s="34"/>
      <c r="E132" s="34"/>
      <c r="F132" s="34"/>
      <c r="G132" s="35"/>
      <c r="H132" s="35"/>
      <c r="I132" s="34"/>
      <c r="J132" s="34"/>
      <c r="K132" s="34"/>
      <c r="L132" s="35"/>
      <c r="M132" s="35"/>
      <c r="N132" s="36" t="s">
        <v>26</v>
      </c>
    </row>
    <row r="133" spans="1:14" ht="10.65" customHeight="1" x14ac:dyDescent="0.3">
      <c r="A133" s="761" t="s">
        <v>112</v>
      </c>
      <c r="B133" s="761"/>
      <c r="C133" s="761"/>
      <c r="D133" s="761"/>
      <c r="E133" s="761"/>
      <c r="F133" s="761"/>
      <c r="G133" s="37"/>
      <c r="H133" s="37"/>
      <c r="I133" s="38"/>
      <c r="J133" s="38"/>
      <c r="K133" s="19"/>
      <c r="L133" s="20"/>
      <c r="M133" s="20"/>
      <c r="N133" s="20"/>
    </row>
    <row r="134" spans="1:14" ht="15.9" customHeight="1" x14ac:dyDescent="0.3">
      <c r="A134" s="217" t="s">
        <v>94</v>
      </c>
      <c r="B134" s="217" t="s">
        <v>95</v>
      </c>
      <c r="C134" s="217" t="s">
        <v>96</v>
      </c>
      <c r="D134" s="217" t="s">
        <v>97</v>
      </c>
      <c r="E134" s="217" t="s">
        <v>98</v>
      </c>
      <c r="F134" s="217" t="s">
        <v>99</v>
      </c>
      <c r="G134" s="217" t="s">
        <v>100</v>
      </c>
      <c r="H134" s="217" t="s">
        <v>101</v>
      </c>
      <c r="I134" s="217" t="s">
        <v>102</v>
      </c>
      <c r="J134" s="218" t="s">
        <v>103</v>
      </c>
      <c r="K134" s="218" t="s">
        <v>104</v>
      </c>
      <c r="L134" s="217" t="s">
        <v>105</v>
      </c>
      <c r="M134" s="217" t="s">
        <v>106</v>
      </c>
      <c r="N134" s="217" t="s">
        <v>107</v>
      </c>
    </row>
    <row r="135" spans="1:14" ht="3" customHeight="1" x14ac:dyDescent="0.3">
      <c r="A135" s="17"/>
      <c r="B135" s="18"/>
      <c r="C135" s="19"/>
    </row>
    <row r="136" spans="1:14" ht="11.1" customHeight="1" x14ac:dyDescent="0.3">
      <c r="A136" s="17" t="s">
        <v>119</v>
      </c>
      <c r="B136" s="18">
        <v>2018</v>
      </c>
      <c r="C136" s="19">
        <v>43</v>
      </c>
      <c r="D136" s="19">
        <v>46</v>
      </c>
      <c r="E136" s="19">
        <v>47.5</v>
      </c>
      <c r="F136" s="19">
        <v>47.5</v>
      </c>
      <c r="G136" s="19">
        <v>47.5</v>
      </c>
      <c r="H136" s="19">
        <v>47.5</v>
      </c>
      <c r="I136" s="19">
        <v>47.5</v>
      </c>
      <c r="J136" s="20">
        <v>47.5</v>
      </c>
      <c r="K136" s="19">
        <v>51</v>
      </c>
      <c r="L136" s="19">
        <v>50</v>
      </c>
      <c r="M136" s="20">
        <v>50</v>
      </c>
      <c r="N136" s="19">
        <v>50</v>
      </c>
    </row>
    <row r="137" spans="1:14" ht="11.1" customHeight="1" x14ac:dyDescent="0.3">
      <c r="A137" s="17"/>
      <c r="B137" s="18">
        <v>2019</v>
      </c>
      <c r="C137" s="19">
        <v>48</v>
      </c>
      <c r="D137" s="19">
        <v>48</v>
      </c>
      <c r="E137" s="19">
        <v>48</v>
      </c>
      <c r="F137" s="19">
        <v>48</v>
      </c>
      <c r="G137" s="19">
        <v>48</v>
      </c>
      <c r="H137" s="19">
        <v>48</v>
      </c>
      <c r="I137" s="19">
        <v>48</v>
      </c>
      <c r="J137" s="20">
        <v>48</v>
      </c>
      <c r="K137" s="19">
        <v>53</v>
      </c>
      <c r="L137" s="19">
        <v>52.5</v>
      </c>
      <c r="M137" s="20">
        <v>53</v>
      </c>
      <c r="N137" s="19">
        <v>52.5</v>
      </c>
    </row>
    <row r="138" spans="1:14" ht="11.1" customHeight="1" x14ac:dyDescent="0.3">
      <c r="A138" s="17"/>
      <c r="B138" s="18">
        <v>2020</v>
      </c>
      <c r="C138" s="19">
        <v>52.5</v>
      </c>
      <c r="D138" s="19" t="s">
        <v>4</v>
      </c>
      <c r="E138" s="19" t="s">
        <v>4</v>
      </c>
      <c r="F138" s="19" t="s">
        <v>4</v>
      </c>
      <c r="G138" s="19" t="s">
        <v>4</v>
      </c>
      <c r="H138" s="19" t="s">
        <v>4</v>
      </c>
      <c r="I138" s="19" t="s">
        <v>4</v>
      </c>
      <c r="J138" s="20" t="s">
        <v>4</v>
      </c>
      <c r="K138" s="19" t="s">
        <v>4</v>
      </c>
      <c r="L138" s="19" t="s">
        <v>4</v>
      </c>
      <c r="M138" s="20" t="s">
        <v>4</v>
      </c>
      <c r="N138" s="19" t="s">
        <v>4</v>
      </c>
    </row>
    <row r="139" spans="1:14" ht="11.1" customHeight="1" x14ac:dyDescent="0.3">
      <c r="A139" s="17"/>
      <c r="B139" s="18">
        <v>2021</v>
      </c>
      <c r="C139" s="19" t="s">
        <v>4</v>
      </c>
      <c r="D139" s="19" t="s">
        <v>4</v>
      </c>
      <c r="E139" s="19" t="s">
        <v>4</v>
      </c>
      <c r="F139" s="19" t="s">
        <v>4</v>
      </c>
      <c r="G139" s="19" t="s">
        <v>4</v>
      </c>
      <c r="H139" s="19">
        <v>57.5</v>
      </c>
      <c r="I139" s="19">
        <v>60</v>
      </c>
      <c r="J139" s="20">
        <v>60</v>
      </c>
      <c r="K139" s="19" t="s">
        <v>4</v>
      </c>
      <c r="L139" s="19">
        <v>65</v>
      </c>
      <c r="M139" s="20" t="s">
        <v>4</v>
      </c>
      <c r="N139" s="19" t="s">
        <v>4</v>
      </c>
    </row>
    <row r="140" spans="1:14" ht="11.1" customHeight="1" x14ac:dyDescent="0.3">
      <c r="A140" s="17"/>
      <c r="B140" s="18">
        <v>2022</v>
      </c>
      <c r="C140" s="19">
        <v>70</v>
      </c>
      <c r="D140" s="19">
        <v>70</v>
      </c>
      <c r="E140" s="19">
        <v>70</v>
      </c>
      <c r="F140" s="19">
        <v>70</v>
      </c>
      <c r="G140" s="19" t="s">
        <v>4</v>
      </c>
      <c r="H140" s="19">
        <v>70</v>
      </c>
      <c r="I140" s="19">
        <v>70</v>
      </c>
      <c r="J140" s="20">
        <v>70</v>
      </c>
      <c r="K140" s="19">
        <v>80</v>
      </c>
      <c r="L140" s="19">
        <v>80</v>
      </c>
      <c r="M140" s="20">
        <v>80</v>
      </c>
      <c r="N140" s="19">
        <v>80</v>
      </c>
    </row>
    <row r="141" spans="1:14" ht="11.1" customHeight="1" x14ac:dyDescent="0.3">
      <c r="A141" s="17"/>
      <c r="B141" s="18">
        <v>2023</v>
      </c>
      <c r="C141" s="19">
        <v>80</v>
      </c>
      <c r="D141" s="19">
        <v>80</v>
      </c>
      <c r="E141" s="19">
        <v>80</v>
      </c>
      <c r="F141" s="19" t="s">
        <v>4</v>
      </c>
      <c r="G141" s="19">
        <v>70</v>
      </c>
      <c r="H141" s="19">
        <v>80</v>
      </c>
      <c r="I141" s="19">
        <v>80</v>
      </c>
      <c r="J141" s="20">
        <v>80</v>
      </c>
      <c r="K141" s="20">
        <v>80</v>
      </c>
      <c r="L141" s="19">
        <v>80</v>
      </c>
      <c r="M141" s="19">
        <v>80</v>
      </c>
      <c r="N141" s="19">
        <v>80</v>
      </c>
    </row>
    <row r="142" spans="1:14" ht="11.1" customHeight="1" x14ac:dyDescent="0.3">
      <c r="A142" s="17"/>
      <c r="B142" s="18">
        <v>2024</v>
      </c>
      <c r="C142" s="19">
        <v>80</v>
      </c>
      <c r="D142" s="19">
        <v>80</v>
      </c>
      <c r="E142" s="19">
        <v>78</v>
      </c>
      <c r="F142" s="19">
        <v>80</v>
      </c>
      <c r="G142" s="19">
        <v>80</v>
      </c>
      <c r="H142" s="19">
        <v>85</v>
      </c>
      <c r="I142" s="19">
        <v>85</v>
      </c>
      <c r="J142" s="19">
        <v>85</v>
      </c>
      <c r="K142" s="20">
        <v>86</v>
      </c>
      <c r="L142" s="19">
        <v>89</v>
      </c>
      <c r="M142" s="19">
        <v>89.5</v>
      </c>
      <c r="N142" s="19">
        <v>93</v>
      </c>
    </row>
    <row r="143" spans="1:14" ht="11.1" customHeight="1" x14ac:dyDescent="0.3">
      <c r="A143" s="21"/>
      <c r="B143" s="22">
        <v>2025</v>
      </c>
      <c r="C143" s="23">
        <v>93</v>
      </c>
      <c r="D143" s="23">
        <v>90</v>
      </c>
      <c r="E143" s="23">
        <v>90</v>
      </c>
      <c r="F143" s="23">
        <v>91</v>
      </c>
      <c r="G143" s="23">
        <v>94</v>
      </c>
      <c r="H143" s="23">
        <v>94</v>
      </c>
      <c r="I143" s="23">
        <v>90</v>
      </c>
      <c r="J143" s="23">
        <v>94</v>
      </c>
      <c r="K143" s="201"/>
      <c r="L143" s="201"/>
      <c r="M143" s="201"/>
      <c r="N143" s="201"/>
    </row>
    <row r="144" spans="1:14" ht="11.1" customHeight="1" x14ac:dyDescent="0.3">
      <c r="A144" s="17" t="s">
        <v>41</v>
      </c>
      <c r="B144" s="18">
        <v>2018</v>
      </c>
      <c r="C144" s="19">
        <v>36</v>
      </c>
      <c r="D144" s="19">
        <v>37.5</v>
      </c>
      <c r="E144" s="19">
        <v>37.5</v>
      </c>
      <c r="F144" s="19">
        <v>37.5</v>
      </c>
      <c r="G144" s="19">
        <v>37.5</v>
      </c>
      <c r="H144" s="19">
        <v>37.5</v>
      </c>
      <c r="I144" s="19">
        <v>37.5</v>
      </c>
      <c r="J144" s="19">
        <v>37.5</v>
      </c>
      <c r="K144" s="19">
        <v>37.5</v>
      </c>
      <c r="L144" s="19">
        <v>37.5</v>
      </c>
      <c r="M144" s="20">
        <v>37.5</v>
      </c>
      <c r="N144" s="19">
        <v>37.5</v>
      </c>
    </row>
    <row r="145" spans="1:14" ht="11.1" customHeight="1" x14ac:dyDescent="0.3">
      <c r="A145" s="17"/>
      <c r="B145" s="18">
        <v>2019</v>
      </c>
      <c r="C145" s="19">
        <v>40</v>
      </c>
      <c r="D145" s="19">
        <v>40</v>
      </c>
      <c r="E145" s="19">
        <v>40</v>
      </c>
      <c r="F145" s="19">
        <v>40</v>
      </c>
      <c r="G145" s="19">
        <v>39</v>
      </c>
      <c r="H145" s="19">
        <v>40</v>
      </c>
      <c r="I145" s="19">
        <v>40</v>
      </c>
      <c r="J145" s="19">
        <v>40</v>
      </c>
      <c r="K145" s="19">
        <v>40</v>
      </c>
      <c r="L145" s="19">
        <v>40</v>
      </c>
      <c r="M145" s="20">
        <v>42.5</v>
      </c>
      <c r="N145" s="19">
        <v>42.5</v>
      </c>
    </row>
    <row r="146" spans="1:14" ht="11.1" customHeight="1" x14ac:dyDescent="0.3">
      <c r="A146" s="17"/>
      <c r="B146" s="18">
        <v>2020</v>
      </c>
      <c r="C146" s="19">
        <v>42.5</v>
      </c>
      <c r="D146" s="19">
        <v>40</v>
      </c>
      <c r="E146" s="19">
        <v>40</v>
      </c>
      <c r="F146" s="19" t="s">
        <v>4</v>
      </c>
      <c r="G146" s="19" t="s">
        <v>4</v>
      </c>
      <c r="H146" s="19" t="s">
        <v>4</v>
      </c>
      <c r="I146" s="19">
        <v>40</v>
      </c>
      <c r="J146" s="19">
        <v>45</v>
      </c>
      <c r="K146" s="19" t="s">
        <v>4</v>
      </c>
      <c r="L146" s="19" t="s">
        <v>4</v>
      </c>
      <c r="M146" s="20">
        <v>45</v>
      </c>
      <c r="N146" s="19">
        <v>45</v>
      </c>
    </row>
    <row r="147" spans="1:14" ht="11.1" customHeight="1" x14ac:dyDescent="0.3">
      <c r="A147" s="17"/>
      <c r="B147" s="18">
        <v>2021</v>
      </c>
      <c r="C147" s="19">
        <v>40</v>
      </c>
      <c r="D147" s="19">
        <v>40</v>
      </c>
      <c r="E147" s="19">
        <v>40</v>
      </c>
      <c r="F147" s="19">
        <v>37.5</v>
      </c>
      <c r="G147" s="19">
        <v>35</v>
      </c>
      <c r="H147" s="19">
        <v>40</v>
      </c>
      <c r="I147" s="19">
        <v>40</v>
      </c>
      <c r="J147" s="19">
        <v>40</v>
      </c>
      <c r="K147" s="19">
        <v>40</v>
      </c>
      <c r="L147" s="19">
        <v>40</v>
      </c>
      <c r="M147" s="20">
        <v>40</v>
      </c>
      <c r="N147" s="19">
        <v>37.5</v>
      </c>
    </row>
    <row r="148" spans="1:14" ht="11.1" customHeight="1" x14ac:dyDescent="0.3">
      <c r="A148" s="17"/>
      <c r="B148" s="18">
        <v>2022</v>
      </c>
      <c r="C148" s="19">
        <v>37.5</v>
      </c>
      <c r="D148" s="19">
        <v>42.5</v>
      </c>
      <c r="E148" s="19">
        <v>42.5</v>
      </c>
      <c r="F148" s="19">
        <v>42.5</v>
      </c>
      <c r="G148" s="19">
        <v>42.5</v>
      </c>
      <c r="H148" s="19">
        <v>42.5</v>
      </c>
      <c r="I148" s="19">
        <v>42.5</v>
      </c>
      <c r="J148" s="19">
        <v>42.5</v>
      </c>
      <c r="K148" s="19">
        <v>44.5</v>
      </c>
      <c r="L148" s="19">
        <v>45</v>
      </c>
      <c r="M148" s="20">
        <v>50</v>
      </c>
      <c r="N148" s="19">
        <v>47</v>
      </c>
    </row>
    <row r="149" spans="1:14" ht="11.1" customHeight="1" x14ac:dyDescent="0.3">
      <c r="A149" s="17"/>
      <c r="B149" s="18">
        <v>2023</v>
      </c>
      <c r="C149" s="19">
        <v>53</v>
      </c>
      <c r="D149" s="19">
        <v>46.5</v>
      </c>
      <c r="E149" s="19">
        <v>52</v>
      </c>
      <c r="F149" s="19">
        <v>52</v>
      </c>
      <c r="G149" s="19">
        <v>53</v>
      </c>
      <c r="H149" s="19">
        <v>52.5</v>
      </c>
      <c r="I149" s="19">
        <v>53</v>
      </c>
      <c r="J149" s="19">
        <v>53</v>
      </c>
      <c r="K149" s="20">
        <v>53</v>
      </c>
      <c r="L149" s="19">
        <v>53</v>
      </c>
      <c r="M149" s="19">
        <v>53</v>
      </c>
      <c r="N149" s="19">
        <v>51</v>
      </c>
    </row>
    <row r="150" spans="1:14" ht="11.1" customHeight="1" x14ac:dyDescent="0.3">
      <c r="A150" s="17"/>
      <c r="B150" s="18">
        <v>2024</v>
      </c>
      <c r="C150" s="19">
        <v>53</v>
      </c>
      <c r="D150" s="19">
        <v>53</v>
      </c>
      <c r="E150" s="19">
        <v>50</v>
      </c>
      <c r="F150" s="19">
        <v>53</v>
      </c>
      <c r="G150" s="19">
        <v>53</v>
      </c>
      <c r="H150" s="19">
        <v>53</v>
      </c>
      <c r="I150" s="19">
        <v>53</v>
      </c>
      <c r="J150" s="19">
        <v>53</v>
      </c>
      <c r="K150" s="20">
        <v>54</v>
      </c>
      <c r="L150" s="19">
        <v>56.666666666666664</v>
      </c>
      <c r="M150" s="19">
        <v>58.33</v>
      </c>
      <c r="N150" s="19">
        <v>59.2</v>
      </c>
    </row>
    <row r="151" spans="1:14" ht="11.1" customHeight="1" x14ac:dyDescent="0.3">
      <c r="A151" s="21"/>
      <c r="B151" s="22">
        <v>2025</v>
      </c>
      <c r="C151" s="19">
        <v>63</v>
      </c>
      <c r="D151" s="19">
        <v>60</v>
      </c>
      <c r="E151" s="19">
        <v>53</v>
      </c>
      <c r="F151" s="19">
        <v>59</v>
      </c>
      <c r="G151" s="19">
        <v>53</v>
      </c>
      <c r="H151" s="19">
        <v>55</v>
      </c>
      <c r="I151" s="19">
        <v>58</v>
      </c>
      <c r="J151" s="19">
        <v>56</v>
      </c>
    </row>
    <row r="152" spans="1:14" ht="11.1" customHeight="1" x14ac:dyDescent="0.3">
      <c r="A152" s="31" t="s">
        <v>45</v>
      </c>
      <c r="B152" s="25">
        <v>2018</v>
      </c>
      <c r="C152" s="26">
        <v>32.5</v>
      </c>
      <c r="D152" s="26">
        <v>32.5</v>
      </c>
      <c r="E152" s="26">
        <v>32.5</v>
      </c>
      <c r="F152" s="26">
        <v>34</v>
      </c>
      <c r="G152" s="26">
        <v>34</v>
      </c>
      <c r="H152" s="26">
        <v>35</v>
      </c>
      <c r="I152" s="26">
        <v>39</v>
      </c>
      <c r="J152" s="26">
        <v>39</v>
      </c>
      <c r="K152" s="26">
        <v>39</v>
      </c>
      <c r="L152" s="26">
        <v>39</v>
      </c>
      <c r="M152" s="27">
        <v>39</v>
      </c>
      <c r="N152" s="26">
        <v>40</v>
      </c>
    </row>
    <row r="153" spans="1:14" ht="11.1" customHeight="1" x14ac:dyDescent="0.3">
      <c r="A153" s="17"/>
      <c r="B153" s="18">
        <v>2019</v>
      </c>
      <c r="C153" s="19">
        <v>38</v>
      </c>
      <c r="D153" s="19">
        <v>38</v>
      </c>
      <c r="E153" s="19">
        <v>38</v>
      </c>
      <c r="F153" s="19">
        <v>37</v>
      </c>
      <c r="G153" s="19">
        <v>38</v>
      </c>
      <c r="H153" s="19">
        <v>41</v>
      </c>
      <c r="I153" s="19">
        <v>41</v>
      </c>
      <c r="J153" s="19">
        <v>40</v>
      </c>
      <c r="K153" s="19">
        <v>35</v>
      </c>
      <c r="L153" s="19">
        <v>35</v>
      </c>
      <c r="M153" s="20">
        <v>35</v>
      </c>
      <c r="N153" s="19">
        <v>35</v>
      </c>
    </row>
    <row r="154" spans="1:14" ht="11.1" customHeight="1" x14ac:dyDescent="0.3">
      <c r="A154" s="17"/>
      <c r="B154" s="18">
        <v>2020</v>
      </c>
      <c r="C154" s="19">
        <v>37.5</v>
      </c>
      <c r="D154" s="19">
        <v>37.5</v>
      </c>
      <c r="E154" s="19">
        <v>37.5</v>
      </c>
      <c r="F154" s="19">
        <v>37.5</v>
      </c>
      <c r="G154" s="19">
        <v>37.5</v>
      </c>
      <c r="H154" s="19">
        <v>37.5</v>
      </c>
      <c r="I154" s="19">
        <v>37.5</v>
      </c>
      <c r="J154" s="19">
        <v>37.5</v>
      </c>
      <c r="K154" s="19">
        <v>35</v>
      </c>
      <c r="L154" s="19">
        <v>35</v>
      </c>
      <c r="M154" s="20">
        <v>35</v>
      </c>
      <c r="N154" s="19">
        <v>37.5</v>
      </c>
    </row>
    <row r="155" spans="1:14" ht="11.1" customHeight="1" x14ac:dyDescent="0.3">
      <c r="A155" s="17"/>
      <c r="B155" s="18">
        <v>2021</v>
      </c>
      <c r="C155" s="19">
        <v>37.5</v>
      </c>
      <c r="D155" s="19">
        <v>37.5</v>
      </c>
      <c r="E155" s="19">
        <v>37.5</v>
      </c>
      <c r="F155" s="19">
        <v>35</v>
      </c>
      <c r="G155" s="19">
        <v>37.5</v>
      </c>
      <c r="H155" s="19">
        <v>37.5</v>
      </c>
      <c r="I155" s="19">
        <v>35</v>
      </c>
      <c r="J155" s="19">
        <v>52.5</v>
      </c>
      <c r="K155" s="19">
        <v>52.5</v>
      </c>
      <c r="L155" s="19">
        <v>50</v>
      </c>
      <c r="M155" s="20">
        <v>52.5</v>
      </c>
      <c r="N155" s="19">
        <v>52.5</v>
      </c>
    </row>
    <row r="156" spans="1:14" ht="11.1" customHeight="1" x14ac:dyDescent="0.3">
      <c r="A156" s="17"/>
      <c r="B156" s="18">
        <v>2022</v>
      </c>
      <c r="C156" s="19">
        <v>52.5</v>
      </c>
      <c r="D156" s="19">
        <v>53</v>
      </c>
      <c r="E156" s="19">
        <v>53</v>
      </c>
      <c r="F156" s="19">
        <v>53</v>
      </c>
      <c r="G156" s="19">
        <v>53</v>
      </c>
      <c r="H156" s="19">
        <v>47.5</v>
      </c>
      <c r="I156" s="19">
        <v>47.5</v>
      </c>
      <c r="J156" s="19">
        <v>47.5</v>
      </c>
      <c r="K156" s="19">
        <v>47.5</v>
      </c>
      <c r="L156" s="19">
        <v>55</v>
      </c>
      <c r="M156" s="20">
        <v>48</v>
      </c>
      <c r="N156" s="19">
        <v>47.5</v>
      </c>
    </row>
    <row r="157" spans="1:14" ht="11.1" customHeight="1" x14ac:dyDescent="0.3">
      <c r="A157" s="17"/>
      <c r="B157" s="18">
        <v>2023</v>
      </c>
      <c r="C157" s="19">
        <v>47.5</v>
      </c>
      <c r="D157" s="19">
        <v>47.5</v>
      </c>
      <c r="E157" s="19">
        <v>47.5</v>
      </c>
      <c r="F157" s="19">
        <v>47.5</v>
      </c>
      <c r="G157" s="19">
        <v>52</v>
      </c>
      <c r="H157" s="19">
        <v>57.5</v>
      </c>
      <c r="I157" s="19">
        <v>55</v>
      </c>
      <c r="J157" s="19">
        <v>53</v>
      </c>
      <c r="K157" s="19">
        <v>53</v>
      </c>
      <c r="L157" s="19">
        <v>50</v>
      </c>
      <c r="M157" s="19">
        <v>50</v>
      </c>
      <c r="N157" s="19">
        <v>43</v>
      </c>
    </row>
    <row r="158" spans="1:14" ht="11.1" customHeight="1" x14ac:dyDescent="0.3">
      <c r="A158" s="17"/>
      <c r="B158" s="18">
        <v>2024</v>
      </c>
      <c r="C158" s="19">
        <v>48</v>
      </c>
      <c r="D158" s="19">
        <v>50</v>
      </c>
      <c r="E158" s="19">
        <v>52</v>
      </c>
      <c r="F158" s="19">
        <v>47.5</v>
      </c>
      <c r="G158" s="19">
        <v>48</v>
      </c>
      <c r="H158" s="19">
        <v>48</v>
      </c>
      <c r="I158" s="19">
        <v>48</v>
      </c>
      <c r="J158" s="19">
        <v>48</v>
      </c>
      <c r="K158" s="19">
        <v>51</v>
      </c>
      <c r="L158" s="19">
        <v>48.75</v>
      </c>
      <c r="M158" s="19">
        <v>50</v>
      </c>
      <c r="N158" s="19">
        <v>54</v>
      </c>
    </row>
    <row r="159" spans="1:14" ht="11.1" customHeight="1" x14ac:dyDescent="0.3">
      <c r="A159" s="21"/>
      <c r="B159" s="22">
        <v>2025</v>
      </c>
      <c r="C159" s="23">
        <v>48</v>
      </c>
      <c r="D159" s="23">
        <v>48</v>
      </c>
      <c r="E159" s="23">
        <v>50</v>
      </c>
      <c r="F159" s="23">
        <v>50</v>
      </c>
      <c r="G159" s="23">
        <v>50</v>
      </c>
      <c r="H159" s="23">
        <v>50</v>
      </c>
      <c r="I159" s="23">
        <v>47</v>
      </c>
      <c r="J159" s="23">
        <v>42</v>
      </c>
      <c r="K159" s="201"/>
      <c r="L159" s="201"/>
      <c r="M159" s="201"/>
      <c r="N159" s="201"/>
    </row>
    <row r="160" spans="1:14" ht="11.1" customHeight="1" x14ac:dyDescent="0.3">
      <c r="A160" s="31" t="s">
        <v>65</v>
      </c>
      <c r="B160" s="18">
        <v>2018</v>
      </c>
      <c r="C160" s="19">
        <v>37.5</v>
      </c>
      <c r="D160" s="19">
        <v>36.81818181818182</v>
      </c>
      <c r="E160" s="19">
        <v>38.18181818181818</v>
      </c>
      <c r="F160" s="19">
        <v>38.636363636363633</v>
      </c>
      <c r="G160" s="19">
        <v>38.5</v>
      </c>
      <c r="H160" s="20">
        <v>38.5</v>
      </c>
      <c r="I160" s="19">
        <v>38.636363636363633</v>
      </c>
      <c r="J160" s="19">
        <v>40.68181818181818</v>
      </c>
      <c r="K160" s="20">
        <v>40.227272727272727</v>
      </c>
      <c r="L160" s="20">
        <v>40.454545454545453</v>
      </c>
      <c r="M160" s="20">
        <v>40.454545454545453</v>
      </c>
      <c r="N160" s="19">
        <v>40.454545454545453</v>
      </c>
    </row>
    <row r="161" spans="1:14" ht="11.1" customHeight="1" x14ac:dyDescent="0.3">
      <c r="A161" s="17"/>
      <c r="B161" s="18">
        <v>2019</v>
      </c>
      <c r="C161" s="19">
        <v>40</v>
      </c>
      <c r="D161" s="19">
        <v>40</v>
      </c>
      <c r="E161" s="19">
        <v>41.8</v>
      </c>
      <c r="F161" s="19">
        <v>41.8</v>
      </c>
      <c r="G161" s="19">
        <v>41.8</v>
      </c>
      <c r="H161" s="20">
        <v>43.5</v>
      </c>
      <c r="I161" s="19">
        <v>43.8</v>
      </c>
      <c r="J161" s="19">
        <v>44.5</v>
      </c>
      <c r="K161" s="20">
        <v>45</v>
      </c>
      <c r="L161" s="20">
        <v>45</v>
      </c>
      <c r="M161" s="20">
        <v>45</v>
      </c>
      <c r="N161" s="19">
        <v>47.5</v>
      </c>
    </row>
    <row r="162" spans="1:14" ht="11.1" customHeight="1" x14ac:dyDescent="0.3">
      <c r="A162" s="17"/>
      <c r="B162" s="18">
        <v>2020</v>
      </c>
      <c r="C162" s="19">
        <v>45</v>
      </c>
      <c r="D162" s="19">
        <v>45</v>
      </c>
      <c r="E162" s="19" t="s">
        <v>4</v>
      </c>
      <c r="F162" s="19" t="s">
        <v>4</v>
      </c>
      <c r="G162" s="19">
        <v>47.5</v>
      </c>
      <c r="H162" s="20">
        <v>47.5</v>
      </c>
      <c r="I162" s="19" t="s">
        <v>4</v>
      </c>
      <c r="J162" s="19">
        <v>47.5</v>
      </c>
      <c r="K162" s="20">
        <v>47.5</v>
      </c>
      <c r="L162" s="20">
        <v>45</v>
      </c>
      <c r="M162" s="20">
        <v>45</v>
      </c>
      <c r="N162" s="19">
        <v>45</v>
      </c>
    </row>
    <row r="163" spans="1:14" ht="11.1" customHeight="1" x14ac:dyDescent="0.3">
      <c r="A163" s="17"/>
      <c r="B163" s="18">
        <v>2021</v>
      </c>
      <c r="C163" s="19">
        <v>45</v>
      </c>
      <c r="D163" s="19">
        <v>45</v>
      </c>
      <c r="E163" s="19">
        <v>45</v>
      </c>
      <c r="F163" s="19">
        <v>45</v>
      </c>
      <c r="G163" s="19">
        <v>45</v>
      </c>
      <c r="H163" s="20">
        <v>45</v>
      </c>
      <c r="I163" s="19">
        <v>45</v>
      </c>
      <c r="J163" s="19">
        <v>45</v>
      </c>
      <c r="K163" s="20">
        <v>45</v>
      </c>
      <c r="L163" s="20">
        <v>45</v>
      </c>
      <c r="M163" s="20">
        <v>45</v>
      </c>
      <c r="N163" s="19">
        <v>45</v>
      </c>
    </row>
    <row r="164" spans="1:14" ht="11.1" customHeight="1" x14ac:dyDescent="0.3">
      <c r="A164" s="17"/>
      <c r="B164" s="18">
        <v>2022</v>
      </c>
      <c r="C164" s="19">
        <v>47.5</v>
      </c>
      <c r="D164" s="19">
        <v>52.5</v>
      </c>
      <c r="E164" s="19">
        <v>57.5</v>
      </c>
      <c r="F164" s="19">
        <v>55</v>
      </c>
      <c r="G164" s="19">
        <v>55</v>
      </c>
      <c r="H164" s="20">
        <v>58</v>
      </c>
      <c r="I164" s="19">
        <v>58</v>
      </c>
      <c r="J164" s="19">
        <v>62.5</v>
      </c>
      <c r="K164" s="20">
        <v>75.5</v>
      </c>
      <c r="L164" s="20">
        <v>58</v>
      </c>
      <c r="M164" s="20">
        <v>58</v>
      </c>
      <c r="N164" s="19">
        <v>62.5</v>
      </c>
    </row>
    <row r="165" spans="1:14" ht="11.1" customHeight="1" x14ac:dyDescent="0.3">
      <c r="A165" s="17"/>
      <c r="B165" s="18">
        <v>2023</v>
      </c>
      <c r="C165" s="19">
        <v>65</v>
      </c>
      <c r="D165" s="19">
        <v>65</v>
      </c>
      <c r="E165" s="19">
        <v>65</v>
      </c>
      <c r="F165" s="19" t="s">
        <v>4</v>
      </c>
      <c r="G165" s="19" t="s">
        <v>4</v>
      </c>
      <c r="H165" s="20" t="s">
        <v>4</v>
      </c>
      <c r="I165" s="19" t="s">
        <v>4</v>
      </c>
      <c r="J165" s="19" t="s">
        <v>4</v>
      </c>
      <c r="K165" s="20" t="s">
        <v>4</v>
      </c>
      <c r="L165" s="20" t="s">
        <v>4</v>
      </c>
      <c r="M165" s="20" t="s">
        <v>4</v>
      </c>
      <c r="N165" s="20" t="s">
        <v>4</v>
      </c>
    </row>
    <row r="166" spans="1:14" ht="11.1" customHeight="1" x14ac:dyDescent="0.3">
      <c r="A166" s="17"/>
      <c r="B166" s="18">
        <v>2024</v>
      </c>
      <c r="C166" s="19" t="s">
        <v>4</v>
      </c>
      <c r="D166" s="19" t="s">
        <v>4</v>
      </c>
      <c r="E166" s="19">
        <v>62</v>
      </c>
      <c r="F166" s="19">
        <v>68</v>
      </c>
      <c r="G166" s="19">
        <v>63</v>
      </c>
      <c r="H166" s="20" t="s">
        <v>4</v>
      </c>
      <c r="I166" s="19" t="s">
        <v>4</v>
      </c>
      <c r="J166" s="19" t="s">
        <v>4</v>
      </c>
      <c r="K166" s="19" t="s">
        <v>4</v>
      </c>
      <c r="L166" s="19">
        <v>55.979909318323955</v>
      </c>
      <c r="M166" s="19">
        <v>60.83</v>
      </c>
      <c r="N166" s="19">
        <v>58</v>
      </c>
    </row>
    <row r="167" spans="1:14" ht="11.1" customHeight="1" x14ac:dyDescent="0.3">
      <c r="A167" s="21"/>
      <c r="B167" s="22">
        <v>2025</v>
      </c>
      <c r="C167" s="23">
        <v>55</v>
      </c>
      <c r="D167" s="23">
        <v>50</v>
      </c>
      <c r="E167" s="23" t="s">
        <v>4</v>
      </c>
      <c r="F167" s="23">
        <v>58</v>
      </c>
      <c r="G167" s="23">
        <v>58</v>
      </c>
      <c r="H167" s="23">
        <v>62</v>
      </c>
      <c r="I167" s="23">
        <v>56</v>
      </c>
      <c r="J167" s="23">
        <v>60</v>
      </c>
      <c r="K167" s="201"/>
      <c r="L167" s="201"/>
      <c r="M167" s="201"/>
      <c r="N167" s="201"/>
    </row>
    <row r="168" spans="1:14" ht="11.1" customHeight="1" x14ac:dyDescent="0.3">
      <c r="A168" s="17" t="s">
        <v>55</v>
      </c>
      <c r="B168" s="18">
        <v>2018</v>
      </c>
      <c r="C168" s="19">
        <v>35</v>
      </c>
      <c r="D168" s="19">
        <v>35</v>
      </c>
      <c r="E168" s="19">
        <v>35</v>
      </c>
      <c r="F168" s="19">
        <v>35</v>
      </c>
      <c r="G168" s="19">
        <v>35</v>
      </c>
      <c r="H168" s="19">
        <v>36</v>
      </c>
      <c r="I168" s="19">
        <v>35</v>
      </c>
      <c r="J168" s="19">
        <v>34</v>
      </c>
      <c r="K168" s="19">
        <v>35</v>
      </c>
      <c r="L168" s="19">
        <v>35</v>
      </c>
      <c r="M168" s="20">
        <v>35</v>
      </c>
      <c r="N168" s="19">
        <v>35</v>
      </c>
    </row>
    <row r="169" spans="1:14" ht="11.1" customHeight="1" x14ac:dyDescent="0.3">
      <c r="A169" s="17"/>
      <c r="B169" s="18">
        <v>2019</v>
      </c>
      <c r="C169" s="19">
        <v>34</v>
      </c>
      <c r="D169" s="19">
        <v>34</v>
      </c>
      <c r="E169" s="19">
        <v>34</v>
      </c>
      <c r="F169" s="19">
        <v>35</v>
      </c>
      <c r="G169" s="19">
        <v>35</v>
      </c>
      <c r="H169" s="19">
        <v>36</v>
      </c>
      <c r="I169" s="19">
        <v>35</v>
      </c>
      <c r="J169" s="19">
        <v>35</v>
      </c>
      <c r="K169" s="19">
        <v>37.5</v>
      </c>
      <c r="L169" s="19">
        <v>37.5</v>
      </c>
      <c r="M169" s="20">
        <v>40</v>
      </c>
      <c r="N169" s="19">
        <v>40</v>
      </c>
    </row>
    <row r="170" spans="1:14" ht="11.1" customHeight="1" x14ac:dyDescent="0.3">
      <c r="A170" s="17"/>
      <c r="B170" s="18">
        <v>2020</v>
      </c>
      <c r="C170" s="19">
        <v>40</v>
      </c>
      <c r="D170" s="19">
        <v>40</v>
      </c>
      <c r="E170" s="19">
        <v>40</v>
      </c>
      <c r="F170" s="19">
        <v>40</v>
      </c>
      <c r="G170" s="19">
        <v>40</v>
      </c>
      <c r="H170" s="19">
        <v>40</v>
      </c>
      <c r="I170" s="19">
        <v>40</v>
      </c>
      <c r="J170" s="19">
        <v>40</v>
      </c>
      <c r="K170" s="19">
        <v>40</v>
      </c>
      <c r="L170" s="19">
        <v>40</v>
      </c>
      <c r="M170" s="20">
        <v>40</v>
      </c>
      <c r="N170" s="19">
        <v>38</v>
      </c>
    </row>
    <row r="171" spans="1:14" ht="11.1" customHeight="1" x14ac:dyDescent="0.3">
      <c r="A171" s="17"/>
      <c r="B171" s="18">
        <v>2021</v>
      </c>
      <c r="C171" s="19">
        <v>40</v>
      </c>
      <c r="D171" s="19">
        <v>40</v>
      </c>
      <c r="E171" s="19">
        <v>40</v>
      </c>
      <c r="F171" s="19">
        <v>40</v>
      </c>
      <c r="G171" s="19">
        <v>40</v>
      </c>
      <c r="H171" s="19">
        <v>45</v>
      </c>
      <c r="I171" s="19">
        <v>45</v>
      </c>
      <c r="J171" s="19">
        <v>45</v>
      </c>
      <c r="K171" s="19">
        <v>45</v>
      </c>
      <c r="L171" s="19">
        <v>45</v>
      </c>
      <c r="M171" s="20">
        <v>45</v>
      </c>
      <c r="N171" s="19">
        <v>40</v>
      </c>
    </row>
    <row r="172" spans="1:14" ht="11.1" customHeight="1" x14ac:dyDescent="0.3">
      <c r="A172" s="17"/>
      <c r="B172" s="18">
        <v>2022</v>
      </c>
      <c r="C172" s="19">
        <v>40</v>
      </c>
      <c r="D172" s="19">
        <v>45</v>
      </c>
      <c r="E172" s="19">
        <v>45</v>
      </c>
      <c r="F172" s="19">
        <v>40</v>
      </c>
      <c r="G172" s="19">
        <v>40</v>
      </c>
      <c r="H172" s="19">
        <v>45</v>
      </c>
      <c r="I172" s="19">
        <v>52.5</v>
      </c>
      <c r="J172" s="19">
        <v>52.5</v>
      </c>
      <c r="K172" s="19">
        <v>52.5</v>
      </c>
      <c r="L172" s="19">
        <v>53</v>
      </c>
      <c r="M172" s="20">
        <v>57.5</v>
      </c>
      <c r="N172" s="19">
        <v>57.5</v>
      </c>
    </row>
    <row r="173" spans="1:14" ht="11.1" customHeight="1" x14ac:dyDescent="0.3">
      <c r="A173" s="17"/>
      <c r="B173" s="18">
        <v>2023</v>
      </c>
      <c r="C173" s="19" t="s">
        <v>4</v>
      </c>
      <c r="D173" s="19" t="s">
        <v>4</v>
      </c>
      <c r="E173" s="19" t="s">
        <v>4</v>
      </c>
      <c r="F173" s="19">
        <v>67.5</v>
      </c>
      <c r="G173" s="19">
        <v>60</v>
      </c>
      <c r="H173" s="19">
        <v>57.5</v>
      </c>
      <c r="I173" s="19">
        <v>60</v>
      </c>
      <c r="J173" s="19">
        <v>62</v>
      </c>
      <c r="K173" s="19">
        <v>60</v>
      </c>
      <c r="L173" s="19">
        <v>60</v>
      </c>
      <c r="M173" s="19">
        <v>60</v>
      </c>
      <c r="N173" s="19">
        <v>60</v>
      </c>
    </row>
    <row r="174" spans="1:14" ht="11.1" customHeight="1" x14ac:dyDescent="0.3">
      <c r="A174" s="17"/>
      <c r="B174" s="18">
        <v>2024</v>
      </c>
      <c r="C174" s="19">
        <v>60</v>
      </c>
      <c r="D174" s="19">
        <v>60</v>
      </c>
      <c r="E174" s="19">
        <v>56</v>
      </c>
      <c r="F174" s="19">
        <v>80</v>
      </c>
      <c r="G174" s="19">
        <v>80</v>
      </c>
      <c r="H174" s="19">
        <v>55</v>
      </c>
      <c r="I174" s="19">
        <v>53</v>
      </c>
      <c r="J174" s="19">
        <v>65</v>
      </c>
      <c r="K174" s="19">
        <v>58</v>
      </c>
      <c r="L174" s="19">
        <v>59.944444444444443</v>
      </c>
      <c r="M174" s="19">
        <v>55.17</v>
      </c>
      <c r="N174" s="19">
        <v>55</v>
      </c>
    </row>
    <row r="175" spans="1:14" ht="11.1" customHeight="1" x14ac:dyDescent="0.3">
      <c r="A175" s="21"/>
      <c r="B175" s="22">
        <v>2025</v>
      </c>
      <c r="C175" s="23">
        <v>51</v>
      </c>
      <c r="D175" s="23">
        <v>54</v>
      </c>
      <c r="E175" s="23">
        <v>58</v>
      </c>
      <c r="F175" s="23">
        <v>52</v>
      </c>
      <c r="G175" s="23">
        <v>46</v>
      </c>
      <c r="H175" s="23">
        <v>55</v>
      </c>
      <c r="I175" s="23">
        <v>60</v>
      </c>
      <c r="J175" s="23">
        <v>55</v>
      </c>
      <c r="K175" s="201"/>
      <c r="L175" s="201"/>
      <c r="M175" s="201"/>
      <c r="N175" s="201"/>
    </row>
    <row r="176" spans="1:14" ht="11.1" customHeight="1" x14ac:dyDescent="0.3">
      <c r="A176" s="17" t="s">
        <v>90</v>
      </c>
      <c r="B176" s="18">
        <v>2018</v>
      </c>
      <c r="C176" s="19">
        <v>57</v>
      </c>
      <c r="D176" s="19">
        <v>57</v>
      </c>
      <c r="E176" s="19">
        <v>57</v>
      </c>
      <c r="F176" s="19">
        <v>57</v>
      </c>
      <c r="G176" s="19">
        <v>57</v>
      </c>
      <c r="H176" s="19">
        <v>57</v>
      </c>
      <c r="I176" s="19">
        <v>54</v>
      </c>
      <c r="J176" s="19">
        <v>54.5</v>
      </c>
      <c r="K176" s="19">
        <v>55</v>
      </c>
      <c r="L176" s="19">
        <v>55</v>
      </c>
      <c r="M176" s="20">
        <v>55</v>
      </c>
      <c r="N176" s="19">
        <v>55</v>
      </c>
    </row>
    <row r="177" spans="1:14" ht="11.1" customHeight="1" x14ac:dyDescent="0.3">
      <c r="A177" s="17"/>
      <c r="B177" s="18">
        <v>2019</v>
      </c>
      <c r="C177" s="19">
        <v>57.5</v>
      </c>
      <c r="D177" s="19">
        <v>56</v>
      </c>
      <c r="E177" s="19">
        <v>56</v>
      </c>
      <c r="F177" s="19">
        <v>56</v>
      </c>
      <c r="G177" s="19">
        <v>59</v>
      </c>
      <c r="H177" s="19">
        <v>58</v>
      </c>
      <c r="I177" s="19">
        <v>57.5</v>
      </c>
      <c r="J177" s="19">
        <v>57.5</v>
      </c>
      <c r="K177" s="19">
        <v>57.5</v>
      </c>
      <c r="L177" s="19">
        <v>57.5</v>
      </c>
      <c r="M177" s="20">
        <v>57.5</v>
      </c>
      <c r="N177" s="19">
        <v>57.5</v>
      </c>
    </row>
    <row r="178" spans="1:14" ht="11.1" customHeight="1" x14ac:dyDescent="0.3">
      <c r="A178" s="17"/>
      <c r="B178" s="18">
        <v>2020</v>
      </c>
      <c r="C178" s="19">
        <v>57.5</v>
      </c>
      <c r="D178" s="19">
        <v>57.5</v>
      </c>
      <c r="E178" s="19">
        <v>59</v>
      </c>
      <c r="F178" s="19">
        <v>56.5</v>
      </c>
      <c r="G178" s="19">
        <v>56.5</v>
      </c>
      <c r="H178" s="19">
        <v>56.5</v>
      </c>
      <c r="I178" s="19">
        <v>59</v>
      </c>
      <c r="J178" s="19">
        <v>57.5</v>
      </c>
      <c r="K178" s="19">
        <v>57.5</v>
      </c>
      <c r="L178" s="19">
        <v>59</v>
      </c>
      <c r="M178" s="20">
        <v>62.5</v>
      </c>
      <c r="N178" s="19">
        <v>57.5</v>
      </c>
    </row>
    <row r="179" spans="1:14" ht="11.1" customHeight="1" x14ac:dyDescent="0.3">
      <c r="A179" s="17"/>
      <c r="B179" s="18">
        <v>2021</v>
      </c>
      <c r="C179" s="19" t="s">
        <v>4</v>
      </c>
      <c r="D179" s="19" t="s">
        <v>4</v>
      </c>
      <c r="E179" s="19" t="s">
        <v>4</v>
      </c>
      <c r="F179" s="19" t="s">
        <v>4</v>
      </c>
      <c r="G179" s="19" t="s">
        <v>4</v>
      </c>
      <c r="H179" s="19" t="s">
        <v>4</v>
      </c>
      <c r="I179" s="19" t="s">
        <v>4</v>
      </c>
      <c r="J179" s="19" t="s">
        <v>4</v>
      </c>
      <c r="K179" s="19" t="s">
        <v>4</v>
      </c>
      <c r="L179" s="19" t="s">
        <v>4</v>
      </c>
      <c r="M179" s="20" t="s">
        <v>4</v>
      </c>
      <c r="N179" s="19" t="s">
        <v>4</v>
      </c>
    </row>
    <row r="180" spans="1:14" ht="11.1" customHeight="1" x14ac:dyDescent="0.3">
      <c r="A180" s="17"/>
      <c r="B180" s="18">
        <v>2022</v>
      </c>
      <c r="C180" s="19">
        <v>63</v>
      </c>
      <c r="D180" s="19">
        <v>60</v>
      </c>
      <c r="E180" s="19">
        <v>60</v>
      </c>
      <c r="F180" s="19">
        <v>70</v>
      </c>
      <c r="G180" s="19">
        <v>70</v>
      </c>
      <c r="H180" s="19">
        <v>70</v>
      </c>
      <c r="I180" s="19">
        <v>70</v>
      </c>
      <c r="J180" s="19">
        <v>70</v>
      </c>
      <c r="K180" s="19">
        <v>70</v>
      </c>
      <c r="L180" s="19">
        <v>70</v>
      </c>
      <c r="M180" s="20">
        <v>75</v>
      </c>
      <c r="N180" s="19">
        <v>80</v>
      </c>
    </row>
    <row r="181" spans="1:14" ht="11.1" customHeight="1" x14ac:dyDescent="0.3">
      <c r="A181" s="17"/>
      <c r="B181" s="18">
        <v>2023</v>
      </c>
      <c r="C181" s="19">
        <v>80</v>
      </c>
      <c r="D181" s="19">
        <v>80</v>
      </c>
      <c r="E181" s="19">
        <v>82</v>
      </c>
      <c r="F181" s="19">
        <v>82</v>
      </c>
      <c r="G181" s="19">
        <v>83</v>
      </c>
      <c r="H181" s="19">
        <v>83</v>
      </c>
      <c r="I181" s="19">
        <v>85</v>
      </c>
      <c r="J181" s="19">
        <v>79</v>
      </c>
      <c r="K181" s="19">
        <v>78</v>
      </c>
      <c r="L181" s="19">
        <v>80</v>
      </c>
      <c r="M181" s="19">
        <v>80</v>
      </c>
      <c r="N181" s="19">
        <v>80</v>
      </c>
    </row>
    <row r="182" spans="1:14" ht="11.1" customHeight="1" x14ac:dyDescent="0.3">
      <c r="A182" s="17"/>
      <c r="B182" s="18">
        <v>2024</v>
      </c>
      <c r="C182" s="19">
        <v>80</v>
      </c>
      <c r="D182" s="19">
        <v>80</v>
      </c>
      <c r="E182" s="19">
        <v>80</v>
      </c>
      <c r="F182" s="19">
        <v>80</v>
      </c>
      <c r="G182" s="19">
        <v>80</v>
      </c>
      <c r="H182" s="19">
        <v>80</v>
      </c>
      <c r="I182" s="19">
        <v>80</v>
      </c>
      <c r="J182" s="19">
        <v>80</v>
      </c>
      <c r="K182" s="19">
        <v>81</v>
      </c>
      <c r="L182" s="19">
        <v>80.625</v>
      </c>
      <c r="M182" s="19">
        <v>80</v>
      </c>
      <c r="N182" s="19">
        <v>80</v>
      </c>
    </row>
    <row r="183" spans="1:14" ht="11.1" customHeight="1" x14ac:dyDescent="0.3">
      <c r="A183" s="21"/>
      <c r="B183" s="22">
        <v>2025</v>
      </c>
      <c r="C183" s="23">
        <v>78</v>
      </c>
      <c r="D183" s="23">
        <v>79</v>
      </c>
      <c r="E183" s="23">
        <v>80</v>
      </c>
      <c r="F183" s="23">
        <v>80</v>
      </c>
      <c r="G183" s="23">
        <v>80</v>
      </c>
      <c r="H183" s="23">
        <v>78</v>
      </c>
      <c r="I183" s="23">
        <v>72</v>
      </c>
      <c r="J183" s="23">
        <v>84</v>
      </c>
    </row>
    <row r="184" spans="1:14" ht="11.1" customHeight="1" x14ac:dyDescent="0.3">
      <c r="A184" s="31" t="s">
        <v>72</v>
      </c>
      <c r="B184" s="25">
        <v>2018</v>
      </c>
      <c r="C184" s="26">
        <v>42.5</v>
      </c>
      <c r="D184" s="26">
        <v>42.5</v>
      </c>
      <c r="E184" s="26">
        <v>42</v>
      </c>
      <c r="F184" s="26">
        <v>42.5</v>
      </c>
      <c r="G184" s="26">
        <v>42.5</v>
      </c>
      <c r="H184" s="26">
        <v>42.5</v>
      </c>
      <c r="I184" s="26">
        <v>42.5</v>
      </c>
      <c r="J184" s="26">
        <v>42.5</v>
      </c>
      <c r="K184" s="26">
        <v>42.5</v>
      </c>
      <c r="L184" s="26">
        <v>43.5</v>
      </c>
      <c r="M184" s="27">
        <v>43.5</v>
      </c>
      <c r="N184" s="26">
        <v>43.5</v>
      </c>
    </row>
    <row r="185" spans="1:14" ht="11.1" customHeight="1" x14ac:dyDescent="0.3">
      <c r="A185" s="17"/>
      <c r="B185" s="18">
        <v>2019</v>
      </c>
      <c r="C185" s="19">
        <v>43</v>
      </c>
      <c r="D185" s="19">
        <v>42.5</v>
      </c>
      <c r="E185" s="19">
        <v>43.4</v>
      </c>
      <c r="F185" s="19">
        <v>43.4</v>
      </c>
      <c r="G185" s="19">
        <v>42.5</v>
      </c>
      <c r="H185" s="19">
        <v>44.5</v>
      </c>
      <c r="I185" s="19">
        <v>43.5</v>
      </c>
      <c r="J185" s="19">
        <v>42.5</v>
      </c>
      <c r="K185" s="19">
        <v>43</v>
      </c>
      <c r="L185" s="19">
        <v>45</v>
      </c>
      <c r="M185" s="20">
        <v>45</v>
      </c>
      <c r="N185" s="19">
        <v>45</v>
      </c>
    </row>
    <row r="186" spans="1:14" ht="11.1" customHeight="1" x14ac:dyDescent="0.3">
      <c r="A186" s="17"/>
      <c r="B186" s="18">
        <v>2020</v>
      </c>
      <c r="C186" s="19">
        <v>45</v>
      </c>
      <c r="D186" s="19">
        <v>45</v>
      </c>
      <c r="E186" s="19">
        <v>45</v>
      </c>
      <c r="F186" s="19">
        <v>45</v>
      </c>
      <c r="G186" s="19">
        <v>45</v>
      </c>
      <c r="H186" s="19">
        <v>50</v>
      </c>
      <c r="I186" s="19">
        <v>45</v>
      </c>
      <c r="J186" s="19">
        <v>45</v>
      </c>
      <c r="K186" s="19">
        <v>45</v>
      </c>
      <c r="L186" s="19">
        <v>45</v>
      </c>
      <c r="M186" s="20">
        <v>45</v>
      </c>
      <c r="N186" s="19">
        <v>45</v>
      </c>
    </row>
    <row r="187" spans="1:14" ht="11.1" customHeight="1" x14ac:dyDescent="0.3">
      <c r="A187" s="17"/>
      <c r="B187" s="18">
        <v>2021</v>
      </c>
      <c r="C187" s="19">
        <v>45</v>
      </c>
      <c r="D187" s="19">
        <v>45</v>
      </c>
      <c r="E187" s="19">
        <v>45</v>
      </c>
      <c r="F187" s="19">
        <v>50</v>
      </c>
      <c r="G187" s="19">
        <v>45</v>
      </c>
      <c r="H187" s="19">
        <v>47.5</v>
      </c>
      <c r="I187" s="19">
        <v>45</v>
      </c>
      <c r="J187" s="19">
        <v>45</v>
      </c>
      <c r="K187" s="19">
        <v>45</v>
      </c>
      <c r="L187" s="19">
        <v>45</v>
      </c>
      <c r="M187" s="20">
        <v>50</v>
      </c>
      <c r="N187" s="19">
        <v>50</v>
      </c>
    </row>
    <row r="188" spans="1:14" ht="11.1" customHeight="1" x14ac:dyDescent="0.3">
      <c r="A188" s="17"/>
      <c r="B188" s="18">
        <v>2022</v>
      </c>
      <c r="C188" s="19">
        <v>50</v>
      </c>
      <c r="D188" s="19">
        <v>60</v>
      </c>
      <c r="E188" s="19">
        <v>50</v>
      </c>
      <c r="F188" s="19">
        <v>62.5</v>
      </c>
      <c r="G188" s="19">
        <v>62.5</v>
      </c>
      <c r="H188" s="19">
        <v>65</v>
      </c>
      <c r="I188" s="19">
        <v>65</v>
      </c>
      <c r="J188" s="19">
        <v>65</v>
      </c>
      <c r="K188" s="19">
        <v>65</v>
      </c>
      <c r="L188" s="19">
        <v>65</v>
      </c>
      <c r="M188" s="20">
        <v>65</v>
      </c>
      <c r="N188" s="19">
        <v>65</v>
      </c>
    </row>
    <row r="189" spans="1:14" ht="11.1" customHeight="1" x14ac:dyDescent="0.3">
      <c r="A189" s="17"/>
      <c r="B189" s="18">
        <v>2023</v>
      </c>
      <c r="C189" s="19">
        <v>65</v>
      </c>
      <c r="D189" s="19">
        <v>65</v>
      </c>
      <c r="E189" s="19">
        <v>65</v>
      </c>
      <c r="F189" s="19">
        <v>65</v>
      </c>
      <c r="G189" s="19">
        <v>65</v>
      </c>
      <c r="H189" s="19">
        <v>65</v>
      </c>
      <c r="I189" s="19">
        <v>65</v>
      </c>
      <c r="J189" s="19">
        <v>65</v>
      </c>
      <c r="K189" s="19">
        <v>65</v>
      </c>
      <c r="L189" s="19">
        <v>65</v>
      </c>
      <c r="M189" s="19">
        <v>65</v>
      </c>
      <c r="N189" s="19">
        <v>65</v>
      </c>
    </row>
    <row r="190" spans="1:14" ht="11.1" customHeight="1" x14ac:dyDescent="0.3">
      <c r="A190" s="17"/>
      <c r="B190" s="18">
        <v>2024</v>
      </c>
      <c r="C190" s="19">
        <v>65</v>
      </c>
      <c r="D190" s="19">
        <v>65</v>
      </c>
      <c r="E190" s="19">
        <v>68</v>
      </c>
      <c r="F190" s="19">
        <v>65</v>
      </c>
      <c r="G190" s="19">
        <v>65</v>
      </c>
      <c r="H190" s="19">
        <v>65</v>
      </c>
      <c r="I190" s="19">
        <v>65</v>
      </c>
      <c r="J190" s="19">
        <v>65</v>
      </c>
      <c r="K190" s="19">
        <v>62</v>
      </c>
      <c r="L190" s="19">
        <v>80</v>
      </c>
      <c r="M190" s="20" t="s">
        <v>4</v>
      </c>
      <c r="N190" s="20" t="s">
        <v>4</v>
      </c>
    </row>
    <row r="191" spans="1:14" ht="11.1" customHeight="1" x14ac:dyDescent="0.3">
      <c r="A191" s="21"/>
      <c r="B191" s="22">
        <v>2025</v>
      </c>
      <c r="C191" s="23">
        <v>57</v>
      </c>
      <c r="D191" s="23">
        <v>57</v>
      </c>
      <c r="E191" s="23">
        <v>58</v>
      </c>
      <c r="F191" s="23">
        <v>57</v>
      </c>
      <c r="G191" s="23">
        <v>57</v>
      </c>
      <c r="H191" s="23">
        <v>53</v>
      </c>
      <c r="I191" s="23">
        <v>55</v>
      </c>
      <c r="J191" s="23">
        <v>55</v>
      </c>
      <c r="K191" s="201"/>
      <c r="L191" s="201"/>
      <c r="M191" s="201"/>
      <c r="N191" s="201"/>
    </row>
    <row r="192" spans="1:14" ht="11.1" customHeight="1" x14ac:dyDescent="0.3">
      <c r="A192" s="17" t="s">
        <v>76</v>
      </c>
      <c r="B192" s="18">
        <v>2018</v>
      </c>
      <c r="C192" s="19">
        <v>30</v>
      </c>
      <c r="D192" s="19">
        <v>30</v>
      </c>
      <c r="E192" s="19">
        <v>30</v>
      </c>
      <c r="F192" s="19">
        <v>30</v>
      </c>
      <c r="G192" s="19">
        <v>30.5</v>
      </c>
      <c r="H192" s="19">
        <v>31</v>
      </c>
      <c r="I192" s="19">
        <v>31</v>
      </c>
      <c r="J192" s="19">
        <v>31</v>
      </c>
      <c r="K192" s="19">
        <v>31</v>
      </c>
      <c r="L192" s="19">
        <v>31</v>
      </c>
      <c r="M192" s="20">
        <v>31</v>
      </c>
      <c r="N192" s="19">
        <v>32</v>
      </c>
    </row>
    <row r="193" spans="1:15" ht="11.1" customHeight="1" x14ac:dyDescent="0.3">
      <c r="A193" s="17"/>
      <c r="B193" s="18">
        <v>2019</v>
      </c>
      <c r="C193" s="19">
        <v>35</v>
      </c>
      <c r="D193" s="19">
        <v>35</v>
      </c>
      <c r="E193" s="19">
        <v>35</v>
      </c>
      <c r="F193" s="19">
        <v>35</v>
      </c>
      <c r="G193" s="19">
        <v>35</v>
      </c>
      <c r="H193" s="19">
        <v>30</v>
      </c>
      <c r="I193" s="19">
        <v>36.5</v>
      </c>
      <c r="J193" s="19">
        <v>37.5</v>
      </c>
      <c r="K193" s="19">
        <v>33</v>
      </c>
      <c r="L193" s="19">
        <v>32.5</v>
      </c>
      <c r="M193" s="20">
        <v>35</v>
      </c>
      <c r="N193" s="19">
        <v>32.5</v>
      </c>
    </row>
    <row r="194" spans="1:15" ht="11.1" customHeight="1" x14ac:dyDescent="0.3">
      <c r="A194" s="39"/>
      <c r="B194" s="18">
        <v>2020</v>
      </c>
      <c r="C194" s="19">
        <v>42.5</v>
      </c>
      <c r="D194" s="19" t="s">
        <v>4</v>
      </c>
      <c r="E194" s="19" t="s">
        <v>4</v>
      </c>
      <c r="F194" s="19" t="s">
        <v>4</v>
      </c>
      <c r="G194" s="19" t="s">
        <v>4</v>
      </c>
      <c r="H194" s="19" t="s">
        <v>4</v>
      </c>
      <c r="I194" s="19" t="s">
        <v>4</v>
      </c>
      <c r="J194" s="19" t="s">
        <v>4</v>
      </c>
      <c r="K194" s="19" t="s">
        <v>4</v>
      </c>
      <c r="L194" s="19" t="s">
        <v>4</v>
      </c>
      <c r="M194" s="20" t="s">
        <v>4</v>
      </c>
      <c r="N194" s="19" t="s">
        <v>4</v>
      </c>
    </row>
    <row r="195" spans="1:15" ht="11.1" customHeight="1" x14ac:dyDescent="0.3">
      <c r="A195" s="39"/>
      <c r="B195" s="18">
        <v>2021</v>
      </c>
      <c r="C195" s="19" t="s">
        <v>4</v>
      </c>
      <c r="D195" s="19">
        <v>37.5</v>
      </c>
      <c r="E195" s="19" t="s">
        <v>4</v>
      </c>
      <c r="F195" s="19">
        <v>37.5</v>
      </c>
      <c r="G195" s="19">
        <v>37.5</v>
      </c>
      <c r="H195" s="19">
        <v>40</v>
      </c>
      <c r="I195" s="19">
        <v>42.5</v>
      </c>
      <c r="J195" s="19">
        <v>42.5</v>
      </c>
      <c r="K195" s="19">
        <v>42.5</v>
      </c>
      <c r="L195" s="19">
        <v>45</v>
      </c>
      <c r="M195" s="20">
        <v>47.5</v>
      </c>
      <c r="N195" s="19">
        <v>47.5</v>
      </c>
    </row>
    <row r="196" spans="1:15" ht="11.1" customHeight="1" x14ac:dyDescent="0.3">
      <c r="A196" s="39"/>
      <c r="B196" s="18">
        <v>2022</v>
      </c>
      <c r="C196" s="19">
        <v>48</v>
      </c>
      <c r="D196" s="19">
        <v>48</v>
      </c>
      <c r="E196" s="19">
        <v>62</v>
      </c>
      <c r="F196" s="19">
        <v>57</v>
      </c>
      <c r="G196" s="19">
        <v>62.5</v>
      </c>
      <c r="H196" s="19">
        <v>42.5</v>
      </c>
      <c r="I196" s="19">
        <v>42.5</v>
      </c>
      <c r="J196" s="19">
        <v>47</v>
      </c>
      <c r="K196" s="19">
        <v>48</v>
      </c>
      <c r="L196" s="19">
        <v>48</v>
      </c>
      <c r="M196" s="20">
        <v>48</v>
      </c>
      <c r="N196" s="19">
        <v>52</v>
      </c>
    </row>
    <row r="197" spans="1:15" ht="11.1" customHeight="1" x14ac:dyDescent="0.3">
      <c r="A197" s="39"/>
      <c r="B197" s="18">
        <v>2023</v>
      </c>
      <c r="C197" s="19">
        <v>50</v>
      </c>
      <c r="D197" s="19">
        <v>50</v>
      </c>
      <c r="E197" s="19">
        <v>55</v>
      </c>
      <c r="F197" s="19">
        <v>62.5</v>
      </c>
      <c r="G197" s="19">
        <v>55</v>
      </c>
      <c r="H197" s="19">
        <v>55</v>
      </c>
      <c r="I197" s="19">
        <v>55</v>
      </c>
      <c r="J197" s="19">
        <v>53</v>
      </c>
      <c r="K197" s="19">
        <v>53</v>
      </c>
      <c r="L197" s="19">
        <v>53</v>
      </c>
      <c r="M197" s="19">
        <v>53</v>
      </c>
      <c r="N197" s="19">
        <v>53</v>
      </c>
    </row>
    <row r="198" spans="1:15" ht="11.1" customHeight="1" x14ac:dyDescent="0.3">
      <c r="A198" s="39"/>
      <c r="B198" s="18">
        <v>2024</v>
      </c>
      <c r="C198" s="19">
        <v>60</v>
      </c>
      <c r="D198" s="19">
        <v>53</v>
      </c>
      <c r="E198" s="19">
        <v>53</v>
      </c>
      <c r="F198" s="19">
        <v>55</v>
      </c>
      <c r="G198" s="19">
        <v>55</v>
      </c>
      <c r="H198" s="19">
        <v>55</v>
      </c>
      <c r="I198" s="19">
        <v>64</v>
      </c>
      <c r="J198" s="19">
        <v>58</v>
      </c>
      <c r="K198" s="19">
        <v>56</v>
      </c>
      <c r="L198" s="19">
        <v>50</v>
      </c>
      <c r="M198" s="19">
        <v>52.5</v>
      </c>
      <c r="N198" s="20" t="s">
        <v>4</v>
      </c>
      <c r="O198" s="202"/>
    </row>
    <row r="199" spans="1:15" ht="11.1" customHeight="1" x14ac:dyDescent="0.3">
      <c r="A199" s="40"/>
      <c r="B199" s="22">
        <v>2025</v>
      </c>
      <c r="C199" s="23">
        <v>50</v>
      </c>
      <c r="D199" s="23">
        <v>50</v>
      </c>
      <c r="E199" s="23">
        <v>50</v>
      </c>
      <c r="F199" s="23">
        <v>50</v>
      </c>
      <c r="G199" s="23">
        <v>50</v>
      </c>
      <c r="H199" s="23">
        <v>50</v>
      </c>
      <c r="I199" s="23">
        <v>50</v>
      </c>
      <c r="J199" s="23">
        <v>50</v>
      </c>
    </row>
    <row r="200" spans="1:15" ht="9" customHeight="1" x14ac:dyDescent="0.3">
      <c r="A200" s="10" t="s">
        <v>87</v>
      </c>
      <c r="B200" s="41"/>
      <c r="C200" s="41"/>
      <c r="D200" s="41"/>
      <c r="E200" s="41"/>
      <c r="F200" s="41"/>
      <c r="G200" s="41"/>
      <c r="H200" s="42"/>
      <c r="I200" s="43"/>
      <c r="J200" s="42"/>
      <c r="K200" s="42"/>
      <c r="L200" s="42"/>
      <c r="M200" s="42"/>
      <c r="N200" s="42"/>
    </row>
    <row r="201" spans="1:15" ht="9" customHeight="1" x14ac:dyDescent="0.3">
      <c r="A201" s="44" t="s">
        <v>67</v>
      </c>
      <c r="B201" s="44"/>
      <c r="C201" s="44"/>
      <c r="D201" s="44"/>
      <c r="E201" s="44"/>
      <c r="F201" s="44"/>
      <c r="G201" s="44"/>
      <c r="H201" s="14"/>
      <c r="I201" s="45"/>
      <c r="J201" s="14"/>
      <c r="K201" s="14"/>
      <c r="L201" s="14"/>
      <c r="M201" s="14"/>
      <c r="N201" s="14"/>
    </row>
    <row r="202" spans="1:15" ht="9" customHeight="1" x14ac:dyDescent="0.3">
      <c r="A202" s="46" t="s">
        <v>68</v>
      </c>
      <c r="B202" s="46"/>
      <c r="C202" s="46"/>
      <c r="D202" s="46"/>
      <c r="E202" s="46"/>
      <c r="F202" s="46"/>
      <c r="G202" s="46"/>
      <c r="H202" s="12"/>
      <c r="I202" s="12"/>
      <c r="J202" s="12"/>
      <c r="K202" s="12"/>
      <c r="L202" s="12"/>
      <c r="M202" s="12"/>
      <c r="N202" s="12"/>
    </row>
    <row r="203" spans="1:15" ht="9" customHeight="1" x14ac:dyDescent="0.3">
      <c r="A203" s="46" t="s">
        <v>120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</row>
  </sheetData>
  <mergeCells count="4">
    <mergeCell ref="A1:N1"/>
    <mergeCell ref="A2:N2"/>
    <mergeCell ref="A65:F65"/>
    <mergeCell ref="A133:F133"/>
  </mergeCells>
  <pageMargins left="0.27559055118110237" right="0.27559055118110237" top="0.39370078740157483" bottom="0.39370078740157483" header="0" footer="0"/>
  <pageSetup paperSize="9" orientation="portrait" horizontalDpi="0" verticalDpi="0"/>
  <rowBreaks count="1" manualBreakCount="1">
    <brk id="64" max="14" man="1"/>
  </rowBreaks>
  <ignoredErrors>
    <ignoredError sqref="L111 N111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3"/>
  <dimension ref="A1:O83"/>
  <sheetViews>
    <sheetView showGridLines="0" zoomScaleNormal="100" workbookViewId="0">
      <selection activeCell="B4" sqref="B4:D4"/>
    </sheetView>
  </sheetViews>
  <sheetFormatPr baseColWidth="10" defaultColWidth="11.44140625" defaultRowHeight="13.8" x14ac:dyDescent="0.3"/>
  <cols>
    <col min="1" max="1" width="14.6640625" style="119" customWidth="1"/>
    <col min="2" max="4" width="5.5546875" style="119" customWidth="1"/>
    <col min="5" max="5" width="1.88671875" style="119" customWidth="1"/>
    <col min="6" max="6" width="14.6640625" style="119" customWidth="1"/>
    <col min="7" max="9" width="5.5546875" style="119" customWidth="1"/>
    <col min="10" max="10" width="1.88671875" style="119" customWidth="1"/>
    <col min="11" max="11" width="14.6640625" style="119" customWidth="1"/>
    <col min="12" max="14" width="5.5546875" style="119" customWidth="1"/>
    <col min="15" max="16384" width="11.44140625" style="119"/>
  </cols>
  <sheetData>
    <row r="1" spans="1:15" x14ac:dyDescent="0.3">
      <c r="A1" s="47" t="s">
        <v>545</v>
      </c>
      <c r="B1" s="14"/>
      <c r="C1" s="14"/>
      <c r="D1" s="48"/>
      <c r="E1" s="48"/>
      <c r="F1" s="14"/>
      <c r="G1" s="14"/>
      <c r="H1" s="14"/>
      <c r="I1" s="14"/>
      <c r="J1" s="14"/>
      <c r="K1" s="14"/>
      <c r="L1" s="14"/>
      <c r="M1" s="14"/>
      <c r="N1" s="7"/>
      <c r="O1" s="48"/>
    </row>
    <row r="2" spans="1:15" ht="12" customHeight="1" x14ac:dyDescent="0.3">
      <c r="A2" s="49" t="s">
        <v>121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7"/>
      <c r="O2" s="14"/>
    </row>
    <row r="3" spans="1:15" ht="5.0999999999999996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7"/>
      <c r="O3" s="14"/>
    </row>
    <row r="4" spans="1:15" x14ac:dyDescent="0.3">
      <c r="A4" s="765" t="s">
        <v>122</v>
      </c>
      <c r="B4" s="762" t="s">
        <v>546</v>
      </c>
      <c r="C4" s="763"/>
      <c r="D4" s="764"/>
      <c r="E4" s="50"/>
      <c r="F4" s="765" t="s">
        <v>122</v>
      </c>
      <c r="G4" s="762" t="s">
        <v>546</v>
      </c>
      <c r="H4" s="763"/>
      <c r="I4" s="764"/>
      <c r="J4" s="50"/>
      <c r="K4" s="765" t="s">
        <v>122</v>
      </c>
      <c r="L4" s="762" t="s">
        <v>546</v>
      </c>
      <c r="M4" s="763"/>
      <c r="N4" s="764"/>
      <c r="O4" s="9"/>
    </row>
    <row r="5" spans="1:15" x14ac:dyDescent="0.3">
      <c r="A5" s="766"/>
      <c r="B5" s="217">
        <v>2024</v>
      </c>
      <c r="C5" s="217">
        <v>2025</v>
      </c>
      <c r="D5" s="217" t="s">
        <v>1</v>
      </c>
      <c r="E5" s="50"/>
      <c r="F5" s="766"/>
      <c r="G5" s="217">
        <v>2024</v>
      </c>
      <c r="H5" s="217">
        <v>2025</v>
      </c>
      <c r="I5" s="217" t="s">
        <v>1</v>
      </c>
      <c r="J5" s="50"/>
      <c r="K5" s="766"/>
      <c r="L5" s="217">
        <v>2024</v>
      </c>
      <c r="M5" s="217">
        <v>2025</v>
      </c>
      <c r="N5" s="217" t="s">
        <v>1</v>
      </c>
      <c r="O5" s="9"/>
    </row>
    <row r="6" spans="1:15" ht="3" customHeight="1" x14ac:dyDescent="0.3">
      <c r="A6" s="50"/>
      <c r="B6" s="50"/>
      <c r="C6" s="50"/>
      <c r="D6" s="50"/>
      <c r="E6" s="50"/>
      <c r="F6" s="670"/>
      <c r="G6" s="670"/>
      <c r="H6" s="670"/>
      <c r="I6" s="670"/>
      <c r="J6" s="50"/>
      <c r="K6" s="50"/>
      <c r="L6" s="50"/>
      <c r="M6" s="50"/>
      <c r="N6" s="50"/>
      <c r="O6" s="50"/>
    </row>
    <row r="7" spans="1:15" ht="12" customHeight="1" x14ac:dyDescent="0.3">
      <c r="A7" s="668" t="s">
        <v>473</v>
      </c>
      <c r="B7" s="669"/>
      <c r="C7" s="669"/>
      <c r="D7" s="54"/>
      <c r="E7" s="670"/>
      <c r="F7" s="673" t="s">
        <v>614</v>
      </c>
      <c r="K7" s="673" t="s">
        <v>614</v>
      </c>
      <c r="O7" s="50"/>
    </row>
    <row r="8" spans="1:15" ht="12" customHeight="1" x14ac:dyDescent="0.3">
      <c r="A8" s="65" t="s">
        <v>477</v>
      </c>
      <c r="B8" s="53">
        <v>58</v>
      </c>
      <c r="C8" s="53">
        <v>58</v>
      </c>
      <c r="D8" s="183">
        <f t="shared" ref="D8:D14" si="0">((C8/B8)-    1)*100</f>
        <v>0</v>
      </c>
      <c r="E8" s="50"/>
      <c r="F8" s="668" t="s">
        <v>18</v>
      </c>
      <c r="G8" s="202"/>
      <c r="H8" s="202"/>
      <c r="I8" s="202"/>
      <c r="J8" s="50"/>
      <c r="K8" s="571" t="s">
        <v>560</v>
      </c>
      <c r="L8" s="572"/>
      <c r="M8" s="572"/>
      <c r="N8" s="54"/>
      <c r="O8" s="50"/>
    </row>
    <row r="9" spans="1:15" ht="12" customHeight="1" x14ac:dyDescent="0.3">
      <c r="A9" s="65" t="s">
        <v>484</v>
      </c>
      <c r="B9" s="53">
        <v>55</v>
      </c>
      <c r="C9" s="53">
        <v>55</v>
      </c>
      <c r="D9" s="183">
        <f t="shared" si="0"/>
        <v>0</v>
      </c>
      <c r="E9" s="50"/>
      <c r="F9" s="65" t="s">
        <v>19</v>
      </c>
      <c r="G9" s="53">
        <v>50</v>
      </c>
      <c r="H9" s="53">
        <v>50</v>
      </c>
      <c r="I9" s="183">
        <f t="shared" ref="I9:I17" si="1">((H9/G9)-    1)*100</f>
        <v>0</v>
      </c>
      <c r="J9" s="50"/>
      <c r="K9" s="566" t="s">
        <v>561</v>
      </c>
      <c r="L9" s="567">
        <v>80</v>
      </c>
      <c r="M9" s="567">
        <v>85</v>
      </c>
      <c r="N9" s="183">
        <f>((M9/L9)-    1)*100</f>
        <v>6.25</v>
      </c>
      <c r="O9" s="50"/>
    </row>
    <row r="10" spans="1:15" ht="12" customHeight="1" x14ac:dyDescent="0.3">
      <c r="A10" s="65" t="s">
        <v>474</v>
      </c>
      <c r="B10" s="53">
        <v>55</v>
      </c>
      <c r="C10" s="53">
        <v>45</v>
      </c>
      <c r="D10" s="183">
        <f t="shared" si="0"/>
        <v>-18.181818181818176</v>
      </c>
      <c r="E10" s="50"/>
      <c r="F10" s="65" t="s">
        <v>20</v>
      </c>
      <c r="G10" s="53">
        <v>45</v>
      </c>
      <c r="H10" s="53">
        <v>49</v>
      </c>
      <c r="I10" s="183">
        <f t="shared" si="1"/>
        <v>8.8888888888888786</v>
      </c>
      <c r="J10" s="50"/>
      <c r="K10" s="568" t="s">
        <v>562</v>
      </c>
      <c r="L10" s="567">
        <v>75</v>
      </c>
      <c r="M10" s="567">
        <v>90</v>
      </c>
      <c r="N10" s="183">
        <f>((M10/L10)-    1)*100</f>
        <v>19.999999999999996</v>
      </c>
      <c r="O10" s="50"/>
    </row>
    <row r="11" spans="1:15" ht="12" customHeight="1" x14ac:dyDescent="0.3">
      <c r="A11" s="65" t="s">
        <v>492</v>
      </c>
      <c r="B11" s="53">
        <v>55</v>
      </c>
      <c r="C11" s="53">
        <v>55</v>
      </c>
      <c r="D11" s="183">
        <f t="shared" si="0"/>
        <v>0</v>
      </c>
      <c r="E11" s="50"/>
      <c r="F11" s="65" t="s">
        <v>62</v>
      </c>
      <c r="G11" s="53">
        <v>43</v>
      </c>
      <c r="H11" s="53">
        <v>39</v>
      </c>
      <c r="I11" s="183">
        <f t="shared" si="1"/>
        <v>-9.3023255813953547</v>
      </c>
      <c r="J11" s="50"/>
      <c r="K11" s="569" t="s">
        <v>563</v>
      </c>
      <c r="L11" s="570">
        <v>80</v>
      </c>
      <c r="M11" s="570">
        <v>95</v>
      </c>
      <c r="N11" s="184">
        <f>((M11/L11)-    1)*100</f>
        <v>18.75</v>
      </c>
      <c r="O11" s="50"/>
    </row>
    <row r="12" spans="1:15" ht="12" customHeight="1" x14ac:dyDescent="0.3">
      <c r="A12" s="50" t="s">
        <v>475</v>
      </c>
      <c r="B12" s="53">
        <v>55</v>
      </c>
      <c r="C12" s="53">
        <v>55</v>
      </c>
      <c r="D12" s="183">
        <f t="shared" si="0"/>
        <v>0</v>
      </c>
      <c r="E12" s="50"/>
      <c r="F12" s="65" t="s">
        <v>80</v>
      </c>
      <c r="G12" s="53">
        <v>45</v>
      </c>
      <c r="H12" s="53">
        <v>40</v>
      </c>
      <c r="I12" s="183">
        <f t="shared" si="1"/>
        <v>-11.111111111111116</v>
      </c>
      <c r="J12" s="50"/>
      <c r="K12" s="571" t="s">
        <v>192</v>
      </c>
      <c r="L12" s="572"/>
      <c r="M12" s="572"/>
      <c r="N12" s="54"/>
      <c r="O12" s="50"/>
    </row>
    <row r="13" spans="1:15" ht="12" customHeight="1" x14ac:dyDescent="0.3">
      <c r="A13" s="50" t="s">
        <v>493</v>
      </c>
      <c r="B13" s="53">
        <v>55</v>
      </c>
      <c r="C13" s="53">
        <v>55</v>
      </c>
      <c r="D13" s="183">
        <f t="shared" si="0"/>
        <v>0</v>
      </c>
      <c r="E13" s="50"/>
      <c r="F13" s="65" t="s">
        <v>21</v>
      </c>
      <c r="G13" s="53">
        <v>80</v>
      </c>
      <c r="H13" s="53">
        <v>46</v>
      </c>
      <c r="I13" s="183">
        <f t="shared" si="1"/>
        <v>-42.500000000000007</v>
      </c>
      <c r="J13" s="50"/>
      <c r="K13" s="566" t="s">
        <v>193</v>
      </c>
      <c r="L13" s="249" t="s">
        <v>123</v>
      </c>
      <c r="M13" s="567">
        <v>80</v>
      </c>
      <c r="N13" s="183" t="s">
        <v>4</v>
      </c>
      <c r="O13" s="50"/>
    </row>
    <row r="14" spans="1:15" ht="12" customHeight="1" x14ac:dyDescent="0.3">
      <c r="A14" s="510" t="s">
        <v>476</v>
      </c>
      <c r="B14" s="55">
        <v>53</v>
      </c>
      <c r="C14" s="55">
        <v>53</v>
      </c>
      <c r="D14" s="184">
        <f t="shared" si="0"/>
        <v>0</v>
      </c>
      <c r="E14" s="50"/>
      <c r="F14" s="65" t="s">
        <v>124</v>
      </c>
      <c r="G14" s="53">
        <v>40</v>
      </c>
      <c r="H14" s="53">
        <v>48</v>
      </c>
      <c r="I14" s="183">
        <f t="shared" si="1"/>
        <v>19.999999999999996</v>
      </c>
      <c r="J14" s="50"/>
      <c r="K14" s="568" t="s">
        <v>194</v>
      </c>
      <c r="L14" s="567">
        <v>95</v>
      </c>
      <c r="M14" s="567">
        <v>85</v>
      </c>
      <c r="N14" s="183">
        <f>((M14/L14)-    1)*100</f>
        <v>-10.526315789473683</v>
      </c>
      <c r="O14" s="50"/>
    </row>
    <row r="15" spans="1:15" ht="12" customHeight="1" x14ac:dyDescent="0.3">
      <c r="A15" s="225" t="s">
        <v>77</v>
      </c>
      <c r="B15" s="56"/>
      <c r="C15" s="56"/>
      <c r="D15" s="57"/>
      <c r="E15" s="50"/>
      <c r="F15" s="65" t="s">
        <v>22</v>
      </c>
      <c r="G15" s="53">
        <v>53</v>
      </c>
      <c r="H15" s="53">
        <v>47</v>
      </c>
      <c r="I15" s="183">
        <f t="shared" si="1"/>
        <v>-11.32075471698113</v>
      </c>
      <c r="J15" s="50"/>
      <c r="K15" s="566" t="s">
        <v>207</v>
      </c>
      <c r="L15" s="249" t="s">
        <v>123</v>
      </c>
      <c r="M15" s="567">
        <v>85</v>
      </c>
      <c r="N15" s="183" t="s">
        <v>4</v>
      </c>
      <c r="O15" s="50"/>
    </row>
    <row r="16" spans="1:15" ht="12" customHeight="1" x14ac:dyDescent="0.3">
      <c r="A16" s="65" t="s">
        <v>153</v>
      </c>
      <c r="B16" s="53">
        <v>95</v>
      </c>
      <c r="C16" s="53">
        <v>75</v>
      </c>
      <c r="D16" s="183">
        <f>((C16/B16)-    1)*100</f>
        <v>-21.052631578947366</v>
      </c>
      <c r="E16" s="50"/>
      <c r="F16" s="65" t="s">
        <v>23</v>
      </c>
      <c r="G16" s="53">
        <v>45</v>
      </c>
      <c r="H16" s="53">
        <v>46</v>
      </c>
      <c r="I16" s="183">
        <f t="shared" si="1"/>
        <v>2.2222222222222143</v>
      </c>
      <c r="J16" s="50"/>
      <c r="K16" s="573" t="s">
        <v>195</v>
      </c>
      <c r="L16" s="570">
        <v>105</v>
      </c>
      <c r="M16" s="570">
        <v>125</v>
      </c>
      <c r="N16" s="184">
        <f>((M16/L16)-    1)*100</f>
        <v>19.047619047619047</v>
      </c>
      <c r="O16" s="50"/>
    </row>
    <row r="17" spans="1:15" ht="12" customHeight="1" x14ac:dyDescent="0.3">
      <c r="A17" s="65" t="s">
        <v>505</v>
      </c>
      <c r="B17" s="53">
        <v>60</v>
      </c>
      <c r="C17" s="53">
        <v>85</v>
      </c>
      <c r="D17" s="183">
        <f>((C17/B17)-    1)*100</f>
        <v>41.666666666666671</v>
      </c>
      <c r="E17" s="50"/>
      <c r="F17" s="65" t="s">
        <v>24</v>
      </c>
      <c r="G17" s="53">
        <v>55</v>
      </c>
      <c r="H17" s="53">
        <v>48</v>
      </c>
      <c r="I17" s="183">
        <f t="shared" si="1"/>
        <v>-12.727272727272732</v>
      </c>
      <c r="J17" s="50"/>
      <c r="K17" s="571" t="s">
        <v>39</v>
      </c>
      <c r="L17" s="572"/>
      <c r="M17" s="572"/>
      <c r="N17" s="54"/>
      <c r="O17" s="50"/>
    </row>
    <row r="18" spans="1:15" ht="12" customHeight="1" x14ac:dyDescent="0.3">
      <c r="A18" s="65" t="s">
        <v>503</v>
      </c>
      <c r="B18" s="53">
        <v>82.5</v>
      </c>
      <c r="C18" s="53">
        <v>90</v>
      </c>
      <c r="D18" s="183">
        <f>((C18/B18)-    1)*100</f>
        <v>9.0909090909090828</v>
      </c>
      <c r="E18" s="50"/>
      <c r="F18" s="65" t="s">
        <v>125</v>
      </c>
      <c r="G18" s="53" t="s">
        <v>123</v>
      </c>
      <c r="H18" s="53">
        <v>59</v>
      </c>
      <c r="I18" s="183" t="s">
        <v>4</v>
      </c>
      <c r="J18" s="50"/>
      <c r="K18" s="566" t="s">
        <v>93</v>
      </c>
      <c r="L18" s="567">
        <v>55</v>
      </c>
      <c r="M18" s="567">
        <v>50</v>
      </c>
      <c r="N18" s="183">
        <f>((M18/L18)-    1)*100</f>
        <v>-9.0909090909090935</v>
      </c>
      <c r="O18" s="50"/>
    </row>
    <row r="19" spans="1:15" ht="12" customHeight="1" x14ac:dyDescent="0.3">
      <c r="A19" s="65" t="s">
        <v>154</v>
      </c>
      <c r="B19" s="53" t="s">
        <v>123</v>
      </c>
      <c r="C19" s="53">
        <v>75</v>
      </c>
      <c r="D19" s="183" t="s">
        <v>4</v>
      </c>
      <c r="E19" s="50"/>
      <c r="F19" s="66" t="s">
        <v>63</v>
      </c>
      <c r="G19" s="55">
        <v>38</v>
      </c>
      <c r="H19" s="55">
        <v>37</v>
      </c>
      <c r="I19" s="184">
        <f>((H19/G19)-    1)*100</f>
        <v>-2.6315789473684181</v>
      </c>
      <c r="J19" s="50"/>
      <c r="K19" s="568" t="s">
        <v>40</v>
      </c>
      <c r="L19" s="567">
        <v>55</v>
      </c>
      <c r="M19" s="567">
        <v>64</v>
      </c>
      <c r="N19" s="183">
        <f>((M19/L19)-    1)*100</f>
        <v>16.36363636363636</v>
      </c>
      <c r="O19" s="50"/>
    </row>
    <row r="20" spans="1:15" ht="12" customHeight="1" x14ac:dyDescent="0.3">
      <c r="A20" s="65" t="s">
        <v>156</v>
      </c>
      <c r="B20" s="53">
        <v>43</v>
      </c>
      <c r="C20" s="53">
        <v>85</v>
      </c>
      <c r="D20" s="183">
        <f t="shared" ref="D20" si="2">((C20/B20)-    1)*100</f>
        <v>97.674418604651152</v>
      </c>
      <c r="E20" s="50"/>
      <c r="F20" s="565" t="s">
        <v>25</v>
      </c>
      <c r="G20" s="574"/>
      <c r="H20" s="574"/>
      <c r="I20" s="57"/>
      <c r="J20" s="50"/>
      <c r="K20" s="569" t="s">
        <v>41</v>
      </c>
      <c r="L20" s="570">
        <v>53</v>
      </c>
      <c r="M20" s="570">
        <v>53</v>
      </c>
      <c r="N20" s="184">
        <f>((M20/L20)-    1)*100</f>
        <v>0</v>
      </c>
      <c r="O20" s="50"/>
    </row>
    <row r="21" spans="1:15" ht="12" customHeight="1" x14ac:dyDescent="0.3">
      <c r="A21" s="65" t="s">
        <v>157</v>
      </c>
      <c r="B21" s="53" t="s">
        <v>123</v>
      </c>
      <c r="C21" s="53">
        <v>85</v>
      </c>
      <c r="D21" s="183" t="s">
        <v>4</v>
      </c>
      <c r="E21" s="50"/>
      <c r="F21" s="568" t="s">
        <v>564</v>
      </c>
      <c r="G21" s="249">
        <v>56</v>
      </c>
      <c r="H21" s="249">
        <v>65</v>
      </c>
      <c r="I21" s="183">
        <f>((H21/G21)-    1)*100</f>
        <v>16.07142857142858</v>
      </c>
      <c r="J21" s="50"/>
      <c r="K21" s="225" t="s">
        <v>42</v>
      </c>
      <c r="L21" s="64"/>
      <c r="M21" s="64"/>
      <c r="N21" s="57"/>
      <c r="O21" s="50"/>
    </row>
    <row r="22" spans="1:15" ht="12" customHeight="1" x14ac:dyDescent="0.3">
      <c r="A22" s="65" t="s">
        <v>186</v>
      </c>
      <c r="B22" s="53" t="s">
        <v>123</v>
      </c>
      <c r="C22" s="53">
        <v>75</v>
      </c>
      <c r="D22" s="183" t="s">
        <v>4</v>
      </c>
      <c r="E22" s="50"/>
      <c r="F22" s="568" t="s">
        <v>53</v>
      </c>
      <c r="G22" s="249">
        <v>44</v>
      </c>
      <c r="H22" s="249">
        <v>49</v>
      </c>
      <c r="I22" s="183">
        <f t="shared" ref="I22:I24" si="3">((H22/G22)-    1)*100</f>
        <v>11.363636363636353</v>
      </c>
      <c r="J22" s="50"/>
      <c r="K22" s="65" t="s">
        <v>43</v>
      </c>
      <c r="L22" s="62">
        <v>55</v>
      </c>
      <c r="M22" s="62">
        <v>40</v>
      </c>
      <c r="N22" s="183">
        <f>((M22/L22)-    1)*100</f>
        <v>-27.27272727272727</v>
      </c>
      <c r="O22" s="50"/>
    </row>
    <row r="23" spans="1:15" ht="12" customHeight="1" x14ac:dyDescent="0.3">
      <c r="A23" s="65" t="s">
        <v>547</v>
      </c>
      <c r="B23" s="53">
        <v>80</v>
      </c>
      <c r="C23" s="53">
        <v>90</v>
      </c>
      <c r="D23" s="183">
        <f>((C23/B23)-    1)*100</f>
        <v>12.5</v>
      </c>
      <c r="E23" s="50"/>
      <c r="F23" s="568" t="s">
        <v>565</v>
      </c>
      <c r="G23" s="249">
        <v>75</v>
      </c>
      <c r="H23" s="249">
        <v>85</v>
      </c>
      <c r="I23" s="183">
        <f t="shared" si="3"/>
        <v>13.33333333333333</v>
      </c>
      <c r="J23" s="50"/>
      <c r="K23" s="65" t="s">
        <v>44</v>
      </c>
      <c r="L23" s="53">
        <v>28</v>
      </c>
      <c r="M23" s="62">
        <v>37</v>
      </c>
      <c r="N23" s="183">
        <f t="shared" ref="N23:N24" si="4">((M23/L23)-    1)*100</f>
        <v>32.142857142857139</v>
      </c>
      <c r="O23" s="50"/>
    </row>
    <row r="24" spans="1:15" ht="12" customHeight="1" x14ac:dyDescent="0.3">
      <c r="A24" s="65" t="s">
        <v>159</v>
      </c>
      <c r="B24" s="53">
        <v>45</v>
      </c>
      <c r="C24" s="53">
        <v>75</v>
      </c>
      <c r="D24" s="183">
        <f>((C24/B24)-    1)*100</f>
        <v>66.666666666666671</v>
      </c>
      <c r="E24" s="50"/>
      <c r="F24" s="568" t="s">
        <v>58</v>
      </c>
      <c r="G24" s="249">
        <v>70</v>
      </c>
      <c r="H24" s="249">
        <v>75</v>
      </c>
      <c r="I24" s="183">
        <f t="shared" si="3"/>
        <v>7.1428571428571397</v>
      </c>
      <c r="J24" s="50"/>
      <c r="K24" s="66" t="s">
        <v>414</v>
      </c>
      <c r="L24" s="55">
        <v>53</v>
      </c>
      <c r="M24" s="63">
        <v>50</v>
      </c>
      <c r="N24" s="184">
        <f t="shared" si="4"/>
        <v>-5.6603773584905648</v>
      </c>
      <c r="O24" s="50"/>
    </row>
    <row r="25" spans="1:15" ht="12" customHeight="1" x14ac:dyDescent="0.3">
      <c r="A25" s="65" t="s">
        <v>548</v>
      </c>
      <c r="B25" s="53" t="s">
        <v>123</v>
      </c>
      <c r="C25" s="53">
        <v>75</v>
      </c>
      <c r="D25" s="183" t="s">
        <v>4</v>
      </c>
      <c r="E25" s="50"/>
      <c r="F25" s="569" t="s">
        <v>566</v>
      </c>
      <c r="G25" s="254">
        <v>55</v>
      </c>
      <c r="H25" s="254">
        <v>55</v>
      </c>
      <c r="I25" s="184">
        <f>((H25/G25)-    1)*100</f>
        <v>0</v>
      </c>
      <c r="J25" s="50"/>
      <c r="K25" s="225" t="s">
        <v>196</v>
      </c>
      <c r="O25" s="50"/>
    </row>
    <row r="26" spans="1:15" ht="12" customHeight="1" x14ac:dyDescent="0.3">
      <c r="A26" s="66" t="s">
        <v>549</v>
      </c>
      <c r="B26" s="55" t="s">
        <v>123</v>
      </c>
      <c r="C26" s="55">
        <v>75</v>
      </c>
      <c r="D26" s="184" t="s">
        <v>4</v>
      </c>
      <c r="E26" s="50"/>
      <c r="F26" s="224" t="s">
        <v>81</v>
      </c>
      <c r="G26" s="202"/>
      <c r="H26" s="202"/>
      <c r="I26" s="202"/>
      <c r="J26" s="50"/>
      <c r="K26" s="65" t="s">
        <v>204</v>
      </c>
      <c r="L26" s="53" t="s">
        <v>123</v>
      </c>
      <c r="M26" s="62">
        <v>61</v>
      </c>
      <c r="N26" s="183" t="s">
        <v>4</v>
      </c>
      <c r="O26" s="50"/>
    </row>
    <row r="27" spans="1:15" ht="12" customHeight="1" x14ac:dyDescent="0.3">
      <c r="A27" s="224" t="s">
        <v>2</v>
      </c>
      <c r="B27" s="53"/>
      <c r="C27" s="53"/>
      <c r="D27" s="183"/>
      <c r="E27" s="50"/>
      <c r="F27" s="68" t="s">
        <v>88</v>
      </c>
      <c r="G27" s="59">
        <v>78</v>
      </c>
      <c r="H27" s="59">
        <v>80</v>
      </c>
      <c r="I27" s="183">
        <f>((H27/G27)-    1)*100</f>
        <v>2.564102564102555</v>
      </c>
      <c r="J27" s="50"/>
      <c r="K27" s="65" t="s">
        <v>198</v>
      </c>
      <c r="L27" s="53" t="s">
        <v>123</v>
      </c>
      <c r="M27" s="62">
        <v>69</v>
      </c>
      <c r="N27" s="183" t="s">
        <v>4</v>
      </c>
      <c r="O27" s="50"/>
    </row>
    <row r="28" spans="1:15" ht="12" customHeight="1" x14ac:dyDescent="0.3">
      <c r="A28" s="65" t="s">
        <v>5</v>
      </c>
      <c r="B28" s="53">
        <v>115</v>
      </c>
      <c r="C28" s="53">
        <v>100</v>
      </c>
      <c r="D28" s="183">
        <f t="shared" ref="D28:D32" si="5">((C28/B28)-    1)*100</f>
        <v>-13.043478260869568</v>
      </c>
      <c r="E28" s="50"/>
      <c r="F28" s="68" t="s">
        <v>551</v>
      </c>
      <c r="G28" s="59">
        <v>65</v>
      </c>
      <c r="H28" s="59">
        <v>67</v>
      </c>
      <c r="I28" s="183">
        <f t="shared" ref="I28:I31" si="6">((H28/G28)-    1)*100</f>
        <v>3.076923076923066</v>
      </c>
      <c r="J28" s="50"/>
      <c r="K28" s="65" t="s">
        <v>557</v>
      </c>
      <c r="L28" s="53" t="s">
        <v>123</v>
      </c>
      <c r="M28" s="62">
        <v>81</v>
      </c>
      <c r="N28" s="183" t="s">
        <v>4</v>
      </c>
      <c r="O28" s="50"/>
    </row>
    <row r="29" spans="1:15" ht="12" customHeight="1" x14ac:dyDescent="0.3">
      <c r="A29" s="65" t="s">
        <v>78</v>
      </c>
      <c r="B29" s="53">
        <v>105</v>
      </c>
      <c r="C29" s="53">
        <v>105</v>
      </c>
      <c r="D29" s="183">
        <f t="shared" si="5"/>
        <v>0</v>
      </c>
      <c r="E29" s="221"/>
      <c r="F29" s="68" t="s">
        <v>552</v>
      </c>
      <c r="G29" s="53" t="s">
        <v>123</v>
      </c>
      <c r="H29" s="59">
        <v>72</v>
      </c>
      <c r="I29" s="183" t="s">
        <v>4</v>
      </c>
      <c r="J29" s="52"/>
      <c r="K29" s="65" t="s">
        <v>201</v>
      </c>
      <c r="L29" s="53" t="s">
        <v>123</v>
      </c>
      <c r="M29" s="62">
        <v>55</v>
      </c>
      <c r="N29" s="183" t="s">
        <v>4</v>
      </c>
      <c r="O29" s="7"/>
    </row>
    <row r="30" spans="1:15" ht="12" customHeight="1" x14ac:dyDescent="0.3">
      <c r="A30" s="65" t="s">
        <v>405</v>
      </c>
      <c r="B30" s="53">
        <v>95</v>
      </c>
      <c r="C30" s="53">
        <v>93</v>
      </c>
      <c r="D30" s="183">
        <f t="shared" si="5"/>
        <v>-2.1052631578947323</v>
      </c>
      <c r="E30" s="221"/>
      <c r="F30" s="68" t="s">
        <v>553</v>
      </c>
      <c r="G30" s="59">
        <v>65</v>
      </c>
      <c r="H30" s="59">
        <v>71</v>
      </c>
      <c r="I30" s="183">
        <f t="shared" si="6"/>
        <v>9.2307692307692193</v>
      </c>
      <c r="J30" s="52"/>
      <c r="K30" s="65" t="s">
        <v>200</v>
      </c>
      <c r="L30" s="53" t="s">
        <v>123</v>
      </c>
      <c r="M30" s="62">
        <v>69</v>
      </c>
      <c r="N30" s="183" t="s">
        <v>4</v>
      </c>
      <c r="O30" s="7"/>
    </row>
    <row r="31" spans="1:15" ht="12" customHeight="1" x14ac:dyDescent="0.3">
      <c r="A31" s="65" t="s">
        <v>85</v>
      </c>
      <c r="B31" s="53">
        <v>85</v>
      </c>
      <c r="C31" s="53">
        <v>90</v>
      </c>
      <c r="D31" s="183">
        <f t="shared" si="5"/>
        <v>5.8823529411764719</v>
      </c>
      <c r="E31" s="221"/>
      <c r="F31" s="68" t="s">
        <v>27</v>
      </c>
      <c r="G31" s="59">
        <v>58</v>
      </c>
      <c r="H31" s="59">
        <v>50</v>
      </c>
      <c r="I31" s="183">
        <f t="shared" si="6"/>
        <v>-13.793103448275868</v>
      </c>
      <c r="J31" s="52"/>
      <c r="K31" s="65" t="s">
        <v>203</v>
      </c>
      <c r="L31" s="53" t="s">
        <v>123</v>
      </c>
      <c r="M31" s="62">
        <v>57</v>
      </c>
      <c r="N31" s="183" t="s">
        <v>4</v>
      </c>
      <c r="O31" s="7"/>
    </row>
    <row r="32" spans="1:15" ht="12" customHeight="1" x14ac:dyDescent="0.3">
      <c r="A32" s="65" t="s">
        <v>61</v>
      </c>
      <c r="B32" s="53">
        <v>90</v>
      </c>
      <c r="C32" s="53">
        <v>80</v>
      </c>
      <c r="D32" s="183">
        <f t="shared" si="5"/>
        <v>-11.111111111111116</v>
      </c>
      <c r="E32" s="221"/>
      <c r="F32" s="68" t="s">
        <v>554</v>
      </c>
      <c r="G32" s="59">
        <v>75</v>
      </c>
      <c r="H32" s="59">
        <v>68</v>
      </c>
      <c r="I32" s="183">
        <f t="shared" ref="I32" si="7">((H32/G32)-    1)*100</f>
        <v>-9.3333333333333375</v>
      </c>
      <c r="J32" s="52"/>
      <c r="K32" s="65" t="s">
        <v>202</v>
      </c>
      <c r="L32" s="53" t="s">
        <v>123</v>
      </c>
      <c r="M32" s="62">
        <v>55</v>
      </c>
      <c r="N32" s="183" t="s">
        <v>4</v>
      </c>
      <c r="O32" s="7"/>
    </row>
    <row r="33" spans="1:15" ht="12" customHeight="1" x14ac:dyDescent="0.3">
      <c r="A33" s="65" t="s">
        <v>550</v>
      </c>
      <c r="B33" s="53">
        <v>70</v>
      </c>
      <c r="C33" s="53">
        <v>83</v>
      </c>
      <c r="D33" s="183">
        <f t="shared" ref="D33" si="8">((C33/B33)-    1)*100</f>
        <v>18.571428571428573</v>
      </c>
      <c r="E33" s="221"/>
      <c r="F33" s="68" t="s">
        <v>555</v>
      </c>
      <c r="G33" s="59">
        <v>58</v>
      </c>
      <c r="H33" s="59">
        <v>66</v>
      </c>
      <c r="I33" s="183">
        <f t="shared" ref="I33" si="9">((H33/G33)-    1)*100</f>
        <v>13.793103448275868</v>
      </c>
      <c r="J33" s="52"/>
      <c r="K33" s="65" t="s">
        <v>65</v>
      </c>
      <c r="L33" s="53" t="s">
        <v>123</v>
      </c>
      <c r="M33" s="62">
        <v>70</v>
      </c>
      <c r="N33" s="183" t="s">
        <v>4</v>
      </c>
      <c r="O33" s="7"/>
    </row>
    <row r="34" spans="1:15" ht="12" customHeight="1" x14ac:dyDescent="0.3">
      <c r="A34" s="65" t="s">
        <v>188</v>
      </c>
      <c r="B34" s="53">
        <v>85</v>
      </c>
      <c r="C34" s="53">
        <v>105</v>
      </c>
      <c r="D34" s="183">
        <f>((C34/B34)-    1)*100</f>
        <v>23.529411764705888</v>
      </c>
      <c r="E34" s="221"/>
      <c r="F34" s="68" t="s">
        <v>556</v>
      </c>
      <c r="G34" s="59">
        <v>60</v>
      </c>
      <c r="H34" s="59">
        <v>63</v>
      </c>
      <c r="I34" s="183">
        <f>((H34/G34)-    1)*100</f>
        <v>5.0000000000000044</v>
      </c>
      <c r="J34" s="52"/>
      <c r="K34" s="65" t="s">
        <v>485</v>
      </c>
      <c r="L34" s="53" t="s">
        <v>123</v>
      </c>
      <c r="M34" s="62">
        <v>60</v>
      </c>
      <c r="N34" s="183" t="s">
        <v>4</v>
      </c>
      <c r="O34" s="7"/>
    </row>
    <row r="35" spans="1:15" ht="12" customHeight="1" x14ac:dyDescent="0.3">
      <c r="A35" s="66" t="s">
        <v>127</v>
      </c>
      <c r="B35" s="55">
        <v>80</v>
      </c>
      <c r="C35" s="55">
        <v>80</v>
      </c>
      <c r="D35" s="184">
        <f>((C35/B35)-    1)*100</f>
        <v>0</v>
      </c>
      <c r="E35" s="221"/>
      <c r="F35" s="225" t="s">
        <v>86</v>
      </c>
      <c r="G35" s="56"/>
      <c r="H35" s="56"/>
      <c r="I35" s="57"/>
      <c r="J35" s="52"/>
      <c r="K35" s="65" t="s">
        <v>199</v>
      </c>
      <c r="L35" s="53" t="s">
        <v>123</v>
      </c>
      <c r="M35" s="62">
        <v>45</v>
      </c>
      <c r="N35" s="183" t="s">
        <v>4</v>
      </c>
      <c r="O35" s="7"/>
    </row>
    <row r="36" spans="1:15" ht="12" customHeight="1" x14ac:dyDescent="0.3">
      <c r="A36" s="225" t="s">
        <v>6</v>
      </c>
      <c r="B36" s="56"/>
      <c r="C36" s="56"/>
      <c r="D36" s="57"/>
      <c r="E36" s="221"/>
      <c r="F36" s="65" t="s">
        <v>28</v>
      </c>
      <c r="G36" s="53">
        <v>48</v>
      </c>
      <c r="H36" s="59">
        <v>48</v>
      </c>
      <c r="I36" s="183">
        <f>((H36/G36)-    1)*100</f>
        <v>0</v>
      </c>
      <c r="J36" s="52"/>
      <c r="K36" s="65" t="s">
        <v>205</v>
      </c>
      <c r="L36" s="53" t="s">
        <v>123</v>
      </c>
      <c r="M36" s="62">
        <v>52</v>
      </c>
      <c r="N36" s="183" t="s">
        <v>4</v>
      </c>
      <c r="O36" s="7"/>
    </row>
    <row r="37" spans="1:15" ht="12" customHeight="1" x14ac:dyDescent="0.3">
      <c r="A37" s="65" t="s">
        <v>7</v>
      </c>
      <c r="B37" s="53">
        <v>45</v>
      </c>
      <c r="C37" s="249">
        <v>47</v>
      </c>
      <c r="D37" s="183">
        <f t="shared" ref="D37" si="10">((C37/B37)-    1)*100</f>
        <v>4.4444444444444509</v>
      </c>
      <c r="E37" s="221"/>
      <c r="F37" s="65" t="s">
        <v>29</v>
      </c>
      <c r="G37" s="53">
        <v>48</v>
      </c>
      <c r="H37" s="59">
        <v>43</v>
      </c>
      <c r="I37" s="183">
        <f>((H37/G37)-    1)*100</f>
        <v>-10.416666666666663</v>
      </c>
      <c r="J37" s="52"/>
      <c r="K37" s="66" t="s">
        <v>197</v>
      </c>
      <c r="L37" s="55" t="s">
        <v>123</v>
      </c>
      <c r="M37" s="63">
        <v>46</v>
      </c>
      <c r="N37" s="184" t="s">
        <v>4</v>
      </c>
    </row>
    <row r="38" spans="1:15" ht="12" customHeight="1" x14ac:dyDescent="0.3">
      <c r="A38" s="65" t="s">
        <v>8</v>
      </c>
      <c r="B38" s="53">
        <v>43</v>
      </c>
      <c r="C38" s="249">
        <v>50</v>
      </c>
      <c r="D38" s="183">
        <f t="shared" ref="D38:D45" si="11">((C38/B38)-    1)*100</f>
        <v>16.279069767441868</v>
      </c>
      <c r="E38" s="221"/>
      <c r="F38" s="65" t="s">
        <v>82</v>
      </c>
      <c r="G38" s="53" t="s">
        <v>123</v>
      </c>
      <c r="H38" s="59">
        <v>43</v>
      </c>
      <c r="I38" s="183" t="s">
        <v>4</v>
      </c>
      <c r="J38" s="52"/>
      <c r="K38" s="225" t="s">
        <v>84</v>
      </c>
      <c r="O38" s="7"/>
    </row>
    <row r="39" spans="1:15" ht="12" customHeight="1" x14ac:dyDescent="0.3">
      <c r="A39" s="65" t="s">
        <v>126</v>
      </c>
      <c r="B39" s="53">
        <v>60</v>
      </c>
      <c r="C39" s="249">
        <v>51</v>
      </c>
      <c r="D39" s="183">
        <f t="shared" si="11"/>
        <v>-15.000000000000002</v>
      </c>
      <c r="E39" s="221"/>
      <c r="F39" s="65" t="s">
        <v>30</v>
      </c>
      <c r="G39" s="53">
        <v>45</v>
      </c>
      <c r="H39" s="59">
        <v>45</v>
      </c>
      <c r="I39" s="183">
        <f>((H39/G39)-    1)*100</f>
        <v>0</v>
      </c>
      <c r="J39" s="52"/>
      <c r="K39" s="65" t="s">
        <v>481</v>
      </c>
      <c r="L39" s="62">
        <v>60</v>
      </c>
      <c r="M39" s="62">
        <v>66</v>
      </c>
      <c r="N39" s="183">
        <f>((M39/L39)-    1)*100</f>
        <v>10.000000000000009</v>
      </c>
      <c r="O39" s="7"/>
    </row>
    <row r="40" spans="1:15" ht="12" customHeight="1" x14ac:dyDescent="0.3">
      <c r="A40" s="65" t="s">
        <v>9</v>
      </c>
      <c r="B40" s="53">
        <v>53</v>
      </c>
      <c r="C40" s="249">
        <v>48</v>
      </c>
      <c r="D40" s="183">
        <f t="shared" si="11"/>
        <v>-9.4339622641509422</v>
      </c>
      <c r="E40" s="221"/>
      <c r="F40" s="65" t="s">
        <v>64</v>
      </c>
      <c r="G40" s="53">
        <v>40</v>
      </c>
      <c r="H40" s="59">
        <v>48</v>
      </c>
      <c r="I40" s="183">
        <f>((H40/G40)-    1)*100</f>
        <v>19.999999999999996</v>
      </c>
      <c r="J40" s="52"/>
      <c r="K40" s="65" t="s">
        <v>59</v>
      </c>
      <c r="L40" s="62">
        <v>50</v>
      </c>
      <c r="M40" s="62">
        <v>55</v>
      </c>
      <c r="N40" s="183">
        <f>((M40/L40)-    1)*100</f>
        <v>10.000000000000009</v>
      </c>
      <c r="O40" s="7"/>
    </row>
    <row r="41" spans="1:15" ht="12" customHeight="1" x14ac:dyDescent="0.3">
      <c r="A41" s="65" t="s">
        <v>10</v>
      </c>
      <c r="B41" s="53">
        <v>47.5</v>
      </c>
      <c r="C41" s="249">
        <v>50</v>
      </c>
      <c r="D41" s="183">
        <f t="shared" si="11"/>
        <v>5.2631578947368363</v>
      </c>
      <c r="E41" s="221"/>
      <c r="F41" s="65" t="s">
        <v>31</v>
      </c>
      <c r="G41" s="53">
        <v>50</v>
      </c>
      <c r="H41" s="59">
        <v>50</v>
      </c>
      <c r="I41" s="183">
        <f>((H41/G41)-    1)*100</f>
        <v>0</v>
      </c>
      <c r="J41" s="52"/>
      <c r="K41" s="65" t="s">
        <v>558</v>
      </c>
      <c r="L41" s="53">
        <v>55</v>
      </c>
      <c r="M41" s="62">
        <v>50</v>
      </c>
      <c r="N41" s="183">
        <f t="shared" ref="N41:N42" si="12">((M41/L41)-    1)*100</f>
        <v>-9.0909090909090935</v>
      </c>
      <c r="O41" s="7"/>
    </row>
    <row r="42" spans="1:15" ht="12" customHeight="1" x14ac:dyDescent="0.3">
      <c r="A42" s="65" t="s">
        <v>11</v>
      </c>
      <c r="B42" s="53">
        <v>65</v>
      </c>
      <c r="C42" s="249">
        <v>57</v>
      </c>
      <c r="D42" s="183">
        <f t="shared" si="11"/>
        <v>-12.307692307692308</v>
      </c>
      <c r="E42" s="221"/>
      <c r="F42" s="65" t="s">
        <v>54</v>
      </c>
      <c r="G42" s="53">
        <v>53</v>
      </c>
      <c r="H42" s="59">
        <v>48</v>
      </c>
      <c r="I42" s="183">
        <f>((H42/G42)-    1)*100</f>
        <v>-9.4339622641509422</v>
      </c>
      <c r="J42" s="52"/>
      <c r="K42" s="66" t="s">
        <v>60</v>
      </c>
      <c r="L42" s="55">
        <v>65</v>
      </c>
      <c r="M42" s="63">
        <v>50</v>
      </c>
      <c r="N42" s="184">
        <f t="shared" si="12"/>
        <v>-23.076923076923073</v>
      </c>
    </row>
    <row r="43" spans="1:15" ht="12" customHeight="1" x14ac:dyDescent="0.3">
      <c r="A43" s="65" t="s">
        <v>12</v>
      </c>
      <c r="B43" s="53">
        <v>65</v>
      </c>
      <c r="C43" s="249">
        <v>65</v>
      </c>
      <c r="D43" s="183">
        <f t="shared" si="11"/>
        <v>0</v>
      </c>
      <c r="E43" s="221"/>
      <c r="F43" s="65" t="s">
        <v>83</v>
      </c>
      <c r="G43" s="53">
        <v>55</v>
      </c>
      <c r="H43" s="59">
        <v>55</v>
      </c>
      <c r="I43" s="183">
        <f>((H43/G43)-    1)*100</f>
        <v>0</v>
      </c>
      <c r="K43" s="224" t="s">
        <v>89</v>
      </c>
      <c r="L43" s="53"/>
      <c r="M43" s="62"/>
      <c r="N43" s="183"/>
      <c r="O43" s="7"/>
    </row>
    <row r="44" spans="1:15" ht="12" customHeight="1" x14ac:dyDescent="0.3">
      <c r="A44" s="65" t="s">
        <v>13</v>
      </c>
      <c r="B44" s="53">
        <v>75</v>
      </c>
      <c r="C44" s="249">
        <v>73</v>
      </c>
      <c r="D44" s="183">
        <f t="shared" si="11"/>
        <v>-2.6666666666666616</v>
      </c>
      <c r="E44" s="221"/>
      <c r="F44" s="68" t="s">
        <v>32</v>
      </c>
      <c r="G44" s="53" t="s">
        <v>123</v>
      </c>
      <c r="H44" s="59">
        <v>48</v>
      </c>
      <c r="I44" s="183" t="s">
        <v>4</v>
      </c>
      <c r="J44" s="52"/>
      <c r="K44" s="65" t="s">
        <v>450</v>
      </c>
      <c r="L44" s="62">
        <v>80</v>
      </c>
      <c r="M44" s="62">
        <v>78</v>
      </c>
      <c r="N44" s="183">
        <f>((M44/L44)-    1)*100</f>
        <v>-2.5000000000000022</v>
      </c>
      <c r="O44" s="7"/>
    </row>
    <row r="45" spans="1:15" ht="12" customHeight="1" x14ac:dyDescent="0.3">
      <c r="A45" s="65" t="s">
        <v>14</v>
      </c>
      <c r="B45" s="53">
        <v>60</v>
      </c>
      <c r="C45" s="249">
        <v>52</v>
      </c>
      <c r="D45" s="183">
        <f t="shared" si="11"/>
        <v>-13.33333333333333</v>
      </c>
      <c r="E45" s="221"/>
      <c r="F45" s="65" t="s">
        <v>33</v>
      </c>
      <c r="G45" s="53">
        <v>45</v>
      </c>
      <c r="H45" s="59">
        <v>53</v>
      </c>
      <c r="I45" s="183">
        <f>((H45/G45)-    1)*100</f>
        <v>17.777777777777782</v>
      </c>
      <c r="J45" s="52"/>
      <c r="K45" s="65" t="s">
        <v>559</v>
      </c>
      <c r="L45" s="62">
        <v>85</v>
      </c>
      <c r="M45" s="62">
        <v>90</v>
      </c>
      <c r="N45" s="183">
        <f>((M45/L45)-    1)*100</f>
        <v>5.8823529411764719</v>
      </c>
      <c r="O45" s="7"/>
    </row>
    <row r="46" spans="1:15" ht="12" customHeight="1" x14ac:dyDescent="0.3">
      <c r="A46" s="66" t="s">
        <v>92</v>
      </c>
      <c r="B46" s="55">
        <v>53</v>
      </c>
      <c r="C46" s="254">
        <v>49</v>
      </c>
      <c r="D46" s="184">
        <f>((C46/B46)-    1)*100</f>
        <v>-7.547169811320753</v>
      </c>
      <c r="E46" s="221"/>
      <c r="F46" s="65" t="s">
        <v>34</v>
      </c>
      <c r="G46" s="53">
        <v>50</v>
      </c>
      <c r="H46" s="59">
        <v>50</v>
      </c>
      <c r="I46" s="183">
        <f>((H46/G46)-    1)*100</f>
        <v>0</v>
      </c>
      <c r="J46" s="52"/>
      <c r="K46" s="66" t="s">
        <v>90</v>
      </c>
      <c r="L46" s="55">
        <v>85</v>
      </c>
      <c r="M46" s="63">
        <v>85</v>
      </c>
      <c r="N46" s="184">
        <f>((M46/L46)-    1)*100</f>
        <v>0</v>
      </c>
      <c r="O46" s="7"/>
    </row>
    <row r="47" spans="1:15" ht="12" customHeight="1" x14ac:dyDescent="0.3">
      <c r="A47" s="225" t="s">
        <v>15</v>
      </c>
      <c r="B47" s="56"/>
      <c r="C47" s="56"/>
      <c r="D47" s="57"/>
      <c r="E47" s="221"/>
      <c r="F47" s="71" t="s">
        <v>66</v>
      </c>
      <c r="G47" s="55" t="s">
        <v>123</v>
      </c>
      <c r="H47" s="72">
        <v>55</v>
      </c>
      <c r="I47" s="184" t="s">
        <v>4</v>
      </c>
      <c r="J47" s="52"/>
      <c r="K47" s="571" t="s">
        <v>71</v>
      </c>
      <c r="L47" s="249"/>
      <c r="M47" s="567"/>
      <c r="N47" s="183"/>
      <c r="O47" s="7"/>
    </row>
    <row r="48" spans="1:15" ht="12" customHeight="1" x14ac:dyDescent="0.3">
      <c r="A48" s="65" t="s">
        <v>189</v>
      </c>
      <c r="B48" s="58">
        <v>45</v>
      </c>
      <c r="C48" s="53">
        <v>46</v>
      </c>
      <c r="D48" s="183">
        <f>((C48/B48)-    1)*100</f>
        <v>2.2222222222222143</v>
      </c>
      <c r="E48" s="221"/>
      <c r="F48" s="225" t="s">
        <v>35</v>
      </c>
      <c r="G48" s="53"/>
      <c r="H48" s="53"/>
      <c r="I48" s="183"/>
      <c r="J48" s="52"/>
      <c r="K48" s="568" t="s">
        <v>74</v>
      </c>
      <c r="L48" s="249">
        <v>65</v>
      </c>
      <c r="M48" s="567">
        <v>50</v>
      </c>
      <c r="N48" s="183">
        <f>((M48/L48)-    1)*100</f>
        <v>-23.076923076923073</v>
      </c>
      <c r="O48" s="7"/>
    </row>
    <row r="49" spans="1:15" ht="12" customHeight="1" x14ac:dyDescent="0.3">
      <c r="A49" s="65" t="s">
        <v>70</v>
      </c>
      <c r="B49" s="53">
        <v>55</v>
      </c>
      <c r="C49" s="53">
        <v>50</v>
      </c>
      <c r="D49" s="183">
        <f>((C49/B49)-    1)*100</f>
        <v>-9.0909090909090935</v>
      </c>
      <c r="E49" s="221"/>
      <c r="F49" s="65" t="s">
        <v>36</v>
      </c>
      <c r="G49" s="53">
        <v>50</v>
      </c>
      <c r="H49" s="53">
        <v>53</v>
      </c>
      <c r="I49" s="183">
        <f>((H49/G49)-    1)*100</f>
        <v>6.0000000000000053</v>
      </c>
      <c r="J49" s="52"/>
      <c r="K49" s="568" t="s">
        <v>72</v>
      </c>
      <c r="L49" s="249">
        <v>65</v>
      </c>
      <c r="M49" s="567">
        <v>60</v>
      </c>
      <c r="N49" s="183">
        <f>((M49/L49)-    1)*100</f>
        <v>-7.6923076923076872</v>
      </c>
      <c r="O49" s="7"/>
    </row>
    <row r="50" spans="1:15" ht="12" customHeight="1" x14ac:dyDescent="0.3">
      <c r="A50" s="66" t="s">
        <v>69</v>
      </c>
      <c r="B50" s="70">
        <v>55</v>
      </c>
      <c r="C50" s="55">
        <v>43</v>
      </c>
      <c r="D50" s="184">
        <f>((C50/B50)-    1)*100</f>
        <v>-21.818181818181813</v>
      </c>
      <c r="F50" s="65" t="s">
        <v>37</v>
      </c>
      <c r="G50" s="53">
        <v>50</v>
      </c>
      <c r="H50" s="53">
        <v>53</v>
      </c>
      <c r="I50" s="183">
        <f>((H50/G50)-    1)*100</f>
        <v>6.0000000000000053</v>
      </c>
      <c r="J50" s="52"/>
      <c r="K50" s="569" t="s">
        <v>73</v>
      </c>
      <c r="L50" s="254">
        <v>55</v>
      </c>
      <c r="M50" s="570">
        <v>55</v>
      </c>
      <c r="N50" s="184">
        <f>((M50/L50)-    1)*100</f>
        <v>0</v>
      </c>
      <c r="O50" s="7"/>
    </row>
    <row r="51" spans="1:15" ht="12" customHeight="1" x14ac:dyDescent="0.3">
      <c r="A51" s="224" t="s">
        <v>16</v>
      </c>
      <c r="B51" s="51"/>
      <c r="C51" s="51"/>
      <c r="D51" s="54"/>
      <c r="E51" s="221"/>
      <c r="F51" s="66" t="s">
        <v>38</v>
      </c>
      <c r="G51" s="55">
        <v>50</v>
      </c>
      <c r="H51" s="55">
        <v>53</v>
      </c>
      <c r="I51" s="184">
        <f>((H51/G51)-    1)*100</f>
        <v>6.0000000000000053</v>
      </c>
      <c r="J51" s="52"/>
      <c r="K51" s="225" t="s">
        <v>46</v>
      </c>
      <c r="L51" s="64"/>
      <c r="M51" s="64"/>
      <c r="N51" s="57"/>
      <c r="O51" s="7"/>
    </row>
    <row r="52" spans="1:15" ht="12" customHeight="1" x14ac:dyDescent="0.3">
      <c r="A52" s="65" t="s">
        <v>494</v>
      </c>
      <c r="B52" s="53">
        <v>45</v>
      </c>
      <c r="C52" s="53">
        <v>41</v>
      </c>
      <c r="D52" s="183">
        <f>((C52/B52)-    1)*100</f>
        <v>-8.8888888888888911</v>
      </c>
      <c r="E52" s="221"/>
      <c r="F52" s="224" t="s">
        <v>187</v>
      </c>
      <c r="G52" s="53"/>
      <c r="H52" s="60"/>
      <c r="I52" s="183"/>
      <c r="J52" s="52"/>
      <c r="K52" s="66" t="s">
        <v>47</v>
      </c>
      <c r="L52" s="55">
        <v>60</v>
      </c>
      <c r="M52" s="63">
        <v>50</v>
      </c>
      <c r="N52" s="184">
        <f>((M52/L52)-    1)*100</f>
        <v>-16.666666666666664</v>
      </c>
      <c r="O52" s="7"/>
    </row>
    <row r="53" spans="1:15" ht="12" customHeight="1" x14ac:dyDescent="0.3">
      <c r="A53" s="65" t="s">
        <v>472</v>
      </c>
      <c r="B53" s="53">
        <v>48</v>
      </c>
      <c r="C53" s="53">
        <v>52</v>
      </c>
      <c r="D53" s="183">
        <f>((C53/B53)-    1)*100</f>
        <v>8.333333333333325</v>
      </c>
      <c r="E53" s="221"/>
      <c r="F53" s="66" t="s">
        <v>143</v>
      </c>
      <c r="G53" s="55">
        <v>70</v>
      </c>
      <c r="H53" s="55">
        <v>62</v>
      </c>
      <c r="I53" s="184">
        <f>((H53/G53)-    1)*100</f>
        <v>-11.428571428571432</v>
      </c>
      <c r="J53" s="52"/>
      <c r="O53" s="7"/>
    </row>
    <row r="54" spans="1:15" ht="12" customHeight="1" x14ac:dyDescent="0.3">
      <c r="A54" s="65" t="s">
        <v>479</v>
      </c>
      <c r="B54" s="53">
        <v>38</v>
      </c>
      <c r="C54" s="53">
        <v>49</v>
      </c>
      <c r="D54" s="183">
        <f>((C54/B54)-    1)*100</f>
        <v>28.947368421052634</v>
      </c>
      <c r="E54" s="221"/>
      <c r="F54" s="668" t="s">
        <v>75</v>
      </c>
      <c r="G54" s="669"/>
      <c r="H54" s="669"/>
      <c r="I54" s="54"/>
      <c r="J54" s="52"/>
      <c r="O54" s="7"/>
    </row>
    <row r="55" spans="1:15" ht="12" customHeight="1" x14ac:dyDescent="0.3">
      <c r="A55" s="671" t="s">
        <v>17</v>
      </c>
      <c r="B55" s="672">
        <v>63</v>
      </c>
      <c r="C55" s="672">
        <v>53</v>
      </c>
      <c r="D55" s="183">
        <f>((C55/B55)-    1)*100</f>
        <v>-15.873015873015872</v>
      </c>
      <c r="E55" s="221"/>
      <c r="F55" s="513" t="s">
        <v>470</v>
      </c>
      <c r="G55" s="55" t="s">
        <v>123</v>
      </c>
      <c r="H55" s="70">
        <v>30</v>
      </c>
      <c r="I55" s="184" t="s">
        <v>4</v>
      </c>
    </row>
    <row r="56" spans="1:15" ht="12" customHeight="1" x14ac:dyDescent="0.3">
      <c r="A56" s="66" t="s">
        <v>190</v>
      </c>
      <c r="B56" s="55">
        <v>65</v>
      </c>
      <c r="C56" s="55">
        <v>65</v>
      </c>
      <c r="D56" s="184">
        <f>((C56/B56)-    1)*100</f>
        <v>0</v>
      </c>
      <c r="E56" s="221"/>
      <c r="I56" s="226" t="s">
        <v>26</v>
      </c>
      <c r="O56" s="7"/>
    </row>
    <row r="57" spans="1:15" ht="12.9" customHeight="1" x14ac:dyDescent="0.3">
      <c r="D57" s="226" t="s">
        <v>26</v>
      </c>
      <c r="E57" s="221"/>
      <c r="O57" s="7"/>
    </row>
    <row r="58" spans="1:15" ht="9" customHeight="1" x14ac:dyDescent="0.3">
      <c r="A58" s="223" t="s">
        <v>87</v>
      </c>
      <c r="E58" s="221"/>
      <c r="J58" s="52"/>
      <c r="O58" s="7"/>
    </row>
    <row r="59" spans="1:15" ht="9" customHeight="1" x14ac:dyDescent="0.3">
      <c r="A59" s="44" t="s">
        <v>67</v>
      </c>
      <c r="E59" s="221"/>
      <c r="J59" s="52"/>
      <c r="O59" s="7"/>
    </row>
    <row r="60" spans="1:15" ht="9" customHeight="1" x14ac:dyDescent="0.3">
      <c r="A60" s="67" t="s">
        <v>68</v>
      </c>
      <c r="E60" s="221"/>
      <c r="J60" s="52"/>
      <c r="O60" s="7"/>
    </row>
    <row r="61" spans="1:15" ht="12.9" customHeight="1" x14ac:dyDescent="0.3">
      <c r="E61" s="221"/>
      <c r="J61" s="52"/>
    </row>
    <row r="62" spans="1:15" ht="12.9" customHeight="1" x14ac:dyDescent="0.3">
      <c r="E62" s="221"/>
      <c r="J62" s="52"/>
    </row>
    <row r="63" spans="1:15" ht="12.9" customHeight="1" x14ac:dyDescent="0.3">
      <c r="E63" s="221"/>
      <c r="J63" s="52"/>
    </row>
    <row r="64" spans="1:15" ht="12.9" customHeight="1" x14ac:dyDescent="0.3">
      <c r="E64" s="221"/>
      <c r="J64" s="52"/>
      <c r="O64" s="7"/>
    </row>
    <row r="65" spans="4:15" ht="12.9" customHeight="1" x14ac:dyDescent="0.3">
      <c r="E65" s="221"/>
      <c r="J65" s="52"/>
      <c r="O65" s="7"/>
    </row>
    <row r="66" spans="4:15" ht="12.9" customHeight="1" x14ac:dyDescent="0.3">
      <c r="E66" s="221"/>
      <c r="J66" s="52"/>
      <c r="O66" s="7"/>
    </row>
    <row r="67" spans="4:15" ht="12.9" customHeight="1" x14ac:dyDescent="0.3">
      <c r="E67" s="221"/>
      <c r="J67" s="52"/>
      <c r="O67" s="7"/>
    </row>
    <row r="68" spans="4:15" ht="12.9" customHeight="1" x14ac:dyDescent="0.3">
      <c r="E68" s="221"/>
      <c r="J68" s="52"/>
    </row>
    <row r="69" spans="4:15" ht="12.9" customHeight="1" x14ac:dyDescent="0.3">
      <c r="E69" s="221"/>
      <c r="J69" s="52"/>
      <c r="O69" s="7"/>
    </row>
    <row r="70" spans="4:15" ht="12.9" customHeight="1" x14ac:dyDescent="0.3">
      <c r="J70" s="52"/>
    </row>
    <row r="71" spans="4:15" ht="12.9" customHeight="1" x14ac:dyDescent="0.3">
      <c r="D71" s="226"/>
      <c r="E71" s="221"/>
      <c r="J71" s="52"/>
      <c r="O71" s="7"/>
    </row>
    <row r="72" spans="4:15" ht="9" customHeight="1" x14ac:dyDescent="0.3">
      <c r="E72" s="221"/>
      <c r="J72" s="52"/>
    </row>
    <row r="73" spans="4:15" ht="9" customHeight="1" x14ac:dyDescent="0.3">
      <c r="E73" s="221"/>
      <c r="J73" s="52"/>
    </row>
    <row r="74" spans="4:15" ht="9" customHeight="1" x14ac:dyDescent="0.3">
      <c r="J74" s="52"/>
    </row>
    <row r="75" spans="4:15" ht="12.9" customHeight="1" x14ac:dyDescent="0.3">
      <c r="E75" s="221"/>
      <c r="J75" s="52"/>
      <c r="O75" s="7"/>
    </row>
    <row r="76" spans="4:15" ht="9" customHeight="1" x14ac:dyDescent="0.3">
      <c r="E76" s="52"/>
      <c r="J76" s="7"/>
      <c r="O76" s="7"/>
    </row>
    <row r="77" spans="4:15" ht="9" customHeight="1" x14ac:dyDescent="0.3">
      <c r="E77" s="52"/>
      <c r="J77" s="7"/>
      <c r="O77" s="7"/>
    </row>
    <row r="78" spans="4:15" ht="9" customHeight="1" x14ac:dyDescent="0.3">
      <c r="E78" s="52"/>
      <c r="J78" s="7"/>
      <c r="O78" s="7"/>
    </row>
    <row r="79" spans="4:15" x14ac:dyDescent="0.3">
      <c r="E79" s="52"/>
      <c r="J79" s="7"/>
      <c r="O79" s="7"/>
    </row>
    <row r="80" spans="4:15" x14ac:dyDescent="0.3">
      <c r="E80" s="52"/>
      <c r="J80" s="7"/>
      <c r="O80" s="7"/>
    </row>
    <row r="83" spans="1:8" x14ac:dyDescent="0.3">
      <c r="A83" s="65"/>
      <c r="B83" s="53"/>
      <c r="C83" s="53"/>
      <c r="F83" s="65"/>
      <c r="G83" s="53"/>
      <c r="H83" s="53"/>
    </row>
  </sheetData>
  <mergeCells count="6">
    <mergeCell ref="L4:N4"/>
    <mergeCell ref="A4:A5"/>
    <mergeCell ref="B4:D4"/>
    <mergeCell ref="F4:F5"/>
    <mergeCell ref="G4:I4"/>
    <mergeCell ref="K4:K5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4"/>
  <dimension ref="A1:N205"/>
  <sheetViews>
    <sheetView showGridLines="0" topLeftCell="A111" zoomScaleNormal="100" workbookViewId="0">
      <selection activeCell="A133" sqref="A133:N203"/>
    </sheetView>
  </sheetViews>
  <sheetFormatPr baseColWidth="10" defaultColWidth="11.44140625" defaultRowHeight="13.8" x14ac:dyDescent="0.3"/>
  <cols>
    <col min="1" max="1" width="10.109375" style="119" customWidth="1"/>
    <col min="2" max="2" width="4.109375" style="119" customWidth="1"/>
    <col min="3" max="14" width="5.88671875" style="119" customWidth="1"/>
    <col min="15" max="16384" width="11.44140625" style="119"/>
  </cols>
  <sheetData>
    <row r="1" spans="1:14" x14ac:dyDescent="0.3">
      <c r="A1" s="758" t="s">
        <v>567</v>
      </c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9"/>
      <c r="N1" s="759"/>
    </row>
    <row r="2" spans="1:14" ht="12" customHeight="1" x14ac:dyDescent="0.3">
      <c r="A2" s="615" t="s">
        <v>615</v>
      </c>
      <c r="B2" s="613"/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4"/>
    </row>
    <row r="3" spans="1:14" ht="5.0999999999999996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15.9" customHeight="1" x14ac:dyDescent="0.3">
      <c r="A4" s="217" t="s">
        <v>94</v>
      </c>
      <c r="B4" s="217" t="s">
        <v>139</v>
      </c>
      <c r="C4" s="217" t="s">
        <v>96</v>
      </c>
      <c r="D4" s="217" t="s">
        <v>97</v>
      </c>
      <c r="E4" s="217" t="s">
        <v>98</v>
      </c>
      <c r="F4" s="217" t="s">
        <v>99</v>
      </c>
      <c r="G4" s="217" t="s">
        <v>100</v>
      </c>
      <c r="H4" s="217" t="s">
        <v>101</v>
      </c>
      <c r="I4" s="217" t="s">
        <v>102</v>
      </c>
      <c r="J4" s="217" t="s">
        <v>103</v>
      </c>
      <c r="K4" s="217" t="s">
        <v>104</v>
      </c>
      <c r="L4" s="217" t="s">
        <v>105</v>
      </c>
      <c r="M4" s="217" t="s">
        <v>106</v>
      </c>
      <c r="N4" s="217" t="s">
        <v>107</v>
      </c>
    </row>
    <row r="5" spans="1:14" ht="3" customHeight="1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12" customHeight="1" x14ac:dyDescent="0.3">
      <c r="A6" s="15" t="s">
        <v>52</v>
      </c>
      <c r="B6" s="11">
        <v>2018</v>
      </c>
      <c r="C6" s="123">
        <v>97</v>
      </c>
      <c r="D6" s="123">
        <v>98.5</v>
      </c>
      <c r="E6" s="122">
        <v>100.5</v>
      </c>
      <c r="F6" s="121">
        <v>100.5</v>
      </c>
      <c r="G6" s="126">
        <v>100.5</v>
      </c>
      <c r="H6" s="121">
        <v>100</v>
      </c>
      <c r="I6" s="121">
        <v>102</v>
      </c>
      <c r="J6" s="121">
        <v>102</v>
      </c>
      <c r="K6" s="121">
        <v>102</v>
      </c>
      <c r="L6" s="121">
        <v>102</v>
      </c>
      <c r="M6" s="121">
        <v>102</v>
      </c>
      <c r="N6" s="126">
        <v>102</v>
      </c>
    </row>
    <row r="7" spans="1:14" ht="12" customHeight="1" x14ac:dyDescent="0.3">
      <c r="A7" s="15"/>
      <c r="B7" s="11">
        <v>2019</v>
      </c>
      <c r="C7" s="126">
        <v>101.5</v>
      </c>
      <c r="D7" s="126">
        <v>101.5</v>
      </c>
      <c r="E7" s="121">
        <v>100.5</v>
      </c>
      <c r="F7" s="121">
        <v>100.5</v>
      </c>
      <c r="G7" s="126">
        <v>100.5</v>
      </c>
      <c r="H7" s="121">
        <v>100.5</v>
      </c>
      <c r="I7" s="121">
        <v>100.5</v>
      </c>
      <c r="J7" s="121">
        <v>100.5</v>
      </c>
      <c r="K7" s="121">
        <v>102.5</v>
      </c>
      <c r="L7" s="121">
        <v>102.5</v>
      </c>
      <c r="M7" s="121">
        <v>102.5</v>
      </c>
      <c r="N7" s="123">
        <v>102.5</v>
      </c>
    </row>
    <row r="8" spans="1:14" ht="12" customHeight="1" x14ac:dyDescent="0.3">
      <c r="A8" s="15"/>
      <c r="B8" s="11">
        <v>2020</v>
      </c>
      <c r="C8" s="123">
        <v>102.5</v>
      </c>
      <c r="D8" s="126">
        <v>127</v>
      </c>
      <c r="E8" s="121">
        <v>130</v>
      </c>
      <c r="F8" s="121">
        <v>102.5</v>
      </c>
      <c r="G8" s="126">
        <v>129</v>
      </c>
      <c r="H8" s="121">
        <v>129</v>
      </c>
      <c r="I8" s="121">
        <v>129</v>
      </c>
      <c r="J8" s="121">
        <v>129</v>
      </c>
      <c r="K8" s="121">
        <v>129</v>
      </c>
      <c r="L8" s="121">
        <v>104</v>
      </c>
      <c r="M8" s="121">
        <v>129</v>
      </c>
      <c r="N8" s="126">
        <v>129</v>
      </c>
    </row>
    <row r="9" spans="1:14" ht="12" customHeight="1" x14ac:dyDescent="0.3">
      <c r="A9" s="15"/>
      <c r="B9" s="11">
        <v>2021</v>
      </c>
      <c r="C9" s="127">
        <v>102.5</v>
      </c>
      <c r="D9" s="123">
        <v>102.5</v>
      </c>
      <c r="E9" s="122">
        <v>102.5</v>
      </c>
      <c r="F9" s="122">
        <v>102.5</v>
      </c>
      <c r="G9" s="123">
        <v>102.5</v>
      </c>
      <c r="H9" s="122">
        <v>102.5</v>
      </c>
      <c r="I9" s="121">
        <v>129</v>
      </c>
      <c r="J9" s="122">
        <v>102.5</v>
      </c>
      <c r="K9" s="122">
        <v>102.5</v>
      </c>
      <c r="L9" s="122">
        <v>102.5</v>
      </c>
      <c r="M9" s="121">
        <v>107.5</v>
      </c>
      <c r="N9" s="123">
        <v>102.5</v>
      </c>
    </row>
    <row r="10" spans="1:14" ht="12" customHeight="1" x14ac:dyDescent="0.3">
      <c r="A10" s="15"/>
      <c r="B10" s="11">
        <v>2022</v>
      </c>
      <c r="C10" s="127">
        <v>117.5</v>
      </c>
      <c r="D10" s="123">
        <v>107.5</v>
      </c>
      <c r="E10" s="122">
        <v>107.5</v>
      </c>
      <c r="F10" s="122">
        <v>117.5</v>
      </c>
      <c r="G10" s="123">
        <v>107.5</v>
      </c>
      <c r="H10" s="122">
        <v>107.5</v>
      </c>
      <c r="I10" s="122">
        <v>107.5</v>
      </c>
      <c r="J10" s="122">
        <v>109</v>
      </c>
      <c r="K10" s="122">
        <v>119</v>
      </c>
      <c r="L10" s="122">
        <v>118</v>
      </c>
      <c r="M10" s="128" t="s">
        <v>140</v>
      </c>
      <c r="N10" s="123">
        <v>118</v>
      </c>
    </row>
    <row r="11" spans="1:14" ht="12" customHeight="1" x14ac:dyDescent="0.3">
      <c r="A11" s="15"/>
      <c r="B11" s="11">
        <v>2023</v>
      </c>
      <c r="C11" s="129" t="s">
        <v>4</v>
      </c>
      <c r="D11" s="129" t="s">
        <v>4</v>
      </c>
      <c r="E11" s="129" t="s">
        <v>4</v>
      </c>
      <c r="F11" s="122">
        <v>118</v>
      </c>
      <c r="G11" s="123">
        <v>115</v>
      </c>
      <c r="H11" s="122">
        <v>133</v>
      </c>
      <c r="I11" s="122">
        <v>152</v>
      </c>
      <c r="J11" s="122">
        <v>152</v>
      </c>
      <c r="K11" s="122">
        <v>155</v>
      </c>
      <c r="L11" s="122">
        <v>143</v>
      </c>
      <c r="M11" s="121">
        <v>123</v>
      </c>
      <c r="N11" s="122">
        <v>113</v>
      </c>
    </row>
    <row r="12" spans="1:14" ht="12" customHeight="1" x14ac:dyDescent="0.3">
      <c r="A12" s="15"/>
      <c r="B12" s="11">
        <v>2024</v>
      </c>
      <c r="C12" s="127">
        <v>113</v>
      </c>
      <c r="D12" s="127">
        <v>118</v>
      </c>
      <c r="E12" s="141" t="s">
        <v>4</v>
      </c>
      <c r="F12" s="122">
        <v>125</v>
      </c>
      <c r="G12" s="123">
        <v>133</v>
      </c>
      <c r="H12" s="122">
        <v>133</v>
      </c>
      <c r="I12" s="122">
        <v>135</v>
      </c>
      <c r="J12" s="122">
        <v>135</v>
      </c>
      <c r="K12" s="122">
        <v>139</v>
      </c>
      <c r="L12" s="122">
        <v>135.76805385556915</v>
      </c>
      <c r="M12" s="121">
        <v>133</v>
      </c>
      <c r="N12" s="122">
        <v>150</v>
      </c>
    </row>
    <row r="13" spans="1:14" ht="12" customHeight="1" x14ac:dyDescent="0.3">
      <c r="A13" s="130"/>
      <c r="B13" s="131">
        <v>2025</v>
      </c>
      <c r="C13" s="132">
        <v>149</v>
      </c>
      <c r="D13" s="132">
        <v>147</v>
      </c>
      <c r="E13" s="133">
        <v>121</v>
      </c>
      <c r="F13" s="147" t="s">
        <v>140</v>
      </c>
      <c r="G13" s="147" t="s">
        <v>140</v>
      </c>
      <c r="H13" s="133">
        <v>121</v>
      </c>
      <c r="I13" s="133">
        <v>131</v>
      </c>
      <c r="J13" s="133">
        <v>131</v>
      </c>
      <c r="K13" s="124"/>
      <c r="L13" s="124"/>
      <c r="M13" s="135"/>
      <c r="N13" s="124"/>
    </row>
    <row r="14" spans="1:14" ht="12" customHeight="1" x14ac:dyDescent="0.3">
      <c r="A14" s="136" t="s">
        <v>91</v>
      </c>
      <c r="B14" s="11">
        <v>2018</v>
      </c>
      <c r="C14" s="122">
        <v>73</v>
      </c>
      <c r="D14" s="123">
        <v>71</v>
      </c>
      <c r="E14" s="122">
        <v>70.5</v>
      </c>
      <c r="F14" s="122">
        <v>71</v>
      </c>
      <c r="G14" s="126">
        <v>71.5</v>
      </c>
      <c r="H14" s="121">
        <v>71.5</v>
      </c>
      <c r="I14" s="121">
        <v>71.5</v>
      </c>
      <c r="J14" s="121">
        <v>72</v>
      </c>
      <c r="K14" s="121">
        <v>71.5</v>
      </c>
      <c r="L14" s="121">
        <v>71.5</v>
      </c>
      <c r="M14" s="121">
        <v>71.5</v>
      </c>
      <c r="N14" s="126">
        <v>69.5</v>
      </c>
    </row>
    <row r="15" spans="1:14" ht="12" customHeight="1" x14ac:dyDescent="0.3">
      <c r="A15" s="136"/>
      <c r="B15" s="11">
        <v>2019</v>
      </c>
      <c r="C15" s="121">
        <v>68</v>
      </c>
      <c r="D15" s="126">
        <v>66</v>
      </c>
      <c r="E15" s="121">
        <v>67</v>
      </c>
      <c r="F15" s="121">
        <v>67</v>
      </c>
      <c r="G15" s="126">
        <v>67</v>
      </c>
      <c r="H15" s="121">
        <v>70</v>
      </c>
      <c r="I15" s="121">
        <v>69.599999999999994</v>
      </c>
      <c r="J15" s="122">
        <v>70.5</v>
      </c>
      <c r="K15" s="122">
        <v>70</v>
      </c>
      <c r="L15" s="122">
        <v>71</v>
      </c>
      <c r="M15" s="122">
        <v>71</v>
      </c>
      <c r="N15" s="123">
        <v>82.5</v>
      </c>
    </row>
    <row r="16" spans="1:14" ht="12" customHeight="1" x14ac:dyDescent="0.3">
      <c r="A16" s="136"/>
      <c r="B16" s="11">
        <v>2020</v>
      </c>
      <c r="C16" s="122">
        <v>82.5</v>
      </c>
      <c r="D16" s="137" t="s">
        <v>4</v>
      </c>
      <c r="E16" s="128" t="s">
        <v>140</v>
      </c>
      <c r="F16" s="128" t="s">
        <v>140</v>
      </c>
      <c r="G16" s="137" t="s">
        <v>140</v>
      </c>
      <c r="H16" s="128" t="s">
        <v>140</v>
      </c>
      <c r="I16" s="128" t="s">
        <v>4</v>
      </c>
      <c r="J16" s="121">
        <v>90</v>
      </c>
      <c r="K16" s="121">
        <v>90</v>
      </c>
      <c r="L16" s="122">
        <v>80</v>
      </c>
      <c r="M16" s="122">
        <v>80</v>
      </c>
      <c r="N16" s="123">
        <v>82.5</v>
      </c>
    </row>
    <row r="17" spans="1:14" ht="12" customHeight="1" x14ac:dyDescent="0.3">
      <c r="A17" s="136"/>
      <c r="B17" s="11">
        <v>2021</v>
      </c>
      <c r="C17" s="122">
        <v>82</v>
      </c>
      <c r="D17" s="126">
        <v>90</v>
      </c>
      <c r="E17" s="121">
        <v>90</v>
      </c>
      <c r="F17" s="121">
        <v>90</v>
      </c>
      <c r="G17" s="126">
        <v>90</v>
      </c>
      <c r="H17" s="125">
        <v>90</v>
      </c>
      <c r="I17" s="121">
        <v>90</v>
      </c>
      <c r="J17" s="121">
        <v>90</v>
      </c>
      <c r="K17" s="121">
        <v>95</v>
      </c>
      <c r="L17" s="121">
        <v>90</v>
      </c>
      <c r="M17" s="122">
        <v>95</v>
      </c>
      <c r="N17" s="123">
        <v>95</v>
      </c>
    </row>
    <row r="18" spans="1:14" ht="12" customHeight="1" x14ac:dyDescent="0.3">
      <c r="A18" s="136"/>
      <c r="B18" s="11">
        <v>2022</v>
      </c>
      <c r="C18" s="122">
        <v>95</v>
      </c>
      <c r="D18" s="126">
        <v>97.5</v>
      </c>
      <c r="E18" s="122">
        <v>95</v>
      </c>
      <c r="F18" s="122">
        <v>95</v>
      </c>
      <c r="G18" s="126">
        <v>95</v>
      </c>
      <c r="H18" s="125">
        <v>95</v>
      </c>
      <c r="I18" s="125">
        <v>95</v>
      </c>
      <c r="J18" s="121">
        <v>100</v>
      </c>
      <c r="K18" s="125">
        <v>95</v>
      </c>
      <c r="L18" s="121">
        <v>100</v>
      </c>
      <c r="M18" s="121">
        <v>100</v>
      </c>
      <c r="N18" s="126">
        <v>100</v>
      </c>
    </row>
    <row r="19" spans="1:14" ht="12" customHeight="1" x14ac:dyDescent="0.3">
      <c r="A19" s="136"/>
      <c r="B19" s="11">
        <v>2023</v>
      </c>
      <c r="C19" s="122">
        <v>95</v>
      </c>
      <c r="D19" s="121">
        <v>97.5</v>
      </c>
      <c r="E19" s="122">
        <v>100</v>
      </c>
      <c r="F19" s="122">
        <v>90</v>
      </c>
      <c r="G19" s="123">
        <v>90</v>
      </c>
      <c r="H19" s="122">
        <v>90</v>
      </c>
      <c r="I19" s="125">
        <v>88</v>
      </c>
      <c r="J19" s="125">
        <v>88</v>
      </c>
      <c r="K19" s="125">
        <v>89</v>
      </c>
      <c r="L19" s="121">
        <v>95</v>
      </c>
      <c r="M19" s="121">
        <v>105</v>
      </c>
      <c r="N19" s="121">
        <v>93</v>
      </c>
    </row>
    <row r="20" spans="1:14" ht="12" customHeight="1" x14ac:dyDescent="0.3">
      <c r="A20" s="136"/>
      <c r="B20" s="11">
        <v>2024</v>
      </c>
      <c r="C20" s="122">
        <v>90</v>
      </c>
      <c r="D20" s="121">
        <v>90</v>
      </c>
      <c r="E20" s="122">
        <v>90</v>
      </c>
      <c r="F20" s="122">
        <v>92</v>
      </c>
      <c r="G20" s="123">
        <v>93</v>
      </c>
      <c r="H20" s="122">
        <v>95</v>
      </c>
      <c r="I20" s="125">
        <v>95</v>
      </c>
      <c r="J20" s="125">
        <v>100</v>
      </c>
      <c r="K20" s="125">
        <v>83</v>
      </c>
      <c r="L20" s="121">
        <v>98.25</v>
      </c>
      <c r="M20" s="121">
        <v>95</v>
      </c>
      <c r="N20" s="121">
        <v>95</v>
      </c>
    </row>
    <row r="21" spans="1:14" ht="12" customHeight="1" x14ac:dyDescent="0.3">
      <c r="A21" s="138"/>
      <c r="B21" s="131">
        <v>2025</v>
      </c>
      <c r="C21" s="124">
        <v>96</v>
      </c>
      <c r="D21" s="135">
        <v>87</v>
      </c>
      <c r="E21" s="124">
        <v>95</v>
      </c>
      <c r="F21" s="124">
        <v>103</v>
      </c>
      <c r="G21" s="124">
        <v>101</v>
      </c>
      <c r="H21" s="124">
        <v>102</v>
      </c>
      <c r="I21" s="124">
        <v>99</v>
      </c>
      <c r="J21" s="124">
        <v>97</v>
      </c>
      <c r="K21" s="139"/>
      <c r="L21" s="135"/>
      <c r="M21" s="135"/>
      <c r="N21" s="135"/>
    </row>
    <row r="22" spans="1:14" ht="12" customHeight="1" x14ac:dyDescent="0.3">
      <c r="A22" s="159" t="s">
        <v>5</v>
      </c>
      <c r="B22" s="11">
        <v>2024</v>
      </c>
      <c r="C22" s="129" t="s">
        <v>4</v>
      </c>
      <c r="D22" s="129" t="s">
        <v>4</v>
      </c>
      <c r="E22" s="122">
        <v>110</v>
      </c>
      <c r="F22" s="122">
        <v>110</v>
      </c>
      <c r="G22" s="123">
        <v>115</v>
      </c>
      <c r="H22" s="122">
        <v>133</v>
      </c>
      <c r="I22" s="125">
        <v>128</v>
      </c>
      <c r="J22" s="125">
        <v>128</v>
      </c>
      <c r="K22" s="125">
        <v>117</v>
      </c>
      <c r="L22" s="121">
        <v>116.66666666666667</v>
      </c>
      <c r="M22" s="121">
        <v>85</v>
      </c>
      <c r="N22" s="121">
        <v>115</v>
      </c>
    </row>
    <row r="23" spans="1:14" ht="12" customHeight="1" x14ac:dyDescent="0.3">
      <c r="A23" s="158"/>
      <c r="B23" s="131">
        <v>2025</v>
      </c>
      <c r="C23" s="124">
        <v>110</v>
      </c>
      <c r="D23" s="142">
        <v>100</v>
      </c>
      <c r="E23" s="124">
        <v>106</v>
      </c>
      <c r="F23" s="124">
        <v>112</v>
      </c>
      <c r="G23" s="124">
        <v>110</v>
      </c>
      <c r="H23" s="124">
        <v>111</v>
      </c>
      <c r="I23" s="124">
        <v>115</v>
      </c>
      <c r="J23" s="124">
        <v>116</v>
      </c>
      <c r="K23" s="139"/>
      <c r="L23" s="135"/>
      <c r="M23" s="135"/>
      <c r="N23" s="135"/>
    </row>
    <row r="24" spans="1:14" ht="12" customHeight="1" x14ac:dyDescent="0.3">
      <c r="A24" s="136" t="s">
        <v>109</v>
      </c>
      <c r="B24" s="11">
        <v>2018</v>
      </c>
      <c r="C24" s="122">
        <v>73</v>
      </c>
      <c r="D24" s="121">
        <v>68</v>
      </c>
      <c r="E24" s="122">
        <v>70</v>
      </c>
      <c r="F24" s="122">
        <v>70</v>
      </c>
      <c r="G24" s="126">
        <v>71</v>
      </c>
      <c r="H24" s="121">
        <v>71</v>
      </c>
      <c r="I24" s="121">
        <v>72.3</v>
      </c>
      <c r="J24" s="121">
        <v>71</v>
      </c>
      <c r="K24" s="121">
        <v>71</v>
      </c>
      <c r="L24" s="121">
        <v>74.5</v>
      </c>
      <c r="M24" s="121">
        <v>74.5</v>
      </c>
      <c r="N24" s="126">
        <v>74.5</v>
      </c>
    </row>
    <row r="25" spans="1:14" ht="12" customHeight="1" x14ac:dyDescent="0.3">
      <c r="A25" s="136"/>
      <c r="B25" s="11">
        <v>2019</v>
      </c>
      <c r="C25" s="121">
        <v>71</v>
      </c>
      <c r="D25" s="121">
        <v>72</v>
      </c>
      <c r="E25" s="121">
        <v>74</v>
      </c>
      <c r="F25" s="121">
        <v>74</v>
      </c>
      <c r="G25" s="126">
        <v>75</v>
      </c>
      <c r="H25" s="121">
        <v>75</v>
      </c>
      <c r="I25" s="121">
        <v>74.45</v>
      </c>
      <c r="J25" s="122">
        <v>74.5</v>
      </c>
      <c r="K25" s="122">
        <v>82.5</v>
      </c>
      <c r="L25" s="122">
        <v>82.5</v>
      </c>
      <c r="M25" s="122">
        <v>82.5</v>
      </c>
      <c r="N25" s="123">
        <v>100</v>
      </c>
    </row>
    <row r="26" spans="1:14" ht="12" customHeight="1" x14ac:dyDescent="0.3">
      <c r="A26" s="136"/>
      <c r="B26" s="11">
        <v>2020</v>
      </c>
      <c r="C26" s="122">
        <v>120</v>
      </c>
      <c r="D26" s="121">
        <v>112.5</v>
      </c>
      <c r="E26" s="121">
        <v>117.5</v>
      </c>
      <c r="F26" s="121">
        <v>117.5</v>
      </c>
      <c r="G26" s="126">
        <v>117.5</v>
      </c>
      <c r="H26" s="121">
        <v>117.5</v>
      </c>
      <c r="I26" s="121">
        <v>95</v>
      </c>
      <c r="J26" s="121">
        <v>95</v>
      </c>
      <c r="K26" s="122">
        <v>112.5</v>
      </c>
      <c r="L26" s="122">
        <v>120</v>
      </c>
      <c r="M26" s="122">
        <v>112.5</v>
      </c>
      <c r="N26" s="123">
        <v>112.5</v>
      </c>
    </row>
    <row r="27" spans="1:14" ht="12" customHeight="1" x14ac:dyDescent="0.3">
      <c r="A27" s="136"/>
      <c r="B27" s="11">
        <v>2021</v>
      </c>
      <c r="C27" s="122">
        <v>112.5</v>
      </c>
      <c r="D27" s="122">
        <v>107.5</v>
      </c>
      <c r="E27" s="121">
        <v>72.5</v>
      </c>
      <c r="F27" s="121">
        <v>72.5</v>
      </c>
      <c r="G27" s="126">
        <v>80</v>
      </c>
      <c r="H27" s="121">
        <v>90</v>
      </c>
      <c r="I27" s="121">
        <v>77.5</v>
      </c>
      <c r="J27" s="121">
        <v>105</v>
      </c>
      <c r="K27" s="121">
        <v>80</v>
      </c>
      <c r="L27" s="121">
        <v>80</v>
      </c>
      <c r="M27" s="122">
        <v>110</v>
      </c>
      <c r="N27" s="123">
        <v>110</v>
      </c>
    </row>
    <row r="28" spans="1:14" ht="12" customHeight="1" x14ac:dyDescent="0.3">
      <c r="A28" s="136"/>
      <c r="B28" s="11">
        <v>2022</v>
      </c>
      <c r="C28" s="122">
        <v>102.5</v>
      </c>
      <c r="D28" s="121">
        <v>80</v>
      </c>
      <c r="E28" s="121">
        <v>85</v>
      </c>
      <c r="F28" s="121">
        <v>85</v>
      </c>
      <c r="G28" s="126">
        <v>85</v>
      </c>
      <c r="H28" s="121">
        <v>85</v>
      </c>
      <c r="I28" s="121">
        <v>85</v>
      </c>
      <c r="J28" s="121">
        <v>85</v>
      </c>
      <c r="K28" s="121">
        <v>105</v>
      </c>
      <c r="L28" s="121">
        <v>115</v>
      </c>
      <c r="M28" s="122">
        <v>90</v>
      </c>
      <c r="N28" s="123">
        <v>95</v>
      </c>
    </row>
    <row r="29" spans="1:14" ht="12" customHeight="1" x14ac:dyDescent="0.3">
      <c r="A29" s="136"/>
      <c r="B29" s="11">
        <v>2023</v>
      </c>
      <c r="C29" s="122">
        <v>100</v>
      </c>
      <c r="D29" s="121">
        <v>80</v>
      </c>
      <c r="E29" s="121">
        <v>80</v>
      </c>
      <c r="F29" s="121">
        <v>85</v>
      </c>
      <c r="G29" s="126">
        <v>90</v>
      </c>
      <c r="H29" s="121">
        <v>105</v>
      </c>
      <c r="I29" s="121">
        <v>105</v>
      </c>
      <c r="J29" s="121">
        <v>105</v>
      </c>
      <c r="K29" s="121">
        <v>105</v>
      </c>
      <c r="L29" s="121">
        <v>125</v>
      </c>
      <c r="M29" s="122">
        <v>120</v>
      </c>
      <c r="N29" s="122">
        <v>120</v>
      </c>
    </row>
    <row r="30" spans="1:14" ht="12" customHeight="1" x14ac:dyDescent="0.3">
      <c r="A30" s="136"/>
      <c r="B30" s="11">
        <v>2024</v>
      </c>
      <c r="C30" s="122">
        <v>115</v>
      </c>
      <c r="D30" s="121">
        <v>120</v>
      </c>
      <c r="E30" s="121">
        <v>130</v>
      </c>
      <c r="F30" s="121">
        <v>120</v>
      </c>
      <c r="G30" s="126">
        <v>120</v>
      </c>
      <c r="H30" s="121">
        <v>120</v>
      </c>
      <c r="I30" s="121">
        <v>120</v>
      </c>
      <c r="J30" s="121">
        <v>120</v>
      </c>
      <c r="K30" s="121">
        <v>106</v>
      </c>
      <c r="L30" s="121">
        <v>99.324362041467325</v>
      </c>
      <c r="M30" s="122">
        <v>84</v>
      </c>
      <c r="N30" s="122">
        <v>81</v>
      </c>
    </row>
    <row r="31" spans="1:14" ht="12" customHeight="1" x14ac:dyDescent="0.3">
      <c r="A31" s="138"/>
      <c r="B31" s="131">
        <v>2025</v>
      </c>
      <c r="C31" s="124">
        <v>85</v>
      </c>
      <c r="D31" s="135">
        <v>88</v>
      </c>
      <c r="E31" s="135">
        <v>86</v>
      </c>
      <c r="F31" s="135">
        <v>83</v>
      </c>
      <c r="G31" s="135">
        <v>81</v>
      </c>
      <c r="H31" s="135">
        <v>86</v>
      </c>
      <c r="I31" s="135">
        <v>89</v>
      </c>
      <c r="J31" s="135">
        <v>89</v>
      </c>
      <c r="K31" s="135"/>
      <c r="L31" s="135"/>
      <c r="M31" s="124"/>
      <c r="N31" s="124"/>
    </row>
    <row r="32" spans="1:14" ht="12" customHeight="1" x14ac:dyDescent="0.3">
      <c r="A32" s="28" t="s">
        <v>110</v>
      </c>
      <c r="B32" s="11">
        <v>2018</v>
      </c>
      <c r="C32" s="122">
        <v>60</v>
      </c>
      <c r="D32" s="122">
        <v>60</v>
      </c>
      <c r="E32" s="122">
        <v>60</v>
      </c>
      <c r="F32" s="122">
        <v>60</v>
      </c>
      <c r="G32" s="123">
        <v>60</v>
      </c>
      <c r="H32" s="122">
        <v>60</v>
      </c>
      <c r="I32" s="121">
        <v>60.269230769230766</v>
      </c>
      <c r="J32" s="122">
        <v>60</v>
      </c>
      <c r="K32" s="122">
        <v>60</v>
      </c>
      <c r="L32" s="122">
        <v>60</v>
      </c>
      <c r="M32" s="122">
        <v>60</v>
      </c>
      <c r="N32" s="123">
        <v>60</v>
      </c>
    </row>
    <row r="33" spans="1:14" ht="12" customHeight="1" x14ac:dyDescent="0.3">
      <c r="A33" s="136"/>
      <c r="B33" s="11">
        <v>2019</v>
      </c>
      <c r="C33" s="121">
        <v>61</v>
      </c>
      <c r="D33" s="121">
        <v>61</v>
      </c>
      <c r="E33" s="121">
        <v>61</v>
      </c>
      <c r="F33" s="121">
        <v>63</v>
      </c>
      <c r="G33" s="126">
        <v>69</v>
      </c>
      <c r="H33" s="121">
        <v>61</v>
      </c>
      <c r="I33" s="121">
        <v>60.653846153846153</v>
      </c>
      <c r="J33" s="122">
        <v>63</v>
      </c>
      <c r="K33" s="122">
        <v>60</v>
      </c>
      <c r="L33" s="121">
        <v>77.5</v>
      </c>
      <c r="M33" s="122">
        <v>72.5</v>
      </c>
      <c r="N33" s="123">
        <v>80</v>
      </c>
    </row>
    <row r="34" spans="1:14" ht="12" customHeight="1" x14ac:dyDescent="0.3">
      <c r="A34" s="136"/>
      <c r="B34" s="11">
        <v>2020</v>
      </c>
      <c r="C34" s="122">
        <v>102.5</v>
      </c>
      <c r="D34" s="128" t="s">
        <v>4</v>
      </c>
      <c r="E34" s="128" t="s">
        <v>140</v>
      </c>
      <c r="F34" s="128" t="s">
        <v>140</v>
      </c>
      <c r="G34" s="137" t="s">
        <v>140</v>
      </c>
      <c r="H34" s="121">
        <v>107</v>
      </c>
      <c r="I34" s="121">
        <v>100.25</v>
      </c>
      <c r="J34" s="122">
        <v>89</v>
      </c>
      <c r="K34" s="122">
        <v>102.5</v>
      </c>
      <c r="L34" s="122">
        <v>102.5</v>
      </c>
      <c r="M34" s="122">
        <v>80</v>
      </c>
      <c r="N34" s="123">
        <v>80</v>
      </c>
    </row>
    <row r="35" spans="1:14" ht="12" customHeight="1" x14ac:dyDescent="0.3">
      <c r="A35" s="136"/>
      <c r="B35" s="11">
        <v>2021</v>
      </c>
      <c r="C35" s="122">
        <v>100</v>
      </c>
      <c r="D35" s="122">
        <v>100</v>
      </c>
      <c r="E35" s="122">
        <v>100</v>
      </c>
      <c r="F35" s="121">
        <v>95</v>
      </c>
      <c r="G35" s="123">
        <v>100</v>
      </c>
      <c r="H35" s="128" t="s">
        <v>140</v>
      </c>
      <c r="I35" s="125">
        <v>112.5</v>
      </c>
      <c r="J35" s="121">
        <v>107.5</v>
      </c>
      <c r="K35" s="121">
        <v>107.5</v>
      </c>
      <c r="L35" s="121">
        <v>107.5</v>
      </c>
      <c r="M35" s="122">
        <v>95</v>
      </c>
      <c r="N35" s="122">
        <v>95</v>
      </c>
    </row>
    <row r="36" spans="1:14" ht="12" customHeight="1" x14ac:dyDescent="0.3">
      <c r="A36" s="136"/>
      <c r="B36" s="11">
        <v>2022</v>
      </c>
      <c r="C36" s="122">
        <v>122.5</v>
      </c>
      <c r="D36" s="122">
        <v>110.5</v>
      </c>
      <c r="E36" s="122">
        <v>107.5</v>
      </c>
      <c r="F36" s="121">
        <v>95</v>
      </c>
      <c r="G36" s="123">
        <v>106</v>
      </c>
      <c r="H36" s="121">
        <v>112.5</v>
      </c>
      <c r="I36" s="121">
        <v>113</v>
      </c>
      <c r="J36" s="121">
        <v>113</v>
      </c>
      <c r="K36" s="121">
        <v>112.5</v>
      </c>
      <c r="L36" s="121">
        <v>113</v>
      </c>
      <c r="M36" s="122">
        <v>120</v>
      </c>
      <c r="N36" s="123">
        <v>113</v>
      </c>
    </row>
    <row r="37" spans="1:14" ht="12" customHeight="1" x14ac:dyDescent="0.3">
      <c r="A37" s="136"/>
      <c r="B37" s="11">
        <v>2023</v>
      </c>
      <c r="C37" s="141" t="s">
        <v>4</v>
      </c>
      <c r="D37" s="122">
        <v>82</v>
      </c>
      <c r="E37" s="122">
        <v>82</v>
      </c>
      <c r="F37" s="122">
        <v>82</v>
      </c>
      <c r="G37" s="123">
        <v>82</v>
      </c>
      <c r="H37" s="121">
        <v>81</v>
      </c>
      <c r="I37" s="121">
        <v>86</v>
      </c>
      <c r="J37" s="121">
        <v>86</v>
      </c>
      <c r="K37" s="121">
        <v>90</v>
      </c>
      <c r="L37" s="121">
        <v>93</v>
      </c>
      <c r="M37" s="122">
        <v>91</v>
      </c>
      <c r="N37" s="122">
        <v>93</v>
      </c>
    </row>
    <row r="38" spans="1:14" ht="12" customHeight="1" x14ac:dyDescent="0.3">
      <c r="A38" s="136"/>
      <c r="B38" s="11">
        <v>2024</v>
      </c>
      <c r="C38" s="122">
        <v>93</v>
      </c>
      <c r="D38" s="122">
        <v>118</v>
      </c>
      <c r="E38" s="122">
        <v>106</v>
      </c>
      <c r="F38" s="122">
        <v>118</v>
      </c>
      <c r="G38" s="123">
        <v>100</v>
      </c>
      <c r="H38" s="121">
        <v>118</v>
      </c>
      <c r="I38" s="121">
        <v>118</v>
      </c>
      <c r="J38" s="121">
        <v>115</v>
      </c>
      <c r="K38" s="121">
        <v>96.5</v>
      </c>
      <c r="L38" s="121">
        <v>89.122340425531917</v>
      </c>
      <c r="M38" s="122">
        <v>85</v>
      </c>
      <c r="N38" s="123">
        <v>124</v>
      </c>
    </row>
    <row r="39" spans="1:14" ht="12" customHeight="1" x14ac:dyDescent="0.3">
      <c r="A39" s="138"/>
      <c r="B39" s="131">
        <v>2025</v>
      </c>
      <c r="C39" s="124">
        <v>112</v>
      </c>
      <c r="D39" s="124">
        <v>106</v>
      </c>
      <c r="E39" s="124">
        <v>97</v>
      </c>
      <c r="F39" s="124">
        <v>96</v>
      </c>
      <c r="G39" s="124">
        <v>104</v>
      </c>
      <c r="H39" s="135">
        <v>97</v>
      </c>
      <c r="I39" s="135">
        <v>95</v>
      </c>
      <c r="J39" s="135">
        <v>94</v>
      </c>
      <c r="K39" s="135"/>
      <c r="L39" s="135"/>
      <c r="M39" s="124"/>
      <c r="N39" s="134"/>
    </row>
    <row r="40" spans="1:14" ht="12" customHeight="1" x14ac:dyDescent="0.3">
      <c r="A40" s="136" t="s">
        <v>141</v>
      </c>
      <c r="B40" s="11">
        <v>2018</v>
      </c>
      <c r="C40" s="122">
        <v>64</v>
      </c>
      <c r="D40" s="123">
        <v>64</v>
      </c>
      <c r="E40" s="122">
        <v>62</v>
      </c>
      <c r="F40" s="121">
        <v>63</v>
      </c>
      <c r="G40" s="123">
        <v>62</v>
      </c>
      <c r="H40" s="121">
        <v>66</v>
      </c>
      <c r="I40" s="121">
        <v>65.13636363636364</v>
      </c>
      <c r="J40" s="121">
        <v>63</v>
      </c>
      <c r="K40" s="128" t="s">
        <v>140</v>
      </c>
      <c r="L40" s="121">
        <v>65</v>
      </c>
      <c r="M40" s="121">
        <v>65</v>
      </c>
      <c r="N40" s="126">
        <v>66</v>
      </c>
    </row>
    <row r="41" spans="1:14" ht="12" customHeight="1" x14ac:dyDescent="0.3">
      <c r="A41" s="136"/>
      <c r="B41" s="11">
        <v>2019</v>
      </c>
      <c r="C41" s="121">
        <v>72</v>
      </c>
      <c r="D41" s="126">
        <v>71</v>
      </c>
      <c r="E41" s="121">
        <v>71</v>
      </c>
      <c r="F41" s="121">
        <v>70</v>
      </c>
      <c r="G41" s="126">
        <v>68.5</v>
      </c>
      <c r="H41" s="121">
        <v>69.5</v>
      </c>
      <c r="I41" s="121">
        <v>69.5</v>
      </c>
      <c r="J41" s="122">
        <v>69</v>
      </c>
      <c r="K41" s="122">
        <v>82</v>
      </c>
      <c r="L41" s="122">
        <v>83</v>
      </c>
      <c r="M41" s="122">
        <v>83</v>
      </c>
      <c r="N41" s="123">
        <v>83</v>
      </c>
    </row>
    <row r="42" spans="1:14" ht="12" customHeight="1" x14ac:dyDescent="0.3">
      <c r="A42" s="136"/>
      <c r="B42" s="11">
        <v>2020</v>
      </c>
      <c r="C42" s="122">
        <v>83</v>
      </c>
      <c r="D42" s="137" t="s">
        <v>4</v>
      </c>
      <c r="E42" s="128" t="s">
        <v>140</v>
      </c>
      <c r="F42" s="128" t="s">
        <v>140</v>
      </c>
      <c r="G42" s="137" t="s">
        <v>140</v>
      </c>
      <c r="H42" s="128" t="s">
        <v>140</v>
      </c>
      <c r="I42" s="128" t="s">
        <v>4</v>
      </c>
      <c r="J42" s="128" t="s">
        <v>140</v>
      </c>
      <c r="K42" s="128" t="s">
        <v>140</v>
      </c>
      <c r="L42" s="128" t="s">
        <v>140</v>
      </c>
      <c r="M42" s="128" t="s">
        <v>140</v>
      </c>
      <c r="N42" s="137" t="s">
        <v>140</v>
      </c>
    </row>
    <row r="43" spans="1:14" ht="12" customHeight="1" x14ac:dyDescent="0.3">
      <c r="A43" s="136"/>
      <c r="B43" s="11">
        <v>2021</v>
      </c>
      <c r="C43" s="128" t="s">
        <v>140</v>
      </c>
      <c r="D43" s="137" t="s">
        <v>4</v>
      </c>
      <c r="E43" s="128" t="s">
        <v>140</v>
      </c>
      <c r="F43" s="128" t="s">
        <v>140</v>
      </c>
      <c r="G43" s="137" t="s">
        <v>140</v>
      </c>
      <c r="H43" s="128" t="s">
        <v>140</v>
      </c>
      <c r="I43" s="125">
        <v>77.5</v>
      </c>
      <c r="J43" s="125">
        <v>77.5</v>
      </c>
      <c r="K43" s="128" t="s">
        <v>140</v>
      </c>
      <c r="L43" s="128" t="s">
        <v>140</v>
      </c>
      <c r="M43" s="122">
        <v>77.5</v>
      </c>
      <c r="N43" s="137" t="s">
        <v>140</v>
      </c>
    </row>
    <row r="44" spans="1:14" ht="12" customHeight="1" x14ac:dyDescent="0.3">
      <c r="A44" s="136"/>
      <c r="B44" s="11">
        <v>2022</v>
      </c>
      <c r="C44" s="122">
        <v>75</v>
      </c>
      <c r="D44" s="123">
        <v>77.5</v>
      </c>
      <c r="E44" s="122">
        <v>90</v>
      </c>
      <c r="F44" s="121">
        <v>77.5</v>
      </c>
      <c r="G44" s="126">
        <v>77.5</v>
      </c>
      <c r="H44" s="121">
        <v>77.5</v>
      </c>
      <c r="I44" s="121">
        <v>77.5</v>
      </c>
      <c r="J44" s="121">
        <v>77.5</v>
      </c>
      <c r="K44" s="121">
        <v>77.5</v>
      </c>
      <c r="L44" s="121">
        <v>77.5</v>
      </c>
      <c r="M44" s="128" t="s">
        <v>140</v>
      </c>
      <c r="N44" s="126">
        <v>77.5</v>
      </c>
    </row>
    <row r="45" spans="1:14" ht="12" customHeight="1" x14ac:dyDescent="0.3">
      <c r="A45" s="136"/>
      <c r="B45" s="11">
        <v>2023</v>
      </c>
      <c r="C45" s="122">
        <v>77.5</v>
      </c>
      <c r="D45" s="122">
        <v>77.5</v>
      </c>
      <c r="E45" s="122">
        <v>77.5</v>
      </c>
      <c r="F45" s="128" t="s">
        <v>140</v>
      </c>
      <c r="G45" s="137" t="s">
        <v>140</v>
      </c>
      <c r="H45" s="121">
        <v>77.5</v>
      </c>
      <c r="I45" s="121">
        <v>78</v>
      </c>
      <c r="J45" s="121">
        <v>78</v>
      </c>
      <c r="K45" s="121">
        <v>78</v>
      </c>
      <c r="L45" s="121">
        <v>78</v>
      </c>
      <c r="M45" s="121">
        <v>78</v>
      </c>
      <c r="N45" s="121">
        <v>90</v>
      </c>
    </row>
    <row r="46" spans="1:14" ht="12" customHeight="1" x14ac:dyDescent="0.3">
      <c r="A46" s="136"/>
      <c r="B46" s="11">
        <v>2024</v>
      </c>
      <c r="C46" s="122">
        <v>90</v>
      </c>
      <c r="D46" s="122">
        <v>90</v>
      </c>
      <c r="E46" s="122">
        <v>90</v>
      </c>
      <c r="F46" s="121">
        <v>90</v>
      </c>
      <c r="G46" s="126">
        <v>90</v>
      </c>
      <c r="H46" s="121">
        <v>90</v>
      </c>
      <c r="I46" s="121">
        <v>85</v>
      </c>
      <c r="J46" s="121">
        <v>90</v>
      </c>
      <c r="K46" s="121">
        <v>86</v>
      </c>
      <c r="L46" s="129" t="s">
        <v>4</v>
      </c>
      <c r="M46" s="129" t="s">
        <v>4</v>
      </c>
      <c r="N46" s="129" t="s">
        <v>4</v>
      </c>
    </row>
    <row r="47" spans="1:14" ht="12" customHeight="1" x14ac:dyDescent="0.3">
      <c r="A47" s="138"/>
      <c r="B47" s="131">
        <v>2025</v>
      </c>
      <c r="C47" s="147" t="s">
        <v>140</v>
      </c>
      <c r="D47" s="147" t="s">
        <v>140</v>
      </c>
      <c r="E47" s="147" t="s">
        <v>140</v>
      </c>
      <c r="F47" s="147" t="s">
        <v>140</v>
      </c>
      <c r="G47" s="147" t="s">
        <v>140</v>
      </c>
      <c r="H47" s="147" t="s">
        <v>140</v>
      </c>
      <c r="I47" s="147" t="s">
        <v>140</v>
      </c>
      <c r="J47" s="147" t="s">
        <v>140</v>
      </c>
      <c r="K47" s="135"/>
      <c r="L47" s="142"/>
      <c r="M47" s="142"/>
      <c r="N47" s="135"/>
    </row>
    <row r="48" spans="1:14" ht="12" customHeight="1" x14ac:dyDescent="0.3">
      <c r="A48" s="15" t="s">
        <v>17</v>
      </c>
      <c r="B48" s="11">
        <v>2018</v>
      </c>
      <c r="C48" s="122">
        <v>70</v>
      </c>
      <c r="D48" s="123">
        <v>70</v>
      </c>
      <c r="E48" s="122">
        <v>70</v>
      </c>
      <c r="F48" s="121">
        <v>71</v>
      </c>
      <c r="G48" s="126">
        <v>73</v>
      </c>
      <c r="H48" s="121">
        <v>73</v>
      </c>
      <c r="I48" s="121">
        <v>72.900000000000006</v>
      </c>
      <c r="J48" s="121">
        <v>73</v>
      </c>
      <c r="K48" s="121">
        <v>73</v>
      </c>
      <c r="L48" s="121">
        <v>75</v>
      </c>
      <c r="M48" s="121">
        <v>75</v>
      </c>
      <c r="N48" s="126">
        <v>74</v>
      </c>
    </row>
    <row r="49" spans="1:14" ht="12" customHeight="1" x14ac:dyDescent="0.3">
      <c r="A49" s="15"/>
      <c r="B49" s="11">
        <v>2019</v>
      </c>
      <c r="C49" s="121">
        <v>74</v>
      </c>
      <c r="D49" s="126">
        <v>74</v>
      </c>
      <c r="E49" s="121">
        <v>74</v>
      </c>
      <c r="F49" s="121">
        <v>74</v>
      </c>
      <c r="G49" s="126">
        <v>74</v>
      </c>
      <c r="H49" s="121">
        <v>74</v>
      </c>
      <c r="I49" s="121">
        <v>74.285714285714292</v>
      </c>
      <c r="J49" s="121">
        <v>74</v>
      </c>
      <c r="K49" s="122">
        <v>75</v>
      </c>
      <c r="L49" s="122">
        <v>75</v>
      </c>
      <c r="M49" s="122">
        <v>75</v>
      </c>
      <c r="N49" s="123">
        <v>75</v>
      </c>
    </row>
    <row r="50" spans="1:14" ht="12" customHeight="1" x14ac:dyDescent="0.3">
      <c r="A50" s="15"/>
      <c r="B50" s="11">
        <v>2020</v>
      </c>
      <c r="C50" s="122">
        <v>75</v>
      </c>
      <c r="D50" s="137" t="s">
        <v>4</v>
      </c>
      <c r="E50" s="128" t="s">
        <v>140</v>
      </c>
      <c r="F50" s="128" t="s">
        <v>140</v>
      </c>
      <c r="G50" s="123">
        <v>75</v>
      </c>
      <c r="H50" s="122">
        <v>75</v>
      </c>
      <c r="I50" s="122">
        <v>75</v>
      </c>
      <c r="J50" s="125">
        <v>75</v>
      </c>
      <c r="K50" s="128" t="s">
        <v>140</v>
      </c>
      <c r="L50" s="122">
        <v>75</v>
      </c>
      <c r="M50" s="122">
        <v>75</v>
      </c>
      <c r="N50" s="123">
        <v>75</v>
      </c>
    </row>
    <row r="51" spans="1:14" ht="12" customHeight="1" x14ac:dyDescent="0.3">
      <c r="A51" s="15"/>
      <c r="B51" s="11">
        <v>2021</v>
      </c>
      <c r="C51" s="122">
        <v>75</v>
      </c>
      <c r="D51" s="123">
        <v>75</v>
      </c>
      <c r="E51" s="122">
        <v>75</v>
      </c>
      <c r="F51" s="122">
        <v>75</v>
      </c>
      <c r="G51" s="123">
        <v>75</v>
      </c>
      <c r="H51" s="122">
        <v>75</v>
      </c>
      <c r="I51" s="122">
        <v>75</v>
      </c>
      <c r="J51" s="122">
        <v>75</v>
      </c>
      <c r="K51" s="122">
        <v>75</v>
      </c>
      <c r="L51" s="122">
        <v>75</v>
      </c>
      <c r="M51" s="122">
        <v>75</v>
      </c>
      <c r="N51" s="123">
        <v>85</v>
      </c>
    </row>
    <row r="52" spans="1:14" ht="12" customHeight="1" x14ac:dyDescent="0.3">
      <c r="A52" s="15"/>
      <c r="B52" s="11">
        <v>2022</v>
      </c>
      <c r="C52" s="122">
        <v>85</v>
      </c>
      <c r="D52" s="123">
        <v>85</v>
      </c>
      <c r="E52" s="122">
        <v>85</v>
      </c>
      <c r="F52" s="122">
        <v>85</v>
      </c>
      <c r="G52" s="123">
        <v>85</v>
      </c>
      <c r="H52" s="122">
        <v>85</v>
      </c>
      <c r="I52" s="122">
        <v>85</v>
      </c>
      <c r="J52" s="122">
        <v>85</v>
      </c>
      <c r="K52" s="122">
        <v>85</v>
      </c>
      <c r="L52" s="122">
        <v>85</v>
      </c>
      <c r="M52" s="122">
        <v>85</v>
      </c>
      <c r="N52" s="123">
        <v>85</v>
      </c>
    </row>
    <row r="53" spans="1:14" ht="12" customHeight="1" x14ac:dyDescent="0.3">
      <c r="A53" s="15"/>
      <c r="B53" s="11">
        <v>2023</v>
      </c>
      <c r="C53" s="122">
        <v>85</v>
      </c>
      <c r="D53" s="122">
        <v>85</v>
      </c>
      <c r="E53" s="122">
        <v>85</v>
      </c>
      <c r="F53" s="122">
        <v>85</v>
      </c>
      <c r="G53" s="123">
        <v>85</v>
      </c>
      <c r="H53" s="122">
        <v>85</v>
      </c>
      <c r="I53" s="122">
        <v>85</v>
      </c>
      <c r="J53" s="122">
        <v>85</v>
      </c>
      <c r="K53" s="122">
        <v>85</v>
      </c>
      <c r="L53" s="122">
        <v>85</v>
      </c>
      <c r="M53" s="122">
        <v>85</v>
      </c>
      <c r="N53" s="122">
        <v>85</v>
      </c>
    </row>
    <row r="54" spans="1:14" ht="12" customHeight="1" x14ac:dyDescent="0.3">
      <c r="A54" s="15"/>
      <c r="B54" s="11">
        <v>2024</v>
      </c>
      <c r="C54" s="122">
        <v>85</v>
      </c>
      <c r="D54" s="122">
        <v>90</v>
      </c>
      <c r="E54" s="122">
        <v>90</v>
      </c>
      <c r="F54" s="122">
        <v>90</v>
      </c>
      <c r="G54" s="123">
        <v>90</v>
      </c>
      <c r="H54" s="122">
        <v>90</v>
      </c>
      <c r="I54" s="122">
        <v>90</v>
      </c>
      <c r="J54" s="122">
        <v>90</v>
      </c>
      <c r="K54" s="122">
        <v>84</v>
      </c>
      <c r="L54" s="122">
        <v>94.622107864552547</v>
      </c>
      <c r="M54" s="122">
        <v>90</v>
      </c>
      <c r="N54" s="122">
        <v>92</v>
      </c>
    </row>
    <row r="55" spans="1:14" ht="12" customHeight="1" x14ac:dyDescent="0.3">
      <c r="A55" s="130"/>
      <c r="B55" s="131">
        <v>2025</v>
      </c>
      <c r="C55" s="124">
        <v>104</v>
      </c>
      <c r="D55" s="124">
        <v>95</v>
      </c>
      <c r="E55" s="124">
        <v>106</v>
      </c>
      <c r="F55" s="124">
        <v>98</v>
      </c>
      <c r="G55" s="124">
        <v>91</v>
      </c>
      <c r="H55" s="124">
        <v>90</v>
      </c>
      <c r="I55" s="124">
        <v>89</v>
      </c>
      <c r="J55" s="124">
        <v>89</v>
      </c>
      <c r="K55" s="124"/>
      <c r="L55" s="124"/>
      <c r="M55" s="124"/>
      <c r="N55" s="124"/>
    </row>
    <row r="56" spans="1:14" ht="12" customHeight="1" x14ac:dyDescent="0.3">
      <c r="A56" s="15" t="s">
        <v>21</v>
      </c>
      <c r="B56" s="11">
        <v>2018</v>
      </c>
      <c r="C56" s="122">
        <v>86.571428571428569</v>
      </c>
      <c r="D56" s="123">
        <v>86.5</v>
      </c>
      <c r="E56" s="122">
        <v>82</v>
      </c>
      <c r="F56" s="121">
        <v>89</v>
      </c>
      <c r="G56" s="126">
        <v>89</v>
      </c>
      <c r="H56" s="121">
        <v>84</v>
      </c>
      <c r="I56" s="121">
        <v>83.357142857142861</v>
      </c>
      <c r="J56" s="121">
        <v>96</v>
      </c>
      <c r="K56" s="121">
        <v>96</v>
      </c>
      <c r="L56" s="121">
        <v>97</v>
      </c>
      <c r="M56" s="121">
        <v>97</v>
      </c>
      <c r="N56" s="126">
        <v>94.6</v>
      </c>
    </row>
    <row r="57" spans="1:14" ht="12" customHeight="1" x14ac:dyDescent="0.3">
      <c r="A57" s="15"/>
      <c r="B57" s="11">
        <v>2019</v>
      </c>
      <c r="C57" s="121">
        <v>95</v>
      </c>
      <c r="D57" s="126">
        <v>97</v>
      </c>
      <c r="E57" s="121">
        <v>98</v>
      </c>
      <c r="F57" s="121">
        <v>98</v>
      </c>
      <c r="G57" s="126">
        <v>99</v>
      </c>
      <c r="H57" s="121">
        <v>98</v>
      </c>
      <c r="I57" s="121">
        <v>97.055555555555557</v>
      </c>
      <c r="J57" s="122">
        <v>97</v>
      </c>
      <c r="K57" s="122">
        <v>100</v>
      </c>
      <c r="L57" s="122">
        <v>100</v>
      </c>
      <c r="M57" s="122">
        <v>100</v>
      </c>
      <c r="N57" s="123">
        <v>105</v>
      </c>
    </row>
    <row r="58" spans="1:14" ht="12" customHeight="1" x14ac:dyDescent="0.3">
      <c r="A58" s="15"/>
      <c r="B58" s="11">
        <v>2020</v>
      </c>
      <c r="C58" s="121">
        <v>100</v>
      </c>
      <c r="D58" s="126">
        <v>95</v>
      </c>
      <c r="E58" s="128" t="s">
        <v>140</v>
      </c>
      <c r="F58" s="121">
        <v>90</v>
      </c>
      <c r="G58" s="126">
        <v>100</v>
      </c>
      <c r="H58" s="121">
        <v>100</v>
      </c>
      <c r="I58" s="121">
        <v>100</v>
      </c>
      <c r="J58" s="121">
        <v>100</v>
      </c>
      <c r="K58" s="121">
        <v>100</v>
      </c>
      <c r="L58" s="121">
        <v>100</v>
      </c>
      <c r="M58" s="122">
        <v>95</v>
      </c>
      <c r="N58" s="123">
        <v>100</v>
      </c>
    </row>
    <row r="59" spans="1:14" ht="12" customHeight="1" x14ac:dyDescent="0.3">
      <c r="A59" s="15"/>
      <c r="B59" s="11">
        <v>2021</v>
      </c>
      <c r="C59" s="121">
        <v>105</v>
      </c>
      <c r="D59" s="126">
        <v>100</v>
      </c>
      <c r="E59" s="121">
        <v>105</v>
      </c>
      <c r="F59" s="121">
        <v>100</v>
      </c>
      <c r="G59" s="126">
        <v>100</v>
      </c>
      <c r="H59" s="121">
        <v>100</v>
      </c>
      <c r="I59" s="121">
        <v>100</v>
      </c>
      <c r="J59" s="121">
        <v>125</v>
      </c>
      <c r="K59" s="121">
        <v>110</v>
      </c>
      <c r="L59" s="122">
        <v>95</v>
      </c>
      <c r="M59" s="122">
        <v>100</v>
      </c>
      <c r="N59" s="123">
        <v>105</v>
      </c>
    </row>
    <row r="60" spans="1:14" ht="12" customHeight="1" x14ac:dyDescent="0.3">
      <c r="A60" s="15"/>
      <c r="B60" s="11">
        <v>2022</v>
      </c>
      <c r="C60" s="121">
        <v>125</v>
      </c>
      <c r="D60" s="126">
        <v>125</v>
      </c>
      <c r="E60" s="121">
        <v>150</v>
      </c>
      <c r="F60" s="121">
        <v>125</v>
      </c>
      <c r="G60" s="126">
        <v>117.5</v>
      </c>
      <c r="H60" s="121">
        <v>145</v>
      </c>
      <c r="I60" s="121">
        <v>145</v>
      </c>
      <c r="J60" s="121">
        <v>140</v>
      </c>
      <c r="K60" s="121">
        <v>140</v>
      </c>
      <c r="L60" s="122">
        <v>135</v>
      </c>
      <c r="M60" s="122">
        <v>135</v>
      </c>
      <c r="N60" s="123">
        <v>130</v>
      </c>
    </row>
    <row r="61" spans="1:14" ht="12" customHeight="1" x14ac:dyDescent="0.3">
      <c r="A61" s="15"/>
      <c r="B61" s="11">
        <v>2023</v>
      </c>
      <c r="C61" s="121">
        <v>130</v>
      </c>
      <c r="D61" s="121">
        <v>130</v>
      </c>
      <c r="E61" s="121">
        <v>130</v>
      </c>
      <c r="F61" s="121">
        <v>130</v>
      </c>
      <c r="G61" s="126">
        <v>140</v>
      </c>
      <c r="H61" s="121">
        <v>135</v>
      </c>
      <c r="I61" s="121">
        <v>125</v>
      </c>
      <c r="J61" s="121">
        <v>125</v>
      </c>
      <c r="K61" s="121">
        <v>130</v>
      </c>
      <c r="L61" s="122">
        <v>130</v>
      </c>
      <c r="M61" s="122">
        <v>130</v>
      </c>
      <c r="N61" s="122">
        <v>133</v>
      </c>
    </row>
    <row r="62" spans="1:14" ht="12" customHeight="1" x14ac:dyDescent="0.3">
      <c r="A62" s="15"/>
      <c r="B62" s="11">
        <v>2024</v>
      </c>
      <c r="C62" s="122">
        <v>133</v>
      </c>
      <c r="D62" s="121">
        <v>133</v>
      </c>
      <c r="E62" s="121">
        <v>135</v>
      </c>
      <c r="F62" s="121">
        <v>130</v>
      </c>
      <c r="G62" s="126">
        <v>135</v>
      </c>
      <c r="H62" s="121">
        <v>135</v>
      </c>
      <c r="I62" s="121">
        <v>135</v>
      </c>
      <c r="J62" s="121">
        <v>125</v>
      </c>
      <c r="K62" s="121">
        <v>134</v>
      </c>
      <c r="L62" s="122">
        <v>140.90105646847132</v>
      </c>
      <c r="M62" s="122">
        <v>138.5</v>
      </c>
      <c r="N62" s="122">
        <v>132</v>
      </c>
    </row>
    <row r="63" spans="1:14" ht="12" customHeight="1" x14ac:dyDescent="0.3">
      <c r="A63" s="130"/>
      <c r="B63" s="131">
        <v>2025</v>
      </c>
      <c r="C63" s="124">
        <v>147</v>
      </c>
      <c r="D63" s="135">
        <v>134</v>
      </c>
      <c r="E63" s="135">
        <v>137</v>
      </c>
      <c r="F63" s="135">
        <v>132</v>
      </c>
      <c r="G63" s="135">
        <v>128</v>
      </c>
      <c r="H63" s="135">
        <v>130</v>
      </c>
      <c r="I63" s="135">
        <v>128</v>
      </c>
      <c r="J63" s="135">
        <v>136</v>
      </c>
      <c r="K63" s="135"/>
      <c r="L63" s="124"/>
      <c r="M63" s="124"/>
      <c r="N63" s="124"/>
    </row>
    <row r="64" spans="1:14" ht="12" customHeight="1" x14ac:dyDescent="0.3">
      <c r="A64" s="160"/>
      <c r="B64" s="161"/>
      <c r="C64" s="37"/>
      <c r="D64" s="37"/>
      <c r="E64" s="37"/>
      <c r="F64" s="37"/>
      <c r="G64" s="37"/>
      <c r="H64" s="37"/>
      <c r="I64" s="143"/>
      <c r="J64" s="37"/>
      <c r="K64" s="37"/>
      <c r="L64" s="37"/>
      <c r="M64" s="37"/>
      <c r="N64" s="61" t="s">
        <v>26</v>
      </c>
    </row>
    <row r="65" spans="1:14" ht="12" customHeight="1" x14ac:dyDescent="0.3">
      <c r="A65" s="767" t="s">
        <v>142</v>
      </c>
      <c r="B65" s="767"/>
      <c r="C65" s="767"/>
      <c r="D65" s="767"/>
      <c r="E65" s="767"/>
      <c r="F65" s="767"/>
      <c r="G65" s="37"/>
      <c r="H65" s="37"/>
      <c r="I65" s="143"/>
      <c r="J65" s="144"/>
      <c r="K65" s="20"/>
      <c r="L65" s="20"/>
      <c r="M65" s="20"/>
      <c r="N65" s="20"/>
    </row>
    <row r="66" spans="1:14" ht="15.9" customHeight="1" x14ac:dyDescent="0.3">
      <c r="A66" s="217" t="s">
        <v>94</v>
      </c>
      <c r="B66" s="217" t="s">
        <v>139</v>
      </c>
      <c r="C66" s="217" t="s">
        <v>96</v>
      </c>
      <c r="D66" s="217" t="s">
        <v>97</v>
      </c>
      <c r="E66" s="217" t="s">
        <v>98</v>
      </c>
      <c r="F66" s="217" t="s">
        <v>99</v>
      </c>
      <c r="G66" s="217" t="s">
        <v>100</v>
      </c>
      <c r="H66" s="217" t="s">
        <v>101</v>
      </c>
      <c r="I66" s="217" t="s">
        <v>102</v>
      </c>
      <c r="J66" s="217" t="s">
        <v>103</v>
      </c>
      <c r="K66" s="217" t="s">
        <v>104</v>
      </c>
      <c r="L66" s="217" t="s">
        <v>105</v>
      </c>
      <c r="M66" s="217" t="s">
        <v>106</v>
      </c>
      <c r="N66" s="217" t="s">
        <v>107</v>
      </c>
    </row>
    <row r="67" spans="1:14" ht="3" customHeight="1" x14ac:dyDescent="0.3">
      <c r="A67" s="15"/>
      <c r="B67" s="11"/>
      <c r="C67" s="122"/>
      <c r="D67" s="121"/>
      <c r="E67" s="121"/>
      <c r="F67" s="121"/>
      <c r="G67" s="126"/>
      <c r="H67" s="121"/>
      <c r="I67" s="121"/>
      <c r="J67" s="121"/>
      <c r="K67" s="121"/>
      <c r="L67" s="122"/>
      <c r="M67" s="122"/>
      <c r="N67" s="122"/>
    </row>
    <row r="68" spans="1:14" ht="11.85" customHeight="1" x14ac:dyDescent="0.3">
      <c r="A68" s="15" t="s">
        <v>53</v>
      </c>
      <c r="B68" s="11">
        <v>2018</v>
      </c>
      <c r="C68" s="122">
        <v>88.49</v>
      </c>
      <c r="D68" s="123">
        <v>88.405000000000001</v>
      </c>
      <c r="E68" s="122">
        <v>88.474999999999994</v>
      </c>
      <c r="F68" s="121">
        <v>89.424999999999997</v>
      </c>
      <c r="G68" s="126">
        <v>89.575000000000003</v>
      </c>
      <c r="H68" s="121">
        <v>89.275000000000006</v>
      </c>
      <c r="I68" s="121">
        <v>91.22</v>
      </c>
      <c r="J68" s="121">
        <v>89.3</v>
      </c>
      <c r="K68" s="121">
        <v>89.26</v>
      </c>
      <c r="L68" s="121">
        <v>90.034999999999997</v>
      </c>
      <c r="M68" s="121">
        <v>90.034999999999997</v>
      </c>
      <c r="N68" s="126">
        <v>90.034999999999997</v>
      </c>
    </row>
    <row r="69" spans="1:14" ht="11.85" customHeight="1" x14ac:dyDescent="0.3">
      <c r="A69" s="15"/>
      <c r="B69" s="11">
        <v>2019</v>
      </c>
      <c r="C69" s="121">
        <v>101.25</v>
      </c>
      <c r="D69" s="126">
        <v>103.75</v>
      </c>
      <c r="E69" s="121">
        <v>104.375</v>
      </c>
      <c r="F69" s="121">
        <v>104.375</v>
      </c>
      <c r="G69" s="126">
        <v>103.75</v>
      </c>
      <c r="H69" s="121">
        <v>104.375</v>
      </c>
      <c r="I69" s="121">
        <v>104.375</v>
      </c>
      <c r="J69" s="122">
        <v>106.875</v>
      </c>
      <c r="K69" s="122">
        <v>125</v>
      </c>
      <c r="L69" s="122">
        <v>97.5</v>
      </c>
      <c r="M69" s="121">
        <v>95</v>
      </c>
      <c r="N69" s="126">
        <v>95</v>
      </c>
    </row>
    <row r="70" spans="1:14" ht="11.85" customHeight="1" x14ac:dyDescent="0.3">
      <c r="A70" s="15"/>
      <c r="B70" s="11">
        <v>2020</v>
      </c>
      <c r="C70" s="121">
        <v>95</v>
      </c>
      <c r="D70" s="137" t="s">
        <v>4</v>
      </c>
      <c r="E70" s="128" t="s">
        <v>140</v>
      </c>
      <c r="F70" s="137" t="s">
        <v>4</v>
      </c>
      <c r="G70" s="137" t="s">
        <v>4</v>
      </c>
      <c r="H70" s="137" t="s">
        <v>4</v>
      </c>
      <c r="I70" s="137" t="s">
        <v>4</v>
      </c>
      <c r="J70" s="137" t="s">
        <v>4</v>
      </c>
      <c r="K70" s="137" t="s">
        <v>4</v>
      </c>
      <c r="L70" s="137" t="s">
        <v>4</v>
      </c>
      <c r="M70" s="137" t="s">
        <v>4</v>
      </c>
      <c r="N70" s="137" t="s">
        <v>4</v>
      </c>
    </row>
    <row r="71" spans="1:14" ht="11.85" customHeight="1" x14ac:dyDescent="0.3">
      <c r="A71" s="15"/>
      <c r="B71" s="11">
        <v>2021</v>
      </c>
      <c r="C71" s="121">
        <v>85</v>
      </c>
      <c r="D71" s="126">
        <v>85</v>
      </c>
      <c r="E71" s="121">
        <v>90</v>
      </c>
      <c r="F71" s="121">
        <v>95</v>
      </c>
      <c r="G71" s="126">
        <v>100</v>
      </c>
      <c r="H71" s="121">
        <v>100</v>
      </c>
      <c r="I71" s="121">
        <v>100</v>
      </c>
      <c r="J71" s="121">
        <v>105</v>
      </c>
      <c r="K71" s="121">
        <v>105</v>
      </c>
      <c r="L71" s="121">
        <v>105</v>
      </c>
      <c r="M71" s="121">
        <v>105</v>
      </c>
      <c r="N71" s="126">
        <v>105</v>
      </c>
    </row>
    <row r="72" spans="1:14" ht="11.85" customHeight="1" x14ac:dyDescent="0.3">
      <c r="A72" s="15"/>
      <c r="B72" s="11">
        <v>2022</v>
      </c>
      <c r="C72" s="121">
        <v>105</v>
      </c>
      <c r="D72" s="126">
        <v>105</v>
      </c>
      <c r="E72" s="121">
        <v>117</v>
      </c>
      <c r="F72" s="121">
        <v>102</v>
      </c>
      <c r="G72" s="126">
        <v>115</v>
      </c>
      <c r="H72" s="121">
        <v>113</v>
      </c>
      <c r="I72" s="121">
        <v>113</v>
      </c>
      <c r="J72" s="121">
        <v>113</v>
      </c>
      <c r="K72" s="121">
        <v>105</v>
      </c>
      <c r="L72" s="121">
        <v>115</v>
      </c>
      <c r="M72" s="121">
        <v>115</v>
      </c>
      <c r="N72" s="137" t="s">
        <v>4</v>
      </c>
    </row>
    <row r="73" spans="1:14" ht="11.85" customHeight="1" x14ac:dyDescent="0.3">
      <c r="A73" s="15"/>
      <c r="B73" s="11">
        <v>2023</v>
      </c>
      <c r="C73" s="128" t="s">
        <v>140</v>
      </c>
      <c r="D73" s="137" t="s">
        <v>4</v>
      </c>
      <c r="E73" s="137" t="s">
        <v>140</v>
      </c>
      <c r="F73" s="128" t="s">
        <v>140</v>
      </c>
      <c r="G73" s="137" t="s">
        <v>140</v>
      </c>
      <c r="H73" s="128" t="s">
        <v>140</v>
      </c>
      <c r="I73" s="121">
        <v>130</v>
      </c>
      <c r="J73" s="121">
        <v>130</v>
      </c>
      <c r="K73" s="121">
        <v>131</v>
      </c>
      <c r="L73" s="121">
        <v>132</v>
      </c>
      <c r="M73" s="121">
        <v>131</v>
      </c>
      <c r="N73" s="126">
        <v>148</v>
      </c>
    </row>
    <row r="74" spans="1:14" ht="11.85" customHeight="1" x14ac:dyDescent="0.3">
      <c r="A74" s="15"/>
      <c r="B74" s="11">
        <v>2024</v>
      </c>
      <c r="C74" s="122">
        <v>148</v>
      </c>
      <c r="D74" s="122">
        <v>148</v>
      </c>
      <c r="E74" s="122">
        <v>150</v>
      </c>
      <c r="F74" s="122">
        <v>137</v>
      </c>
      <c r="G74" s="122">
        <v>146</v>
      </c>
      <c r="H74" s="122">
        <v>149</v>
      </c>
      <c r="I74" s="121">
        <v>150</v>
      </c>
      <c r="J74" s="121">
        <v>149</v>
      </c>
      <c r="K74" s="121">
        <v>137</v>
      </c>
      <c r="L74" s="121">
        <v>137.1</v>
      </c>
      <c r="M74" s="121">
        <v>137.1</v>
      </c>
      <c r="N74" s="126">
        <v>137.1</v>
      </c>
    </row>
    <row r="75" spans="1:14" ht="11.85" customHeight="1" x14ac:dyDescent="0.3">
      <c r="A75" s="130"/>
      <c r="B75" s="131">
        <v>2025</v>
      </c>
      <c r="C75" s="124">
        <v>135</v>
      </c>
      <c r="D75" s="124">
        <v>139</v>
      </c>
      <c r="E75" s="124">
        <v>139</v>
      </c>
      <c r="F75" s="124">
        <v>139</v>
      </c>
      <c r="G75" s="124">
        <v>139</v>
      </c>
      <c r="H75" s="124">
        <v>139</v>
      </c>
      <c r="I75" s="124">
        <v>140</v>
      </c>
      <c r="J75" s="124">
        <v>139</v>
      </c>
      <c r="K75" s="135"/>
      <c r="L75" s="135"/>
      <c r="M75" s="135"/>
      <c r="N75" s="140"/>
    </row>
    <row r="76" spans="1:14" ht="11.85" customHeight="1" x14ac:dyDescent="0.3">
      <c r="A76" s="15" t="s">
        <v>27</v>
      </c>
      <c r="B76" s="11">
        <v>2018</v>
      </c>
      <c r="C76" s="121">
        <v>97</v>
      </c>
      <c r="D76" s="126">
        <v>97</v>
      </c>
      <c r="E76" s="121">
        <v>98</v>
      </c>
      <c r="F76" s="121">
        <v>98</v>
      </c>
      <c r="G76" s="126">
        <v>98</v>
      </c>
      <c r="H76" s="121">
        <v>98</v>
      </c>
      <c r="I76" s="121">
        <v>97.9</v>
      </c>
      <c r="J76" s="122">
        <v>99.5</v>
      </c>
      <c r="K76" s="122">
        <v>99</v>
      </c>
      <c r="L76" s="122">
        <v>100</v>
      </c>
      <c r="M76" s="122">
        <v>100</v>
      </c>
      <c r="N76" s="126">
        <v>101</v>
      </c>
    </row>
    <row r="77" spans="1:14" ht="11.85" customHeight="1" x14ac:dyDescent="0.3">
      <c r="A77" s="15"/>
      <c r="B77" s="11">
        <v>2019</v>
      </c>
      <c r="C77" s="121">
        <v>103.5</v>
      </c>
      <c r="D77" s="126">
        <v>103.5</v>
      </c>
      <c r="E77" s="121">
        <v>104</v>
      </c>
      <c r="F77" s="121">
        <v>104</v>
      </c>
      <c r="G77" s="126">
        <v>104</v>
      </c>
      <c r="H77" s="121">
        <v>104</v>
      </c>
      <c r="I77" s="121">
        <v>104.38</v>
      </c>
      <c r="J77" s="122">
        <v>107</v>
      </c>
      <c r="K77" s="122">
        <v>125</v>
      </c>
      <c r="L77" s="122">
        <v>125</v>
      </c>
      <c r="M77" s="121">
        <v>125</v>
      </c>
      <c r="N77" s="126">
        <v>125</v>
      </c>
    </row>
    <row r="78" spans="1:14" ht="11.85" customHeight="1" x14ac:dyDescent="0.3">
      <c r="A78" s="15"/>
      <c r="B78" s="11">
        <v>2020</v>
      </c>
      <c r="C78" s="121">
        <v>125</v>
      </c>
      <c r="D78" s="126">
        <v>125</v>
      </c>
      <c r="E78" s="121">
        <v>125</v>
      </c>
      <c r="F78" s="121">
        <v>125</v>
      </c>
      <c r="G78" s="126">
        <v>125</v>
      </c>
      <c r="H78" s="121">
        <v>125</v>
      </c>
      <c r="I78" s="121">
        <v>125</v>
      </c>
      <c r="J78" s="121">
        <v>125</v>
      </c>
      <c r="K78" s="121">
        <v>125</v>
      </c>
      <c r="L78" s="121">
        <v>125</v>
      </c>
      <c r="M78" s="121">
        <v>125</v>
      </c>
      <c r="N78" s="126">
        <v>125</v>
      </c>
    </row>
    <row r="79" spans="1:14" ht="11.85" customHeight="1" x14ac:dyDescent="0.3">
      <c r="A79" s="15"/>
      <c r="B79" s="11">
        <v>2021</v>
      </c>
      <c r="C79" s="121">
        <v>125</v>
      </c>
      <c r="D79" s="126">
        <v>112.5</v>
      </c>
      <c r="E79" s="121">
        <v>125</v>
      </c>
      <c r="F79" s="121">
        <v>125</v>
      </c>
      <c r="G79" s="126">
        <v>132.5</v>
      </c>
      <c r="H79" s="121">
        <v>125</v>
      </c>
      <c r="I79" s="121">
        <v>125</v>
      </c>
      <c r="J79" s="121">
        <v>130</v>
      </c>
      <c r="K79" s="121">
        <v>130</v>
      </c>
      <c r="L79" s="121">
        <v>130</v>
      </c>
      <c r="M79" s="121">
        <v>150</v>
      </c>
      <c r="N79" s="126">
        <v>130</v>
      </c>
    </row>
    <row r="80" spans="1:14" ht="11.85" customHeight="1" x14ac:dyDescent="0.3">
      <c r="A80" s="15"/>
      <c r="B80" s="11">
        <v>2022</v>
      </c>
      <c r="C80" s="121">
        <v>150</v>
      </c>
      <c r="D80" s="126">
        <v>130</v>
      </c>
      <c r="E80" s="121">
        <v>130</v>
      </c>
      <c r="F80" s="121">
        <v>126</v>
      </c>
      <c r="G80" s="126">
        <v>130</v>
      </c>
      <c r="H80" s="121">
        <v>130</v>
      </c>
      <c r="I80" s="121">
        <v>113</v>
      </c>
      <c r="J80" s="121">
        <v>160</v>
      </c>
      <c r="K80" s="121">
        <v>130</v>
      </c>
      <c r="L80" s="121">
        <v>130</v>
      </c>
      <c r="M80" s="121">
        <v>130</v>
      </c>
      <c r="N80" s="126">
        <v>130</v>
      </c>
    </row>
    <row r="81" spans="1:14" ht="11.85" customHeight="1" x14ac:dyDescent="0.3">
      <c r="A81" s="15"/>
      <c r="B81" s="11">
        <v>2023</v>
      </c>
      <c r="C81" s="121">
        <v>133</v>
      </c>
      <c r="D81" s="121">
        <v>150</v>
      </c>
      <c r="E81" s="121">
        <v>150</v>
      </c>
      <c r="F81" s="121">
        <v>150</v>
      </c>
      <c r="G81" s="126">
        <v>150</v>
      </c>
      <c r="H81" s="121">
        <v>163</v>
      </c>
      <c r="I81" s="121">
        <v>175</v>
      </c>
      <c r="J81" s="121">
        <v>175</v>
      </c>
      <c r="K81" s="121">
        <v>200</v>
      </c>
      <c r="L81" s="121">
        <v>190</v>
      </c>
      <c r="M81" s="121">
        <v>210</v>
      </c>
      <c r="N81" s="121">
        <v>210</v>
      </c>
    </row>
    <row r="82" spans="1:14" ht="11.85" customHeight="1" x14ac:dyDescent="0.3">
      <c r="A82" s="15"/>
      <c r="B82" s="11">
        <v>2024</v>
      </c>
      <c r="C82" s="121">
        <v>200</v>
      </c>
      <c r="D82" s="121">
        <v>210</v>
      </c>
      <c r="E82" s="121">
        <v>210</v>
      </c>
      <c r="F82" s="121">
        <v>173</v>
      </c>
      <c r="G82" s="126">
        <v>200</v>
      </c>
      <c r="H82" s="121">
        <v>200</v>
      </c>
      <c r="I82" s="121">
        <v>200</v>
      </c>
      <c r="J82" s="121">
        <v>175</v>
      </c>
      <c r="K82" s="121">
        <v>145</v>
      </c>
      <c r="L82" s="129" t="s">
        <v>4</v>
      </c>
      <c r="M82" s="121">
        <v>131</v>
      </c>
      <c r="N82" s="121">
        <v>122</v>
      </c>
    </row>
    <row r="83" spans="1:14" ht="11.85" customHeight="1" x14ac:dyDescent="0.3">
      <c r="A83" s="130"/>
      <c r="B83" s="131">
        <v>2025</v>
      </c>
      <c r="C83" s="135">
        <v>138</v>
      </c>
      <c r="D83" s="135">
        <v>316</v>
      </c>
      <c r="E83" s="135">
        <v>210</v>
      </c>
      <c r="F83" s="135">
        <v>92</v>
      </c>
      <c r="G83" s="135">
        <v>93</v>
      </c>
      <c r="H83" s="135">
        <v>94</v>
      </c>
      <c r="I83" s="135">
        <v>92</v>
      </c>
      <c r="J83" s="135">
        <v>126</v>
      </c>
      <c r="K83" s="135"/>
      <c r="L83" s="142"/>
      <c r="M83" s="135"/>
      <c r="N83" s="135"/>
    </row>
    <row r="84" spans="1:14" ht="11.85" customHeight="1" x14ac:dyDescent="0.3">
      <c r="A84" s="15" t="s">
        <v>113</v>
      </c>
      <c r="B84" s="11">
        <v>2018</v>
      </c>
      <c r="C84" s="121">
        <v>94</v>
      </c>
      <c r="D84" s="126">
        <v>94</v>
      </c>
      <c r="E84" s="121">
        <v>95</v>
      </c>
      <c r="F84" s="121">
        <v>99</v>
      </c>
      <c r="G84" s="126">
        <v>99</v>
      </c>
      <c r="H84" s="121">
        <v>99.5</v>
      </c>
      <c r="I84" s="121">
        <v>100</v>
      </c>
      <c r="J84" s="121">
        <v>100</v>
      </c>
      <c r="K84" s="121">
        <v>100</v>
      </c>
      <c r="L84" s="121">
        <v>100.5</v>
      </c>
      <c r="M84" s="121">
        <v>100.5</v>
      </c>
      <c r="N84" s="126">
        <v>100.5</v>
      </c>
    </row>
    <row r="85" spans="1:14" ht="11.85" customHeight="1" x14ac:dyDescent="0.3">
      <c r="A85" s="15"/>
      <c r="B85" s="11">
        <v>2019</v>
      </c>
      <c r="C85" s="121">
        <v>100</v>
      </c>
      <c r="D85" s="126">
        <v>100</v>
      </c>
      <c r="E85" s="121">
        <v>99</v>
      </c>
      <c r="F85" s="121">
        <v>98</v>
      </c>
      <c r="G85" s="126">
        <v>98</v>
      </c>
      <c r="H85" s="121">
        <v>97</v>
      </c>
      <c r="I85" s="121">
        <v>94.318181818181813</v>
      </c>
      <c r="J85" s="122">
        <v>94</v>
      </c>
      <c r="K85" s="122">
        <v>115</v>
      </c>
      <c r="L85" s="122">
        <v>115</v>
      </c>
      <c r="M85" s="121">
        <v>110</v>
      </c>
      <c r="N85" s="126">
        <v>105</v>
      </c>
    </row>
    <row r="86" spans="1:14" ht="11.85" customHeight="1" x14ac:dyDescent="0.3">
      <c r="A86" s="15"/>
      <c r="B86" s="11">
        <v>2020</v>
      </c>
      <c r="C86" s="121">
        <v>110</v>
      </c>
      <c r="D86" s="137" t="s">
        <v>4</v>
      </c>
      <c r="E86" s="128" t="s">
        <v>140</v>
      </c>
      <c r="F86" s="128" t="s">
        <v>140</v>
      </c>
      <c r="G86" s="137" t="s">
        <v>140</v>
      </c>
      <c r="H86" s="128" t="s">
        <v>140</v>
      </c>
      <c r="I86" s="121">
        <v>115</v>
      </c>
      <c r="J86" s="121">
        <v>110</v>
      </c>
      <c r="K86" s="122">
        <v>115</v>
      </c>
      <c r="L86" s="122">
        <v>115</v>
      </c>
      <c r="M86" s="121">
        <v>100</v>
      </c>
      <c r="N86" s="126">
        <v>100</v>
      </c>
    </row>
    <row r="87" spans="1:14" ht="11.85" customHeight="1" x14ac:dyDescent="0.3">
      <c r="A87" s="15"/>
      <c r="B87" s="11">
        <v>2021</v>
      </c>
      <c r="C87" s="121">
        <v>110</v>
      </c>
      <c r="D87" s="126">
        <v>110</v>
      </c>
      <c r="E87" s="121">
        <v>110</v>
      </c>
      <c r="F87" s="121">
        <v>110</v>
      </c>
      <c r="G87" s="126">
        <v>110</v>
      </c>
      <c r="H87" s="121">
        <v>115</v>
      </c>
      <c r="I87" s="121">
        <v>120</v>
      </c>
      <c r="J87" s="121">
        <v>115</v>
      </c>
      <c r="K87" s="122">
        <v>117.5</v>
      </c>
      <c r="L87" s="122">
        <v>130</v>
      </c>
      <c r="M87" s="121">
        <v>120</v>
      </c>
      <c r="N87" s="126">
        <v>120</v>
      </c>
    </row>
    <row r="88" spans="1:14" ht="11.85" customHeight="1" x14ac:dyDescent="0.3">
      <c r="A88" s="15"/>
      <c r="B88" s="11">
        <v>2022</v>
      </c>
      <c r="C88" s="121">
        <v>120</v>
      </c>
      <c r="D88" s="126">
        <v>120</v>
      </c>
      <c r="E88" s="121">
        <v>130</v>
      </c>
      <c r="F88" s="121">
        <v>120</v>
      </c>
      <c r="G88" s="126">
        <v>130</v>
      </c>
      <c r="H88" s="121">
        <v>130</v>
      </c>
      <c r="I88" s="121">
        <v>130</v>
      </c>
      <c r="J88" s="121">
        <v>140</v>
      </c>
      <c r="K88" s="122">
        <v>147.5</v>
      </c>
      <c r="L88" s="122">
        <v>138</v>
      </c>
      <c r="M88" s="121">
        <v>147</v>
      </c>
      <c r="N88" s="126">
        <v>147</v>
      </c>
    </row>
    <row r="89" spans="1:14" ht="11.85" customHeight="1" x14ac:dyDescent="0.3">
      <c r="A89" s="15"/>
      <c r="B89" s="11">
        <v>2023</v>
      </c>
      <c r="C89" s="121">
        <v>155</v>
      </c>
      <c r="D89" s="121">
        <v>155</v>
      </c>
      <c r="E89" s="121">
        <v>155</v>
      </c>
      <c r="F89" s="121">
        <v>155</v>
      </c>
      <c r="G89" s="126">
        <v>140</v>
      </c>
      <c r="H89" s="121">
        <v>140</v>
      </c>
      <c r="I89" s="121">
        <v>160</v>
      </c>
      <c r="J89" s="121">
        <v>160</v>
      </c>
      <c r="K89" s="122">
        <v>155</v>
      </c>
      <c r="L89" s="122">
        <v>140</v>
      </c>
      <c r="M89" s="122">
        <v>140</v>
      </c>
      <c r="N89" s="122">
        <v>140</v>
      </c>
    </row>
    <row r="90" spans="1:14" ht="11.85" customHeight="1" x14ac:dyDescent="0.3">
      <c r="A90" s="15"/>
      <c r="B90" s="11">
        <v>2024</v>
      </c>
      <c r="C90" s="121">
        <v>140</v>
      </c>
      <c r="D90" s="121">
        <v>134</v>
      </c>
      <c r="E90" s="121">
        <v>131</v>
      </c>
      <c r="F90" s="121">
        <v>145</v>
      </c>
      <c r="G90" s="126">
        <v>160</v>
      </c>
      <c r="H90" s="121">
        <v>145</v>
      </c>
      <c r="I90" s="121">
        <v>150</v>
      </c>
      <c r="J90" s="121">
        <v>145</v>
      </c>
      <c r="K90" s="122">
        <v>126</v>
      </c>
      <c r="L90" s="122">
        <v>126.59090909090909</v>
      </c>
      <c r="M90" s="122">
        <v>175</v>
      </c>
      <c r="N90" s="122">
        <v>110</v>
      </c>
    </row>
    <row r="91" spans="1:14" ht="11.85" customHeight="1" x14ac:dyDescent="0.3">
      <c r="A91" s="130"/>
      <c r="B91" s="131">
        <v>2025</v>
      </c>
      <c r="C91" s="135">
        <v>100</v>
      </c>
      <c r="D91" s="135">
        <v>128</v>
      </c>
      <c r="E91" s="135">
        <v>127</v>
      </c>
      <c r="F91" s="135">
        <v>128</v>
      </c>
      <c r="G91" s="135">
        <v>128</v>
      </c>
      <c r="H91" s="135">
        <v>125</v>
      </c>
      <c r="I91" s="135">
        <v>129</v>
      </c>
      <c r="J91" s="135">
        <v>130</v>
      </c>
      <c r="K91" s="124"/>
      <c r="L91" s="124"/>
      <c r="M91" s="124"/>
      <c r="N91" s="124"/>
    </row>
    <row r="92" spans="1:14" ht="11.85" customHeight="1" x14ac:dyDescent="0.3">
      <c r="A92" s="15" t="s">
        <v>38</v>
      </c>
      <c r="B92" s="11">
        <v>2018</v>
      </c>
      <c r="C92" s="121">
        <v>144</v>
      </c>
      <c r="D92" s="126">
        <v>141</v>
      </c>
      <c r="E92" s="121">
        <v>141</v>
      </c>
      <c r="F92" s="121">
        <v>141</v>
      </c>
      <c r="G92" s="126">
        <v>141</v>
      </c>
      <c r="H92" s="121">
        <v>141</v>
      </c>
      <c r="I92" s="121">
        <v>147.5</v>
      </c>
      <c r="J92" s="121">
        <v>147.5</v>
      </c>
      <c r="K92" s="121">
        <v>149</v>
      </c>
      <c r="L92" s="121">
        <v>152</v>
      </c>
      <c r="M92" s="121">
        <v>152</v>
      </c>
      <c r="N92" s="126">
        <v>152</v>
      </c>
    </row>
    <row r="93" spans="1:14" ht="11.85" customHeight="1" x14ac:dyDescent="0.3">
      <c r="A93" s="15"/>
      <c r="B93" s="11">
        <v>2019</v>
      </c>
      <c r="C93" s="121">
        <v>139</v>
      </c>
      <c r="D93" s="126">
        <v>140</v>
      </c>
      <c r="E93" s="121">
        <v>142</v>
      </c>
      <c r="F93" s="121">
        <v>141</v>
      </c>
      <c r="G93" s="126">
        <v>137</v>
      </c>
      <c r="H93" s="121">
        <v>136</v>
      </c>
      <c r="I93" s="121">
        <v>145.29166666666666</v>
      </c>
      <c r="J93" s="122">
        <v>145</v>
      </c>
      <c r="K93" s="122">
        <v>140</v>
      </c>
      <c r="L93" s="121">
        <v>140</v>
      </c>
      <c r="M93" s="121">
        <v>140</v>
      </c>
      <c r="N93" s="126">
        <v>140</v>
      </c>
    </row>
    <row r="94" spans="1:14" ht="11.85" customHeight="1" x14ac:dyDescent="0.3">
      <c r="A94" s="16"/>
      <c r="B94" s="11">
        <v>2020</v>
      </c>
      <c r="C94" s="121">
        <v>140</v>
      </c>
      <c r="D94" s="145">
        <v>140</v>
      </c>
      <c r="E94" s="121">
        <v>140</v>
      </c>
      <c r="F94" s="121">
        <v>140</v>
      </c>
      <c r="G94" s="126">
        <v>140</v>
      </c>
      <c r="H94" s="121">
        <v>140</v>
      </c>
      <c r="I94" s="121">
        <v>140</v>
      </c>
      <c r="J94" s="121">
        <v>140</v>
      </c>
      <c r="K94" s="121">
        <v>140</v>
      </c>
      <c r="L94" s="141" t="s">
        <v>140</v>
      </c>
      <c r="M94" s="121">
        <v>155</v>
      </c>
      <c r="N94" s="126">
        <v>140</v>
      </c>
    </row>
    <row r="95" spans="1:14" ht="11.85" customHeight="1" x14ac:dyDescent="0.3">
      <c r="A95" s="16"/>
      <c r="B95" s="11">
        <v>2021</v>
      </c>
      <c r="C95" s="121">
        <v>140</v>
      </c>
      <c r="D95" s="145">
        <v>146</v>
      </c>
      <c r="E95" s="125">
        <v>140</v>
      </c>
      <c r="F95" s="121">
        <v>141.5</v>
      </c>
      <c r="G95" s="126">
        <v>140</v>
      </c>
      <c r="H95" s="121">
        <v>140</v>
      </c>
      <c r="I95" s="121">
        <v>135</v>
      </c>
      <c r="J95" s="121">
        <v>140</v>
      </c>
      <c r="K95" s="122">
        <v>147.5</v>
      </c>
      <c r="L95" s="122">
        <v>150</v>
      </c>
      <c r="M95" s="121">
        <v>155</v>
      </c>
      <c r="N95" s="123">
        <v>150</v>
      </c>
    </row>
    <row r="96" spans="1:14" ht="11.85" customHeight="1" x14ac:dyDescent="0.3">
      <c r="A96" s="16"/>
      <c r="B96" s="11">
        <v>2022</v>
      </c>
      <c r="C96" s="121">
        <v>150</v>
      </c>
      <c r="D96" s="126">
        <v>150</v>
      </c>
      <c r="E96" s="125">
        <v>175</v>
      </c>
      <c r="F96" s="121">
        <v>175</v>
      </c>
      <c r="G96" s="126">
        <v>175</v>
      </c>
      <c r="H96" s="121">
        <v>175</v>
      </c>
      <c r="I96" s="121">
        <v>175</v>
      </c>
      <c r="J96" s="121">
        <v>175</v>
      </c>
      <c r="K96" s="121">
        <v>175</v>
      </c>
      <c r="L96" s="122">
        <v>178</v>
      </c>
      <c r="M96" s="121">
        <v>178</v>
      </c>
      <c r="N96" s="123">
        <v>180</v>
      </c>
    </row>
    <row r="97" spans="1:14" ht="11.85" customHeight="1" x14ac:dyDescent="0.3">
      <c r="A97" s="16"/>
      <c r="B97" s="11">
        <v>2023</v>
      </c>
      <c r="C97" s="121">
        <v>180</v>
      </c>
      <c r="D97" s="121">
        <v>180</v>
      </c>
      <c r="E97" s="125">
        <v>172.5</v>
      </c>
      <c r="F97" s="121">
        <v>175</v>
      </c>
      <c r="G97" s="126">
        <v>175</v>
      </c>
      <c r="H97" s="121">
        <v>175</v>
      </c>
      <c r="I97" s="121">
        <v>175</v>
      </c>
      <c r="J97" s="121">
        <v>175</v>
      </c>
      <c r="K97" s="121">
        <v>175</v>
      </c>
      <c r="L97" s="122">
        <v>175</v>
      </c>
      <c r="M97" s="122">
        <v>175</v>
      </c>
      <c r="N97" s="122">
        <v>175</v>
      </c>
    </row>
    <row r="98" spans="1:14" ht="11.85" customHeight="1" x14ac:dyDescent="0.3">
      <c r="A98" s="16"/>
      <c r="B98" s="11">
        <v>2024</v>
      </c>
      <c r="C98" s="121">
        <v>178</v>
      </c>
      <c r="D98" s="121">
        <v>176</v>
      </c>
      <c r="E98" s="125">
        <v>176</v>
      </c>
      <c r="F98" s="121">
        <v>175</v>
      </c>
      <c r="G98" s="126">
        <v>176</v>
      </c>
      <c r="H98" s="121">
        <v>180</v>
      </c>
      <c r="I98" s="121">
        <v>195</v>
      </c>
      <c r="J98" s="121">
        <v>175</v>
      </c>
      <c r="K98" s="121">
        <v>176</v>
      </c>
      <c r="L98" s="122">
        <v>175.83333333333334</v>
      </c>
      <c r="M98" s="122">
        <v>175.84</v>
      </c>
      <c r="N98" s="122">
        <v>177</v>
      </c>
    </row>
    <row r="99" spans="1:14" ht="11.85" customHeight="1" x14ac:dyDescent="0.3">
      <c r="A99" s="146"/>
      <c r="B99" s="131">
        <v>2025</v>
      </c>
      <c r="C99" s="135">
        <v>176</v>
      </c>
      <c r="D99" s="135">
        <v>176</v>
      </c>
      <c r="E99" s="139">
        <v>176</v>
      </c>
      <c r="F99" s="135">
        <v>176</v>
      </c>
      <c r="G99" s="135">
        <v>176</v>
      </c>
      <c r="H99" s="135">
        <v>176</v>
      </c>
      <c r="I99" s="135">
        <v>178</v>
      </c>
      <c r="J99" s="135">
        <v>178</v>
      </c>
      <c r="K99" s="135"/>
      <c r="L99" s="124"/>
      <c r="M99" s="124"/>
      <c r="N99" s="124"/>
    </row>
    <row r="100" spans="1:14" ht="11.85" customHeight="1" x14ac:dyDescent="0.3">
      <c r="A100" s="15" t="s">
        <v>143</v>
      </c>
      <c r="B100" s="11">
        <v>2018</v>
      </c>
      <c r="C100" s="123">
        <v>97.5</v>
      </c>
      <c r="D100" s="127">
        <v>99</v>
      </c>
      <c r="E100" s="122">
        <v>99</v>
      </c>
      <c r="F100" s="122">
        <v>99</v>
      </c>
      <c r="G100" s="123">
        <v>99</v>
      </c>
      <c r="H100" s="122">
        <v>99</v>
      </c>
      <c r="I100" s="122">
        <v>99</v>
      </c>
      <c r="J100" s="121">
        <v>101</v>
      </c>
      <c r="K100" s="126">
        <v>101</v>
      </c>
      <c r="L100" s="145">
        <v>101</v>
      </c>
      <c r="M100" s="121">
        <v>101</v>
      </c>
      <c r="N100" s="126">
        <v>101</v>
      </c>
    </row>
    <row r="101" spans="1:14" ht="11.85" customHeight="1" x14ac:dyDescent="0.3">
      <c r="A101" s="15" t="s">
        <v>144</v>
      </c>
      <c r="B101" s="11">
        <v>2019</v>
      </c>
      <c r="C101" s="126">
        <v>101</v>
      </c>
      <c r="D101" s="145">
        <v>104</v>
      </c>
      <c r="E101" s="121">
        <v>101</v>
      </c>
      <c r="F101" s="121">
        <v>104</v>
      </c>
      <c r="G101" s="126">
        <v>101</v>
      </c>
      <c r="H101" s="121">
        <v>104</v>
      </c>
      <c r="I101" s="121">
        <v>101.25</v>
      </c>
      <c r="J101" s="121">
        <v>106</v>
      </c>
      <c r="K101" s="123">
        <v>108</v>
      </c>
      <c r="L101" s="145">
        <v>112.5</v>
      </c>
      <c r="M101" s="121">
        <v>113</v>
      </c>
      <c r="N101" s="126">
        <v>112.5</v>
      </c>
    </row>
    <row r="102" spans="1:14" ht="11.85" customHeight="1" x14ac:dyDescent="0.3">
      <c r="A102" s="15"/>
      <c r="B102" s="11">
        <v>2020</v>
      </c>
      <c r="C102" s="126">
        <v>112.5</v>
      </c>
      <c r="D102" s="145">
        <v>112.5</v>
      </c>
      <c r="E102" s="128" t="s">
        <v>140</v>
      </c>
      <c r="F102" s="128" t="s">
        <v>140</v>
      </c>
      <c r="G102" s="137" t="s">
        <v>140</v>
      </c>
      <c r="H102" s="128" t="s">
        <v>140</v>
      </c>
      <c r="I102" s="121">
        <v>112.5</v>
      </c>
      <c r="J102" s="121">
        <v>112.5</v>
      </c>
      <c r="K102" s="137" t="s">
        <v>140</v>
      </c>
      <c r="L102" s="145">
        <v>112.5</v>
      </c>
      <c r="M102" s="128" t="s">
        <v>140</v>
      </c>
      <c r="N102" s="137" t="s">
        <v>140</v>
      </c>
    </row>
    <row r="103" spans="1:14" ht="11.85" customHeight="1" x14ac:dyDescent="0.3">
      <c r="A103" s="15"/>
      <c r="B103" s="11">
        <v>2021</v>
      </c>
      <c r="C103" s="126">
        <v>112.5</v>
      </c>
      <c r="D103" s="137" t="s">
        <v>140</v>
      </c>
      <c r="E103" s="128" t="s">
        <v>140</v>
      </c>
      <c r="F103" s="128" t="s">
        <v>140</v>
      </c>
      <c r="G103" s="137" t="s">
        <v>140</v>
      </c>
      <c r="H103" s="128" t="s">
        <v>140</v>
      </c>
      <c r="I103" s="121">
        <v>112.5</v>
      </c>
      <c r="J103" s="121">
        <v>112.5</v>
      </c>
      <c r="K103" s="123">
        <v>120</v>
      </c>
      <c r="L103" s="145">
        <v>120</v>
      </c>
      <c r="M103" s="125">
        <v>120</v>
      </c>
      <c r="N103" s="145">
        <v>120</v>
      </c>
    </row>
    <row r="104" spans="1:14" ht="11.85" customHeight="1" x14ac:dyDescent="0.3">
      <c r="A104" s="15"/>
      <c r="B104" s="11">
        <v>2022</v>
      </c>
      <c r="C104" s="126">
        <v>100</v>
      </c>
      <c r="D104" s="145">
        <v>100</v>
      </c>
      <c r="E104" s="125">
        <v>100</v>
      </c>
      <c r="F104" s="121">
        <v>120</v>
      </c>
      <c r="G104" s="126">
        <v>100</v>
      </c>
      <c r="H104" s="121">
        <v>95</v>
      </c>
      <c r="I104" s="121">
        <v>100</v>
      </c>
      <c r="J104" s="121">
        <v>100</v>
      </c>
      <c r="K104" s="126">
        <v>100</v>
      </c>
      <c r="L104" s="145">
        <v>100</v>
      </c>
      <c r="M104" s="125">
        <v>100</v>
      </c>
      <c r="N104" s="145">
        <v>100</v>
      </c>
    </row>
    <row r="105" spans="1:14" ht="11.85" customHeight="1" x14ac:dyDescent="0.3">
      <c r="A105" s="15"/>
      <c r="B105" s="18">
        <v>2023</v>
      </c>
      <c r="C105" s="126">
        <v>120</v>
      </c>
      <c r="D105" s="121">
        <v>120</v>
      </c>
      <c r="E105" s="121">
        <v>120</v>
      </c>
      <c r="F105" s="121">
        <v>120</v>
      </c>
      <c r="G105" s="126">
        <v>120</v>
      </c>
      <c r="H105" s="121">
        <v>120</v>
      </c>
      <c r="I105" s="121">
        <v>120</v>
      </c>
      <c r="J105" s="121">
        <v>120</v>
      </c>
      <c r="K105" s="121">
        <v>100</v>
      </c>
      <c r="L105" s="137">
        <v>110</v>
      </c>
      <c r="M105" s="125">
        <v>110</v>
      </c>
      <c r="N105" s="125">
        <v>105</v>
      </c>
    </row>
    <row r="106" spans="1:14" ht="11.85" customHeight="1" x14ac:dyDescent="0.3">
      <c r="A106" s="16"/>
      <c r="B106" s="11">
        <v>2024</v>
      </c>
      <c r="C106" s="121">
        <v>105</v>
      </c>
      <c r="D106" s="121">
        <v>95</v>
      </c>
      <c r="E106" s="121">
        <v>95</v>
      </c>
      <c r="F106" s="121">
        <v>95</v>
      </c>
      <c r="G106" s="126">
        <v>95</v>
      </c>
      <c r="H106" s="121">
        <v>95</v>
      </c>
      <c r="I106" s="121">
        <v>95</v>
      </c>
      <c r="J106" s="121">
        <v>95</v>
      </c>
      <c r="K106" s="121">
        <v>92.5</v>
      </c>
      <c r="L106" s="129" t="s">
        <v>4</v>
      </c>
      <c r="M106" s="129" t="s">
        <v>4</v>
      </c>
      <c r="N106" s="129" t="s">
        <v>4</v>
      </c>
    </row>
    <row r="107" spans="1:14" ht="11.85" customHeight="1" x14ac:dyDescent="0.3">
      <c r="A107" s="146"/>
      <c r="B107" s="131">
        <v>2025</v>
      </c>
      <c r="C107" s="135">
        <v>155</v>
      </c>
      <c r="D107" s="135">
        <v>95</v>
      </c>
      <c r="E107" s="147" t="s">
        <v>140</v>
      </c>
      <c r="F107" s="135">
        <v>95</v>
      </c>
      <c r="G107" s="135">
        <v>78</v>
      </c>
      <c r="H107" s="135">
        <v>58</v>
      </c>
      <c r="I107" s="135">
        <v>167</v>
      </c>
      <c r="J107" s="135">
        <v>172</v>
      </c>
      <c r="K107" s="135"/>
      <c r="L107" s="142"/>
      <c r="M107" s="142"/>
      <c r="N107" s="142"/>
    </row>
    <row r="108" spans="1:14" ht="11.85" customHeight="1" x14ac:dyDescent="0.3">
      <c r="A108" s="15" t="s">
        <v>115</v>
      </c>
      <c r="B108" s="11">
        <v>2018</v>
      </c>
      <c r="C108" s="122">
        <v>98</v>
      </c>
      <c r="D108" s="127">
        <v>98</v>
      </c>
      <c r="E108" s="122">
        <v>98</v>
      </c>
      <c r="F108" s="121">
        <v>98</v>
      </c>
      <c r="G108" s="123">
        <v>98</v>
      </c>
      <c r="H108" s="121">
        <v>95</v>
      </c>
      <c r="I108" s="121" t="s">
        <v>3</v>
      </c>
      <c r="J108" s="121" t="s">
        <v>145</v>
      </c>
      <c r="K108" s="126" t="s">
        <v>145</v>
      </c>
      <c r="L108" s="137" t="s">
        <v>145</v>
      </c>
      <c r="M108" s="121" t="s">
        <v>145</v>
      </c>
      <c r="N108" s="126" t="s">
        <v>145</v>
      </c>
    </row>
    <row r="109" spans="1:14" ht="11.85" customHeight="1" x14ac:dyDescent="0.3">
      <c r="A109" s="15"/>
      <c r="B109" s="11">
        <v>2019</v>
      </c>
      <c r="C109" s="121">
        <v>100</v>
      </c>
      <c r="D109" s="145">
        <v>102</v>
      </c>
      <c r="E109" s="121">
        <v>110.5</v>
      </c>
      <c r="F109" s="121">
        <v>109.5</v>
      </c>
      <c r="G109" s="126">
        <v>110.5</v>
      </c>
      <c r="H109" s="121">
        <v>110.5</v>
      </c>
      <c r="I109" s="121">
        <v>108.125</v>
      </c>
      <c r="J109" s="122">
        <v>108</v>
      </c>
      <c r="K109" s="123">
        <v>110</v>
      </c>
      <c r="L109" s="127">
        <v>110</v>
      </c>
      <c r="M109" s="121">
        <v>110</v>
      </c>
      <c r="N109" s="126">
        <v>110</v>
      </c>
    </row>
    <row r="110" spans="1:14" ht="11.85" customHeight="1" x14ac:dyDescent="0.3">
      <c r="A110" s="15"/>
      <c r="B110" s="11">
        <v>2020</v>
      </c>
      <c r="C110" s="121">
        <v>110</v>
      </c>
      <c r="D110" s="145">
        <v>110</v>
      </c>
      <c r="E110" s="128" t="s">
        <v>140</v>
      </c>
      <c r="F110" s="128" t="s">
        <v>140</v>
      </c>
      <c r="G110" s="126">
        <v>110</v>
      </c>
      <c r="H110" s="121">
        <v>135</v>
      </c>
      <c r="I110" s="121">
        <v>125</v>
      </c>
      <c r="J110" s="121">
        <v>135</v>
      </c>
      <c r="K110" s="126">
        <v>135</v>
      </c>
      <c r="L110" s="145">
        <v>135</v>
      </c>
      <c r="M110" s="121" t="s">
        <v>145</v>
      </c>
      <c r="N110" s="126">
        <v>135</v>
      </c>
    </row>
    <row r="111" spans="1:14" ht="11.85" customHeight="1" x14ac:dyDescent="0.3">
      <c r="A111" s="15"/>
      <c r="B111" s="11">
        <v>2021</v>
      </c>
      <c r="C111" s="121">
        <v>135</v>
      </c>
      <c r="D111" s="145">
        <v>135</v>
      </c>
      <c r="E111" s="121">
        <v>125</v>
      </c>
      <c r="F111" s="121">
        <v>120</v>
      </c>
      <c r="G111" s="126">
        <v>140</v>
      </c>
      <c r="H111" s="121">
        <v>140</v>
      </c>
      <c r="I111" s="121">
        <v>140</v>
      </c>
      <c r="J111" s="122">
        <v>150</v>
      </c>
      <c r="K111" s="145">
        <v>175</v>
      </c>
      <c r="L111" s="145">
        <v>175</v>
      </c>
      <c r="M111" s="125">
        <v>150</v>
      </c>
      <c r="N111" s="145">
        <v>150</v>
      </c>
    </row>
    <row r="112" spans="1:14" ht="11.85" customHeight="1" x14ac:dyDescent="0.3">
      <c r="A112" s="15"/>
      <c r="B112" s="11">
        <v>2022</v>
      </c>
      <c r="C112" s="121">
        <v>150</v>
      </c>
      <c r="D112" s="145">
        <v>150</v>
      </c>
      <c r="E112" s="121">
        <v>175</v>
      </c>
      <c r="F112" s="121">
        <v>175</v>
      </c>
      <c r="G112" s="126">
        <v>205</v>
      </c>
      <c r="H112" s="121">
        <v>200</v>
      </c>
      <c r="I112" s="121">
        <v>250</v>
      </c>
      <c r="J112" s="121">
        <v>260</v>
      </c>
      <c r="K112" s="145">
        <v>250</v>
      </c>
      <c r="L112" s="145">
        <v>250</v>
      </c>
      <c r="M112" s="125">
        <v>250</v>
      </c>
      <c r="N112" s="145">
        <v>250</v>
      </c>
    </row>
    <row r="113" spans="1:14" ht="11.85" customHeight="1" x14ac:dyDescent="0.3">
      <c r="A113" s="15"/>
      <c r="B113" s="11">
        <v>2023</v>
      </c>
      <c r="C113" s="125">
        <v>150</v>
      </c>
      <c r="D113" s="125">
        <v>150</v>
      </c>
      <c r="E113" s="121">
        <v>140</v>
      </c>
      <c r="F113" s="121">
        <v>140</v>
      </c>
      <c r="G113" s="126">
        <v>130</v>
      </c>
      <c r="H113" s="121">
        <v>120</v>
      </c>
      <c r="I113" s="121">
        <v>120</v>
      </c>
      <c r="J113" s="121">
        <v>120</v>
      </c>
      <c r="K113" s="125">
        <v>155</v>
      </c>
      <c r="L113" s="125">
        <v>160</v>
      </c>
      <c r="M113" s="125">
        <v>165</v>
      </c>
      <c r="N113" s="125">
        <v>135</v>
      </c>
    </row>
    <row r="114" spans="1:14" ht="11.85" customHeight="1" x14ac:dyDescent="0.3">
      <c r="A114" s="16"/>
      <c r="B114" s="11">
        <v>2024</v>
      </c>
      <c r="C114" s="121">
        <v>140</v>
      </c>
      <c r="D114" s="121">
        <v>165</v>
      </c>
      <c r="E114" s="125">
        <v>156</v>
      </c>
      <c r="F114" s="121">
        <v>170</v>
      </c>
      <c r="G114" s="126">
        <v>190</v>
      </c>
      <c r="H114" s="121">
        <v>200</v>
      </c>
      <c r="I114" s="121">
        <v>210</v>
      </c>
      <c r="J114" s="121">
        <v>210</v>
      </c>
      <c r="K114" s="121">
        <v>172.5</v>
      </c>
      <c r="L114" s="122">
        <v>170.83333333333334</v>
      </c>
      <c r="M114" s="122">
        <v>202</v>
      </c>
      <c r="N114" s="122">
        <v>171</v>
      </c>
    </row>
    <row r="115" spans="1:14" ht="11.85" customHeight="1" x14ac:dyDescent="0.3">
      <c r="A115" s="146"/>
      <c r="B115" s="131">
        <v>2025</v>
      </c>
      <c r="C115" s="135">
        <v>232</v>
      </c>
      <c r="D115" s="135">
        <v>180</v>
      </c>
      <c r="E115" s="139">
        <v>180</v>
      </c>
      <c r="F115" s="147" t="s">
        <v>140</v>
      </c>
      <c r="G115" s="139">
        <v>120</v>
      </c>
      <c r="H115" s="147" t="s">
        <v>140</v>
      </c>
      <c r="I115" s="147" t="s">
        <v>140</v>
      </c>
      <c r="J115" s="147" t="s">
        <v>140</v>
      </c>
      <c r="K115" s="135"/>
      <c r="L115" s="124"/>
      <c r="M115" s="124"/>
      <c r="N115" s="124"/>
    </row>
    <row r="116" spans="1:14" ht="11.85" customHeight="1" x14ac:dyDescent="0.3">
      <c r="A116" s="15" t="s">
        <v>117</v>
      </c>
      <c r="B116" s="11">
        <v>2018</v>
      </c>
      <c r="C116" s="121">
        <v>102.5</v>
      </c>
      <c r="D116" s="145">
        <v>102.5</v>
      </c>
      <c r="E116" s="121">
        <v>102.5</v>
      </c>
      <c r="F116" s="121">
        <v>102.5</v>
      </c>
      <c r="G116" s="126">
        <v>102.5</v>
      </c>
      <c r="H116" s="121">
        <v>102.5</v>
      </c>
      <c r="I116" s="121">
        <v>102.5</v>
      </c>
      <c r="J116" s="121">
        <v>102.5</v>
      </c>
      <c r="K116" s="126">
        <v>102.5</v>
      </c>
      <c r="L116" s="145">
        <v>102.5</v>
      </c>
      <c r="M116" s="121">
        <v>102.5</v>
      </c>
      <c r="N116" s="126">
        <v>102.5</v>
      </c>
    </row>
    <row r="117" spans="1:14" ht="11.85" customHeight="1" x14ac:dyDescent="0.3">
      <c r="A117" s="15"/>
      <c r="B117" s="11">
        <v>2019</v>
      </c>
      <c r="C117" s="121">
        <v>102.5</v>
      </c>
      <c r="D117" s="145">
        <v>102.5</v>
      </c>
      <c r="E117" s="121">
        <v>102.5</v>
      </c>
      <c r="F117" s="121">
        <v>102.5</v>
      </c>
      <c r="G117" s="126">
        <v>102.5</v>
      </c>
      <c r="H117" s="121">
        <v>102.5</v>
      </c>
      <c r="I117" s="121">
        <v>102.5</v>
      </c>
      <c r="J117" s="121">
        <v>102.5</v>
      </c>
      <c r="K117" s="123">
        <v>100</v>
      </c>
      <c r="L117" s="127">
        <v>100</v>
      </c>
      <c r="M117" s="122">
        <v>100</v>
      </c>
      <c r="N117" s="123">
        <v>100</v>
      </c>
    </row>
    <row r="118" spans="1:14" ht="11.85" customHeight="1" x14ac:dyDescent="0.3">
      <c r="A118" s="15"/>
      <c r="B118" s="11">
        <v>2020</v>
      </c>
      <c r="C118" s="121">
        <v>100</v>
      </c>
      <c r="D118" s="137" t="s">
        <v>140</v>
      </c>
      <c r="E118" s="128" t="s">
        <v>140</v>
      </c>
      <c r="F118" s="128" t="s">
        <v>140</v>
      </c>
      <c r="G118" s="137" t="s">
        <v>140</v>
      </c>
      <c r="H118" s="128" t="s">
        <v>140</v>
      </c>
      <c r="I118" s="128" t="s">
        <v>4</v>
      </c>
      <c r="J118" s="128" t="s">
        <v>140</v>
      </c>
      <c r="K118" s="137" t="s">
        <v>140</v>
      </c>
      <c r="L118" s="137" t="s">
        <v>140</v>
      </c>
      <c r="M118" s="122">
        <v>125</v>
      </c>
      <c r="N118" s="123">
        <v>125</v>
      </c>
    </row>
    <row r="119" spans="1:14" ht="11.85" customHeight="1" x14ac:dyDescent="0.3">
      <c r="A119" s="15"/>
      <c r="B119" s="11">
        <v>2021</v>
      </c>
      <c r="C119" s="121">
        <v>125</v>
      </c>
      <c r="D119" s="145">
        <v>125</v>
      </c>
      <c r="E119" s="121">
        <v>125</v>
      </c>
      <c r="F119" s="121">
        <v>125</v>
      </c>
      <c r="G119" s="126">
        <v>125</v>
      </c>
      <c r="H119" s="121">
        <v>125</v>
      </c>
      <c r="I119" s="121">
        <v>125</v>
      </c>
      <c r="J119" s="121">
        <v>125</v>
      </c>
      <c r="K119" s="145">
        <v>125</v>
      </c>
      <c r="L119" s="145">
        <v>125</v>
      </c>
      <c r="M119" s="125">
        <v>125</v>
      </c>
      <c r="N119" s="145">
        <v>125</v>
      </c>
    </row>
    <row r="120" spans="1:14" ht="11.85" customHeight="1" x14ac:dyDescent="0.3">
      <c r="A120" s="15"/>
      <c r="B120" s="11">
        <v>2022</v>
      </c>
      <c r="C120" s="121">
        <v>125</v>
      </c>
      <c r="D120" s="145">
        <v>130</v>
      </c>
      <c r="E120" s="121">
        <v>125</v>
      </c>
      <c r="F120" s="121">
        <v>125</v>
      </c>
      <c r="G120" s="126">
        <v>125</v>
      </c>
      <c r="H120" s="121">
        <v>125</v>
      </c>
      <c r="I120" s="121">
        <v>125</v>
      </c>
      <c r="J120" s="121">
        <v>125</v>
      </c>
      <c r="K120" s="126">
        <v>125</v>
      </c>
      <c r="L120" s="145">
        <v>125</v>
      </c>
      <c r="M120" s="125">
        <v>125</v>
      </c>
      <c r="N120" s="145">
        <v>125</v>
      </c>
    </row>
    <row r="121" spans="1:14" ht="11.85" customHeight="1" x14ac:dyDescent="0.3">
      <c r="A121" s="15"/>
      <c r="B121" s="11">
        <v>2023</v>
      </c>
      <c r="C121" s="121">
        <v>140</v>
      </c>
      <c r="D121" s="125">
        <v>165</v>
      </c>
      <c r="E121" s="121">
        <v>150</v>
      </c>
      <c r="F121" s="121">
        <v>150</v>
      </c>
      <c r="G121" s="126">
        <v>140</v>
      </c>
      <c r="H121" s="121">
        <v>140</v>
      </c>
      <c r="I121" s="121">
        <v>140</v>
      </c>
      <c r="J121" s="121">
        <v>140</v>
      </c>
      <c r="K121" s="121">
        <v>140</v>
      </c>
      <c r="L121" s="125">
        <v>165</v>
      </c>
      <c r="M121" s="125">
        <v>165</v>
      </c>
      <c r="N121" s="125">
        <v>150</v>
      </c>
    </row>
    <row r="122" spans="1:14" ht="11.85" customHeight="1" x14ac:dyDescent="0.3">
      <c r="A122" s="16"/>
      <c r="B122" s="11">
        <v>2024</v>
      </c>
      <c r="C122" s="121">
        <v>140</v>
      </c>
      <c r="D122" s="121">
        <v>140</v>
      </c>
      <c r="E122" s="125">
        <v>137</v>
      </c>
      <c r="F122" s="121">
        <v>140</v>
      </c>
      <c r="G122" s="126">
        <v>140</v>
      </c>
      <c r="H122" s="121">
        <v>140</v>
      </c>
      <c r="I122" s="121">
        <v>140</v>
      </c>
      <c r="J122" s="121">
        <v>140</v>
      </c>
      <c r="K122" s="121">
        <v>137</v>
      </c>
      <c r="L122" s="129" t="s">
        <v>4</v>
      </c>
      <c r="M122" s="129" t="s">
        <v>4</v>
      </c>
      <c r="N122" s="129" t="s">
        <v>4</v>
      </c>
    </row>
    <row r="123" spans="1:14" ht="11.85" customHeight="1" x14ac:dyDescent="0.3">
      <c r="A123" s="146"/>
      <c r="B123" s="131">
        <v>2025</v>
      </c>
      <c r="C123" s="135">
        <v>140</v>
      </c>
      <c r="D123" s="135">
        <v>160</v>
      </c>
      <c r="E123" s="139">
        <v>160</v>
      </c>
      <c r="F123" s="135">
        <v>150</v>
      </c>
      <c r="G123" s="135">
        <v>150</v>
      </c>
      <c r="H123" s="147" t="s">
        <v>140</v>
      </c>
      <c r="I123" s="147" t="s">
        <v>140</v>
      </c>
      <c r="J123" s="147" t="s">
        <v>140</v>
      </c>
      <c r="K123" s="135"/>
      <c r="L123" s="142"/>
      <c r="M123" s="142"/>
      <c r="N123" s="142"/>
    </row>
    <row r="124" spans="1:14" ht="11.85" customHeight="1" x14ac:dyDescent="0.3">
      <c r="A124" s="15" t="s">
        <v>118</v>
      </c>
      <c r="B124" s="11">
        <v>2018</v>
      </c>
      <c r="C124" s="121">
        <v>75</v>
      </c>
      <c r="D124" s="145">
        <v>75</v>
      </c>
      <c r="E124" s="121">
        <v>75</v>
      </c>
      <c r="F124" s="121">
        <v>75</v>
      </c>
      <c r="G124" s="126">
        <v>75</v>
      </c>
      <c r="H124" s="121">
        <v>75</v>
      </c>
      <c r="I124" s="121">
        <v>75</v>
      </c>
      <c r="J124" s="121">
        <v>75</v>
      </c>
      <c r="K124" s="126">
        <v>75</v>
      </c>
      <c r="L124" s="145">
        <v>50</v>
      </c>
      <c r="M124" s="121">
        <v>50</v>
      </c>
      <c r="N124" s="126">
        <v>50</v>
      </c>
    </row>
    <row r="125" spans="1:14" ht="11.85" customHeight="1" x14ac:dyDescent="0.3">
      <c r="A125" s="15"/>
      <c r="B125" s="11">
        <v>2019</v>
      </c>
      <c r="C125" s="121">
        <v>50</v>
      </c>
      <c r="D125" s="145">
        <v>50</v>
      </c>
      <c r="E125" s="121">
        <v>75</v>
      </c>
      <c r="F125" s="121">
        <v>75</v>
      </c>
      <c r="G125" s="126">
        <v>75</v>
      </c>
      <c r="H125" s="121">
        <v>75</v>
      </c>
      <c r="I125" s="121">
        <v>75</v>
      </c>
      <c r="J125" s="121">
        <v>75</v>
      </c>
      <c r="K125" s="123">
        <v>75</v>
      </c>
      <c r="L125" s="145">
        <v>75</v>
      </c>
      <c r="M125" s="121">
        <v>75</v>
      </c>
      <c r="N125" s="126">
        <v>75</v>
      </c>
    </row>
    <row r="126" spans="1:14" ht="11.85" customHeight="1" x14ac:dyDescent="0.3">
      <c r="A126" s="15"/>
      <c r="B126" s="11">
        <v>2020</v>
      </c>
      <c r="C126" s="121">
        <v>75</v>
      </c>
      <c r="D126" s="145">
        <v>75</v>
      </c>
      <c r="E126" s="128" t="s">
        <v>140</v>
      </c>
      <c r="F126" s="128" t="s">
        <v>140</v>
      </c>
      <c r="G126" s="126">
        <v>75</v>
      </c>
      <c r="H126" s="128" t="s">
        <v>140</v>
      </c>
      <c r="I126" s="128" t="s">
        <v>4</v>
      </c>
      <c r="J126" s="128" t="s">
        <v>140</v>
      </c>
      <c r="K126" s="137" t="s">
        <v>140</v>
      </c>
      <c r="L126" s="137" t="s">
        <v>140</v>
      </c>
      <c r="M126" s="128" t="s">
        <v>140</v>
      </c>
      <c r="N126" s="137" t="s">
        <v>140</v>
      </c>
    </row>
    <row r="127" spans="1:14" ht="11.85" customHeight="1" x14ac:dyDescent="0.3">
      <c r="A127" s="15"/>
      <c r="B127" s="11">
        <v>2021</v>
      </c>
      <c r="C127" s="121">
        <v>75</v>
      </c>
      <c r="D127" s="145">
        <v>75</v>
      </c>
      <c r="E127" s="121">
        <v>75</v>
      </c>
      <c r="F127" s="121">
        <v>75</v>
      </c>
      <c r="G127" s="126">
        <v>75</v>
      </c>
      <c r="H127" s="121">
        <v>75</v>
      </c>
      <c r="I127" s="121">
        <v>75</v>
      </c>
      <c r="J127" s="121">
        <v>75</v>
      </c>
      <c r="K127" s="145">
        <v>75</v>
      </c>
      <c r="L127" s="145">
        <v>75</v>
      </c>
      <c r="M127" s="125">
        <v>75</v>
      </c>
      <c r="N127" s="145">
        <v>75</v>
      </c>
    </row>
    <row r="128" spans="1:14" ht="11.85" customHeight="1" x14ac:dyDescent="0.3">
      <c r="A128" s="15"/>
      <c r="B128" s="11">
        <v>2022</v>
      </c>
      <c r="C128" s="121">
        <v>75</v>
      </c>
      <c r="D128" s="145">
        <v>75</v>
      </c>
      <c r="E128" s="121">
        <v>75</v>
      </c>
      <c r="F128" s="121">
        <v>75</v>
      </c>
      <c r="G128" s="126">
        <v>75</v>
      </c>
      <c r="H128" s="121">
        <v>75</v>
      </c>
      <c r="I128" s="121">
        <v>75</v>
      </c>
      <c r="J128" s="121">
        <v>75</v>
      </c>
      <c r="K128" s="126">
        <v>75</v>
      </c>
      <c r="L128" s="145">
        <v>75</v>
      </c>
      <c r="M128" s="125">
        <v>75</v>
      </c>
      <c r="N128" s="145">
        <v>75</v>
      </c>
    </row>
    <row r="129" spans="1:14" ht="11.85" customHeight="1" x14ac:dyDescent="0.3">
      <c r="A129" s="15"/>
      <c r="B129" s="11">
        <v>2023</v>
      </c>
      <c r="C129" s="121">
        <v>121</v>
      </c>
      <c r="D129" s="125">
        <v>137.5</v>
      </c>
      <c r="E129" s="121">
        <v>123</v>
      </c>
      <c r="F129" s="121">
        <v>135</v>
      </c>
      <c r="G129" s="126">
        <v>120</v>
      </c>
      <c r="H129" s="121">
        <v>118</v>
      </c>
      <c r="I129" s="121">
        <v>113</v>
      </c>
      <c r="J129" s="121">
        <v>115</v>
      </c>
      <c r="K129" s="121">
        <v>118</v>
      </c>
      <c r="L129" s="121">
        <v>118</v>
      </c>
      <c r="M129" s="125">
        <v>118</v>
      </c>
      <c r="N129" s="125">
        <v>118</v>
      </c>
    </row>
    <row r="130" spans="1:14" ht="11.85" customHeight="1" x14ac:dyDescent="0.3">
      <c r="A130" s="16"/>
      <c r="B130" s="11">
        <v>2024</v>
      </c>
      <c r="C130" s="121">
        <v>155</v>
      </c>
      <c r="D130" s="121">
        <v>155</v>
      </c>
      <c r="E130" s="125">
        <v>155</v>
      </c>
      <c r="F130" s="121">
        <v>165</v>
      </c>
      <c r="G130" s="126">
        <v>165</v>
      </c>
      <c r="H130" s="121">
        <v>165</v>
      </c>
      <c r="I130" s="121">
        <v>150</v>
      </c>
      <c r="J130" s="121">
        <v>170</v>
      </c>
      <c r="K130" s="121">
        <v>168</v>
      </c>
      <c r="L130" s="122">
        <v>146.66666666666666</v>
      </c>
      <c r="M130" s="122">
        <v>159</v>
      </c>
      <c r="N130" s="129" t="s">
        <v>4</v>
      </c>
    </row>
    <row r="131" spans="1:14" ht="11.85" customHeight="1" x14ac:dyDescent="0.3">
      <c r="A131" s="146"/>
      <c r="B131" s="131">
        <v>2025</v>
      </c>
      <c r="C131" s="142" t="s">
        <v>4</v>
      </c>
      <c r="D131" s="142" t="s">
        <v>4</v>
      </c>
      <c r="E131" s="142" t="s">
        <v>4</v>
      </c>
      <c r="F131" s="135">
        <v>145</v>
      </c>
      <c r="G131" s="142" t="s">
        <v>4</v>
      </c>
      <c r="H131" s="147" t="s">
        <v>140</v>
      </c>
      <c r="I131" s="147" t="s">
        <v>140</v>
      </c>
      <c r="J131" s="135">
        <v>155</v>
      </c>
      <c r="K131" s="135"/>
      <c r="L131" s="124"/>
      <c r="M131" s="124"/>
      <c r="N131" s="142"/>
    </row>
    <row r="132" spans="1:14" ht="11.85" customHeight="1" x14ac:dyDescent="0.3">
      <c r="A132" s="160"/>
      <c r="B132" s="161"/>
      <c r="C132" s="37"/>
      <c r="D132" s="37"/>
      <c r="E132" s="37"/>
      <c r="F132" s="37"/>
      <c r="G132" s="37"/>
      <c r="H132" s="37"/>
      <c r="I132" s="143"/>
      <c r="J132" s="37"/>
      <c r="K132" s="37"/>
      <c r="L132" s="37"/>
      <c r="M132" s="37"/>
      <c r="N132" s="61" t="s">
        <v>26</v>
      </c>
    </row>
    <row r="133" spans="1:14" ht="11.85" customHeight="1" x14ac:dyDescent="0.3">
      <c r="A133" s="767" t="s">
        <v>142</v>
      </c>
      <c r="B133" s="767"/>
      <c r="C133" s="767"/>
      <c r="D133" s="767"/>
      <c r="E133" s="767"/>
      <c r="F133" s="767"/>
      <c r="G133" s="37"/>
      <c r="H133" s="37"/>
      <c r="I133" s="143"/>
      <c r="J133" s="144"/>
      <c r="K133" s="20"/>
      <c r="L133" s="20"/>
      <c r="M133" s="20"/>
      <c r="N133" s="20"/>
    </row>
    <row r="134" spans="1:14" ht="15.9" customHeight="1" x14ac:dyDescent="0.3">
      <c r="A134" s="217" t="s">
        <v>94</v>
      </c>
      <c r="B134" s="217" t="s">
        <v>139</v>
      </c>
      <c r="C134" s="217" t="s">
        <v>96</v>
      </c>
      <c r="D134" s="217" t="s">
        <v>97</v>
      </c>
      <c r="E134" s="217" t="s">
        <v>98</v>
      </c>
      <c r="F134" s="217" t="s">
        <v>99</v>
      </c>
      <c r="G134" s="217" t="s">
        <v>100</v>
      </c>
      <c r="H134" s="217" t="s">
        <v>101</v>
      </c>
      <c r="I134" s="217" t="s">
        <v>102</v>
      </c>
      <c r="J134" s="217" t="s">
        <v>103</v>
      </c>
      <c r="K134" s="217" t="s">
        <v>104</v>
      </c>
      <c r="L134" s="217" t="s">
        <v>105</v>
      </c>
      <c r="M134" s="217" t="s">
        <v>106</v>
      </c>
      <c r="N134" s="217" t="s">
        <v>107</v>
      </c>
    </row>
    <row r="135" spans="1:14" ht="3" customHeight="1" x14ac:dyDescent="0.3">
      <c r="A135" s="16"/>
      <c r="B135" s="11"/>
      <c r="C135" s="129"/>
      <c r="D135" s="121"/>
      <c r="E135" s="125"/>
      <c r="F135" s="121"/>
      <c r="G135" s="126"/>
      <c r="H135" s="121"/>
      <c r="I135" s="121"/>
      <c r="J135" s="121"/>
      <c r="K135" s="121"/>
      <c r="L135" s="122"/>
      <c r="M135" s="122"/>
      <c r="N135" s="129"/>
    </row>
    <row r="136" spans="1:14" ht="11.1" customHeight="1" x14ac:dyDescent="0.3">
      <c r="A136" s="15" t="s">
        <v>119</v>
      </c>
      <c r="B136" s="11">
        <v>2018</v>
      </c>
      <c r="C136" s="122">
        <v>58</v>
      </c>
      <c r="D136" s="127">
        <v>60</v>
      </c>
      <c r="E136" s="122">
        <v>59</v>
      </c>
      <c r="F136" s="122">
        <v>59</v>
      </c>
      <c r="G136" s="123">
        <v>59</v>
      </c>
      <c r="H136" s="122">
        <v>59</v>
      </c>
      <c r="I136" s="121">
        <v>59.75</v>
      </c>
      <c r="J136" s="121">
        <v>60</v>
      </c>
      <c r="K136" s="126">
        <v>60</v>
      </c>
      <c r="L136" s="145">
        <v>58</v>
      </c>
      <c r="M136" s="121">
        <v>57.5</v>
      </c>
      <c r="N136" s="126">
        <v>57.5</v>
      </c>
    </row>
    <row r="137" spans="1:14" ht="11.1" customHeight="1" x14ac:dyDescent="0.3">
      <c r="A137" s="15"/>
      <c r="B137" s="11">
        <v>2019</v>
      </c>
      <c r="C137" s="121">
        <v>57.5</v>
      </c>
      <c r="D137" s="145">
        <v>57.5</v>
      </c>
      <c r="E137" s="121">
        <v>57.5</v>
      </c>
      <c r="F137" s="121">
        <v>57.5</v>
      </c>
      <c r="G137" s="126">
        <v>57.5</v>
      </c>
      <c r="H137" s="121">
        <v>57.5</v>
      </c>
      <c r="I137" s="121">
        <v>57.5</v>
      </c>
      <c r="J137" s="122">
        <v>57.5</v>
      </c>
      <c r="K137" s="123">
        <v>66</v>
      </c>
      <c r="L137" s="145">
        <v>65.5</v>
      </c>
      <c r="M137" s="121">
        <v>65.5</v>
      </c>
      <c r="N137" s="126">
        <v>65.5</v>
      </c>
    </row>
    <row r="138" spans="1:14" ht="11.1" customHeight="1" x14ac:dyDescent="0.3">
      <c r="A138" s="15"/>
      <c r="B138" s="11">
        <v>2020</v>
      </c>
      <c r="C138" s="121">
        <v>65.5</v>
      </c>
      <c r="D138" s="137" t="s">
        <v>140</v>
      </c>
      <c r="E138" s="128" t="s">
        <v>140</v>
      </c>
      <c r="F138" s="128" t="s">
        <v>140</v>
      </c>
      <c r="G138" s="137" t="s">
        <v>140</v>
      </c>
      <c r="H138" s="128" t="s">
        <v>140</v>
      </c>
      <c r="I138" s="128" t="s">
        <v>4</v>
      </c>
      <c r="J138" s="128" t="s">
        <v>140</v>
      </c>
      <c r="K138" s="137" t="s">
        <v>140</v>
      </c>
      <c r="L138" s="137" t="s">
        <v>140</v>
      </c>
      <c r="M138" s="128" t="s">
        <v>140</v>
      </c>
      <c r="N138" s="137" t="s">
        <v>140</v>
      </c>
    </row>
    <row r="139" spans="1:14" ht="11.1" customHeight="1" x14ac:dyDescent="0.3">
      <c r="A139" s="15"/>
      <c r="B139" s="11">
        <v>2021</v>
      </c>
      <c r="C139" s="128" t="s">
        <v>140</v>
      </c>
      <c r="D139" s="137" t="s">
        <v>140</v>
      </c>
      <c r="E139" s="128" t="s">
        <v>140</v>
      </c>
      <c r="F139" s="128" t="s">
        <v>140</v>
      </c>
      <c r="G139" s="137" t="s">
        <v>140</v>
      </c>
      <c r="H139" s="121">
        <v>70</v>
      </c>
      <c r="I139" s="121">
        <v>70</v>
      </c>
      <c r="J139" s="121">
        <v>70</v>
      </c>
      <c r="K139" s="137" t="s">
        <v>140</v>
      </c>
      <c r="L139" s="126">
        <v>92.5</v>
      </c>
      <c r="M139" s="128" t="s">
        <v>140</v>
      </c>
      <c r="N139" s="137" t="s">
        <v>140</v>
      </c>
    </row>
    <row r="140" spans="1:14" ht="11.1" customHeight="1" x14ac:dyDescent="0.3">
      <c r="A140" s="15"/>
      <c r="B140" s="11">
        <v>2022</v>
      </c>
      <c r="C140" s="121">
        <v>93</v>
      </c>
      <c r="D140" s="123">
        <v>95</v>
      </c>
      <c r="E140" s="121">
        <v>93</v>
      </c>
      <c r="F140" s="121">
        <v>95</v>
      </c>
      <c r="G140" s="126">
        <v>95</v>
      </c>
      <c r="H140" s="121">
        <v>95</v>
      </c>
      <c r="I140" s="121">
        <v>90</v>
      </c>
      <c r="J140" s="121">
        <v>90</v>
      </c>
      <c r="K140" s="126">
        <v>90</v>
      </c>
      <c r="L140" s="126">
        <v>90</v>
      </c>
      <c r="M140" s="121">
        <v>90</v>
      </c>
      <c r="N140" s="126">
        <v>90</v>
      </c>
    </row>
    <row r="141" spans="1:14" ht="11.1" customHeight="1" x14ac:dyDescent="0.3">
      <c r="A141" s="15"/>
      <c r="B141" s="11">
        <v>2023</v>
      </c>
      <c r="C141" s="121">
        <v>90</v>
      </c>
      <c r="D141" s="122">
        <v>92.5</v>
      </c>
      <c r="E141" s="121">
        <v>93</v>
      </c>
      <c r="F141" s="128" t="s">
        <v>140</v>
      </c>
      <c r="G141" s="126">
        <v>95</v>
      </c>
      <c r="H141" s="121">
        <v>95</v>
      </c>
      <c r="I141" s="121">
        <v>95</v>
      </c>
      <c r="J141" s="121">
        <v>95</v>
      </c>
      <c r="K141" s="126">
        <v>95</v>
      </c>
      <c r="L141" s="121">
        <v>95</v>
      </c>
      <c r="M141" s="121">
        <v>95</v>
      </c>
      <c r="N141" s="121">
        <v>95</v>
      </c>
    </row>
    <row r="142" spans="1:14" ht="11.1" customHeight="1" x14ac:dyDescent="0.3">
      <c r="A142" s="16"/>
      <c r="B142" s="11">
        <v>2024</v>
      </c>
      <c r="C142" s="121">
        <v>95</v>
      </c>
      <c r="D142" s="121">
        <v>95</v>
      </c>
      <c r="E142" s="125">
        <v>91</v>
      </c>
      <c r="F142" s="121">
        <v>103</v>
      </c>
      <c r="G142" s="126">
        <v>103</v>
      </c>
      <c r="H142" s="121">
        <v>103</v>
      </c>
      <c r="I142" s="121">
        <v>103</v>
      </c>
      <c r="J142" s="121">
        <v>103</v>
      </c>
      <c r="K142" s="121">
        <v>91</v>
      </c>
      <c r="L142" s="121">
        <v>91.2</v>
      </c>
      <c r="M142" s="121">
        <v>91.25</v>
      </c>
      <c r="N142" s="122">
        <v>102</v>
      </c>
    </row>
    <row r="143" spans="1:14" ht="11.1" customHeight="1" x14ac:dyDescent="0.3">
      <c r="A143" s="146"/>
      <c r="B143" s="131">
        <v>2025</v>
      </c>
      <c r="C143" s="135">
        <v>102</v>
      </c>
      <c r="D143" s="135">
        <v>102</v>
      </c>
      <c r="E143" s="142" t="s">
        <v>4</v>
      </c>
      <c r="F143" s="135">
        <v>102</v>
      </c>
      <c r="G143" s="135">
        <v>102</v>
      </c>
      <c r="H143" s="135">
        <v>102</v>
      </c>
      <c r="I143" s="135">
        <v>107</v>
      </c>
      <c r="J143" s="135">
        <v>91</v>
      </c>
      <c r="K143" s="135"/>
      <c r="L143" s="135"/>
      <c r="M143" s="135"/>
      <c r="N143" s="124"/>
    </row>
    <row r="144" spans="1:14" ht="11.1" customHeight="1" x14ac:dyDescent="0.3">
      <c r="A144" s="15" t="s">
        <v>41</v>
      </c>
      <c r="B144" s="11">
        <v>2018</v>
      </c>
      <c r="C144" s="122">
        <v>87.5</v>
      </c>
      <c r="D144" s="123">
        <v>82</v>
      </c>
      <c r="E144" s="122">
        <v>89</v>
      </c>
      <c r="F144" s="122">
        <v>89</v>
      </c>
      <c r="G144" s="126">
        <v>87.5</v>
      </c>
      <c r="H144" s="121">
        <v>87.5</v>
      </c>
      <c r="I144" s="121">
        <v>87.5</v>
      </c>
      <c r="J144" s="126">
        <v>87.5</v>
      </c>
      <c r="K144" s="126">
        <v>92.5</v>
      </c>
      <c r="L144" s="126">
        <v>92.5</v>
      </c>
      <c r="M144" s="121">
        <v>92.5</v>
      </c>
      <c r="N144" s="126">
        <v>92.5</v>
      </c>
    </row>
    <row r="145" spans="1:14" ht="11.1" customHeight="1" x14ac:dyDescent="0.3">
      <c r="A145" s="15"/>
      <c r="B145" s="11">
        <v>2019</v>
      </c>
      <c r="C145" s="121">
        <v>94</v>
      </c>
      <c r="D145" s="126">
        <v>94</v>
      </c>
      <c r="E145" s="121">
        <v>94</v>
      </c>
      <c r="F145" s="121">
        <v>94</v>
      </c>
      <c r="G145" s="126">
        <v>94</v>
      </c>
      <c r="H145" s="121">
        <v>94</v>
      </c>
      <c r="I145" s="121">
        <v>94.2</v>
      </c>
      <c r="J145" s="126">
        <v>94</v>
      </c>
      <c r="K145" s="123">
        <v>108</v>
      </c>
      <c r="L145" s="126">
        <v>107.5</v>
      </c>
      <c r="M145" s="121">
        <v>107.5</v>
      </c>
      <c r="N145" s="126">
        <v>107.5</v>
      </c>
    </row>
    <row r="146" spans="1:14" ht="11.1" customHeight="1" x14ac:dyDescent="0.3">
      <c r="A146" s="15"/>
      <c r="B146" s="11">
        <v>2020</v>
      </c>
      <c r="C146" s="121">
        <v>107.5</v>
      </c>
      <c r="D146" s="126">
        <v>105</v>
      </c>
      <c r="E146" s="128" t="s">
        <v>140</v>
      </c>
      <c r="F146" s="128" t="s">
        <v>140</v>
      </c>
      <c r="G146" s="137" t="s">
        <v>140</v>
      </c>
      <c r="H146" s="125">
        <v>105</v>
      </c>
      <c r="I146" s="125">
        <v>105</v>
      </c>
      <c r="J146" s="145">
        <v>105</v>
      </c>
      <c r="K146" s="137" t="s">
        <v>140</v>
      </c>
      <c r="L146" s="137" t="s">
        <v>140</v>
      </c>
      <c r="M146" s="121">
        <v>112.5</v>
      </c>
      <c r="N146" s="126">
        <v>107.5</v>
      </c>
    </row>
    <row r="147" spans="1:14" ht="11.1" customHeight="1" x14ac:dyDescent="0.3">
      <c r="A147" s="15"/>
      <c r="B147" s="11">
        <v>2021</v>
      </c>
      <c r="C147" s="121">
        <v>95</v>
      </c>
      <c r="D147" s="126">
        <v>100</v>
      </c>
      <c r="E147" s="121">
        <v>95</v>
      </c>
      <c r="F147" s="121">
        <v>85</v>
      </c>
      <c r="G147" s="126">
        <v>80</v>
      </c>
      <c r="H147" s="121">
        <v>100</v>
      </c>
      <c r="I147" s="121">
        <v>100</v>
      </c>
      <c r="J147" s="126">
        <v>100</v>
      </c>
      <c r="K147" s="126">
        <v>100</v>
      </c>
      <c r="L147" s="126">
        <v>97.5</v>
      </c>
      <c r="M147" s="121">
        <v>97.5</v>
      </c>
      <c r="N147" s="126">
        <v>110</v>
      </c>
    </row>
    <row r="148" spans="1:14" ht="11.1" customHeight="1" x14ac:dyDescent="0.3">
      <c r="A148" s="15"/>
      <c r="B148" s="11">
        <v>2022</v>
      </c>
      <c r="C148" s="121">
        <v>117.5</v>
      </c>
      <c r="D148" s="126">
        <v>117</v>
      </c>
      <c r="E148" s="121">
        <v>117.5</v>
      </c>
      <c r="F148" s="121">
        <v>120</v>
      </c>
      <c r="G148" s="126">
        <v>120</v>
      </c>
      <c r="H148" s="121">
        <v>120</v>
      </c>
      <c r="I148" s="121">
        <v>125</v>
      </c>
      <c r="J148" s="126">
        <v>125</v>
      </c>
      <c r="K148" s="126">
        <v>135</v>
      </c>
      <c r="L148" s="126">
        <v>135</v>
      </c>
      <c r="M148" s="121">
        <v>135</v>
      </c>
      <c r="N148" s="126">
        <v>135</v>
      </c>
    </row>
    <row r="149" spans="1:14" ht="11.1" customHeight="1" x14ac:dyDescent="0.3">
      <c r="A149" s="15"/>
      <c r="B149" s="11">
        <v>2023</v>
      </c>
      <c r="C149" s="121">
        <v>135</v>
      </c>
      <c r="D149" s="121">
        <v>135</v>
      </c>
      <c r="E149" s="121">
        <v>145</v>
      </c>
      <c r="F149" s="121">
        <v>130</v>
      </c>
      <c r="G149" s="126">
        <v>130</v>
      </c>
      <c r="H149" s="121">
        <v>130</v>
      </c>
      <c r="I149" s="121">
        <v>136</v>
      </c>
      <c r="J149" s="121">
        <v>136</v>
      </c>
      <c r="K149" s="121">
        <v>136</v>
      </c>
      <c r="L149" s="121">
        <v>130</v>
      </c>
      <c r="M149" s="121">
        <v>140</v>
      </c>
      <c r="N149" s="121">
        <v>150</v>
      </c>
    </row>
    <row r="150" spans="1:14" ht="11.1" customHeight="1" x14ac:dyDescent="0.3">
      <c r="A150" s="16"/>
      <c r="B150" s="11">
        <v>2024</v>
      </c>
      <c r="C150" s="121">
        <v>143</v>
      </c>
      <c r="D150" s="121">
        <v>143</v>
      </c>
      <c r="E150" s="125">
        <v>135</v>
      </c>
      <c r="F150" s="121">
        <v>145</v>
      </c>
      <c r="G150" s="126">
        <v>145</v>
      </c>
      <c r="H150" s="121">
        <v>145</v>
      </c>
      <c r="I150" s="121">
        <v>145</v>
      </c>
      <c r="J150" s="121">
        <v>145</v>
      </c>
      <c r="K150" s="121">
        <v>135</v>
      </c>
      <c r="L150" s="122">
        <v>135</v>
      </c>
      <c r="M150" s="122">
        <v>138.33000000000001</v>
      </c>
      <c r="N150" s="122">
        <v>142</v>
      </c>
    </row>
    <row r="151" spans="1:14" ht="11.1" customHeight="1" x14ac:dyDescent="0.3">
      <c r="A151" s="146"/>
      <c r="B151" s="131">
        <v>2025</v>
      </c>
      <c r="C151" s="135">
        <v>149</v>
      </c>
      <c r="D151" s="135">
        <v>138</v>
      </c>
      <c r="E151" s="139">
        <v>145</v>
      </c>
      <c r="F151" s="135">
        <v>138</v>
      </c>
      <c r="G151" s="135">
        <v>143</v>
      </c>
      <c r="H151" s="135">
        <v>145</v>
      </c>
      <c r="I151" s="135">
        <v>150</v>
      </c>
      <c r="J151" s="135">
        <v>141</v>
      </c>
      <c r="K151" s="135"/>
      <c r="L151" s="124"/>
      <c r="M151" s="124"/>
      <c r="N151" s="124"/>
    </row>
    <row r="152" spans="1:14" ht="11.1" customHeight="1" x14ac:dyDescent="0.3">
      <c r="A152" s="15" t="s">
        <v>45</v>
      </c>
      <c r="B152" s="11">
        <v>2018</v>
      </c>
      <c r="C152" s="122">
        <v>102.5</v>
      </c>
      <c r="D152" s="123">
        <v>102.5</v>
      </c>
      <c r="E152" s="122">
        <v>102.5</v>
      </c>
      <c r="F152" s="121">
        <v>110</v>
      </c>
      <c r="G152" s="126">
        <v>110</v>
      </c>
      <c r="H152" s="121">
        <v>110</v>
      </c>
      <c r="I152" s="121">
        <v>110.83333333333333</v>
      </c>
      <c r="J152" s="121">
        <v>111</v>
      </c>
      <c r="K152" s="126">
        <v>111</v>
      </c>
      <c r="L152" s="126">
        <v>111</v>
      </c>
      <c r="M152" s="121">
        <v>111</v>
      </c>
      <c r="N152" s="126">
        <v>111</v>
      </c>
    </row>
    <row r="153" spans="1:14" ht="11.1" customHeight="1" x14ac:dyDescent="0.3">
      <c r="A153" s="15"/>
      <c r="B153" s="11">
        <v>2019</v>
      </c>
      <c r="C153" s="121">
        <v>104</v>
      </c>
      <c r="D153" s="126">
        <v>104</v>
      </c>
      <c r="E153" s="121">
        <v>104</v>
      </c>
      <c r="F153" s="121">
        <v>104</v>
      </c>
      <c r="G153" s="126">
        <v>104</v>
      </c>
      <c r="H153" s="121">
        <v>112</v>
      </c>
      <c r="I153" s="121">
        <v>111.66666666666667</v>
      </c>
      <c r="J153" s="122">
        <v>135</v>
      </c>
      <c r="K153" s="123">
        <v>113</v>
      </c>
      <c r="L153" s="126">
        <v>108</v>
      </c>
      <c r="M153" s="121">
        <v>113</v>
      </c>
      <c r="N153" s="126">
        <v>115</v>
      </c>
    </row>
    <row r="154" spans="1:14" ht="11.1" customHeight="1" x14ac:dyDescent="0.3">
      <c r="A154" s="15"/>
      <c r="B154" s="11">
        <v>2020</v>
      </c>
      <c r="C154" s="121">
        <v>115</v>
      </c>
      <c r="D154" s="126">
        <v>115</v>
      </c>
      <c r="E154" s="121">
        <v>115</v>
      </c>
      <c r="F154" s="121">
        <v>120</v>
      </c>
      <c r="G154" s="126">
        <v>115</v>
      </c>
      <c r="H154" s="121">
        <v>120</v>
      </c>
      <c r="I154" s="121">
        <v>115</v>
      </c>
      <c r="J154" s="121">
        <v>115</v>
      </c>
      <c r="K154" s="123">
        <v>115</v>
      </c>
      <c r="L154" s="126">
        <v>115</v>
      </c>
      <c r="M154" s="122">
        <v>115</v>
      </c>
      <c r="N154" s="123">
        <v>115</v>
      </c>
    </row>
    <row r="155" spans="1:14" ht="11.1" customHeight="1" x14ac:dyDescent="0.3">
      <c r="A155" s="15"/>
      <c r="B155" s="11">
        <v>2021</v>
      </c>
      <c r="C155" s="121">
        <v>120</v>
      </c>
      <c r="D155" s="126">
        <v>120</v>
      </c>
      <c r="E155" s="121">
        <v>120</v>
      </c>
      <c r="F155" s="121">
        <v>120</v>
      </c>
      <c r="G155" s="126">
        <v>120</v>
      </c>
      <c r="H155" s="121">
        <v>120</v>
      </c>
      <c r="I155" s="121">
        <v>110</v>
      </c>
      <c r="J155" s="121">
        <v>115</v>
      </c>
      <c r="K155" s="126">
        <v>115</v>
      </c>
      <c r="L155" s="126">
        <v>115</v>
      </c>
      <c r="M155" s="122">
        <v>115</v>
      </c>
      <c r="N155" s="123">
        <v>120</v>
      </c>
    </row>
    <row r="156" spans="1:14" ht="11.1" customHeight="1" x14ac:dyDescent="0.3">
      <c r="A156" s="15"/>
      <c r="B156" s="11">
        <v>2022</v>
      </c>
      <c r="C156" s="121">
        <v>120</v>
      </c>
      <c r="D156" s="126">
        <v>140</v>
      </c>
      <c r="E156" s="121">
        <v>137</v>
      </c>
      <c r="F156" s="121">
        <v>130</v>
      </c>
      <c r="G156" s="126">
        <v>130</v>
      </c>
      <c r="H156" s="121">
        <v>130</v>
      </c>
      <c r="I156" s="121">
        <v>150</v>
      </c>
      <c r="J156" s="121">
        <v>140</v>
      </c>
      <c r="K156" s="126">
        <v>130</v>
      </c>
      <c r="L156" s="126">
        <v>135</v>
      </c>
      <c r="M156" s="122">
        <v>140</v>
      </c>
      <c r="N156" s="126">
        <v>135</v>
      </c>
    </row>
    <row r="157" spans="1:14" ht="11.1" customHeight="1" x14ac:dyDescent="0.3">
      <c r="A157" s="15"/>
      <c r="B157" s="11">
        <v>2023</v>
      </c>
      <c r="C157" s="121">
        <v>135</v>
      </c>
      <c r="D157" s="121">
        <v>145</v>
      </c>
      <c r="E157" s="121">
        <v>145</v>
      </c>
      <c r="F157" s="121">
        <v>145</v>
      </c>
      <c r="G157" s="126">
        <v>145</v>
      </c>
      <c r="H157" s="121">
        <v>150</v>
      </c>
      <c r="I157" s="121">
        <v>160</v>
      </c>
      <c r="J157" s="121">
        <v>150</v>
      </c>
      <c r="K157" s="121">
        <v>150</v>
      </c>
      <c r="L157" s="121">
        <v>150</v>
      </c>
      <c r="M157" s="122">
        <v>150</v>
      </c>
      <c r="N157" s="122">
        <v>150</v>
      </c>
    </row>
    <row r="158" spans="1:14" ht="11.1" customHeight="1" x14ac:dyDescent="0.3">
      <c r="A158" s="16"/>
      <c r="B158" s="11">
        <v>2024</v>
      </c>
      <c r="C158" s="121">
        <v>145</v>
      </c>
      <c r="D158" s="121">
        <v>145</v>
      </c>
      <c r="E158" s="125">
        <v>165</v>
      </c>
      <c r="F158" s="121">
        <v>145</v>
      </c>
      <c r="G158" s="126">
        <v>145</v>
      </c>
      <c r="H158" s="121">
        <v>165</v>
      </c>
      <c r="I158" s="121">
        <v>145</v>
      </c>
      <c r="J158" s="121">
        <v>145</v>
      </c>
      <c r="K158" s="121">
        <v>165</v>
      </c>
      <c r="L158" s="122">
        <v>165</v>
      </c>
      <c r="M158" s="129" t="s">
        <v>4</v>
      </c>
      <c r="N158" s="122">
        <v>163</v>
      </c>
    </row>
    <row r="159" spans="1:14" ht="11.1" customHeight="1" x14ac:dyDescent="0.3">
      <c r="A159" s="146"/>
      <c r="B159" s="131">
        <v>2025</v>
      </c>
      <c r="C159" s="135">
        <v>162</v>
      </c>
      <c r="D159" s="135">
        <v>158</v>
      </c>
      <c r="E159" s="139">
        <v>157</v>
      </c>
      <c r="F159" s="135">
        <v>161</v>
      </c>
      <c r="G159" s="135">
        <v>161</v>
      </c>
      <c r="H159" s="135">
        <v>160</v>
      </c>
      <c r="I159" s="135">
        <v>142</v>
      </c>
      <c r="J159" s="135">
        <v>130</v>
      </c>
      <c r="K159" s="135"/>
      <c r="L159" s="124"/>
      <c r="M159" s="142"/>
      <c r="N159" s="124"/>
    </row>
    <row r="160" spans="1:14" ht="11.1" customHeight="1" x14ac:dyDescent="0.3">
      <c r="A160" s="15" t="s">
        <v>65</v>
      </c>
      <c r="B160" s="11">
        <v>2018</v>
      </c>
      <c r="C160" s="123">
        <v>53.5</v>
      </c>
      <c r="D160" s="123">
        <v>54</v>
      </c>
      <c r="E160" s="122">
        <v>53</v>
      </c>
      <c r="F160" s="121">
        <v>50</v>
      </c>
      <c r="G160" s="123">
        <v>53</v>
      </c>
      <c r="H160" s="123">
        <v>53</v>
      </c>
      <c r="I160" s="121">
        <v>56.111111111111114</v>
      </c>
      <c r="J160" s="121">
        <v>56</v>
      </c>
      <c r="K160" s="126">
        <v>56</v>
      </c>
      <c r="L160" s="126">
        <v>55</v>
      </c>
      <c r="M160" s="126">
        <v>55</v>
      </c>
      <c r="N160" s="126">
        <v>55.5</v>
      </c>
    </row>
    <row r="161" spans="1:14" ht="11.1" customHeight="1" x14ac:dyDescent="0.3">
      <c r="A161" s="15"/>
      <c r="B161" s="11">
        <v>2019</v>
      </c>
      <c r="C161" s="126">
        <v>55</v>
      </c>
      <c r="D161" s="126">
        <v>55</v>
      </c>
      <c r="E161" s="121">
        <v>56</v>
      </c>
      <c r="F161" s="121">
        <v>56</v>
      </c>
      <c r="G161" s="126">
        <v>56</v>
      </c>
      <c r="H161" s="126">
        <v>55</v>
      </c>
      <c r="I161" s="121">
        <v>55.9375</v>
      </c>
      <c r="J161" s="122">
        <v>56</v>
      </c>
      <c r="K161" s="123">
        <v>60</v>
      </c>
      <c r="L161" s="126">
        <v>60</v>
      </c>
      <c r="M161" s="126">
        <v>60</v>
      </c>
      <c r="N161" s="126">
        <v>60</v>
      </c>
    </row>
    <row r="162" spans="1:14" ht="11.1" customHeight="1" x14ac:dyDescent="0.3">
      <c r="A162" s="15"/>
      <c r="B162" s="11">
        <v>2020</v>
      </c>
      <c r="C162" s="126">
        <v>57.5</v>
      </c>
      <c r="D162" s="126">
        <v>57.5</v>
      </c>
      <c r="E162" s="128" t="s">
        <v>140</v>
      </c>
      <c r="F162" s="128" t="s">
        <v>140</v>
      </c>
      <c r="G162" s="126">
        <v>50</v>
      </c>
      <c r="H162" s="126">
        <v>50</v>
      </c>
      <c r="I162" s="128" t="s">
        <v>4</v>
      </c>
      <c r="J162" s="121">
        <v>53</v>
      </c>
      <c r="K162" s="123">
        <v>53</v>
      </c>
      <c r="L162" s="126">
        <v>53</v>
      </c>
      <c r="M162" s="123">
        <v>53</v>
      </c>
      <c r="N162" s="123">
        <v>53</v>
      </c>
    </row>
    <row r="163" spans="1:14" ht="11.1" customHeight="1" x14ac:dyDescent="0.3">
      <c r="A163" s="15"/>
      <c r="B163" s="11">
        <v>2021</v>
      </c>
      <c r="C163" s="126">
        <v>62.5</v>
      </c>
      <c r="D163" s="126">
        <v>57.5</v>
      </c>
      <c r="E163" s="121">
        <v>57.5</v>
      </c>
      <c r="F163" s="121">
        <v>57.5</v>
      </c>
      <c r="G163" s="126">
        <v>62.5</v>
      </c>
      <c r="H163" s="126">
        <v>57.5</v>
      </c>
      <c r="I163" s="121">
        <v>57.5</v>
      </c>
      <c r="J163" s="121">
        <v>57.5</v>
      </c>
      <c r="K163" s="126">
        <v>57.5</v>
      </c>
      <c r="L163" s="126">
        <v>57.5</v>
      </c>
      <c r="M163" s="123">
        <v>60</v>
      </c>
      <c r="N163" s="123">
        <v>60</v>
      </c>
    </row>
    <row r="164" spans="1:14" ht="11.1" customHeight="1" x14ac:dyDescent="0.3">
      <c r="A164" s="15"/>
      <c r="B164" s="11">
        <v>2022</v>
      </c>
      <c r="C164" s="126">
        <v>60</v>
      </c>
      <c r="D164" s="126">
        <v>60</v>
      </c>
      <c r="E164" s="121">
        <v>60</v>
      </c>
      <c r="F164" s="121">
        <v>60</v>
      </c>
      <c r="G164" s="126">
        <v>60</v>
      </c>
      <c r="H164" s="126">
        <v>60</v>
      </c>
      <c r="I164" s="121">
        <v>60</v>
      </c>
      <c r="J164" s="121">
        <v>62.5</v>
      </c>
      <c r="K164" s="126">
        <v>62.5</v>
      </c>
      <c r="L164" s="126">
        <v>65</v>
      </c>
      <c r="M164" s="126">
        <v>65</v>
      </c>
      <c r="N164" s="126">
        <v>62.5</v>
      </c>
    </row>
    <row r="165" spans="1:14" ht="11.1" customHeight="1" x14ac:dyDescent="0.3">
      <c r="A165" s="15"/>
      <c r="B165" s="11">
        <v>2023</v>
      </c>
      <c r="C165" s="121">
        <v>70</v>
      </c>
      <c r="D165" s="121">
        <v>73</v>
      </c>
      <c r="E165" s="121">
        <v>85</v>
      </c>
      <c r="F165" s="128" t="s">
        <v>140</v>
      </c>
      <c r="G165" s="137" t="s">
        <v>140</v>
      </c>
      <c r="H165" s="128" t="s">
        <v>140</v>
      </c>
      <c r="I165" s="128" t="s">
        <v>140</v>
      </c>
      <c r="J165" s="128" t="s">
        <v>140</v>
      </c>
      <c r="K165" s="128" t="s">
        <v>140</v>
      </c>
      <c r="L165" s="128" t="s">
        <v>140</v>
      </c>
      <c r="M165" s="128" t="s">
        <v>140</v>
      </c>
      <c r="N165" s="128" t="s">
        <v>140</v>
      </c>
    </row>
    <row r="166" spans="1:14" ht="11.1" customHeight="1" x14ac:dyDescent="0.3">
      <c r="A166" s="15"/>
      <c r="B166" s="11">
        <v>2024</v>
      </c>
      <c r="C166" s="20" t="s">
        <v>4</v>
      </c>
      <c r="D166" s="20" t="s">
        <v>4</v>
      </c>
      <c r="E166" s="125">
        <v>70</v>
      </c>
      <c r="F166" s="121">
        <v>95</v>
      </c>
      <c r="G166" s="126">
        <v>95</v>
      </c>
      <c r="H166" s="126">
        <v>95</v>
      </c>
      <c r="I166" s="128" t="s">
        <v>140</v>
      </c>
      <c r="J166" s="128" t="s">
        <v>140</v>
      </c>
      <c r="K166" s="128" t="s">
        <v>140</v>
      </c>
      <c r="L166" s="122">
        <v>70.080484330484339</v>
      </c>
      <c r="M166" s="122">
        <v>72.8</v>
      </c>
      <c r="N166" s="122">
        <v>71.400000000000006</v>
      </c>
    </row>
    <row r="167" spans="1:14" ht="11.1" customHeight="1" x14ac:dyDescent="0.3">
      <c r="A167" s="130"/>
      <c r="B167" s="131">
        <v>2025</v>
      </c>
      <c r="C167" s="135">
        <v>65</v>
      </c>
      <c r="D167" s="148">
        <v>78</v>
      </c>
      <c r="E167" s="142" t="s">
        <v>4</v>
      </c>
      <c r="F167" s="135">
        <v>68</v>
      </c>
      <c r="G167" s="135">
        <v>70</v>
      </c>
      <c r="H167" s="140">
        <v>73</v>
      </c>
      <c r="I167" s="140">
        <v>66</v>
      </c>
      <c r="J167" s="140">
        <v>74</v>
      </c>
      <c r="K167" s="147"/>
      <c r="L167" s="124"/>
      <c r="M167" s="124"/>
      <c r="N167" s="124"/>
    </row>
    <row r="168" spans="1:14" ht="11.1" customHeight="1" x14ac:dyDescent="0.3">
      <c r="A168" s="15" t="s">
        <v>55</v>
      </c>
      <c r="B168" s="11">
        <v>2018</v>
      </c>
      <c r="C168" s="121">
        <v>133.5</v>
      </c>
      <c r="D168" s="126">
        <v>133.5</v>
      </c>
      <c r="E168" s="121">
        <v>134.5</v>
      </c>
      <c r="F168" s="121">
        <v>134.5</v>
      </c>
      <c r="G168" s="121">
        <v>134.5</v>
      </c>
      <c r="H168" s="121">
        <v>134.5</v>
      </c>
      <c r="I168" s="121">
        <v>132.22222222222223</v>
      </c>
      <c r="J168" s="121">
        <v>131</v>
      </c>
      <c r="K168" s="126">
        <v>131</v>
      </c>
      <c r="L168" s="126">
        <v>129</v>
      </c>
      <c r="M168" s="121">
        <v>129</v>
      </c>
      <c r="N168" s="126">
        <v>129</v>
      </c>
    </row>
    <row r="169" spans="1:14" ht="11.1" customHeight="1" x14ac:dyDescent="0.3">
      <c r="A169" s="15"/>
      <c r="B169" s="11">
        <v>2019</v>
      </c>
      <c r="C169" s="121">
        <v>129</v>
      </c>
      <c r="D169" s="126">
        <v>129</v>
      </c>
      <c r="E169" s="121">
        <v>129</v>
      </c>
      <c r="F169" s="121">
        <v>131</v>
      </c>
      <c r="G169" s="121">
        <v>128.75</v>
      </c>
      <c r="H169" s="121">
        <v>129</v>
      </c>
      <c r="I169" s="121">
        <v>130.25</v>
      </c>
      <c r="J169" s="122">
        <v>130.25</v>
      </c>
      <c r="K169" s="123">
        <v>135</v>
      </c>
      <c r="L169" s="126">
        <v>145</v>
      </c>
      <c r="M169" s="121">
        <v>145</v>
      </c>
      <c r="N169" s="126">
        <v>145</v>
      </c>
    </row>
    <row r="170" spans="1:14" ht="11.1" customHeight="1" x14ac:dyDescent="0.3">
      <c r="A170" s="15"/>
      <c r="B170" s="11">
        <v>2020</v>
      </c>
      <c r="C170" s="121">
        <v>145</v>
      </c>
      <c r="D170" s="126">
        <v>135</v>
      </c>
      <c r="E170" s="128" t="s">
        <v>140</v>
      </c>
      <c r="F170" s="121">
        <v>145</v>
      </c>
      <c r="G170" s="121">
        <v>145</v>
      </c>
      <c r="H170" s="121">
        <v>145</v>
      </c>
      <c r="I170" s="121">
        <v>145</v>
      </c>
      <c r="J170" s="121">
        <v>145</v>
      </c>
      <c r="K170" s="126">
        <v>145</v>
      </c>
      <c r="L170" s="126">
        <v>145</v>
      </c>
      <c r="M170" s="121">
        <v>145</v>
      </c>
      <c r="N170" s="126">
        <v>145</v>
      </c>
    </row>
    <row r="171" spans="1:14" ht="11.1" customHeight="1" x14ac:dyDescent="0.3">
      <c r="A171" s="15"/>
      <c r="B171" s="11">
        <v>2021</v>
      </c>
      <c r="C171" s="121">
        <v>145</v>
      </c>
      <c r="D171" s="126">
        <v>145</v>
      </c>
      <c r="E171" s="121">
        <v>145</v>
      </c>
      <c r="F171" s="121">
        <v>150</v>
      </c>
      <c r="G171" s="121">
        <v>150</v>
      </c>
      <c r="H171" s="121">
        <v>130</v>
      </c>
      <c r="I171" s="121">
        <v>135</v>
      </c>
      <c r="J171" s="121">
        <v>145</v>
      </c>
      <c r="K171" s="126">
        <v>145</v>
      </c>
      <c r="L171" s="126">
        <v>145</v>
      </c>
      <c r="M171" s="121">
        <v>150</v>
      </c>
      <c r="N171" s="126">
        <v>150</v>
      </c>
    </row>
    <row r="172" spans="1:14" ht="11.1" customHeight="1" x14ac:dyDescent="0.3">
      <c r="A172" s="15"/>
      <c r="B172" s="11">
        <v>2022</v>
      </c>
      <c r="C172" s="121">
        <v>140</v>
      </c>
      <c r="D172" s="126">
        <v>140</v>
      </c>
      <c r="E172" s="121">
        <v>147</v>
      </c>
      <c r="F172" s="121">
        <v>150</v>
      </c>
      <c r="G172" s="121">
        <v>150</v>
      </c>
      <c r="H172" s="121">
        <v>150</v>
      </c>
      <c r="I172" s="121">
        <v>150</v>
      </c>
      <c r="J172" s="121">
        <v>150</v>
      </c>
      <c r="K172" s="126">
        <v>150</v>
      </c>
      <c r="L172" s="126">
        <v>150</v>
      </c>
      <c r="M172" s="121">
        <v>140</v>
      </c>
      <c r="N172" s="126">
        <v>140</v>
      </c>
    </row>
    <row r="173" spans="1:14" ht="11.1" customHeight="1" x14ac:dyDescent="0.3">
      <c r="A173" s="17"/>
      <c r="B173" s="18">
        <v>2023</v>
      </c>
      <c r="C173" s="128" t="s">
        <v>140</v>
      </c>
      <c r="D173" s="128" t="s">
        <v>140</v>
      </c>
      <c r="E173" s="128" t="s">
        <v>140</v>
      </c>
      <c r="F173" s="121">
        <v>112.5</v>
      </c>
      <c r="G173" s="121">
        <v>140</v>
      </c>
      <c r="H173" s="121">
        <v>140</v>
      </c>
      <c r="I173" s="121">
        <v>160</v>
      </c>
      <c r="J173" s="121">
        <v>138</v>
      </c>
      <c r="K173" s="121">
        <v>140</v>
      </c>
      <c r="L173" s="121">
        <v>162</v>
      </c>
      <c r="M173" s="121">
        <v>163</v>
      </c>
      <c r="N173" s="121">
        <v>160</v>
      </c>
    </row>
    <row r="174" spans="1:14" ht="11.1" customHeight="1" x14ac:dyDescent="0.3">
      <c r="A174" s="16"/>
      <c r="B174" s="11">
        <v>2024</v>
      </c>
      <c r="C174" s="121">
        <v>155</v>
      </c>
      <c r="D174" s="121">
        <v>155</v>
      </c>
      <c r="E174" s="125">
        <v>155</v>
      </c>
      <c r="F174" s="121">
        <v>145</v>
      </c>
      <c r="G174" s="121">
        <v>145</v>
      </c>
      <c r="H174" s="121">
        <v>145</v>
      </c>
      <c r="I174" s="121">
        <v>175</v>
      </c>
      <c r="J174" s="121">
        <v>165</v>
      </c>
      <c r="K174" s="121">
        <v>160.5</v>
      </c>
      <c r="L174" s="122">
        <v>151.77248677248679</v>
      </c>
      <c r="M174" s="122">
        <v>193.33</v>
      </c>
      <c r="N174" s="122">
        <v>145</v>
      </c>
    </row>
    <row r="175" spans="1:14" ht="11.1" customHeight="1" x14ac:dyDescent="0.3">
      <c r="A175" s="146"/>
      <c r="B175" s="131">
        <v>2025</v>
      </c>
      <c r="C175" s="135">
        <v>152</v>
      </c>
      <c r="D175" s="135">
        <v>160</v>
      </c>
      <c r="E175" s="139">
        <v>158</v>
      </c>
      <c r="F175" s="135">
        <v>158</v>
      </c>
      <c r="G175" s="135">
        <v>158</v>
      </c>
      <c r="H175" s="135">
        <v>141</v>
      </c>
      <c r="I175" s="135">
        <v>139</v>
      </c>
      <c r="J175" s="135">
        <v>124</v>
      </c>
      <c r="K175" s="135"/>
      <c r="L175" s="124"/>
      <c r="M175" s="124"/>
      <c r="N175" s="124"/>
    </row>
    <row r="176" spans="1:14" ht="11.1" customHeight="1" x14ac:dyDescent="0.3">
      <c r="A176" s="17" t="s">
        <v>90</v>
      </c>
      <c r="B176" s="18">
        <v>2018</v>
      </c>
      <c r="C176" s="121">
        <v>61.5</v>
      </c>
      <c r="D176" s="121">
        <v>61.5</v>
      </c>
      <c r="E176" s="121">
        <v>61.5</v>
      </c>
      <c r="F176" s="121">
        <v>61.5</v>
      </c>
      <c r="G176" s="121">
        <v>61.5</v>
      </c>
      <c r="H176" s="121">
        <v>61.5</v>
      </c>
      <c r="I176" s="121">
        <v>60.25</v>
      </c>
      <c r="J176" s="121">
        <v>64</v>
      </c>
      <c r="K176" s="121">
        <v>65</v>
      </c>
      <c r="L176" s="121">
        <v>65</v>
      </c>
      <c r="M176" s="121">
        <v>65</v>
      </c>
      <c r="N176" s="121">
        <v>65</v>
      </c>
    </row>
    <row r="177" spans="1:14" ht="11.1" customHeight="1" x14ac:dyDescent="0.3">
      <c r="A177" s="17"/>
      <c r="B177" s="18">
        <v>2019</v>
      </c>
      <c r="C177" s="121">
        <v>68</v>
      </c>
      <c r="D177" s="121">
        <v>63.541249999999998</v>
      </c>
      <c r="E177" s="121">
        <v>63.541249999999998</v>
      </c>
      <c r="F177" s="121">
        <v>68.125</v>
      </c>
      <c r="G177" s="121">
        <v>68.125</v>
      </c>
      <c r="H177" s="121">
        <v>68.125</v>
      </c>
      <c r="I177" s="121">
        <v>68.125</v>
      </c>
      <c r="J177" s="122">
        <v>63.125</v>
      </c>
      <c r="K177" s="122">
        <v>70</v>
      </c>
      <c r="L177" s="121">
        <v>60</v>
      </c>
      <c r="M177" s="121">
        <v>55</v>
      </c>
      <c r="N177" s="121">
        <v>55</v>
      </c>
    </row>
    <row r="178" spans="1:14" ht="11.1" customHeight="1" x14ac:dyDescent="0.3">
      <c r="A178" s="17"/>
      <c r="B178" s="18">
        <v>2020</v>
      </c>
      <c r="C178" s="121">
        <v>56.5</v>
      </c>
      <c r="D178" s="125">
        <v>67.5</v>
      </c>
      <c r="E178" s="121">
        <v>56.5</v>
      </c>
      <c r="F178" s="121">
        <v>56.5</v>
      </c>
      <c r="G178" s="121">
        <v>56.5</v>
      </c>
      <c r="H178" s="121">
        <v>56.5</v>
      </c>
      <c r="I178" s="121">
        <v>56.5</v>
      </c>
      <c r="J178" s="121">
        <v>56.5</v>
      </c>
      <c r="K178" s="121">
        <v>56.5</v>
      </c>
      <c r="L178" s="121">
        <v>56.5</v>
      </c>
      <c r="M178" s="121">
        <v>62.5</v>
      </c>
      <c r="N178" s="121">
        <v>56.5</v>
      </c>
    </row>
    <row r="179" spans="1:14" ht="11.1" customHeight="1" x14ac:dyDescent="0.3">
      <c r="A179" s="17"/>
      <c r="B179" s="18">
        <v>2021</v>
      </c>
      <c r="C179" s="128" t="s">
        <v>140</v>
      </c>
      <c r="D179" s="128" t="s">
        <v>4</v>
      </c>
      <c r="E179" s="128" t="s">
        <v>140</v>
      </c>
      <c r="F179" s="128" t="s">
        <v>140</v>
      </c>
      <c r="G179" s="128" t="s">
        <v>140</v>
      </c>
      <c r="H179" s="128" t="s">
        <v>140</v>
      </c>
      <c r="I179" s="128" t="s">
        <v>4</v>
      </c>
      <c r="J179" s="128" t="s">
        <v>140</v>
      </c>
      <c r="K179" s="128" t="s">
        <v>140</v>
      </c>
      <c r="L179" s="128" t="s">
        <v>140</v>
      </c>
      <c r="M179" s="128" t="s">
        <v>140</v>
      </c>
      <c r="N179" s="128" t="s">
        <v>140</v>
      </c>
    </row>
    <row r="180" spans="1:14" ht="11.1" customHeight="1" x14ac:dyDescent="0.3">
      <c r="A180" s="17"/>
      <c r="B180" s="18">
        <v>2022</v>
      </c>
      <c r="C180" s="121">
        <v>70</v>
      </c>
      <c r="D180" s="125">
        <v>60</v>
      </c>
      <c r="E180" s="125">
        <v>60</v>
      </c>
      <c r="F180" s="121">
        <v>70</v>
      </c>
      <c r="G180" s="121">
        <v>75</v>
      </c>
      <c r="H180" s="121">
        <v>105</v>
      </c>
      <c r="I180" s="121">
        <v>105</v>
      </c>
      <c r="J180" s="121">
        <v>78</v>
      </c>
      <c r="K180" s="121">
        <v>88</v>
      </c>
      <c r="L180" s="125">
        <v>88</v>
      </c>
      <c r="M180" s="125">
        <v>88</v>
      </c>
      <c r="N180" s="121">
        <v>90</v>
      </c>
    </row>
    <row r="181" spans="1:14" ht="11.1" customHeight="1" x14ac:dyDescent="0.3">
      <c r="A181" s="17"/>
      <c r="B181" s="18">
        <v>2023</v>
      </c>
      <c r="C181" s="121">
        <v>85</v>
      </c>
      <c r="D181" s="125">
        <v>85</v>
      </c>
      <c r="E181" s="125">
        <v>85</v>
      </c>
      <c r="F181" s="125">
        <v>85</v>
      </c>
      <c r="G181" s="121">
        <v>85</v>
      </c>
      <c r="H181" s="121">
        <v>85</v>
      </c>
      <c r="I181" s="121">
        <v>112</v>
      </c>
      <c r="J181" s="121">
        <v>115</v>
      </c>
      <c r="K181" s="121">
        <v>115</v>
      </c>
      <c r="L181" s="125">
        <v>115</v>
      </c>
      <c r="M181" s="125">
        <v>115</v>
      </c>
      <c r="N181" s="121">
        <v>115</v>
      </c>
    </row>
    <row r="182" spans="1:14" ht="11.1" customHeight="1" x14ac:dyDescent="0.3">
      <c r="A182" s="16"/>
      <c r="B182" s="11">
        <v>2024</v>
      </c>
      <c r="C182" s="121">
        <v>115</v>
      </c>
      <c r="D182" s="121">
        <v>115</v>
      </c>
      <c r="E182" s="125">
        <v>83</v>
      </c>
      <c r="F182" s="121">
        <v>80</v>
      </c>
      <c r="G182" s="126">
        <v>90</v>
      </c>
      <c r="H182" s="121">
        <v>96</v>
      </c>
      <c r="I182" s="121">
        <v>93</v>
      </c>
      <c r="J182" s="121">
        <v>100</v>
      </c>
      <c r="K182" s="121">
        <v>94</v>
      </c>
      <c r="L182" s="122">
        <v>90.833333333333329</v>
      </c>
      <c r="M182" s="122">
        <v>90.83</v>
      </c>
      <c r="N182" s="122">
        <v>63</v>
      </c>
    </row>
    <row r="183" spans="1:14" ht="11.1" customHeight="1" x14ac:dyDescent="0.3">
      <c r="A183" s="146"/>
      <c r="B183" s="131">
        <v>2025</v>
      </c>
      <c r="C183" s="135">
        <v>80</v>
      </c>
      <c r="D183" s="135">
        <v>90</v>
      </c>
      <c r="E183" s="139">
        <v>100</v>
      </c>
      <c r="F183" s="147" t="s">
        <v>140</v>
      </c>
      <c r="G183" s="135">
        <v>90</v>
      </c>
      <c r="H183" s="135">
        <v>85</v>
      </c>
      <c r="I183" s="135">
        <v>93</v>
      </c>
      <c r="J183" s="135">
        <v>92</v>
      </c>
      <c r="K183" s="135"/>
      <c r="L183" s="124"/>
      <c r="M183" s="124"/>
      <c r="N183" s="124"/>
    </row>
    <row r="184" spans="1:14" ht="11.1" customHeight="1" x14ac:dyDescent="0.3">
      <c r="A184" s="17" t="s">
        <v>72</v>
      </c>
      <c r="B184" s="18">
        <v>2018</v>
      </c>
      <c r="C184" s="121">
        <v>113</v>
      </c>
      <c r="D184" s="125">
        <v>122</v>
      </c>
      <c r="E184" s="121">
        <v>113</v>
      </c>
      <c r="F184" s="121">
        <v>113</v>
      </c>
      <c r="G184" s="126">
        <v>113</v>
      </c>
      <c r="H184" s="121">
        <v>122</v>
      </c>
      <c r="I184" s="121">
        <v>118.33333333333333</v>
      </c>
      <c r="J184" s="121">
        <v>122</v>
      </c>
      <c r="K184" s="121">
        <v>115</v>
      </c>
      <c r="L184" s="125">
        <v>122</v>
      </c>
      <c r="M184" s="121">
        <v>122</v>
      </c>
      <c r="N184" s="121">
        <v>122</v>
      </c>
    </row>
    <row r="185" spans="1:14" ht="11.1" customHeight="1" x14ac:dyDescent="0.3">
      <c r="A185" s="17"/>
      <c r="B185" s="18">
        <v>2019</v>
      </c>
      <c r="C185" s="121">
        <v>122</v>
      </c>
      <c r="D185" s="125">
        <v>122</v>
      </c>
      <c r="E185" s="121">
        <v>122</v>
      </c>
      <c r="F185" s="121">
        <v>122</v>
      </c>
      <c r="G185" s="126">
        <v>105</v>
      </c>
      <c r="H185" s="121">
        <v>103</v>
      </c>
      <c r="I185" s="121">
        <v>96.666666666666671</v>
      </c>
      <c r="J185" s="122">
        <v>102</v>
      </c>
      <c r="K185" s="122">
        <v>120</v>
      </c>
      <c r="L185" s="125">
        <v>105</v>
      </c>
      <c r="M185" s="121">
        <v>105</v>
      </c>
      <c r="N185" s="121">
        <v>100</v>
      </c>
    </row>
    <row r="186" spans="1:14" ht="11.1" customHeight="1" x14ac:dyDescent="0.3">
      <c r="A186" s="17"/>
      <c r="B186" s="18">
        <v>2020</v>
      </c>
      <c r="C186" s="121">
        <v>105</v>
      </c>
      <c r="D186" s="125">
        <v>105</v>
      </c>
      <c r="E186" s="121">
        <v>105</v>
      </c>
      <c r="F186" s="121">
        <v>100</v>
      </c>
      <c r="G186" s="126">
        <v>100</v>
      </c>
      <c r="H186" s="121">
        <v>105</v>
      </c>
      <c r="I186" s="121">
        <v>100</v>
      </c>
      <c r="J186" s="122">
        <v>105</v>
      </c>
      <c r="K186" s="121">
        <v>100</v>
      </c>
      <c r="L186" s="125">
        <v>105</v>
      </c>
      <c r="M186" s="122">
        <v>105</v>
      </c>
      <c r="N186" s="122">
        <v>105</v>
      </c>
    </row>
    <row r="187" spans="1:14" ht="11.1" customHeight="1" x14ac:dyDescent="0.3">
      <c r="A187" s="17"/>
      <c r="B187" s="18">
        <v>2021</v>
      </c>
      <c r="C187" s="121">
        <v>100</v>
      </c>
      <c r="D187" s="125">
        <v>100</v>
      </c>
      <c r="E187" s="121">
        <v>100</v>
      </c>
      <c r="F187" s="121">
        <v>100</v>
      </c>
      <c r="G187" s="126">
        <v>100</v>
      </c>
      <c r="H187" s="121">
        <v>100</v>
      </c>
      <c r="I187" s="121">
        <v>105</v>
      </c>
      <c r="J187" s="122">
        <v>105</v>
      </c>
      <c r="K187" s="122">
        <v>105</v>
      </c>
      <c r="L187" s="125">
        <v>105</v>
      </c>
      <c r="M187" s="122">
        <v>105</v>
      </c>
      <c r="N187" s="122">
        <v>115</v>
      </c>
    </row>
    <row r="188" spans="1:14" ht="11.1" customHeight="1" x14ac:dyDescent="0.3">
      <c r="A188" s="17"/>
      <c r="B188" s="18">
        <v>2022</v>
      </c>
      <c r="C188" s="121">
        <v>115</v>
      </c>
      <c r="D188" s="121">
        <v>115</v>
      </c>
      <c r="E188" s="121">
        <v>105</v>
      </c>
      <c r="F188" s="121">
        <v>100</v>
      </c>
      <c r="G188" s="126">
        <v>115</v>
      </c>
      <c r="H188" s="121">
        <v>115</v>
      </c>
      <c r="I188" s="121">
        <v>115</v>
      </c>
      <c r="J188" s="122">
        <v>115</v>
      </c>
      <c r="K188" s="122">
        <v>115</v>
      </c>
      <c r="L188" s="149">
        <v>115</v>
      </c>
      <c r="M188" s="149">
        <v>115</v>
      </c>
      <c r="N188" s="149">
        <v>115</v>
      </c>
    </row>
    <row r="189" spans="1:14" ht="11.1" customHeight="1" x14ac:dyDescent="0.3">
      <c r="A189" s="17"/>
      <c r="B189" s="18">
        <v>2023</v>
      </c>
      <c r="C189" s="121">
        <v>115</v>
      </c>
      <c r="D189" s="121">
        <v>115</v>
      </c>
      <c r="E189" s="121">
        <v>115</v>
      </c>
      <c r="F189" s="121">
        <v>145</v>
      </c>
      <c r="G189" s="126">
        <v>145</v>
      </c>
      <c r="H189" s="121">
        <v>145</v>
      </c>
      <c r="I189" s="121">
        <v>145</v>
      </c>
      <c r="J189" s="122">
        <v>150</v>
      </c>
      <c r="K189" s="122">
        <v>150</v>
      </c>
      <c r="L189" s="149">
        <v>150</v>
      </c>
      <c r="M189" s="149">
        <v>150</v>
      </c>
      <c r="N189" s="149">
        <v>150</v>
      </c>
    </row>
    <row r="190" spans="1:14" ht="11.1" customHeight="1" x14ac:dyDescent="0.3">
      <c r="A190" s="16"/>
      <c r="B190" s="11">
        <v>2024</v>
      </c>
      <c r="C190" s="121">
        <v>155</v>
      </c>
      <c r="D190" s="121">
        <v>150</v>
      </c>
      <c r="E190" s="125">
        <v>147</v>
      </c>
      <c r="F190" s="121">
        <v>150</v>
      </c>
      <c r="G190" s="126">
        <v>155</v>
      </c>
      <c r="H190" s="121">
        <v>155</v>
      </c>
      <c r="I190" s="121">
        <v>155</v>
      </c>
      <c r="J190" s="121">
        <v>140</v>
      </c>
      <c r="K190" s="121">
        <v>150</v>
      </c>
      <c r="L190" s="122">
        <v>140</v>
      </c>
      <c r="M190" s="129" t="s">
        <v>4</v>
      </c>
      <c r="N190" s="122">
        <v>153.30000000000001</v>
      </c>
    </row>
    <row r="191" spans="1:14" ht="11.1" customHeight="1" x14ac:dyDescent="0.3">
      <c r="A191" s="146"/>
      <c r="B191" s="131">
        <v>2025</v>
      </c>
      <c r="C191" s="135">
        <v>152</v>
      </c>
      <c r="D191" s="135">
        <v>152</v>
      </c>
      <c r="E191" s="139">
        <v>152</v>
      </c>
      <c r="F191" s="135">
        <v>155</v>
      </c>
      <c r="G191" s="135">
        <v>155</v>
      </c>
      <c r="H191" s="135">
        <v>158</v>
      </c>
      <c r="I191" s="135">
        <v>160</v>
      </c>
      <c r="J191" s="135">
        <v>160</v>
      </c>
      <c r="K191" s="135"/>
      <c r="L191" s="124"/>
      <c r="M191" s="142"/>
      <c r="N191" s="124"/>
    </row>
    <row r="192" spans="1:14" ht="11.1" customHeight="1" x14ac:dyDescent="0.3">
      <c r="A192" s="17" t="s">
        <v>76</v>
      </c>
      <c r="B192" s="18">
        <v>2018</v>
      </c>
      <c r="C192" s="121">
        <v>155</v>
      </c>
      <c r="D192" s="125">
        <v>155</v>
      </c>
      <c r="E192" s="121">
        <v>155</v>
      </c>
      <c r="F192" s="121">
        <v>155</v>
      </c>
      <c r="G192" s="126">
        <v>155</v>
      </c>
      <c r="H192" s="121">
        <v>170</v>
      </c>
      <c r="I192" s="121">
        <v>170</v>
      </c>
      <c r="J192" s="121">
        <v>170</v>
      </c>
      <c r="K192" s="121">
        <v>170</v>
      </c>
      <c r="L192" s="125">
        <v>170</v>
      </c>
      <c r="M192" s="121">
        <v>170</v>
      </c>
      <c r="N192" s="149">
        <v>140</v>
      </c>
    </row>
    <row r="193" spans="1:14" ht="11.1" customHeight="1" x14ac:dyDescent="0.3">
      <c r="A193" s="17"/>
      <c r="B193" s="18">
        <v>2019</v>
      </c>
      <c r="C193" s="121">
        <v>115</v>
      </c>
      <c r="D193" s="125">
        <v>115</v>
      </c>
      <c r="E193" s="121">
        <v>115</v>
      </c>
      <c r="F193" s="121">
        <v>115</v>
      </c>
      <c r="G193" s="126">
        <v>115</v>
      </c>
      <c r="H193" s="121">
        <v>115</v>
      </c>
      <c r="I193" s="121">
        <v>115</v>
      </c>
      <c r="J193" s="122">
        <v>115</v>
      </c>
      <c r="K193" s="122">
        <v>115</v>
      </c>
      <c r="L193" s="125">
        <v>115</v>
      </c>
      <c r="M193" s="121">
        <v>115</v>
      </c>
      <c r="N193" s="149">
        <v>115</v>
      </c>
    </row>
    <row r="194" spans="1:14" ht="11.1" customHeight="1" x14ac:dyDescent="0.3">
      <c r="A194" s="39"/>
      <c r="B194" s="18">
        <v>2020</v>
      </c>
      <c r="C194" s="121">
        <v>115</v>
      </c>
      <c r="D194" s="128" t="s">
        <v>4</v>
      </c>
      <c r="E194" s="128" t="s">
        <v>140</v>
      </c>
      <c r="F194" s="128" t="s">
        <v>140</v>
      </c>
      <c r="G194" s="137" t="s">
        <v>140</v>
      </c>
      <c r="H194" s="128" t="s">
        <v>140</v>
      </c>
      <c r="I194" s="128" t="s">
        <v>4</v>
      </c>
      <c r="J194" s="128" t="s">
        <v>140</v>
      </c>
      <c r="K194" s="128" t="s">
        <v>140</v>
      </c>
      <c r="L194" s="128" t="s">
        <v>140</v>
      </c>
      <c r="M194" s="128" t="s">
        <v>140</v>
      </c>
      <c r="N194" s="149" t="s">
        <v>140</v>
      </c>
    </row>
    <row r="195" spans="1:14" ht="11.1" customHeight="1" x14ac:dyDescent="0.3">
      <c r="A195" s="39"/>
      <c r="B195" s="18">
        <v>2021</v>
      </c>
      <c r="C195" s="128" t="s">
        <v>140</v>
      </c>
      <c r="D195" s="125">
        <v>115</v>
      </c>
      <c r="E195" s="128" t="s">
        <v>140</v>
      </c>
      <c r="F195" s="121">
        <v>120</v>
      </c>
      <c r="G195" s="126">
        <v>120</v>
      </c>
      <c r="H195" s="121">
        <v>120</v>
      </c>
      <c r="I195" s="121">
        <v>120</v>
      </c>
      <c r="J195" s="121">
        <v>120</v>
      </c>
      <c r="K195" s="128" t="s">
        <v>140</v>
      </c>
      <c r="L195" s="125">
        <v>145</v>
      </c>
      <c r="M195" s="121">
        <v>145</v>
      </c>
      <c r="N195" s="149">
        <v>145</v>
      </c>
    </row>
    <row r="196" spans="1:14" ht="11.1" customHeight="1" x14ac:dyDescent="0.3">
      <c r="A196" s="39"/>
      <c r="B196" s="18">
        <v>2022</v>
      </c>
      <c r="C196" s="150">
        <v>145</v>
      </c>
      <c r="D196" s="121">
        <v>145</v>
      </c>
      <c r="E196" s="121">
        <v>145</v>
      </c>
      <c r="F196" s="121">
        <v>130</v>
      </c>
      <c r="G196" s="126">
        <v>130</v>
      </c>
      <c r="H196" s="121">
        <v>130</v>
      </c>
      <c r="I196" s="121">
        <v>130</v>
      </c>
      <c r="J196" s="121">
        <v>130</v>
      </c>
      <c r="K196" s="128">
        <v>130</v>
      </c>
      <c r="L196" s="125">
        <v>130</v>
      </c>
      <c r="M196" s="125">
        <v>130</v>
      </c>
      <c r="N196" s="149">
        <v>135</v>
      </c>
    </row>
    <row r="197" spans="1:14" ht="11.1" customHeight="1" x14ac:dyDescent="0.3">
      <c r="A197" s="39"/>
      <c r="B197" s="18">
        <v>2023</v>
      </c>
      <c r="C197" s="150">
        <v>135</v>
      </c>
      <c r="D197" s="121">
        <v>135</v>
      </c>
      <c r="E197" s="121">
        <v>135</v>
      </c>
      <c r="F197" s="121">
        <v>130</v>
      </c>
      <c r="G197" s="126">
        <v>135</v>
      </c>
      <c r="H197" s="121">
        <v>135</v>
      </c>
      <c r="I197" s="121">
        <v>130</v>
      </c>
      <c r="J197" s="121">
        <v>130</v>
      </c>
      <c r="K197" s="121">
        <v>130</v>
      </c>
      <c r="L197" s="121">
        <v>130</v>
      </c>
      <c r="M197" s="125">
        <v>130</v>
      </c>
      <c r="N197" s="149">
        <v>125</v>
      </c>
    </row>
    <row r="198" spans="1:14" ht="11.1" customHeight="1" x14ac:dyDescent="0.3">
      <c r="A198" s="39"/>
      <c r="B198" s="18">
        <v>2024</v>
      </c>
      <c r="C198" s="150">
        <v>135</v>
      </c>
      <c r="D198" s="121">
        <v>130</v>
      </c>
      <c r="E198" s="121">
        <v>140</v>
      </c>
      <c r="F198" s="121">
        <v>150</v>
      </c>
      <c r="G198" s="126">
        <v>150</v>
      </c>
      <c r="H198" s="121">
        <v>150</v>
      </c>
      <c r="I198" s="121">
        <v>150</v>
      </c>
      <c r="J198" s="121">
        <v>150</v>
      </c>
      <c r="K198" s="121">
        <v>137</v>
      </c>
      <c r="L198" s="121">
        <v>115</v>
      </c>
      <c r="M198" s="125">
        <v>115</v>
      </c>
      <c r="N198" s="125">
        <v>115</v>
      </c>
    </row>
    <row r="199" spans="1:14" ht="11.1" customHeight="1" x14ac:dyDescent="0.3">
      <c r="A199" s="40"/>
      <c r="B199" s="22">
        <v>2025</v>
      </c>
      <c r="C199" s="142" t="s">
        <v>4</v>
      </c>
      <c r="D199" s="135">
        <v>115</v>
      </c>
      <c r="E199" s="135">
        <v>115</v>
      </c>
      <c r="F199" s="135">
        <v>115</v>
      </c>
      <c r="G199" s="135">
        <v>120</v>
      </c>
      <c r="H199" s="135">
        <v>120</v>
      </c>
      <c r="I199" s="135">
        <v>120</v>
      </c>
      <c r="J199" s="135">
        <v>120</v>
      </c>
      <c r="K199" s="135"/>
      <c r="L199" s="135"/>
      <c r="M199" s="139"/>
      <c r="N199" s="139"/>
    </row>
    <row r="200" spans="1:14" ht="9" customHeight="1" x14ac:dyDescent="0.3">
      <c r="A200" s="10" t="s">
        <v>87</v>
      </c>
      <c r="B200" s="151"/>
      <c r="C200" s="152"/>
      <c r="D200" s="152"/>
      <c r="E200" s="152"/>
      <c r="F200" s="152"/>
      <c r="G200" s="153"/>
      <c r="H200" s="152"/>
      <c r="I200" s="152"/>
      <c r="J200" s="152"/>
      <c r="K200" s="152"/>
      <c r="L200" s="152"/>
      <c r="M200" s="152"/>
      <c r="N200" s="152"/>
    </row>
    <row r="201" spans="1:14" ht="9" customHeight="1" x14ac:dyDescent="0.3">
      <c r="A201" s="116" t="s">
        <v>67</v>
      </c>
      <c r="B201" s="154"/>
      <c r="C201" s="155"/>
      <c r="D201" s="155"/>
      <c r="E201" s="155"/>
      <c r="F201" s="155"/>
      <c r="G201" s="156"/>
      <c r="H201" s="155"/>
      <c r="I201" s="152"/>
      <c r="J201" s="152"/>
      <c r="K201" s="152"/>
      <c r="L201" s="152"/>
      <c r="M201" s="152"/>
      <c r="N201" s="152"/>
    </row>
    <row r="202" spans="1:14" ht="9" customHeight="1" x14ac:dyDescent="0.3">
      <c r="A202" s="118" t="s">
        <v>68</v>
      </c>
      <c r="B202" s="12"/>
      <c r="C202" s="12"/>
      <c r="D202" s="12"/>
      <c r="E202" s="12"/>
      <c r="F202" s="12"/>
      <c r="G202" s="157"/>
      <c r="H202" s="12"/>
      <c r="I202" s="12"/>
      <c r="J202" s="12"/>
      <c r="K202" s="12"/>
      <c r="L202" s="12"/>
      <c r="M202" s="12"/>
      <c r="N202" s="12"/>
    </row>
    <row r="203" spans="1:14" ht="9" customHeight="1" x14ac:dyDescent="0.3">
      <c r="A203" s="118" t="s">
        <v>496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</row>
    <row r="204" spans="1:14" ht="10.5" customHeight="1" x14ac:dyDescent="0.3">
      <c r="A204" s="116"/>
    </row>
    <row r="205" spans="1:14" ht="6.75" customHeight="1" x14ac:dyDescent="0.3">
      <c r="A205" s="116"/>
    </row>
  </sheetData>
  <mergeCells count="3">
    <mergeCell ref="A1:N1"/>
    <mergeCell ref="A65:F65"/>
    <mergeCell ref="A133:F133"/>
  </mergeCells>
  <pageMargins left="0.27559055118110237" right="0.27559055118110237" top="0.39370078740157483" bottom="0.39370078740157483" header="0" footer="0"/>
  <pageSetup paperSize="9" orientation="portrait" horizontalDpi="0" verticalDpi="0"/>
  <rowBreaks count="1" manualBreakCount="1">
    <brk id="64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5"/>
  <dimension ref="A1:N173"/>
  <sheetViews>
    <sheetView showGridLines="0" topLeftCell="A89" zoomScaleNormal="100" workbookViewId="0">
      <selection activeCell="A109" sqref="A109:N172"/>
    </sheetView>
  </sheetViews>
  <sheetFormatPr baseColWidth="10" defaultColWidth="11.44140625" defaultRowHeight="13.8" x14ac:dyDescent="0.3"/>
  <cols>
    <col min="1" max="1" width="13.109375" style="119" customWidth="1"/>
    <col min="2" max="2" width="5.44140625" style="119" customWidth="1"/>
    <col min="3" max="14" width="5.88671875" style="119" customWidth="1"/>
    <col min="15" max="16384" width="11.44140625" style="119"/>
  </cols>
  <sheetData>
    <row r="1" spans="1:14" x14ac:dyDescent="0.3">
      <c r="A1" s="768" t="s">
        <v>568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</row>
    <row r="2" spans="1:14" ht="12" customHeight="1" x14ac:dyDescent="0.3">
      <c r="A2" s="615" t="s">
        <v>121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</row>
    <row r="3" spans="1:14" ht="5.0999999999999996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15.9" customHeight="1" x14ac:dyDescent="0.3">
      <c r="A4" s="217" t="s">
        <v>94</v>
      </c>
      <c r="B4" s="217" t="s">
        <v>139</v>
      </c>
      <c r="C4" s="217" t="s">
        <v>96</v>
      </c>
      <c r="D4" s="217" t="s">
        <v>97</v>
      </c>
      <c r="E4" s="217" t="s">
        <v>98</v>
      </c>
      <c r="F4" s="217" t="s">
        <v>99</v>
      </c>
      <c r="G4" s="217" t="s">
        <v>100</v>
      </c>
      <c r="H4" s="217" t="s">
        <v>101</v>
      </c>
      <c r="I4" s="217" t="s">
        <v>102</v>
      </c>
      <c r="J4" s="217" t="s">
        <v>103</v>
      </c>
      <c r="K4" s="217" t="s">
        <v>104</v>
      </c>
      <c r="L4" s="217" t="s">
        <v>105</v>
      </c>
      <c r="M4" s="217" t="s">
        <v>106</v>
      </c>
      <c r="N4" s="217" t="s">
        <v>107</v>
      </c>
    </row>
    <row r="5" spans="1:14" ht="3" customHeight="1" x14ac:dyDescent="0.3">
      <c r="A5" s="14"/>
      <c r="B5" s="14"/>
      <c r="C5" s="14"/>
      <c r="D5" s="14"/>
      <c r="E5" s="14"/>
      <c r="F5" s="14"/>
      <c r="G5" s="14"/>
      <c r="H5" s="14"/>
      <c r="I5" s="14"/>
      <c r="J5" s="45"/>
      <c r="K5" s="14"/>
      <c r="L5" s="14"/>
      <c r="M5" s="14"/>
      <c r="N5" s="14"/>
    </row>
    <row r="6" spans="1:14" ht="12" customHeight="1" x14ac:dyDescent="0.3">
      <c r="A6" s="15" t="s">
        <v>52</v>
      </c>
      <c r="B6" s="11">
        <v>2018</v>
      </c>
      <c r="C6" s="163">
        <v>80</v>
      </c>
      <c r="D6" s="163">
        <v>81</v>
      </c>
      <c r="E6" s="163">
        <v>82</v>
      </c>
      <c r="F6" s="162">
        <v>82</v>
      </c>
      <c r="G6" s="162">
        <v>82</v>
      </c>
      <c r="H6" s="162">
        <v>82</v>
      </c>
      <c r="I6" s="163">
        <v>83</v>
      </c>
      <c r="J6" s="162">
        <v>82.5</v>
      </c>
      <c r="K6" s="162">
        <v>82.5</v>
      </c>
      <c r="L6" s="163">
        <v>82.5</v>
      </c>
      <c r="M6" s="162">
        <v>82.5</v>
      </c>
      <c r="N6" s="163">
        <v>82.5</v>
      </c>
    </row>
    <row r="7" spans="1:14" ht="12" customHeight="1" x14ac:dyDescent="0.3">
      <c r="A7" s="15"/>
      <c r="B7" s="11">
        <v>2019</v>
      </c>
      <c r="C7" s="163">
        <v>84.166666666666671</v>
      </c>
      <c r="D7" s="163">
        <v>84.2</v>
      </c>
      <c r="E7" s="163">
        <v>84.2</v>
      </c>
      <c r="F7" s="162">
        <v>85.9</v>
      </c>
      <c r="G7" s="162">
        <v>85.9</v>
      </c>
      <c r="H7" s="162">
        <v>85.9</v>
      </c>
      <c r="I7" s="163">
        <v>89.2</v>
      </c>
      <c r="J7" s="162">
        <v>89.2</v>
      </c>
      <c r="K7" s="162">
        <v>100</v>
      </c>
      <c r="L7" s="163">
        <v>100</v>
      </c>
      <c r="M7" s="162">
        <v>100</v>
      </c>
      <c r="N7" s="163">
        <v>105</v>
      </c>
    </row>
    <row r="8" spans="1:14" ht="12" customHeight="1" x14ac:dyDescent="0.3">
      <c r="A8" s="15"/>
      <c r="B8" s="11">
        <v>2020</v>
      </c>
      <c r="C8" s="163">
        <v>110</v>
      </c>
      <c r="D8" s="163">
        <v>109</v>
      </c>
      <c r="E8" s="163">
        <v>112.5</v>
      </c>
      <c r="F8" s="162">
        <v>110</v>
      </c>
      <c r="G8" s="162">
        <v>109</v>
      </c>
      <c r="H8" s="162">
        <v>109</v>
      </c>
      <c r="I8" s="163">
        <v>112.5</v>
      </c>
      <c r="J8" s="162">
        <v>109</v>
      </c>
      <c r="K8" s="162">
        <v>112.5</v>
      </c>
      <c r="L8" s="163">
        <v>109</v>
      </c>
      <c r="M8" s="162">
        <v>109</v>
      </c>
      <c r="N8" s="163">
        <v>109</v>
      </c>
    </row>
    <row r="9" spans="1:14" ht="12" customHeight="1" x14ac:dyDescent="0.3">
      <c r="A9" s="15"/>
      <c r="B9" s="11">
        <v>2021</v>
      </c>
      <c r="C9" s="163">
        <v>110</v>
      </c>
      <c r="D9" s="163">
        <v>110</v>
      </c>
      <c r="E9" s="163">
        <v>110</v>
      </c>
      <c r="F9" s="162">
        <v>112.5</v>
      </c>
      <c r="G9" s="162">
        <v>112.5</v>
      </c>
      <c r="H9" s="162">
        <v>112.5</v>
      </c>
      <c r="I9" s="163">
        <v>112.5</v>
      </c>
      <c r="J9" s="162">
        <v>112.5</v>
      </c>
      <c r="K9" s="162">
        <v>112.5</v>
      </c>
      <c r="L9" s="163">
        <v>112.5</v>
      </c>
      <c r="M9" s="162">
        <v>112.5</v>
      </c>
      <c r="N9" s="163">
        <v>112.5</v>
      </c>
    </row>
    <row r="10" spans="1:14" ht="12" customHeight="1" x14ac:dyDescent="0.3">
      <c r="A10" s="15"/>
      <c r="B10" s="11">
        <v>2022</v>
      </c>
      <c r="C10" s="163">
        <v>112.5</v>
      </c>
      <c r="D10" s="163">
        <v>112</v>
      </c>
      <c r="E10" s="163">
        <v>112</v>
      </c>
      <c r="F10" s="162">
        <v>112</v>
      </c>
      <c r="G10" s="162">
        <v>112.5</v>
      </c>
      <c r="H10" s="162">
        <v>112.5</v>
      </c>
      <c r="I10" s="163">
        <v>112.5</v>
      </c>
      <c r="J10" s="162">
        <v>112.5</v>
      </c>
      <c r="K10" s="162">
        <v>112.5</v>
      </c>
      <c r="L10" s="163">
        <v>112.5</v>
      </c>
      <c r="M10" s="162" t="s">
        <v>49</v>
      </c>
      <c r="N10" s="163">
        <v>101</v>
      </c>
    </row>
    <row r="11" spans="1:14" ht="12" customHeight="1" x14ac:dyDescent="0.3">
      <c r="A11" s="15"/>
      <c r="B11" s="11">
        <v>2023</v>
      </c>
      <c r="C11" s="164" t="s">
        <v>4</v>
      </c>
      <c r="D11" s="164" t="s">
        <v>4</v>
      </c>
      <c r="E11" s="164" t="s">
        <v>4</v>
      </c>
      <c r="F11" s="162">
        <v>120</v>
      </c>
      <c r="G11" s="162">
        <v>120</v>
      </c>
      <c r="H11" s="162">
        <v>100</v>
      </c>
      <c r="I11" s="162">
        <v>130</v>
      </c>
      <c r="J11" s="162">
        <v>130</v>
      </c>
      <c r="K11" s="162">
        <v>115</v>
      </c>
      <c r="L11" s="162">
        <v>120</v>
      </c>
      <c r="M11" s="162">
        <v>120</v>
      </c>
      <c r="N11" s="162">
        <v>120</v>
      </c>
    </row>
    <row r="12" spans="1:14" ht="12" customHeight="1" x14ac:dyDescent="0.3">
      <c r="A12" s="15"/>
      <c r="B12" s="11">
        <v>2024</v>
      </c>
      <c r="C12" s="163">
        <v>120</v>
      </c>
      <c r="D12" s="163">
        <v>120</v>
      </c>
      <c r="E12" s="5" t="s">
        <v>4</v>
      </c>
      <c r="F12" s="162">
        <v>105</v>
      </c>
      <c r="G12" s="163">
        <v>118</v>
      </c>
      <c r="H12" s="162">
        <v>118</v>
      </c>
      <c r="I12" s="162">
        <v>118</v>
      </c>
      <c r="J12" s="162">
        <v>118</v>
      </c>
      <c r="K12" s="162">
        <v>121</v>
      </c>
      <c r="L12" s="162">
        <v>112.734375</v>
      </c>
      <c r="M12" s="162">
        <v>94.49</v>
      </c>
      <c r="N12" s="162">
        <v>95</v>
      </c>
    </row>
    <row r="13" spans="1:14" ht="12" customHeight="1" x14ac:dyDescent="0.3">
      <c r="A13" s="130"/>
      <c r="B13" s="131">
        <v>2025</v>
      </c>
      <c r="C13" s="165">
        <v>110</v>
      </c>
      <c r="D13" s="165">
        <v>93</v>
      </c>
      <c r="E13" s="167">
        <v>110</v>
      </c>
      <c r="F13" s="167" t="s">
        <v>49</v>
      </c>
      <c r="G13" s="167" t="s">
        <v>49</v>
      </c>
      <c r="H13" s="167">
        <v>104</v>
      </c>
      <c r="I13" s="167">
        <v>110.4</v>
      </c>
      <c r="J13" s="167">
        <v>111</v>
      </c>
      <c r="K13" s="167"/>
      <c r="L13" s="167"/>
      <c r="M13" s="167"/>
      <c r="N13" s="167"/>
    </row>
    <row r="14" spans="1:14" ht="12" customHeight="1" x14ac:dyDescent="0.3">
      <c r="A14" s="136" t="s">
        <v>91</v>
      </c>
      <c r="B14" s="11">
        <v>2018</v>
      </c>
      <c r="C14" s="168">
        <v>95.5</v>
      </c>
      <c r="D14" s="168">
        <v>92</v>
      </c>
      <c r="E14" s="168">
        <v>92</v>
      </c>
      <c r="F14" s="162">
        <v>91</v>
      </c>
      <c r="G14" s="162">
        <v>87</v>
      </c>
      <c r="H14" s="162">
        <v>87</v>
      </c>
      <c r="I14" s="162">
        <v>87</v>
      </c>
      <c r="J14" s="162">
        <v>87</v>
      </c>
      <c r="K14" s="162">
        <v>87</v>
      </c>
      <c r="L14" s="163">
        <v>87</v>
      </c>
      <c r="M14" s="162">
        <v>87</v>
      </c>
      <c r="N14" s="163">
        <v>83</v>
      </c>
    </row>
    <row r="15" spans="1:14" ht="12" customHeight="1" x14ac:dyDescent="0.3">
      <c r="A15" s="136"/>
      <c r="B15" s="11">
        <v>2019</v>
      </c>
      <c r="C15" s="163">
        <v>92</v>
      </c>
      <c r="D15" s="163">
        <v>86</v>
      </c>
      <c r="E15" s="163">
        <v>86</v>
      </c>
      <c r="F15" s="162">
        <v>86</v>
      </c>
      <c r="G15" s="162">
        <v>88</v>
      </c>
      <c r="H15" s="162">
        <v>84</v>
      </c>
      <c r="I15" s="162">
        <v>83</v>
      </c>
      <c r="J15" s="162">
        <v>84</v>
      </c>
      <c r="K15" s="169">
        <v>80</v>
      </c>
      <c r="L15" s="168">
        <v>85</v>
      </c>
      <c r="M15" s="169">
        <v>85</v>
      </c>
      <c r="N15" s="168">
        <v>95</v>
      </c>
    </row>
    <row r="16" spans="1:14" ht="12" customHeight="1" x14ac:dyDescent="0.3">
      <c r="A16" s="136"/>
      <c r="B16" s="11">
        <v>2020</v>
      </c>
      <c r="C16" s="163">
        <v>82</v>
      </c>
      <c r="D16" s="163" t="s">
        <v>49</v>
      </c>
      <c r="E16" s="163" t="s">
        <v>49</v>
      </c>
      <c r="F16" s="162" t="s">
        <v>49</v>
      </c>
      <c r="G16" s="162" t="s">
        <v>49</v>
      </c>
      <c r="H16" s="162" t="s">
        <v>49</v>
      </c>
      <c r="I16" s="162" t="s">
        <v>49</v>
      </c>
      <c r="J16" s="169">
        <v>95</v>
      </c>
      <c r="K16" s="169">
        <v>92.5</v>
      </c>
      <c r="L16" s="168">
        <v>92.5</v>
      </c>
      <c r="M16" s="169">
        <v>94</v>
      </c>
      <c r="N16" s="168">
        <v>95</v>
      </c>
    </row>
    <row r="17" spans="1:14" ht="12" customHeight="1" x14ac:dyDescent="0.3">
      <c r="A17" s="136"/>
      <c r="B17" s="11">
        <v>2021</v>
      </c>
      <c r="C17" s="163">
        <v>87.5</v>
      </c>
      <c r="D17" s="163">
        <v>100</v>
      </c>
      <c r="E17" s="163">
        <v>100</v>
      </c>
      <c r="F17" s="162">
        <v>100</v>
      </c>
      <c r="G17" s="162">
        <v>100</v>
      </c>
      <c r="H17" s="162">
        <v>90</v>
      </c>
      <c r="I17" s="162">
        <v>90</v>
      </c>
      <c r="J17" s="169">
        <v>85</v>
      </c>
      <c r="K17" s="169">
        <v>90</v>
      </c>
      <c r="L17" s="168">
        <v>95</v>
      </c>
      <c r="M17" s="169">
        <v>100</v>
      </c>
      <c r="N17" s="168">
        <v>95</v>
      </c>
    </row>
    <row r="18" spans="1:14" ht="12" customHeight="1" x14ac:dyDescent="0.3">
      <c r="A18" s="136"/>
      <c r="B18" s="11">
        <v>2022</v>
      </c>
      <c r="C18" s="163">
        <v>102.5</v>
      </c>
      <c r="D18" s="163">
        <v>100</v>
      </c>
      <c r="E18" s="163">
        <v>96</v>
      </c>
      <c r="F18" s="162">
        <v>96</v>
      </c>
      <c r="G18" s="162">
        <v>96</v>
      </c>
      <c r="H18" s="162">
        <v>98</v>
      </c>
      <c r="I18" s="162">
        <v>96</v>
      </c>
      <c r="J18" s="169">
        <v>90</v>
      </c>
      <c r="K18" s="169">
        <v>100</v>
      </c>
      <c r="L18" s="168">
        <v>105</v>
      </c>
      <c r="M18" s="169">
        <v>100</v>
      </c>
      <c r="N18" s="168">
        <v>100</v>
      </c>
    </row>
    <row r="19" spans="1:14" ht="12" customHeight="1" x14ac:dyDescent="0.3">
      <c r="A19" s="136"/>
      <c r="B19" s="11">
        <v>2023</v>
      </c>
      <c r="C19" s="162">
        <v>140</v>
      </c>
      <c r="D19" s="162">
        <v>138</v>
      </c>
      <c r="E19" s="162">
        <v>140</v>
      </c>
      <c r="F19" s="162">
        <v>120</v>
      </c>
      <c r="G19" s="162">
        <v>110</v>
      </c>
      <c r="H19" s="162">
        <v>100</v>
      </c>
      <c r="I19" s="162">
        <v>138</v>
      </c>
      <c r="J19" s="169">
        <v>118</v>
      </c>
      <c r="K19" s="169">
        <v>120</v>
      </c>
      <c r="L19" s="169">
        <v>120</v>
      </c>
      <c r="M19" s="169">
        <v>120</v>
      </c>
      <c r="N19" s="169">
        <v>155</v>
      </c>
    </row>
    <row r="20" spans="1:14" ht="12" customHeight="1" x14ac:dyDescent="0.3">
      <c r="A20" s="15"/>
      <c r="B20" s="11">
        <v>2024</v>
      </c>
      <c r="C20" s="162">
        <v>160</v>
      </c>
      <c r="D20" s="162">
        <v>165</v>
      </c>
      <c r="E20" s="162">
        <v>158</v>
      </c>
      <c r="F20" s="162">
        <v>138</v>
      </c>
      <c r="G20" s="163">
        <v>138</v>
      </c>
      <c r="H20" s="162">
        <v>138</v>
      </c>
      <c r="I20" s="162">
        <v>155</v>
      </c>
      <c r="J20" s="162">
        <v>155</v>
      </c>
      <c r="K20" s="162">
        <v>137</v>
      </c>
      <c r="L20" s="162">
        <v>149</v>
      </c>
      <c r="M20" s="162">
        <v>135</v>
      </c>
      <c r="N20" s="162">
        <v>132</v>
      </c>
    </row>
    <row r="21" spans="1:14" ht="12" customHeight="1" x14ac:dyDescent="0.3">
      <c r="A21" s="130"/>
      <c r="B21" s="131">
        <v>2025</v>
      </c>
      <c r="C21" s="167">
        <v>140</v>
      </c>
      <c r="D21" s="167">
        <v>132</v>
      </c>
      <c r="E21" s="167">
        <v>133</v>
      </c>
      <c r="F21" s="167">
        <v>135</v>
      </c>
      <c r="G21" s="167">
        <v>137</v>
      </c>
      <c r="H21" s="167">
        <v>143</v>
      </c>
      <c r="I21" s="167">
        <v>118</v>
      </c>
      <c r="J21" s="167">
        <v>128</v>
      </c>
      <c r="K21" s="167"/>
      <c r="L21" s="167"/>
      <c r="M21" s="167"/>
      <c r="N21" s="167"/>
    </row>
    <row r="22" spans="1:14" ht="12" customHeight="1" x14ac:dyDescent="0.3">
      <c r="A22" s="69" t="s">
        <v>5</v>
      </c>
      <c r="B22" s="11">
        <v>2024</v>
      </c>
      <c r="C22" s="5" t="s">
        <v>4</v>
      </c>
      <c r="D22" s="5" t="s">
        <v>4</v>
      </c>
      <c r="E22" s="162">
        <v>195</v>
      </c>
      <c r="F22" s="162">
        <v>195</v>
      </c>
      <c r="G22" s="163">
        <v>195</v>
      </c>
      <c r="H22" s="162">
        <v>195</v>
      </c>
      <c r="I22" s="162">
        <v>195</v>
      </c>
      <c r="J22" s="162">
        <v>200</v>
      </c>
      <c r="K22" s="162">
        <v>201.66666666666666</v>
      </c>
      <c r="L22" s="162">
        <v>192.5</v>
      </c>
      <c r="M22" s="162">
        <v>190.95</v>
      </c>
      <c r="N22" s="162">
        <v>160</v>
      </c>
    </row>
    <row r="23" spans="1:14" ht="12" customHeight="1" x14ac:dyDescent="0.3">
      <c r="A23" s="177"/>
      <c r="B23" s="131">
        <v>2025</v>
      </c>
      <c r="C23" s="167">
        <v>177</v>
      </c>
      <c r="D23" s="167">
        <v>164</v>
      </c>
      <c r="E23" s="167">
        <v>164</v>
      </c>
      <c r="F23" s="167">
        <v>167</v>
      </c>
      <c r="G23" s="167">
        <v>148</v>
      </c>
      <c r="H23" s="167">
        <v>130</v>
      </c>
      <c r="I23" s="167">
        <v>146</v>
      </c>
      <c r="J23" s="167">
        <v>180</v>
      </c>
      <c r="K23" s="167"/>
      <c r="L23" s="167"/>
      <c r="M23" s="167"/>
      <c r="N23" s="167"/>
    </row>
    <row r="24" spans="1:14" ht="12" customHeight="1" x14ac:dyDescent="0.3">
      <c r="A24" s="136" t="s">
        <v>109</v>
      </c>
      <c r="B24" s="11">
        <v>2018</v>
      </c>
      <c r="C24" s="169">
        <v>88</v>
      </c>
      <c r="D24" s="168">
        <v>74</v>
      </c>
      <c r="E24" s="169">
        <v>76</v>
      </c>
      <c r="F24" s="162">
        <v>72</v>
      </c>
      <c r="G24" s="163">
        <v>74</v>
      </c>
      <c r="H24" s="162">
        <v>76</v>
      </c>
      <c r="I24" s="162">
        <v>76</v>
      </c>
      <c r="J24" s="162">
        <v>75</v>
      </c>
      <c r="K24" s="162">
        <v>75</v>
      </c>
      <c r="L24" s="163">
        <v>78</v>
      </c>
      <c r="M24" s="162">
        <v>82</v>
      </c>
      <c r="N24" s="163">
        <v>82</v>
      </c>
    </row>
    <row r="25" spans="1:14" ht="12" customHeight="1" x14ac:dyDescent="0.3">
      <c r="A25" s="136"/>
      <c r="B25" s="11">
        <v>2019</v>
      </c>
      <c r="C25" s="162">
        <v>77</v>
      </c>
      <c r="D25" s="163">
        <v>75</v>
      </c>
      <c r="E25" s="162">
        <v>76.5</v>
      </c>
      <c r="F25" s="162">
        <v>74</v>
      </c>
      <c r="G25" s="163">
        <v>76</v>
      </c>
      <c r="H25" s="162">
        <v>82</v>
      </c>
      <c r="I25" s="162">
        <v>80</v>
      </c>
      <c r="J25" s="169">
        <v>83.5</v>
      </c>
      <c r="K25" s="169">
        <v>100</v>
      </c>
      <c r="L25" s="168">
        <v>90</v>
      </c>
      <c r="M25" s="169">
        <v>90</v>
      </c>
      <c r="N25" s="168">
        <v>90</v>
      </c>
    </row>
    <row r="26" spans="1:14" ht="12" customHeight="1" x14ac:dyDescent="0.3">
      <c r="A26" s="136"/>
      <c r="B26" s="11">
        <v>2020</v>
      </c>
      <c r="C26" s="162">
        <v>90</v>
      </c>
      <c r="D26" s="163">
        <v>85</v>
      </c>
      <c r="E26" s="162">
        <v>95</v>
      </c>
      <c r="F26" s="162">
        <v>95</v>
      </c>
      <c r="G26" s="163">
        <v>90</v>
      </c>
      <c r="H26" s="162">
        <v>100</v>
      </c>
      <c r="I26" s="162">
        <v>95</v>
      </c>
      <c r="J26" s="162">
        <v>102.5</v>
      </c>
      <c r="K26" s="162">
        <v>100</v>
      </c>
      <c r="L26" s="163">
        <v>100</v>
      </c>
      <c r="M26" s="162">
        <v>100</v>
      </c>
      <c r="N26" s="163">
        <v>100</v>
      </c>
    </row>
    <row r="27" spans="1:14" ht="12" customHeight="1" x14ac:dyDescent="0.3">
      <c r="A27" s="136"/>
      <c r="B27" s="11">
        <v>2021</v>
      </c>
      <c r="C27" s="162">
        <v>105</v>
      </c>
      <c r="D27" s="163">
        <v>100</v>
      </c>
      <c r="E27" s="162">
        <v>110</v>
      </c>
      <c r="F27" s="162">
        <v>112.5</v>
      </c>
      <c r="G27" s="163">
        <v>95</v>
      </c>
      <c r="H27" s="162">
        <v>95</v>
      </c>
      <c r="I27" s="162">
        <v>125</v>
      </c>
      <c r="J27" s="162">
        <v>125</v>
      </c>
      <c r="K27" s="162">
        <v>115</v>
      </c>
      <c r="L27" s="163">
        <v>125</v>
      </c>
      <c r="M27" s="162">
        <v>125</v>
      </c>
      <c r="N27" s="163">
        <v>115</v>
      </c>
    </row>
    <row r="28" spans="1:14" ht="12" customHeight="1" x14ac:dyDescent="0.3">
      <c r="A28" s="136"/>
      <c r="B28" s="11">
        <v>2022</v>
      </c>
      <c r="C28" s="162">
        <v>122.5</v>
      </c>
      <c r="D28" s="163">
        <v>95</v>
      </c>
      <c r="E28" s="162">
        <v>95</v>
      </c>
      <c r="F28" s="162">
        <v>100</v>
      </c>
      <c r="G28" s="163">
        <v>95</v>
      </c>
      <c r="H28" s="162">
        <v>97.5</v>
      </c>
      <c r="I28" s="162">
        <v>100</v>
      </c>
      <c r="J28" s="162">
        <v>95</v>
      </c>
      <c r="K28" s="162">
        <v>85</v>
      </c>
      <c r="L28" s="163">
        <v>105</v>
      </c>
      <c r="M28" s="162">
        <v>100</v>
      </c>
      <c r="N28" s="163">
        <v>90</v>
      </c>
    </row>
    <row r="29" spans="1:14" ht="12" customHeight="1" x14ac:dyDescent="0.3">
      <c r="A29" s="136"/>
      <c r="B29" s="11">
        <v>2023</v>
      </c>
      <c r="C29" s="162">
        <v>90</v>
      </c>
      <c r="D29" s="162">
        <v>115</v>
      </c>
      <c r="E29" s="162">
        <v>105</v>
      </c>
      <c r="F29" s="162">
        <v>120</v>
      </c>
      <c r="G29" s="163">
        <v>105</v>
      </c>
      <c r="H29" s="162">
        <v>100</v>
      </c>
      <c r="I29" s="162">
        <v>120</v>
      </c>
      <c r="J29" s="162">
        <v>110</v>
      </c>
      <c r="K29" s="162">
        <v>125</v>
      </c>
      <c r="L29" s="162">
        <v>125</v>
      </c>
      <c r="M29" s="162">
        <v>125</v>
      </c>
      <c r="N29" s="162">
        <v>115</v>
      </c>
    </row>
    <row r="30" spans="1:14" ht="12" customHeight="1" x14ac:dyDescent="0.3">
      <c r="A30" s="15"/>
      <c r="B30" s="11">
        <v>2024</v>
      </c>
      <c r="C30" s="162">
        <v>123</v>
      </c>
      <c r="D30" s="162">
        <v>113</v>
      </c>
      <c r="E30" s="162">
        <v>120</v>
      </c>
      <c r="F30" s="162">
        <v>118</v>
      </c>
      <c r="G30" s="163">
        <v>135</v>
      </c>
      <c r="H30" s="162">
        <v>118</v>
      </c>
      <c r="I30" s="162">
        <v>130</v>
      </c>
      <c r="J30" s="162">
        <v>130</v>
      </c>
      <c r="K30" s="162">
        <v>122</v>
      </c>
      <c r="L30" s="162">
        <v>124.72447160682454</v>
      </c>
      <c r="M30" s="162">
        <v>126.52</v>
      </c>
      <c r="N30" s="162">
        <v>133</v>
      </c>
    </row>
    <row r="31" spans="1:14" ht="12" customHeight="1" x14ac:dyDescent="0.3">
      <c r="A31" s="130"/>
      <c r="B31" s="131">
        <v>2025</v>
      </c>
      <c r="C31" s="167">
        <v>124</v>
      </c>
      <c r="D31" s="167">
        <v>127</v>
      </c>
      <c r="E31" s="167">
        <v>125</v>
      </c>
      <c r="F31" s="167">
        <v>126</v>
      </c>
      <c r="G31" s="167">
        <v>135</v>
      </c>
      <c r="H31" s="167">
        <v>132</v>
      </c>
      <c r="I31" s="167">
        <v>140</v>
      </c>
      <c r="J31" s="167">
        <v>126</v>
      </c>
      <c r="K31" s="167"/>
      <c r="L31" s="167"/>
      <c r="M31" s="167"/>
      <c r="N31" s="167"/>
    </row>
    <row r="32" spans="1:14" ht="12" customHeight="1" x14ac:dyDescent="0.3">
      <c r="A32" s="136" t="s">
        <v>110</v>
      </c>
      <c r="B32" s="11">
        <v>2018</v>
      </c>
      <c r="C32" s="162">
        <v>66.2</v>
      </c>
      <c r="D32" s="163">
        <v>66.2</v>
      </c>
      <c r="E32" s="162">
        <v>66.2</v>
      </c>
      <c r="F32" s="162">
        <v>66.2</v>
      </c>
      <c r="G32" s="163">
        <v>66.2</v>
      </c>
      <c r="H32" s="162">
        <v>66.2</v>
      </c>
      <c r="I32" s="162">
        <v>66.2</v>
      </c>
      <c r="J32" s="162">
        <v>66.2</v>
      </c>
      <c r="K32" s="162">
        <v>66.2</v>
      </c>
      <c r="L32" s="163">
        <v>66.2</v>
      </c>
      <c r="M32" s="162">
        <v>66.2</v>
      </c>
      <c r="N32" s="163">
        <v>66.2</v>
      </c>
    </row>
    <row r="33" spans="1:14" ht="12" customHeight="1" x14ac:dyDescent="0.3">
      <c r="A33" s="136"/>
      <c r="B33" s="11">
        <v>2019</v>
      </c>
      <c r="C33" s="162">
        <v>61</v>
      </c>
      <c r="D33" s="163">
        <v>61</v>
      </c>
      <c r="E33" s="162">
        <v>61</v>
      </c>
      <c r="F33" s="162">
        <v>65</v>
      </c>
      <c r="G33" s="163">
        <v>54</v>
      </c>
      <c r="H33" s="162">
        <v>64.5</v>
      </c>
      <c r="I33" s="162">
        <v>64.5</v>
      </c>
      <c r="J33" s="169">
        <v>70</v>
      </c>
      <c r="K33" s="169">
        <v>70</v>
      </c>
      <c r="L33" s="163">
        <v>75</v>
      </c>
      <c r="M33" s="169">
        <v>72</v>
      </c>
      <c r="N33" s="168">
        <v>75</v>
      </c>
    </row>
    <row r="34" spans="1:14" ht="12" customHeight="1" x14ac:dyDescent="0.3">
      <c r="A34" s="136"/>
      <c r="B34" s="11">
        <v>2020</v>
      </c>
      <c r="C34" s="169">
        <v>75</v>
      </c>
      <c r="D34" s="163" t="s">
        <v>49</v>
      </c>
      <c r="E34" s="162" t="s">
        <v>49</v>
      </c>
      <c r="F34" s="162" t="s">
        <v>49</v>
      </c>
      <c r="G34" s="163" t="s">
        <v>49</v>
      </c>
      <c r="H34" s="162">
        <v>75</v>
      </c>
      <c r="I34" s="162">
        <v>75</v>
      </c>
      <c r="J34" s="162">
        <v>75</v>
      </c>
      <c r="K34" s="162">
        <v>75</v>
      </c>
      <c r="L34" s="163">
        <v>75</v>
      </c>
      <c r="M34" s="162">
        <v>75</v>
      </c>
      <c r="N34" s="163">
        <v>75</v>
      </c>
    </row>
    <row r="35" spans="1:14" ht="12" customHeight="1" x14ac:dyDescent="0.3">
      <c r="A35" s="136"/>
      <c r="B35" s="11">
        <v>2021</v>
      </c>
      <c r="C35" s="169">
        <v>77.5</v>
      </c>
      <c r="D35" s="163">
        <v>72.5</v>
      </c>
      <c r="E35" s="162">
        <v>75</v>
      </c>
      <c r="F35" s="162">
        <v>75</v>
      </c>
      <c r="G35" s="163">
        <v>75</v>
      </c>
      <c r="H35" s="162" t="s">
        <v>49</v>
      </c>
      <c r="I35" s="162">
        <v>75</v>
      </c>
      <c r="J35" s="162">
        <v>75</v>
      </c>
      <c r="K35" s="162">
        <v>75</v>
      </c>
      <c r="L35" s="163">
        <v>75</v>
      </c>
      <c r="M35" s="162">
        <v>80</v>
      </c>
      <c r="N35" s="163" t="s">
        <v>49</v>
      </c>
    </row>
    <row r="36" spans="1:14" ht="12" customHeight="1" x14ac:dyDescent="0.3">
      <c r="A36" s="136"/>
      <c r="B36" s="11">
        <v>2022</v>
      </c>
      <c r="C36" s="169">
        <v>95</v>
      </c>
      <c r="D36" s="163">
        <v>100</v>
      </c>
      <c r="E36" s="162">
        <v>97.5</v>
      </c>
      <c r="F36" s="162">
        <v>97.5</v>
      </c>
      <c r="G36" s="163">
        <v>97.5</v>
      </c>
      <c r="H36" s="162">
        <v>97.5</v>
      </c>
      <c r="I36" s="162">
        <v>100</v>
      </c>
      <c r="J36" s="162">
        <v>105</v>
      </c>
      <c r="K36" s="162">
        <v>100</v>
      </c>
      <c r="L36" s="163">
        <v>100</v>
      </c>
      <c r="M36" s="162">
        <v>105</v>
      </c>
      <c r="N36" s="163">
        <v>105</v>
      </c>
    </row>
    <row r="37" spans="1:14" ht="12" customHeight="1" x14ac:dyDescent="0.3">
      <c r="A37" s="136"/>
      <c r="B37" s="11">
        <v>2023</v>
      </c>
      <c r="C37" s="170" t="s">
        <v>4</v>
      </c>
      <c r="D37" s="162">
        <v>91</v>
      </c>
      <c r="E37" s="162">
        <v>100</v>
      </c>
      <c r="F37" s="162">
        <v>100</v>
      </c>
      <c r="G37" s="163">
        <v>100</v>
      </c>
      <c r="H37" s="162">
        <v>100</v>
      </c>
      <c r="I37" s="162">
        <v>100</v>
      </c>
      <c r="J37" s="162">
        <v>100</v>
      </c>
      <c r="K37" s="162">
        <v>100</v>
      </c>
      <c r="L37" s="162">
        <v>100</v>
      </c>
      <c r="M37" s="162">
        <v>100</v>
      </c>
      <c r="N37" s="162">
        <v>100</v>
      </c>
    </row>
    <row r="38" spans="1:14" ht="12" customHeight="1" x14ac:dyDescent="0.3">
      <c r="A38" s="15"/>
      <c r="B38" s="11">
        <v>2024</v>
      </c>
      <c r="C38" s="169">
        <v>108</v>
      </c>
      <c r="D38" s="162">
        <v>108</v>
      </c>
      <c r="E38" s="162">
        <v>98</v>
      </c>
      <c r="F38" s="162">
        <v>93</v>
      </c>
      <c r="G38" s="163">
        <v>107</v>
      </c>
      <c r="H38" s="162">
        <v>100</v>
      </c>
      <c r="I38" s="162">
        <v>98</v>
      </c>
      <c r="J38" s="162">
        <v>98</v>
      </c>
      <c r="K38" s="162">
        <v>105</v>
      </c>
      <c r="L38" s="162">
        <v>128.83333333333334</v>
      </c>
      <c r="M38" s="162">
        <v>119.23</v>
      </c>
      <c r="N38" s="162">
        <v>120</v>
      </c>
    </row>
    <row r="39" spans="1:14" ht="12" customHeight="1" x14ac:dyDescent="0.3">
      <c r="A39" s="130"/>
      <c r="B39" s="131">
        <v>2025</v>
      </c>
      <c r="C39" s="171">
        <v>130</v>
      </c>
      <c r="D39" s="167">
        <v>125</v>
      </c>
      <c r="E39" s="167">
        <v>117</v>
      </c>
      <c r="F39" s="167">
        <v>122</v>
      </c>
      <c r="G39" s="167">
        <v>121</v>
      </c>
      <c r="H39" s="167">
        <v>126</v>
      </c>
      <c r="I39" s="167">
        <v>126</v>
      </c>
      <c r="J39" s="167">
        <v>128</v>
      </c>
      <c r="K39" s="167"/>
      <c r="L39" s="167"/>
      <c r="M39" s="167"/>
      <c r="N39" s="167"/>
    </row>
    <row r="40" spans="1:14" ht="12" customHeight="1" x14ac:dyDescent="0.3">
      <c r="A40" s="136" t="s">
        <v>111</v>
      </c>
      <c r="B40" s="11">
        <v>2018</v>
      </c>
      <c r="C40" s="169">
        <v>74</v>
      </c>
      <c r="D40" s="168">
        <v>74</v>
      </c>
      <c r="E40" s="169">
        <v>77</v>
      </c>
      <c r="F40" s="162">
        <v>71</v>
      </c>
      <c r="G40" s="163">
        <v>77</v>
      </c>
      <c r="H40" s="162">
        <v>70</v>
      </c>
      <c r="I40" s="162">
        <v>71</v>
      </c>
      <c r="J40" s="162">
        <v>68</v>
      </c>
      <c r="K40" s="162">
        <v>70</v>
      </c>
      <c r="L40" s="163">
        <v>71</v>
      </c>
      <c r="M40" s="162">
        <v>70</v>
      </c>
      <c r="N40" s="163">
        <v>68</v>
      </c>
    </row>
    <row r="41" spans="1:14" ht="12" customHeight="1" x14ac:dyDescent="0.3">
      <c r="A41" s="136"/>
      <c r="B41" s="11">
        <v>2019</v>
      </c>
      <c r="C41" s="162">
        <v>71</v>
      </c>
      <c r="D41" s="163">
        <v>71</v>
      </c>
      <c r="E41" s="162">
        <v>74</v>
      </c>
      <c r="F41" s="162">
        <v>68</v>
      </c>
      <c r="G41" s="163">
        <v>69</v>
      </c>
      <c r="H41" s="162">
        <v>69</v>
      </c>
      <c r="I41" s="162">
        <v>72</v>
      </c>
      <c r="J41" s="169">
        <v>90</v>
      </c>
      <c r="K41" s="169">
        <v>90</v>
      </c>
      <c r="L41" s="168">
        <v>90</v>
      </c>
      <c r="M41" s="169">
        <v>90</v>
      </c>
      <c r="N41" s="168">
        <v>90</v>
      </c>
    </row>
    <row r="42" spans="1:14" ht="12" customHeight="1" x14ac:dyDescent="0.3">
      <c r="A42" s="136"/>
      <c r="B42" s="11">
        <v>2020</v>
      </c>
      <c r="C42" s="169">
        <v>90</v>
      </c>
      <c r="D42" s="163" t="s">
        <v>49</v>
      </c>
      <c r="E42" s="162" t="s">
        <v>49</v>
      </c>
      <c r="F42" s="162" t="s">
        <v>49</v>
      </c>
      <c r="G42" s="163" t="s">
        <v>49</v>
      </c>
      <c r="H42" s="162" t="s">
        <v>49</v>
      </c>
      <c r="I42" s="162" t="s">
        <v>49</v>
      </c>
      <c r="J42" s="162" t="s">
        <v>49</v>
      </c>
      <c r="K42" s="162" t="s">
        <v>49</v>
      </c>
      <c r="L42" s="163" t="s">
        <v>49</v>
      </c>
      <c r="M42" s="162" t="s">
        <v>49</v>
      </c>
      <c r="N42" s="163" t="s">
        <v>49</v>
      </c>
    </row>
    <row r="43" spans="1:14" ht="12" customHeight="1" x14ac:dyDescent="0.3">
      <c r="A43" s="136"/>
      <c r="B43" s="11">
        <v>2021</v>
      </c>
      <c r="C43" s="162" t="s">
        <v>49</v>
      </c>
      <c r="D43" s="163" t="s">
        <v>49</v>
      </c>
      <c r="E43" s="162" t="s">
        <v>49</v>
      </c>
      <c r="F43" s="162" t="s">
        <v>49</v>
      </c>
      <c r="G43" s="163" t="s">
        <v>49</v>
      </c>
      <c r="H43" s="162" t="s">
        <v>49</v>
      </c>
      <c r="I43" s="162">
        <v>95</v>
      </c>
      <c r="J43" s="162">
        <v>95</v>
      </c>
      <c r="K43" s="162" t="s">
        <v>49</v>
      </c>
      <c r="L43" s="163" t="s">
        <v>49</v>
      </c>
      <c r="M43" s="162">
        <v>95</v>
      </c>
      <c r="N43" s="163" t="s">
        <v>49</v>
      </c>
    </row>
    <row r="44" spans="1:14" ht="12" customHeight="1" x14ac:dyDescent="0.3">
      <c r="A44" s="136"/>
      <c r="B44" s="11">
        <v>2022</v>
      </c>
      <c r="C44" s="162">
        <v>100</v>
      </c>
      <c r="D44" s="162">
        <v>95</v>
      </c>
      <c r="E44" s="162">
        <v>95</v>
      </c>
      <c r="F44" s="162">
        <v>95</v>
      </c>
      <c r="G44" s="163">
        <v>95</v>
      </c>
      <c r="H44" s="162">
        <v>95</v>
      </c>
      <c r="I44" s="162">
        <v>95</v>
      </c>
      <c r="J44" s="162">
        <v>95</v>
      </c>
      <c r="K44" s="162">
        <v>95</v>
      </c>
      <c r="L44" s="163">
        <v>95</v>
      </c>
      <c r="M44" s="162" t="s">
        <v>49</v>
      </c>
      <c r="N44" s="163">
        <v>95</v>
      </c>
    </row>
    <row r="45" spans="1:14" ht="12" customHeight="1" x14ac:dyDescent="0.3">
      <c r="A45" s="136"/>
      <c r="B45" s="11">
        <v>2023</v>
      </c>
      <c r="C45" s="162">
        <v>100</v>
      </c>
      <c r="D45" s="162">
        <v>100</v>
      </c>
      <c r="E45" s="162">
        <v>100</v>
      </c>
      <c r="F45" s="162" t="s">
        <v>49</v>
      </c>
      <c r="G45" s="163" t="s">
        <v>49</v>
      </c>
      <c r="H45" s="162">
        <v>100</v>
      </c>
      <c r="I45" s="162">
        <v>100</v>
      </c>
      <c r="J45" s="162">
        <v>100</v>
      </c>
      <c r="K45" s="162">
        <v>100</v>
      </c>
      <c r="L45" s="162">
        <v>100</v>
      </c>
      <c r="M45" s="162">
        <v>100</v>
      </c>
      <c r="N45" s="162">
        <v>100</v>
      </c>
    </row>
    <row r="46" spans="1:14" ht="12" customHeight="1" x14ac:dyDescent="0.3">
      <c r="A46" s="15"/>
      <c r="B46" s="11">
        <v>2024</v>
      </c>
      <c r="C46" s="162">
        <v>100</v>
      </c>
      <c r="D46" s="162">
        <v>100</v>
      </c>
      <c r="E46" s="162">
        <v>100</v>
      </c>
      <c r="F46" s="162">
        <v>100</v>
      </c>
      <c r="G46" s="163">
        <v>100</v>
      </c>
      <c r="H46" s="162">
        <v>90</v>
      </c>
      <c r="I46" s="162">
        <v>95</v>
      </c>
      <c r="J46" s="162">
        <v>95</v>
      </c>
      <c r="K46" s="162">
        <v>89</v>
      </c>
      <c r="L46" s="5" t="s">
        <v>4</v>
      </c>
      <c r="M46" s="5" t="s">
        <v>4</v>
      </c>
      <c r="N46" s="162">
        <v>81</v>
      </c>
    </row>
    <row r="47" spans="1:14" ht="12" customHeight="1" x14ac:dyDescent="0.3">
      <c r="A47" s="130"/>
      <c r="B47" s="131">
        <v>2025</v>
      </c>
      <c r="C47" s="167" t="s">
        <v>49</v>
      </c>
      <c r="D47" s="167" t="s">
        <v>49</v>
      </c>
      <c r="E47" s="167" t="s">
        <v>49</v>
      </c>
      <c r="F47" s="167" t="s">
        <v>49</v>
      </c>
      <c r="G47" s="167" t="s">
        <v>49</v>
      </c>
      <c r="H47" s="167" t="s">
        <v>49</v>
      </c>
      <c r="I47" s="167" t="s">
        <v>49</v>
      </c>
      <c r="J47" s="167" t="s">
        <v>49</v>
      </c>
      <c r="K47" s="167"/>
      <c r="L47" s="166"/>
      <c r="M47" s="166"/>
      <c r="N47" s="167"/>
    </row>
    <row r="48" spans="1:14" ht="12" customHeight="1" x14ac:dyDescent="0.3">
      <c r="A48" s="15" t="s">
        <v>17</v>
      </c>
      <c r="B48" s="11">
        <v>2018</v>
      </c>
      <c r="C48" s="169">
        <v>59</v>
      </c>
      <c r="D48" s="168">
        <v>59</v>
      </c>
      <c r="E48" s="169">
        <v>59</v>
      </c>
      <c r="F48" s="169">
        <v>59</v>
      </c>
      <c r="G48" s="163">
        <v>67</v>
      </c>
      <c r="H48" s="162">
        <v>67</v>
      </c>
      <c r="I48" s="162">
        <v>65.5</v>
      </c>
      <c r="J48" s="162">
        <v>65.5</v>
      </c>
      <c r="K48" s="162">
        <v>67</v>
      </c>
      <c r="L48" s="163">
        <v>67</v>
      </c>
      <c r="M48" s="162">
        <v>67</v>
      </c>
      <c r="N48" s="163">
        <v>67</v>
      </c>
    </row>
    <row r="49" spans="1:14" ht="12" customHeight="1" x14ac:dyDescent="0.3">
      <c r="A49" s="15"/>
      <c r="B49" s="11">
        <v>2019</v>
      </c>
      <c r="C49" s="162">
        <v>67</v>
      </c>
      <c r="D49" s="163">
        <v>67</v>
      </c>
      <c r="E49" s="162">
        <v>71</v>
      </c>
      <c r="F49" s="162">
        <v>71</v>
      </c>
      <c r="G49" s="163">
        <v>72.5</v>
      </c>
      <c r="H49" s="162">
        <v>72.5</v>
      </c>
      <c r="I49" s="162">
        <v>72.5</v>
      </c>
      <c r="J49" s="169">
        <v>72.5</v>
      </c>
      <c r="K49" s="169">
        <v>70</v>
      </c>
      <c r="L49" s="168">
        <v>70</v>
      </c>
      <c r="M49" s="169">
        <v>70</v>
      </c>
      <c r="N49" s="168">
        <v>70</v>
      </c>
    </row>
    <row r="50" spans="1:14" ht="12" customHeight="1" x14ac:dyDescent="0.3">
      <c r="A50" s="15"/>
      <c r="B50" s="11">
        <v>2020</v>
      </c>
      <c r="C50" s="169">
        <v>70</v>
      </c>
      <c r="D50" s="163" t="s">
        <v>49</v>
      </c>
      <c r="E50" s="162" t="s">
        <v>49</v>
      </c>
      <c r="F50" s="162" t="s">
        <v>49</v>
      </c>
      <c r="G50" s="163">
        <v>70</v>
      </c>
      <c r="H50" s="162">
        <v>70</v>
      </c>
      <c r="I50" s="162">
        <v>70</v>
      </c>
      <c r="J50" s="162">
        <v>70</v>
      </c>
      <c r="K50" s="162" t="s">
        <v>49</v>
      </c>
      <c r="L50" s="168">
        <v>72.5</v>
      </c>
      <c r="M50" s="169">
        <v>72.5</v>
      </c>
      <c r="N50" s="168">
        <v>72.5</v>
      </c>
    </row>
    <row r="51" spans="1:14" ht="12" customHeight="1" x14ac:dyDescent="0.3">
      <c r="A51" s="15"/>
      <c r="B51" s="11">
        <v>2021</v>
      </c>
      <c r="C51" s="169">
        <v>72.5</v>
      </c>
      <c r="D51" s="168">
        <v>72.5</v>
      </c>
      <c r="E51" s="169">
        <v>72.5</v>
      </c>
      <c r="F51" s="169">
        <v>72.5</v>
      </c>
      <c r="G51" s="168">
        <v>72.5</v>
      </c>
      <c r="H51" s="169">
        <v>72.5</v>
      </c>
      <c r="I51" s="169">
        <v>72.5</v>
      </c>
      <c r="J51" s="162">
        <v>80</v>
      </c>
      <c r="K51" s="169">
        <v>82.5</v>
      </c>
      <c r="L51" s="168">
        <v>72.5</v>
      </c>
      <c r="M51" s="169">
        <v>72.5</v>
      </c>
      <c r="N51" s="168">
        <v>87.5</v>
      </c>
    </row>
    <row r="52" spans="1:14" ht="12" customHeight="1" x14ac:dyDescent="0.3">
      <c r="A52" s="15"/>
      <c r="B52" s="11">
        <v>2022</v>
      </c>
      <c r="C52" s="169">
        <v>102.5</v>
      </c>
      <c r="D52" s="168">
        <v>102.5</v>
      </c>
      <c r="E52" s="169">
        <v>102.5</v>
      </c>
      <c r="F52" s="169">
        <v>103</v>
      </c>
      <c r="G52" s="168">
        <v>100</v>
      </c>
      <c r="H52" s="169">
        <v>102.5</v>
      </c>
      <c r="I52" s="169">
        <v>102.5</v>
      </c>
      <c r="J52" s="169">
        <v>102.5</v>
      </c>
      <c r="K52" s="169">
        <v>102.5</v>
      </c>
      <c r="L52" s="168">
        <v>103</v>
      </c>
      <c r="M52" s="169">
        <v>103</v>
      </c>
      <c r="N52" s="168">
        <v>103</v>
      </c>
    </row>
    <row r="53" spans="1:14" ht="12" customHeight="1" x14ac:dyDescent="0.3">
      <c r="A53" s="15"/>
      <c r="B53" s="11">
        <v>2023</v>
      </c>
      <c r="C53" s="169">
        <v>103</v>
      </c>
      <c r="D53" s="169">
        <v>103</v>
      </c>
      <c r="E53" s="169">
        <v>103</v>
      </c>
      <c r="F53" s="169">
        <v>103</v>
      </c>
      <c r="G53" s="168">
        <v>103</v>
      </c>
      <c r="H53" s="169">
        <v>105</v>
      </c>
      <c r="I53" s="169">
        <v>103</v>
      </c>
      <c r="J53" s="169">
        <v>103</v>
      </c>
      <c r="K53" s="169">
        <v>103</v>
      </c>
      <c r="L53" s="169">
        <v>103</v>
      </c>
      <c r="M53" s="169">
        <v>103</v>
      </c>
      <c r="N53" s="169">
        <v>103</v>
      </c>
    </row>
    <row r="54" spans="1:14" ht="12" customHeight="1" x14ac:dyDescent="0.3">
      <c r="A54" s="15"/>
      <c r="B54" s="11">
        <v>2024</v>
      </c>
      <c r="C54" s="169">
        <v>103</v>
      </c>
      <c r="D54" s="169">
        <v>103</v>
      </c>
      <c r="E54" s="169">
        <v>110</v>
      </c>
      <c r="F54" s="162">
        <v>108</v>
      </c>
      <c r="G54" s="163">
        <v>108</v>
      </c>
      <c r="H54" s="162">
        <v>115</v>
      </c>
      <c r="I54" s="162">
        <v>120</v>
      </c>
      <c r="J54" s="162">
        <v>108</v>
      </c>
      <c r="K54" s="162">
        <v>100</v>
      </c>
      <c r="L54" s="162">
        <v>118.46618357487922</v>
      </c>
      <c r="M54" s="162">
        <v>100.28</v>
      </c>
      <c r="N54" s="162">
        <v>111.25</v>
      </c>
    </row>
    <row r="55" spans="1:14" ht="12" customHeight="1" x14ac:dyDescent="0.3">
      <c r="A55" s="130"/>
      <c r="B55" s="131">
        <v>2025</v>
      </c>
      <c r="C55" s="171">
        <v>116</v>
      </c>
      <c r="D55" s="171">
        <v>112</v>
      </c>
      <c r="E55" s="171">
        <v>116</v>
      </c>
      <c r="F55" s="167">
        <v>210</v>
      </c>
      <c r="G55" s="167">
        <v>192</v>
      </c>
      <c r="H55" s="167">
        <v>118</v>
      </c>
      <c r="I55" s="167">
        <v>164</v>
      </c>
      <c r="J55" s="167">
        <v>120</v>
      </c>
      <c r="K55" s="167"/>
      <c r="L55" s="167"/>
      <c r="M55" s="167"/>
      <c r="N55" s="167"/>
    </row>
    <row r="56" spans="1:14" ht="12" customHeight="1" x14ac:dyDescent="0.3">
      <c r="A56" s="160"/>
      <c r="B56" s="161"/>
      <c r="C56" s="37"/>
      <c r="D56" s="37"/>
      <c r="E56" s="143"/>
      <c r="F56" s="37"/>
      <c r="G56" s="37"/>
      <c r="H56" s="37"/>
      <c r="I56" s="143"/>
      <c r="J56" s="37"/>
      <c r="K56" s="37"/>
      <c r="L56" s="37"/>
      <c r="M56" s="178"/>
      <c r="N56" s="226" t="s">
        <v>26</v>
      </c>
    </row>
    <row r="57" spans="1:14" ht="12" customHeight="1" x14ac:dyDescent="0.3">
      <c r="A57" s="769" t="s">
        <v>146</v>
      </c>
      <c r="B57" s="769"/>
      <c r="C57" s="769"/>
      <c r="D57" s="769"/>
      <c r="E57" s="769"/>
      <c r="F57" s="769"/>
      <c r="G57" s="37"/>
      <c r="H57" s="37"/>
      <c r="I57" s="38"/>
      <c r="J57" s="20"/>
      <c r="K57" s="20"/>
      <c r="L57" s="20"/>
      <c r="M57" s="20"/>
      <c r="N57" s="163"/>
    </row>
    <row r="58" spans="1:14" ht="15.9" customHeight="1" x14ac:dyDescent="0.3">
      <c r="A58" s="217" t="s">
        <v>94</v>
      </c>
      <c r="B58" s="217" t="s">
        <v>139</v>
      </c>
      <c r="C58" s="217" t="s">
        <v>96</v>
      </c>
      <c r="D58" s="217" t="s">
        <v>97</v>
      </c>
      <c r="E58" s="217" t="s">
        <v>98</v>
      </c>
      <c r="F58" s="217" t="s">
        <v>99</v>
      </c>
      <c r="G58" s="217" t="s">
        <v>100</v>
      </c>
      <c r="H58" s="217" t="s">
        <v>101</v>
      </c>
      <c r="I58" s="217" t="s">
        <v>102</v>
      </c>
      <c r="J58" s="217" t="s">
        <v>103</v>
      </c>
      <c r="K58" s="217" t="s">
        <v>104</v>
      </c>
      <c r="L58" s="217" t="s">
        <v>105</v>
      </c>
      <c r="M58" s="217" t="s">
        <v>106</v>
      </c>
      <c r="N58" s="217" t="s">
        <v>107</v>
      </c>
    </row>
    <row r="59" spans="1:14" ht="3" customHeight="1" x14ac:dyDescent="0.3">
      <c r="A59" s="15"/>
      <c r="B59" s="11"/>
      <c r="C59" s="169"/>
      <c r="D59" s="169"/>
      <c r="E59" s="169"/>
      <c r="F59" s="162"/>
      <c r="G59" s="163"/>
      <c r="H59" s="162"/>
      <c r="I59" s="162"/>
      <c r="J59" s="162"/>
      <c r="K59" s="162"/>
      <c r="L59" s="162"/>
      <c r="M59" s="162"/>
      <c r="N59" s="162"/>
    </row>
    <row r="60" spans="1:14" ht="12" customHeight="1" x14ac:dyDescent="0.3">
      <c r="A60" s="15" t="s">
        <v>21</v>
      </c>
      <c r="B60" s="11">
        <v>2018</v>
      </c>
      <c r="C60" s="169">
        <v>75</v>
      </c>
      <c r="D60" s="168">
        <v>75</v>
      </c>
      <c r="E60" s="169">
        <v>75</v>
      </c>
      <c r="F60" s="162">
        <v>72.5</v>
      </c>
      <c r="G60" s="163">
        <v>72.5</v>
      </c>
      <c r="H60" s="162">
        <v>75</v>
      </c>
      <c r="I60" s="162">
        <v>75</v>
      </c>
      <c r="J60" s="162">
        <v>76</v>
      </c>
      <c r="K60" s="162">
        <v>76</v>
      </c>
      <c r="L60" s="163">
        <v>78</v>
      </c>
      <c r="M60" s="162">
        <v>78</v>
      </c>
      <c r="N60" s="163">
        <v>80</v>
      </c>
    </row>
    <row r="61" spans="1:14" ht="12" customHeight="1" x14ac:dyDescent="0.3">
      <c r="A61" s="15"/>
      <c r="B61" s="11">
        <v>2019</v>
      </c>
      <c r="C61" s="162">
        <v>80</v>
      </c>
      <c r="D61" s="163">
        <v>80</v>
      </c>
      <c r="E61" s="162">
        <v>81</v>
      </c>
      <c r="F61" s="162">
        <v>81</v>
      </c>
      <c r="G61" s="163">
        <v>83</v>
      </c>
      <c r="H61" s="162">
        <v>83</v>
      </c>
      <c r="I61" s="162">
        <v>82.5</v>
      </c>
      <c r="J61" s="169">
        <v>82.5</v>
      </c>
      <c r="K61" s="169">
        <v>80</v>
      </c>
      <c r="L61" s="168">
        <v>80</v>
      </c>
      <c r="M61" s="169">
        <v>80</v>
      </c>
      <c r="N61" s="168">
        <v>80</v>
      </c>
    </row>
    <row r="62" spans="1:14" ht="12" customHeight="1" x14ac:dyDescent="0.3">
      <c r="A62" s="15"/>
      <c r="B62" s="11">
        <v>2020</v>
      </c>
      <c r="C62" s="162">
        <v>85</v>
      </c>
      <c r="D62" s="163">
        <v>85</v>
      </c>
      <c r="E62" s="162" t="s">
        <v>49</v>
      </c>
      <c r="F62" s="162">
        <v>80</v>
      </c>
      <c r="G62" s="163">
        <v>85</v>
      </c>
      <c r="H62" s="162">
        <v>85</v>
      </c>
      <c r="I62" s="162">
        <v>85</v>
      </c>
      <c r="J62" s="162">
        <v>85</v>
      </c>
      <c r="K62" s="169">
        <v>80</v>
      </c>
      <c r="L62" s="163">
        <v>85</v>
      </c>
      <c r="M62" s="162">
        <v>85</v>
      </c>
      <c r="N62" s="163">
        <v>85</v>
      </c>
    </row>
    <row r="63" spans="1:14" ht="12" customHeight="1" x14ac:dyDescent="0.3">
      <c r="A63" s="15"/>
      <c r="B63" s="11">
        <v>2021</v>
      </c>
      <c r="C63" s="162">
        <v>80</v>
      </c>
      <c r="D63" s="163">
        <v>85</v>
      </c>
      <c r="E63" s="162">
        <v>85</v>
      </c>
      <c r="F63" s="162">
        <v>85</v>
      </c>
      <c r="G63" s="163">
        <v>85</v>
      </c>
      <c r="H63" s="162">
        <v>85</v>
      </c>
      <c r="I63" s="162">
        <v>85</v>
      </c>
      <c r="J63" s="162">
        <v>85</v>
      </c>
      <c r="K63" s="169">
        <v>90</v>
      </c>
      <c r="L63" s="168">
        <v>90</v>
      </c>
      <c r="M63" s="162">
        <v>95</v>
      </c>
      <c r="N63" s="163">
        <v>100</v>
      </c>
    </row>
    <row r="64" spans="1:14" ht="12" customHeight="1" x14ac:dyDescent="0.3">
      <c r="A64" s="15"/>
      <c r="B64" s="11">
        <v>2022</v>
      </c>
      <c r="C64" s="162">
        <v>100</v>
      </c>
      <c r="D64" s="163">
        <v>95</v>
      </c>
      <c r="E64" s="162">
        <v>95</v>
      </c>
      <c r="F64" s="162">
        <v>100</v>
      </c>
      <c r="G64" s="163">
        <v>100</v>
      </c>
      <c r="H64" s="162">
        <v>100</v>
      </c>
      <c r="I64" s="162">
        <v>110</v>
      </c>
      <c r="J64" s="162">
        <v>110</v>
      </c>
      <c r="K64" s="169">
        <v>105</v>
      </c>
      <c r="L64" s="168">
        <v>92.5</v>
      </c>
      <c r="M64" s="162">
        <v>100</v>
      </c>
      <c r="N64" s="168">
        <v>105</v>
      </c>
    </row>
    <row r="65" spans="1:14" ht="12" customHeight="1" x14ac:dyDescent="0.3">
      <c r="A65" s="15"/>
      <c r="B65" s="18">
        <v>2023</v>
      </c>
      <c r="C65" s="162">
        <v>115</v>
      </c>
      <c r="D65" s="162">
        <v>115</v>
      </c>
      <c r="E65" s="162">
        <v>110</v>
      </c>
      <c r="F65" s="162">
        <v>115</v>
      </c>
      <c r="G65" s="163">
        <v>115</v>
      </c>
      <c r="H65" s="162">
        <v>115</v>
      </c>
      <c r="I65" s="162">
        <v>115</v>
      </c>
      <c r="J65" s="162">
        <v>115</v>
      </c>
      <c r="K65" s="169">
        <v>115</v>
      </c>
      <c r="L65" s="169">
        <v>115</v>
      </c>
      <c r="M65" s="162">
        <v>120</v>
      </c>
      <c r="N65" s="169">
        <v>123</v>
      </c>
    </row>
    <row r="66" spans="1:14" ht="12" customHeight="1" x14ac:dyDescent="0.3">
      <c r="A66" s="15"/>
      <c r="B66" s="11">
        <v>2024</v>
      </c>
      <c r="C66" s="162">
        <v>123</v>
      </c>
      <c r="D66" s="162">
        <v>110</v>
      </c>
      <c r="E66" s="162">
        <v>125</v>
      </c>
      <c r="F66" s="162">
        <v>120</v>
      </c>
      <c r="G66" s="163">
        <v>135</v>
      </c>
      <c r="H66" s="162">
        <v>135</v>
      </c>
      <c r="I66" s="162">
        <v>125</v>
      </c>
      <c r="J66" s="162">
        <v>135</v>
      </c>
      <c r="K66" s="162">
        <v>117.5</v>
      </c>
      <c r="L66" s="162">
        <v>125.33730756322035</v>
      </c>
      <c r="M66" s="162">
        <v>115.58</v>
      </c>
      <c r="N66" s="162">
        <v>126</v>
      </c>
    </row>
    <row r="67" spans="1:14" ht="12" customHeight="1" x14ac:dyDescent="0.3">
      <c r="A67" s="130"/>
      <c r="B67" s="131">
        <v>2025</v>
      </c>
      <c r="C67" s="167">
        <v>123</v>
      </c>
      <c r="D67" s="167">
        <v>123</v>
      </c>
      <c r="E67" s="167">
        <v>127</v>
      </c>
      <c r="F67" s="167">
        <v>123</v>
      </c>
      <c r="G67" s="167">
        <v>121</v>
      </c>
      <c r="H67" s="167">
        <v>121</v>
      </c>
      <c r="I67" s="167">
        <v>121</v>
      </c>
      <c r="J67" s="167">
        <v>127</v>
      </c>
      <c r="K67" s="167"/>
      <c r="L67" s="167"/>
      <c r="M67" s="167"/>
      <c r="N67" s="167"/>
    </row>
    <row r="68" spans="1:14" ht="12" customHeight="1" x14ac:dyDescent="0.3">
      <c r="A68" s="15" t="s">
        <v>53</v>
      </c>
      <c r="B68" s="11">
        <v>2018</v>
      </c>
      <c r="C68" s="169">
        <v>70</v>
      </c>
      <c r="D68" s="168">
        <v>70</v>
      </c>
      <c r="E68" s="169">
        <v>70</v>
      </c>
      <c r="F68" s="169">
        <v>70</v>
      </c>
      <c r="G68" s="169">
        <v>70</v>
      </c>
      <c r="H68" s="169">
        <v>70</v>
      </c>
      <c r="I68" s="162">
        <v>74.5</v>
      </c>
      <c r="J68" s="162">
        <v>74.5</v>
      </c>
      <c r="K68" s="162">
        <v>71.900000000000006</v>
      </c>
      <c r="L68" s="163">
        <v>69</v>
      </c>
      <c r="M68" s="162">
        <v>69</v>
      </c>
      <c r="N68" s="163">
        <v>69</v>
      </c>
    </row>
    <row r="69" spans="1:14" ht="12" customHeight="1" x14ac:dyDescent="0.3">
      <c r="A69" s="15"/>
      <c r="B69" s="11">
        <v>2019</v>
      </c>
      <c r="C69" s="162">
        <v>74</v>
      </c>
      <c r="D69" s="163">
        <v>74.5</v>
      </c>
      <c r="E69" s="162">
        <v>68</v>
      </c>
      <c r="F69" s="162">
        <v>70</v>
      </c>
      <c r="G69" s="162">
        <v>74</v>
      </c>
      <c r="H69" s="162">
        <v>74</v>
      </c>
      <c r="I69" s="162">
        <v>75</v>
      </c>
      <c r="J69" s="169">
        <v>76</v>
      </c>
      <c r="K69" s="169">
        <v>80</v>
      </c>
      <c r="L69" s="168">
        <v>80</v>
      </c>
      <c r="M69" s="169">
        <v>80</v>
      </c>
      <c r="N69" s="168">
        <v>80</v>
      </c>
    </row>
    <row r="70" spans="1:14" ht="12" customHeight="1" x14ac:dyDescent="0.3">
      <c r="A70" s="15"/>
      <c r="B70" s="11">
        <v>2020</v>
      </c>
      <c r="C70" s="162">
        <v>80</v>
      </c>
      <c r="D70" s="163" t="s">
        <v>49</v>
      </c>
      <c r="E70" s="162" t="s">
        <v>49</v>
      </c>
      <c r="F70" s="162" t="s">
        <v>49</v>
      </c>
      <c r="G70" s="162" t="s">
        <v>49</v>
      </c>
      <c r="H70" s="162" t="s">
        <v>49</v>
      </c>
      <c r="I70" s="162" t="s">
        <v>49</v>
      </c>
      <c r="J70" s="162" t="s">
        <v>49</v>
      </c>
      <c r="K70" s="162" t="s">
        <v>49</v>
      </c>
      <c r="L70" s="163" t="s">
        <v>49</v>
      </c>
      <c r="M70" s="162" t="s">
        <v>49</v>
      </c>
      <c r="N70" s="163" t="s">
        <v>49</v>
      </c>
    </row>
    <row r="71" spans="1:14" ht="12" customHeight="1" x14ac:dyDescent="0.3">
      <c r="A71" s="15"/>
      <c r="B71" s="11">
        <v>2021</v>
      </c>
      <c r="C71" s="162">
        <v>90</v>
      </c>
      <c r="D71" s="163">
        <v>90</v>
      </c>
      <c r="E71" s="162">
        <v>72.5</v>
      </c>
      <c r="F71" s="162">
        <v>75</v>
      </c>
      <c r="G71" s="162">
        <v>77.5</v>
      </c>
      <c r="H71" s="162">
        <v>77.5</v>
      </c>
      <c r="I71" s="162">
        <v>77.5</v>
      </c>
      <c r="J71" s="162">
        <v>84</v>
      </c>
      <c r="K71" s="169">
        <v>82.5</v>
      </c>
      <c r="L71" s="163">
        <v>92.5</v>
      </c>
      <c r="M71" s="162">
        <v>87.5</v>
      </c>
      <c r="N71" s="163">
        <v>82.5</v>
      </c>
    </row>
    <row r="72" spans="1:14" ht="12" customHeight="1" x14ac:dyDescent="0.3">
      <c r="A72" s="15"/>
      <c r="B72" s="11">
        <v>2022</v>
      </c>
      <c r="C72" s="162">
        <v>80</v>
      </c>
      <c r="D72" s="163">
        <v>79</v>
      </c>
      <c r="E72" s="162">
        <v>82</v>
      </c>
      <c r="F72" s="162">
        <v>80</v>
      </c>
      <c r="G72" s="162">
        <v>85</v>
      </c>
      <c r="H72" s="162">
        <v>85</v>
      </c>
      <c r="I72" s="162">
        <v>97.5</v>
      </c>
      <c r="J72" s="162">
        <v>97.5</v>
      </c>
      <c r="K72" s="169">
        <v>95</v>
      </c>
      <c r="L72" s="163">
        <v>90</v>
      </c>
      <c r="M72" s="162">
        <v>90</v>
      </c>
      <c r="N72" s="162">
        <v>90</v>
      </c>
    </row>
    <row r="73" spans="1:14" ht="12" customHeight="1" x14ac:dyDescent="0.3">
      <c r="A73" s="15"/>
      <c r="B73" s="18">
        <v>2023</v>
      </c>
      <c r="C73" s="162" t="s">
        <v>49</v>
      </c>
      <c r="D73" s="163" t="s">
        <v>49</v>
      </c>
      <c r="E73" s="163" t="s">
        <v>49</v>
      </c>
      <c r="F73" s="163" t="s">
        <v>49</v>
      </c>
      <c r="G73" s="163" t="s">
        <v>49</v>
      </c>
      <c r="H73" s="162" t="s">
        <v>49</v>
      </c>
      <c r="I73" s="162">
        <v>123</v>
      </c>
      <c r="J73" s="162">
        <v>120</v>
      </c>
      <c r="K73" s="169">
        <v>120</v>
      </c>
      <c r="L73" s="162">
        <v>117</v>
      </c>
      <c r="M73" s="162">
        <v>118</v>
      </c>
      <c r="N73" s="162">
        <v>118</v>
      </c>
    </row>
    <row r="74" spans="1:14" ht="12" customHeight="1" x14ac:dyDescent="0.3">
      <c r="A74" s="17"/>
      <c r="B74" s="18">
        <v>2024</v>
      </c>
      <c r="C74" s="162">
        <v>120</v>
      </c>
      <c r="D74" s="163">
        <v>120</v>
      </c>
      <c r="E74" s="162">
        <v>120</v>
      </c>
      <c r="F74" s="162">
        <v>110</v>
      </c>
      <c r="G74" s="162">
        <v>160</v>
      </c>
      <c r="H74" s="162">
        <v>120</v>
      </c>
      <c r="I74" s="162">
        <v>130</v>
      </c>
      <c r="J74" s="162">
        <v>131</v>
      </c>
      <c r="K74" s="162">
        <v>113.5</v>
      </c>
      <c r="L74" s="162">
        <v>113.2</v>
      </c>
      <c r="M74" s="162">
        <v>113.7</v>
      </c>
      <c r="N74" s="162">
        <v>113.7</v>
      </c>
    </row>
    <row r="75" spans="1:14" ht="12" customHeight="1" x14ac:dyDescent="0.3">
      <c r="A75" s="21"/>
      <c r="B75" s="22">
        <v>2025</v>
      </c>
      <c r="C75" s="167">
        <v>123.5</v>
      </c>
      <c r="D75" s="165">
        <v>123</v>
      </c>
      <c r="E75" s="167">
        <v>129</v>
      </c>
      <c r="F75" s="167">
        <v>128</v>
      </c>
      <c r="G75" s="167">
        <v>128</v>
      </c>
      <c r="H75" s="167">
        <v>128</v>
      </c>
      <c r="I75" s="167">
        <v>114.3</v>
      </c>
      <c r="J75" s="167">
        <v>126</v>
      </c>
      <c r="K75" s="167"/>
      <c r="L75" s="167"/>
      <c r="M75" s="167"/>
      <c r="N75" s="167"/>
    </row>
    <row r="76" spans="1:14" ht="12" customHeight="1" x14ac:dyDescent="0.3">
      <c r="A76" s="17" t="s">
        <v>27</v>
      </c>
      <c r="B76" s="18">
        <v>2018</v>
      </c>
      <c r="C76" s="169">
        <v>95</v>
      </c>
      <c r="D76" s="169">
        <v>95</v>
      </c>
      <c r="E76" s="169">
        <v>96</v>
      </c>
      <c r="F76" s="169">
        <v>96</v>
      </c>
      <c r="G76" s="162">
        <v>98</v>
      </c>
      <c r="H76" s="162">
        <v>97.5</v>
      </c>
      <c r="I76" s="162">
        <v>97.5</v>
      </c>
      <c r="J76" s="162">
        <v>97.5</v>
      </c>
      <c r="K76" s="162">
        <v>96</v>
      </c>
      <c r="L76" s="163">
        <v>96</v>
      </c>
      <c r="M76" s="162">
        <v>96</v>
      </c>
      <c r="N76" s="163">
        <v>100</v>
      </c>
    </row>
    <row r="77" spans="1:14" ht="12" customHeight="1" x14ac:dyDescent="0.3">
      <c r="A77" s="17"/>
      <c r="B77" s="18">
        <v>2019</v>
      </c>
      <c r="C77" s="162">
        <v>100</v>
      </c>
      <c r="D77" s="162">
        <v>107.5</v>
      </c>
      <c r="E77" s="162">
        <v>109</v>
      </c>
      <c r="F77" s="162">
        <v>108</v>
      </c>
      <c r="G77" s="162">
        <v>108</v>
      </c>
      <c r="H77" s="162">
        <v>106</v>
      </c>
      <c r="I77" s="162">
        <v>106</v>
      </c>
      <c r="J77" s="169">
        <v>107</v>
      </c>
      <c r="K77" s="169">
        <v>110</v>
      </c>
      <c r="L77" s="163">
        <v>110</v>
      </c>
      <c r="M77" s="162">
        <v>115</v>
      </c>
      <c r="N77" s="163">
        <v>115</v>
      </c>
    </row>
    <row r="78" spans="1:14" ht="12" customHeight="1" x14ac:dyDescent="0.3">
      <c r="A78" s="17"/>
      <c r="B78" s="18">
        <v>2020</v>
      </c>
      <c r="C78" s="162">
        <v>115</v>
      </c>
      <c r="D78" s="162">
        <v>115</v>
      </c>
      <c r="E78" s="162">
        <v>115</v>
      </c>
      <c r="F78" s="162">
        <v>115</v>
      </c>
      <c r="G78" s="162">
        <v>122.5</v>
      </c>
      <c r="H78" s="162">
        <v>122.5</v>
      </c>
      <c r="I78" s="162">
        <v>122.5</v>
      </c>
      <c r="J78" s="162">
        <v>122.5</v>
      </c>
      <c r="K78" s="162">
        <v>122.5</v>
      </c>
      <c r="L78" s="163">
        <v>122.5</v>
      </c>
      <c r="M78" s="162">
        <v>122.5</v>
      </c>
      <c r="N78" s="163">
        <v>125</v>
      </c>
    </row>
    <row r="79" spans="1:14" ht="12" customHeight="1" x14ac:dyDescent="0.3">
      <c r="A79" s="17"/>
      <c r="B79" s="18">
        <v>2021</v>
      </c>
      <c r="C79" s="162">
        <v>130</v>
      </c>
      <c r="D79" s="162">
        <v>125</v>
      </c>
      <c r="E79" s="162">
        <v>130</v>
      </c>
      <c r="F79" s="162">
        <v>130</v>
      </c>
      <c r="G79" s="162">
        <v>130</v>
      </c>
      <c r="H79" s="162">
        <v>130</v>
      </c>
      <c r="I79" s="162">
        <v>130</v>
      </c>
      <c r="J79" s="162">
        <v>130</v>
      </c>
      <c r="K79" s="162">
        <v>130</v>
      </c>
      <c r="L79" s="163">
        <v>130</v>
      </c>
      <c r="M79" s="162">
        <v>130</v>
      </c>
      <c r="N79" s="126">
        <v>130</v>
      </c>
    </row>
    <row r="80" spans="1:14" ht="12" customHeight="1" x14ac:dyDescent="0.3">
      <c r="A80" s="17"/>
      <c r="B80" s="18">
        <v>2022</v>
      </c>
      <c r="C80" s="162">
        <v>130</v>
      </c>
      <c r="D80" s="162">
        <v>130</v>
      </c>
      <c r="E80" s="162">
        <v>130</v>
      </c>
      <c r="F80" s="162">
        <v>130</v>
      </c>
      <c r="G80" s="162">
        <v>130</v>
      </c>
      <c r="H80" s="162">
        <v>130</v>
      </c>
      <c r="I80" s="162">
        <v>130</v>
      </c>
      <c r="J80" s="162">
        <v>130</v>
      </c>
      <c r="K80" s="162">
        <v>130</v>
      </c>
      <c r="L80" s="163">
        <v>140</v>
      </c>
      <c r="M80" s="162">
        <v>130</v>
      </c>
      <c r="N80" s="126">
        <v>120</v>
      </c>
    </row>
    <row r="81" spans="1:14" ht="12" customHeight="1" x14ac:dyDescent="0.3">
      <c r="A81" s="39"/>
      <c r="B81" s="18">
        <v>2023</v>
      </c>
      <c r="C81" s="162">
        <v>132</v>
      </c>
      <c r="D81" s="162">
        <v>133</v>
      </c>
      <c r="E81" s="162">
        <v>150</v>
      </c>
      <c r="F81" s="162">
        <v>128</v>
      </c>
      <c r="G81" s="162">
        <v>145</v>
      </c>
      <c r="H81" s="162">
        <v>133</v>
      </c>
      <c r="I81" s="162">
        <v>140</v>
      </c>
      <c r="J81" s="162">
        <v>140</v>
      </c>
      <c r="K81" s="162">
        <v>143</v>
      </c>
      <c r="L81" s="162">
        <v>158</v>
      </c>
      <c r="M81" s="162">
        <v>158</v>
      </c>
      <c r="N81" s="121">
        <v>150</v>
      </c>
    </row>
    <row r="82" spans="1:14" ht="12" customHeight="1" x14ac:dyDescent="0.3">
      <c r="A82" s="17"/>
      <c r="B82" s="18">
        <v>2024</v>
      </c>
      <c r="C82" s="162">
        <v>160</v>
      </c>
      <c r="D82" s="162">
        <v>150</v>
      </c>
      <c r="E82" s="162">
        <v>150</v>
      </c>
      <c r="F82" s="162">
        <v>164</v>
      </c>
      <c r="G82" s="163">
        <v>165</v>
      </c>
      <c r="H82" s="162">
        <v>165</v>
      </c>
      <c r="I82" s="162">
        <v>165</v>
      </c>
      <c r="J82" s="162">
        <v>165</v>
      </c>
      <c r="K82" s="162">
        <v>159</v>
      </c>
      <c r="L82" s="5" t="s">
        <v>4</v>
      </c>
      <c r="M82" s="162">
        <v>150</v>
      </c>
      <c r="N82" s="121">
        <v>150</v>
      </c>
    </row>
    <row r="83" spans="1:14" ht="12" customHeight="1" x14ac:dyDescent="0.3">
      <c r="A83" s="21"/>
      <c r="B83" s="22">
        <v>2025</v>
      </c>
      <c r="C83" s="167">
        <v>163</v>
      </c>
      <c r="D83" s="166" t="s">
        <v>4</v>
      </c>
      <c r="E83" s="167">
        <v>170</v>
      </c>
      <c r="F83" s="167">
        <v>170</v>
      </c>
      <c r="G83" s="167">
        <v>170</v>
      </c>
      <c r="H83" s="167">
        <v>170</v>
      </c>
      <c r="I83" s="167">
        <v>170</v>
      </c>
      <c r="J83" s="167">
        <v>158</v>
      </c>
      <c r="K83" s="167"/>
      <c r="L83" s="166"/>
      <c r="M83" s="167"/>
      <c r="N83" s="135"/>
    </row>
    <row r="84" spans="1:14" ht="12" customHeight="1" x14ac:dyDescent="0.3">
      <c r="A84" s="17" t="s">
        <v>113</v>
      </c>
      <c r="B84" s="18">
        <v>2018</v>
      </c>
      <c r="C84" s="162">
        <v>77.916666666666671</v>
      </c>
      <c r="D84" s="162">
        <v>76.875</v>
      </c>
      <c r="E84" s="162">
        <v>75</v>
      </c>
      <c r="F84" s="162">
        <v>75</v>
      </c>
      <c r="G84" s="163">
        <v>73.400000000000006</v>
      </c>
      <c r="H84" s="162">
        <v>74.599999999999994</v>
      </c>
      <c r="I84" s="162">
        <v>73.8</v>
      </c>
      <c r="J84" s="162">
        <v>75.400000000000006</v>
      </c>
      <c r="K84" s="162">
        <v>75.5</v>
      </c>
      <c r="L84" s="163">
        <v>76.5</v>
      </c>
      <c r="M84" s="162">
        <v>78.3</v>
      </c>
      <c r="N84" s="163">
        <v>78.3</v>
      </c>
    </row>
    <row r="85" spans="1:14" ht="12" customHeight="1" x14ac:dyDescent="0.3">
      <c r="A85" s="17"/>
      <c r="B85" s="18">
        <v>2019</v>
      </c>
      <c r="C85" s="162">
        <v>77</v>
      </c>
      <c r="D85" s="162">
        <v>77</v>
      </c>
      <c r="E85" s="162">
        <v>76.7</v>
      </c>
      <c r="F85" s="162">
        <v>77</v>
      </c>
      <c r="G85" s="163">
        <v>76.7</v>
      </c>
      <c r="H85" s="162">
        <v>75.5</v>
      </c>
      <c r="I85" s="162">
        <v>75</v>
      </c>
      <c r="J85" s="169">
        <v>72.900000000000006</v>
      </c>
      <c r="K85" s="169">
        <v>80</v>
      </c>
      <c r="L85" s="163">
        <v>95</v>
      </c>
      <c r="M85" s="162">
        <v>95</v>
      </c>
      <c r="N85" s="163">
        <v>95</v>
      </c>
    </row>
    <row r="86" spans="1:14" ht="12" customHeight="1" x14ac:dyDescent="0.3">
      <c r="A86" s="17"/>
      <c r="B86" s="18">
        <v>2020</v>
      </c>
      <c r="C86" s="162">
        <v>95</v>
      </c>
      <c r="D86" s="162" t="s">
        <v>49</v>
      </c>
      <c r="E86" s="162" t="s">
        <v>49</v>
      </c>
      <c r="F86" s="162" t="s">
        <v>49</v>
      </c>
      <c r="G86" s="163" t="s">
        <v>49</v>
      </c>
      <c r="H86" s="162" t="s">
        <v>49</v>
      </c>
      <c r="I86" s="162">
        <v>110</v>
      </c>
      <c r="J86" s="162">
        <v>110</v>
      </c>
      <c r="K86" s="162">
        <v>110</v>
      </c>
      <c r="L86" s="163">
        <v>100</v>
      </c>
      <c r="M86" s="162">
        <v>100</v>
      </c>
      <c r="N86" s="163">
        <v>100</v>
      </c>
    </row>
    <row r="87" spans="1:14" ht="12" customHeight="1" x14ac:dyDescent="0.3">
      <c r="A87" s="17"/>
      <c r="B87" s="18">
        <v>2021</v>
      </c>
      <c r="C87" s="162">
        <v>95</v>
      </c>
      <c r="D87" s="162">
        <v>95</v>
      </c>
      <c r="E87" s="162">
        <v>95</v>
      </c>
      <c r="F87" s="162">
        <v>92.5</v>
      </c>
      <c r="G87" s="163">
        <v>92.5</v>
      </c>
      <c r="H87" s="162">
        <v>95</v>
      </c>
      <c r="I87" s="162">
        <v>100</v>
      </c>
      <c r="J87" s="162">
        <v>100</v>
      </c>
      <c r="K87" s="162">
        <v>100</v>
      </c>
      <c r="L87" s="163">
        <v>100</v>
      </c>
      <c r="M87" s="162">
        <v>100</v>
      </c>
      <c r="N87" s="163">
        <v>95</v>
      </c>
    </row>
    <row r="88" spans="1:14" ht="12" customHeight="1" x14ac:dyDescent="0.3">
      <c r="A88" s="17"/>
      <c r="B88" s="18">
        <v>2022</v>
      </c>
      <c r="C88" s="162">
        <v>110</v>
      </c>
      <c r="D88" s="162">
        <v>110</v>
      </c>
      <c r="E88" s="162">
        <v>110</v>
      </c>
      <c r="F88" s="162">
        <v>110</v>
      </c>
      <c r="G88" s="163">
        <v>110</v>
      </c>
      <c r="H88" s="162">
        <v>115</v>
      </c>
      <c r="I88" s="162">
        <v>110</v>
      </c>
      <c r="J88" s="162">
        <v>110</v>
      </c>
      <c r="K88" s="162">
        <v>115</v>
      </c>
      <c r="L88" s="163">
        <v>110</v>
      </c>
      <c r="M88" s="162">
        <v>110</v>
      </c>
      <c r="N88" s="163">
        <v>110</v>
      </c>
    </row>
    <row r="89" spans="1:14" ht="12" customHeight="1" x14ac:dyDescent="0.3">
      <c r="A89" s="17"/>
      <c r="B89" s="18">
        <v>2023</v>
      </c>
      <c r="C89" s="162">
        <v>115</v>
      </c>
      <c r="D89" s="162">
        <v>120</v>
      </c>
      <c r="E89" s="162">
        <v>130</v>
      </c>
      <c r="F89" s="162">
        <v>130</v>
      </c>
      <c r="G89" s="163">
        <v>140</v>
      </c>
      <c r="H89" s="162">
        <v>140</v>
      </c>
      <c r="I89" s="162">
        <v>130</v>
      </c>
      <c r="J89" s="162">
        <v>130</v>
      </c>
      <c r="K89" s="162">
        <v>130</v>
      </c>
      <c r="L89" s="162">
        <v>138</v>
      </c>
      <c r="M89" s="162">
        <v>135</v>
      </c>
      <c r="N89" s="162">
        <v>135</v>
      </c>
    </row>
    <row r="90" spans="1:14" ht="12" customHeight="1" x14ac:dyDescent="0.3">
      <c r="A90" s="17"/>
      <c r="B90" s="18">
        <v>2024</v>
      </c>
      <c r="C90" s="162">
        <v>135</v>
      </c>
      <c r="D90" s="162">
        <v>123</v>
      </c>
      <c r="E90" s="162">
        <v>124</v>
      </c>
      <c r="F90" s="162">
        <v>158</v>
      </c>
      <c r="G90" s="163">
        <v>140</v>
      </c>
      <c r="H90" s="162">
        <v>140</v>
      </c>
      <c r="I90" s="162">
        <v>140</v>
      </c>
      <c r="J90" s="162">
        <v>120</v>
      </c>
      <c r="K90" s="162">
        <v>123</v>
      </c>
      <c r="L90" s="162">
        <v>121.81818181818181</v>
      </c>
      <c r="M90" s="162">
        <v>146.04</v>
      </c>
      <c r="N90" s="162">
        <v>165</v>
      </c>
    </row>
    <row r="91" spans="1:14" ht="12" customHeight="1" x14ac:dyDescent="0.3">
      <c r="A91" s="21"/>
      <c r="B91" s="22">
        <v>2025</v>
      </c>
      <c r="C91" s="167">
        <v>131</v>
      </c>
      <c r="D91" s="167">
        <v>120</v>
      </c>
      <c r="E91" s="167">
        <v>126</v>
      </c>
      <c r="F91" s="167">
        <v>126</v>
      </c>
      <c r="G91" s="167">
        <v>128</v>
      </c>
      <c r="H91" s="167">
        <v>127</v>
      </c>
      <c r="I91" s="167">
        <v>127</v>
      </c>
      <c r="J91" s="167">
        <v>127</v>
      </c>
      <c r="K91" s="167"/>
      <c r="L91" s="167"/>
      <c r="M91" s="167"/>
      <c r="N91" s="167"/>
    </row>
    <row r="92" spans="1:14" ht="12" customHeight="1" x14ac:dyDescent="0.3">
      <c r="A92" s="17" t="s">
        <v>38</v>
      </c>
      <c r="B92" s="18">
        <v>2018</v>
      </c>
      <c r="C92" s="162">
        <v>84</v>
      </c>
      <c r="D92" s="162">
        <v>82.5</v>
      </c>
      <c r="E92" s="162">
        <v>82.5</v>
      </c>
      <c r="F92" s="162">
        <v>82.5</v>
      </c>
      <c r="G92" s="163">
        <v>82.5</v>
      </c>
      <c r="H92" s="162">
        <v>82.5</v>
      </c>
      <c r="I92" s="162">
        <v>89.5</v>
      </c>
      <c r="J92" s="162">
        <v>89.5</v>
      </c>
      <c r="K92" s="162">
        <v>91</v>
      </c>
      <c r="L92" s="163">
        <v>93</v>
      </c>
      <c r="M92" s="162">
        <v>93</v>
      </c>
      <c r="N92" s="163">
        <v>93</v>
      </c>
    </row>
    <row r="93" spans="1:14" ht="12" customHeight="1" x14ac:dyDescent="0.3">
      <c r="A93" s="17"/>
      <c r="B93" s="18">
        <v>2019</v>
      </c>
      <c r="C93" s="162">
        <v>76.5</v>
      </c>
      <c r="D93" s="162">
        <v>85</v>
      </c>
      <c r="E93" s="162">
        <v>70</v>
      </c>
      <c r="F93" s="162">
        <v>68</v>
      </c>
      <c r="G93" s="163">
        <v>67</v>
      </c>
      <c r="H93" s="162">
        <v>69</v>
      </c>
      <c r="I93" s="162">
        <v>74</v>
      </c>
      <c r="J93" s="162">
        <v>74</v>
      </c>
      <c r="K93" s="169">
        <v>77</v>
      </c>
      <c r="L93" s="163">
        <v>77.5</v>
      </c>
      <c r="M93" s="162">
        <v>75</v>
      </c>
      <c r="N93" s="163">
        <v>75</v>
      </c>
    </row>
    <row r="94" spans="1:14" ht="12" customHeight="1" x14ac:dyDescent="0.3">
      <c r="A94" s="17"/>
      <c r="B94" s="18">
        <v>2020</v>
      </c>
      <c r="C94" s="162">
        <v>70</v>
      </c>
      <c r="D94" s="162">
        <v>75</v>
      </c>
      <c r="E94" s="162">
        <v>85</v>
      </c>
      <c r="F94" s="162" t="s">
        <v>49</v>
      </c>
      <c r="G94" s="163" t="s">
        <v>49</v>
      </c>
      <c r="H94" s="162">
        <v>75</v>
      </c>
      <c r="I94" s="162">
        <v>75</v>
      </c>
      <c r="J94" s="162">
        <v>75</v>
      </c>
      <c r="K94" s="162">
        <v>65</v>
      </c>
      <c r="L94" s="163" t="s">
        <v>49</v>
      </c>
      <c r="M94" s="162">
        <v>55</v>
      </c>
      <c r="N94" s="163">
        <v>77.5</v>
      </c>
    </row>
    <row r="95" spans="1:14" ht="12" customHeight="1" x14ac:dyDescent="0.3">
      <c r="A95" s="17"/>
      <c r="B95" s="18">
        <v>2021</v>
      </c>
      <c r="C95" s="162">
        <v>78.5</v>
      </c>
      <c r="D95" s="162">
        <v>77.5</v>
      </c>
      <c r="E95" s="162">
        <v>77.5</v>
      </c>
      <c r="F95" s="162">
        <v>77.5</v>
      </c>
      <c r="G95" s="163">
        <v>75</v>
      </c>
      <c r="H95" s="162">
        <v>80</v>
      </c>
      <c r="I95" s="162">
        <v>80</v>
      </c>
      <c r="J95" s="162">
        <v>80</v>
      </c>
      <c r="K95" s="162">
        <v>80</v>
      </c>
      <c r="L95" s="163">
        <v>80</v>
      </c>
      <c r="M95" s="162">
        <v>75</v>
      </c>
      <c r="N95" s="163">
        <v>80</v>
      </c>
    </row>
    <row r="96" spans="1:14" ht="12" customHeight="1" x14ac:dyDescent="0.3">
      <c r="A96" s="17"/>
      <c r="B96" s="18">
        <v>2022</v>
      </c>
      <c r="C96" s="162">
        <v>80</v>
      </c>
      <c r="D96" s="162">
        <v>80</v>
      </c>
      <c r="E96" s="162">
        <v>85</v>
      </c>
      <c r="F96" s="162">
        <v>90</v>
      </c>
      <c r="G96" s="163">
        <v>90</v>
      </c>
      <c r="H96" s="162">
        <v>90</v>
      </c>
      <c r="I96" s="162">
        <v>90</v>
      </c>
      <c r="J96" s="162">
        <v>90</v>
      </c>
      <c r="K96" s="162">
        <v>90</v>
      </c>
      <c r="L96" s="163">
        <v>95</v>
      </c>
      <c r="M96" s="162">
        <v>90</v>
      </c>
      <c r="N96" s="163">
        <v>88</v>
      </c>
    </row>
    <row r="97" spans="1:14" ht="12" customHeight="1" x14ac:dyDescent="0.3">
      <c r="A97" s="17"/>
      <c r="B97" s="18">
        <v>2023</v>
      </c>
      <c r="C97" s="162">
        <v>97.5</v>
      </c>
      <c r="D97" s="162">
        <v>97.5</v>
      </c>
      <c r="E97" s="162">
        <v>97.5</v>
      </c>
      <c r="F97" s="162">
        <v>97.5</v>
      </c>
      <c r="G97" s="163">
        <v>97.5</v>
      </c>
      <c r="H97" s="162">
        <v>97.5</v>
      </c>
      <c r="I97" s="162">
        <v>97.5</v>
      </c>
      <c r="J97" s="162">
        <v>97.5</v>
      </c>
      <c r="K97" s="162">
        <v>97.5</v>
      </c>
      <c r="L97" s="162">
        <v>98</v>
      </c>
      <c r="M97" s="162">
        <v>98</v>
      </c>
      <c r="N97" s="162">
        <v>98</v>
      </c>
    </row>
    <row r="98" spans="1:14" ht="12" customHeight="1" x14ac:dyDescent="0.3">
      <c r="A98" s="17"/>
      <c r="B98" s="18">
        <v>2024</v>
      </c>
      <c r="C98" s="162">
        <v>98</v>
      </c>
      <c r="D98" s="162">
        <v>94</v>
      </c>
      <c r="E98" s="162">
        <v>94</v>
      </c>
      <c r="F98" s="162">
        <v>94</v>
      </c>
      <c r="G98" s="163">
        <v>94</v>
      </c>
      <c r="H98" s="162">
        <v>96</v>
      </c>
      <c r="I98" s="162">
        <v>98</v>
      </c>
      <c r="J98" s="162">
        <v>94</v>
      </c>
      <c r="K98" s="162">
        <v>94</v>
      </c>
      <c r="L98" s="162">
        <v>94.166666666666671</v>
      </c>
      <c r="M98" s="162">
        <v>94.17</v>
      </c>
      <c r="N98" s="162">
        <v>94.17</v>
      </c>
    </row>
    <row r="99" spans="1:14" ht="12" customHeight="1" x14ac:dyDescent="0.3">
      <c r="A99" s="21"/>
      <c r="B99" s="22">
        <v>2025</v>
      </c>
      <c r="C99" s="167">
        <v>105</v>
      </c>
      <c r="D99" s="167">
        <v>94</v>
      </c>
      <c r="E99" s="167">
        <v>90</v>
      </c>
      <c r="F99" s="167">
        <v>94</v>
      </c>
      <c r="G99" s="167">
        <v>94</v>
      </c>
      <c r="H99" s="167">
        <v>105</v>
      </c>
      <c r="I99" s="167">
        <v>103.33</v>
      </c>
      <c r="J99" s="167">
        <v>103</v>
      </c>
      <c r="K99" s="167"/>
      <c r="L99" s="167"/>
      <c r="M99" s="167"/>
      <c r="N99" s="167"/>
    </row>
    <row r="100" spans="1:14" ht="12" customHeight="1" x14ac:dyDescent="0.3">
      <c r="A100" s="17" t="s">
        <v>147</v>
      </c>
      <c r="B100" s="18">
        <v>2018</v>
      </c>
      <c r="C100" s="169">
        <v>142</v>
      </c>
      <c r="D100" s="169">
        <v>142</v>
      </c>
      <c r="E100" s="169">
        <v>142</v>
      </c>
      <c r="F100" s="169">
        <v>142</v>
      </c>
      <c r="G100" s="168">
        <v>142</v>
      </c>
      <c r="H100" s="169">
        <v>142</v>
      </c>
      <c r="I100" s="169">
        <v>142</v>
      </c>
      <c r="J100" s="169">
        <v>142</v>
      </c>
      <c r="K100" s="169">
        <v>142</v>
      </c>
      <c r="L100" s="168">
        <v>142</v>
      </c>
      <c r="M100" s="169">
        <v>142</v>
      </c>
      <c r="N100" s="168">
        <v>142</v>
      </c>
    </row>
    <row r="101" spans="1:14" ht="12" customHeight="1" x14ac:dyDescent="0.3">
      <c r="A101" s="17"/>
      <c r="B101" s="18">
        <v>2019</v>
      </c>
      <c r="C101" s="169">
        <v>142</v>
      </c>
      <c r="D101" s="162">
        <v>145</v>
      </c>
      <c r="E101" s="162">
        <v>145</v>
      </c>
      <c r="F101" s="162">
        <v>145</v>
      </c>
      <c r="G101" s="163">
        <v>145</v>
      </c>
      <c r="H101" s="162">
        <v>145</v>
      </c>
      <c r="I101" s="162">
        <v>145</v>
      </c>
      <c r="J101" s="169">
        <v>145</v>
      </c>
      <c r="K101" s="169">
        <v>140</v>
      </c>
      <c r="L101" s="163">
        <v>140</v>
      </c>
      <c r="M101" s="162">
        <v>140</v>
      </c>
      <c r="N101" s="163">
        <v>140</v>
      </c>
    </row>
    <row r="102" spans="1:14" ht="12" customHeight="1" x14ac:dyDescent="0.3">
      <c r="A102" s="17"/>
      <c r="B102" s="18">
        <v>2020</v>
      </c>
      <c r="C102" s="162">
        <v>140</v>
      </c>
      <c r="D102" s="162">
        <v>140</v>
      </c>
      <c r="E102" s="162" t="s">
        <v>49</v>
      </c>
      <c r="F102" s="162" t="s">
        <v>49</v>
      </c>
      <c r="G102" s="163" t="s">
        <v>49</v>
      </c>
      <c r="H102" s="162" t="s">
        <v>49</v>
      </c>
      <c r="I102" s="162">
        <v>140</v>
      </c>
      <c r="J102" s="162">
        <v>140</v>
      </c>
      <c r="K102" s="162" t="s">
        <v>49</v>
      </c>
      <c r="L102" s="163">
        <v>140</v>
      </c>
      <c r="M102" s="162">
        <v>140</v>
      </c>
      <c r="N102" s="163">
        <v>140</v>
      </c>
    </row>
    <row r="103" spans="1:14" ht="12" customHeight="1" x14ac:dyDescent="0.3">
      <c r="A103" s="17"/>
      <c r="B103" s="18">
        <v>2021</v>
      </c>
      <c r="C103" s="162">
        <v>140</v>
      </c>
      <c r="D103" s="162" t="s">
        <v>49</v>
      </c>
      <c r="E103" s="162" t="s">
        <v>49</v>
      </c>
      <c r="F103" s="162" t="s">
        <v>49</v>
      </c>
      <c r="G103" s="163" t="s">
        <v>49</v>
      </c>
      <c r="H103" s="162">
        <v>140</v>
      </c>
      <c r="I103" s="162">
        <v>140</v>
      </c>
      <c r="J103" s="162">
        <v>140</v>
      </c>
      <c r="K103" s="162">
        <v>155</v>
      </c>
      <c r="L103" s="163">
        <v>140</v>
      </c>
      <c r="M103" s="162">
        <v>140</v>
      </c>
      <c r="N103" s="163">
        <v>140</v>
      </c>
    </row>
    <row r="104" spans="1:14" ht="12" customHeight="1" x14ac:dyDescent="0.3">
      <c r="A104" s="17"/>
      <c r="B104" s="18">
        <v>2022</v>
      </c>
      <c r="C104" s="162">
        <v>140</v>
      </c>
      <c r="D104" s="162">
        <v>140</v>
      </c>
      <c r="E104" s="162">
        <v>140</v>
      </c>
      <c r="F104" s="162">
        <v>140</v>
      </c>
      <c r="G104" s="163">
        <v>140</v>
      </c>
      <c r="H104" s="162">
        <v>140</v>
      </c>
      <c r="I104" s="162">
        <v>140</v>
      </c>
      <c r="J104" s="162">
        <v>140</v>
      </c>
      <c r="K104" s="162">
        <v>140</v>
      </c>
      <c r="L104" s="163">
        <v>140</v>
      </c>
      <c r="M104" s="162">
        <v>140</v>
      </c>
      <c r="N104" s="163">
        <v>140</v>
      </c>
    </row>
    <row r="105" spans="1:14" ht="12" customHeight="1" x14ac:dyDescent="0.3">
      <c r="A105" s="17"/>
      <c r="B105" s="18">
        <v>2023</v>
      </c>
      <c r="C105" s="162">
        <v>165</v>
      </c>
      <c r="D105" s="162">
        <v>165</v>
      </c>
      <c r="E105" s="162">
        <v>160</v>
      </c>
      <c r="F105" s="162">
        <v>160</v>
      </c>
      <c r="G105" s="163">
        <v>160</v>
      </c>
      <c r="H105" s="162">
        <v>160</v>
      </c>
      <c r="I105" s="162">
        <v>160</v>
      </c>
      <c r="J105" s="162">
        <v>160</v>
      </c>
      <c r="K105" s="162">
        <v>140</v>
      </c>
      <c r="L105" s="162">
        <v>140</v>
      </c>
      <c r="M105" s="162">
        <v>140</v>
      </c>
      <c r="N105" s="162">
        <v>135</v>
      </c>
    </row>
    <row r="106" spans="1:14" ht="12" customHeight="1" x14ac:dyDescent="0.3">
      <c r="A106" s="17"/>
      <c r="B106" s="18">
        <v>2024</v>
      </c>
      <c r="C106" s="162">
        <v>135</v>
      </c>
      <c r="D106" s="162">
        <v>135</v>
      </c>
      <c r="E106" s="5" t="s">
        <v>4</v>
      </c>
      <c r="F106" s="5" t="s">
        <v>4</v>
      </c>
      <c r="G106" s="164" t="s">
        <v>4</v>
      </c>
      <c r="H106" s="164" t="s">
        <v>4</v>
      </c>
      <c r="I106" s="5" t="s">
        <v>4</v>
      </c>
      <c r="J106" s="5" t="s">
        <v>4</v>
      </c>
      <c r="K106" s="5" t="s">
        <v>4</v>
      </c>
      <c r="L106" s="5" t="s">
        <v>4</v>
      </c>
      <c r="M106" s="5" t="s">
        <v>4</v>
      </c>
      <c r="N106" s="5" t="s">
        <v>4</v>
      </c>
    </row>
    <row r="107" spans="1:14" ht="12" customHeight="1" x14ac:dyDescent="0.3">
      <c r="A107" s="21"/>
      <c r="B107" s="22">
        <v>2025</v>
      </c>
      <c r="C107" s="167">
        <v>293</v>
      </c>
      <c r="D107" s="167">
        <v>280</v>
      </c>
      <c r="E107" s="167">
        <v>230</v>
      </c>
      <c r="F107" s="167">
        <v>218</v>
      </c>
      <c r="G107" s="165">
        <v>230</v>
      </c>
      <c r="H107" s="165">
        <v>171</v>
      </c>
      <c r="I107" s="165">
        <v>98</v>
      </c>
      <c r="J107" s="165">
        <v>224</v>
      </c>
      <c r="K107" s="166"/>
      <c r="L107" s="166"/>
      <c r="M107" s="166"/>
      <c r="N107" s="166"/>
    </row>
    <row r="108" spans="1:14" ht="12" customHeight="1" x14ac:dyDescent="0.3">
      <c r="A108" s="160"/>
      <c r="B108" s="161"/>
      <c r="C108" s="37"/>
      <c r="D108" s="37"/>
      <c r="E108" s="143"/>
      <c r="F108" s="37"/>
      <c r="G108" s="37"/>
      <c r="H108" s="37"/>
      <c r="I108" s="143"/>
      <c r="J108" s="37"/>
      <c r="K108" s="37"/>
      <c r="L108" s="37"/>
      <c r="M108" s="178"/>
      <c r="N108" s="226" t="s">
        <v>26</v>
      </c>
    </row>
    <row r="109" spans="1:14" ht="12" customHeight="1" x14ac:dyDescent="0.3">
      <c r="A109" s="769" t="s">
        <v>146</v>
      </c>
      <c r="B109" s="769"/>
      <c r="C109" s="769"/>
      <c r="D109" s="769"/>
      <c r="E109" s="769"/>
      <c r="F109" s="769"/>
      <c r="G109" s="37"/>
      <c r="H109" s="37"/>
      <c r="I109" s="38"/>
      <c r="J109" s="20"/>
      <c r="K109" s="20"/>
      <c r="L109" s="20"/>
      <c r="M109" s="20"/>
      <c r="N109" s="163"/>
    </row>
    <row r="110" spans="1:14" ht="15.9" customHeight="1" x14ac:dyDescent="0.3">
      <c r="A110" s="217" t="s">
        <v>94</v>
      </c>
      <c r="B110" s="217" t="s">
        <v>139</v>
      </c>
      <c r="C110" s="217" t="s">
        <v>96</v>
      </c>
      <c r="D110" s="217" t="s">
        <v>97</v>
      </c>
      <c r="E110" s="217" t="s">
        <v>98</v>
      </c>
      <c r="F110" s="217" t="s">
        <v>99</v>
      </c>
      <c r="G110" s="217" t="s">
        <v>100</v>
      </c>
      <c r="H110" s="217" t="s">
        <v>101</v>
      </c>
      <c r="I110" s="217" t="s">
        <v>102</v>
      </c>
      <c r="J110" s="217" t="s">
        <v>103</v>
      </c>
      <c r="K110" s="217" t="s">
        <v>104</v>
      </c>
      <c r="L110" s="217" t="s">
        <v>105</v>
      </c>
      <c r="M110" s="217" t="s">
        <v>106</v>
      </c>
      <c r="N110" s="217" t="s">
        <v>107</v>
      </c>
    </row>
    <row r="111" spans="1:14" ht="3" customHeight="1" x14ac:dyDescent="0.3">
      <c r="A111" s="17"/>
      <c r="B111" s="18"/>
      <c r="C111" s="162"/>
      <c r="D111" s="162"/>
      <c r="E111" s="5"/>
      <c r="F111" s="5"/>
      <c r="G111" s="164"/>
      <c r="H111" s="179"/>
      <c r="I111" s="5"/>
      <c r="J111" s="5"/>
      <c r="K111" s="5"/>
      <c r="L111" s="5"/>
      <c r="M111" s="5"/>
      <c r="N111" s="5"/>
    </row>
    <row r="112" spans="1:14" ht="12" customHeight="1" x14ac:dyDescent="0.3">
      <c r="A112" s="17" t="s">
        <v>115</v>
      </c>
      <c r="B112" s="18">
        <v>2018</v>
      </c>
      <c r="C112" s="169">
        <v>119</v>
      </c>
      <c r="D112" s="169">
        <v>119</v>
      </c>
      <c r="E112" s="169">
        <v>119</v>
      </c>
      <c r="F112" s="169">
        <v>119</v>
      </c>
      <c r="G112" s="168">
        <v>119</v>
      </c>
      <c r="H112" s="162" t="s">
        <v>49</v>
      </c>
      <c r="I112" s="162" t="s">
        <v>49</v>
      </c>
      <c r="J112" s="162" t="s">
        <v>49</v>
      </c>
      <c r="K112" s="162" t="s">
        <v>49</v>
      </c>
      <c r="L112" s="163" t="s">
        <v>49</v>
      </c>
      <c r="M112" s="162" t="s">
        <v>49</v>
      </c>
      <c r="N112" s="163" t="s">
        <v>49</v>
      </c>
    </row>
    <row r="113" spans="1:14" ht="12" customHeight="1" x14ac:dyDescent="0.3">
      <c r="A113" s="17"/>
      <c r="B113" s="18">
        <v>2019</v>
      </c>
      <c r="C113" s="162">
        <v>117</v>
      </c>
      <c r="D113" s="162">
        <v>109</v>
      </c>
      <c r="E113" s="162">
        <v>122</v>
      </c>
      <c r="F113" s="162">
        <v>121.96458333333334</v>
      </c>
      <c r="G113" s="163">
        <v>116.13125000000001</v>
      </c>
      <c r="H113" s="162">
        <v>121.13125000000001</v>
      </c>
      <c r="I113" s="162">
        <v>127.79791666666667</v>
      </c>
      <c r="J113" s="169">
        <v>127</v>
      </c>
      <c r="K113" s="169">
        <v>105</v>
      </c>
      <c r="L113" s="168">
        <v>110</v>
      </c>
      <c r="M113" s="162">
        <v>110</v>
      </c>
      <c r="N113" s="163">
        <v>110</v>
      </c>
    </row>
    <row r="114" spans="1:14" ht="12" customHeight="1" x14ac:dyDescent="0.3">
      <c r="A114" s="17"/>
      <c r="B114" s="18">
        <v>2020</v>
      </c>
      <c r="C114" s="162">
        <v>105</v>
      </c>
      <c r="D114" s="162">
        <v>125</v>
      </c>
      <c r="E114" s="162" t="s">
        <v>49</v>
      </c>
      <c r="F114" s="162" t="s">
        <v>49</v>
      </c>
      <c r="G114" s="163">
        <v>105</v>
      </c>
      <c r="H114" s="162">
        <v>105</v>
      </c>
      <c r="I114" s="162">
        <v>105</v>
      </c>
      <c r="J114" s="162">
        <v>105</v>
      </c>
      <c r="K114" s="162">
        <v>105</v>
      </c>
      <c r="L114" s="163">
        <v>105</v>
      </c>
      <c r="M114" s="162" t="s">
        <v>49</v>
      </c>
      <c r="N114" s="163">
        <v>105</v>
      </c>
    </row>
    <row r="115" spans="1:14" ht="12" customHeight="1" x14ac:dyDescent="0.3">
      <c r="A115" s="17"/>
      <c r="B115" s="18">
        <v>2021</v>
      </c>
      <c r="C115" s="162">
        <v>105</v>
      </c>
      <c r="D115" s="162">
        <v>105</v>
      </c>
      <c r="E115" s="162">
        <v>105</v>
      </c>
      <c r="F115" s="162">
        <v>105</v>
      </c>
      <c r="G115" s="163">
        <v>125</v>
      </c>
      <c r="H115" s="162">
        <v>105</v>
      </c>
      <c r="I115" s="162">
        <v>105</v>
      </c>
      <c r="J115" s="162">
        <v>130</v>
      </c>
      <c r="K115" s="162">
        <v>130</v>
      </c>
      <c r="L115" s="163">
        <v>130</v>
      </c>
      <c r="M115" s="162">
        <v>105</v>
      </c>
      <c r="N115" s="163">
        <v>130</v>
      </c>
    </row>
    <row r="116" spans="1:14" ht="12" customHeight="1" x14ac:dyDescent="0.3">
      <c r="A116" s="17"/>
      <c r="B116" s="18">
        <v>2022</v>
      </c>
      <c r="C116" s="162">
        <v>132.5</v>
      </c>
      <c r="D116" s="162">
        <v>132.5</v>
      </c>
      <c r="E116" s="162">
        <v>125</v>
      </c>
      <c r="F116" s="162">
        <v>125</v>
      </c>
      <c r="G116" s="163">
        <v>125</v>
      </c>
      <c r="H116" s="162">
        <v>147</v>
      </c>
      <c r="I116" s="162">
        <v>140</v>
      </c>
      <c r="J116" s="162">
        <v>158</v>
      </c>
      <c r="K116" s="162">
        <v>158</v>
      </c>
      <c r="L116" s="163">
        <v>158</v>
      </c>
      <c r="M116" s="162">
        <v>157</v>
      </c>
      <c r="N116" s="163">
        <v>158</v>
      </c>
    </row>
    <row r="117" spans="1:14" ht="12" customHeight="1" x14ac:dyDescent="0.3">
      <c r="A117" s="17"/>
      <c r="B117" s="18">
        <v>2023</v>
      </c>
      <c r="C117" s="162" t="s">
        <v>49</v>
      </c>
      <c r="D117" s="162" t="s">
        <v>49</v>
      </c>
      <c r="E117" s="162">
        <v>200</v>
      </c>
      <c r="F117" s="162">
        <v>200</v>
      </c>
      <c r="G117" s="163">
        <v>185</v>
      </c>
      <c r="H117" s="162">
        <v>185</v>
      </c>
      <c r="I117" s="162">
        <v>188</v>
      </c>
      <c r="J117" s="162">
        <v>188</v>
      </c>
      <c r="K117" s="162">
        <v>200</v>
      </c>
      <c r="L117" s="162">
        <v>200</v>
      </c>
      <c r="M117" s="162">
        <v>202</v>
      </c>
      <c r="N117" s="163">
        <v>200</v>
      </c>
    </row>
    <row r="118" spans="1:14" ht="12" customHeight="1" x14ac:dyDescent="0.3">
      <c r="A118" s="17"/>
      <c r="B118" s="18">
        <v>2024</v>
      </c>
      <c r="C118" s="162">
        <v>160</v>
      </c>
      <c r="D118" s="162">
        <v>160</v>
      </c>
      <c r="E118" s="162">
        <v>146</v>
      </c>
      <c r="F118" s="162">
        <v>168</v>
      </c>
      <c r="G118" s="163">
        <v>169</v>
      </c>
      <c r="H118" s="162">
        <v>168</v>
      </c>
      <c r="I118" s="162">
        <v>163</v>
      </c>
      <c r="J118" s="162">
        <v>168</v>
      </c>
      <c r="K118" s="162">
        <v>160</v>
      </c>
      <c r="L118" s="162">
        <v>160.83333333333334</v>
      </c>
      <c r="M118" s="162">
        <v>160</v>
      </c>
      <c r="N118" s="162">
        <v>195</v>
      </c>
    </row>
    <row r="119" spans="1:14" ht="12" customHeight="1" x14ac:dyDescent="0.3">
      <c r="A119" s="21"/>
      <c r="B119" s="22">
        <v>2025</v>
      </c>
      <c r="C119" s="167">
        <v>198</v>
      </c>
      <c r="D119" s="167">
        <v>250</v>
      </c>
      <c r="E119" s="167">
        <v>250</v>
      </c>
      <c r="F119" s="167" t="s">
        <v>49</v>
      </c>
      <c r="G119" s="167">
        <v>250</v>
      </c>
      <c r="H119" s="167" t="s">
        <v>49</v>
      </c>
      <c r="I119" s="167" t="s">
        <v>49</v>
      </c>
      <c r="J119" s="167" t="s">
        <v>49</v>
      </c>
      <c r="K119" s="167"/>
      <c r="L119" s="167"/>
      <c r="M119" s="167"/>
      <c r="N119" s="167"/>
    </row>
    <row r="120" spans="1:14" ht="12" customHeight="1" x14ac:dyDescent="0.3">
      <c r="A120" s="17" t="s">
        <v>119</v>
      </c>
      <c r="B120" s="18">
        <v>2018</v>
      </c>
      <c r="C120" s="169">
        <v>92.5</v>
      </c>
      <c r="D120" s="169">
        <v>126</v>
      </c>
      <c r="E120" s="169">
        <v>125</v>
      </c>
      <c r="F120" s="162">
        <v>125</v>
      </c>
      <c r="G120" s="163">
        <v>125</v>
      </c>
      <c r="H120" s="162">
        <v>125</v>
      </c>
      <c r="I120" s="162">
        <v>125</v>
      </c>
      <c r="J120" s="162">
        <v>125</v>
      </c>
      <c r="K120" s="162">
        <v>125</v>
      </c>
      <c r="L120" s="163">
        <v>125</v>
      </c>
      <c r="M120" s="162">
        <v>125</v>
      </c>
      <c r="N120" s="162">
        <v>125</v>
      </c>
    </row>
    <row r="121" spans="1:14" ht="12" customHeight="1" x14ac:dyDescent="0.3">
      <c r="A121" s="17"/>
      <c r="B121" s="18">
        <v>2019</v>
      </c>
      <c r="C121" s="162">
        <v>125</v>
      </c>
      <c r="D121" s="162">
        <v>125</v>
      </c>
      <c r="E121" s="162">
        <v>125</v>
      </c>
      <c r="F121" s="162">
        <v>125</v>
      </c>
      <c r="G121" s="163">
        <v>125</v>
      </c>
      <c r="H121" s="162">
        <v>125</v>
      </c>
      <c r="I121" s="162">
        <v>125</v>
      </c>
      <c r="J121" s="169">
        <v>125</v>
      </c>
      <c r="K121" s="169">
        <v>125</v>
      </c>
      <c r="L121" s="163">
        <v>125</v>
      </c>
      <c r="M121" s="162">
        <v>125</v>
      </c>
      <c r="N121" s="163">
        <v>125</v>
      </c>
    </row>
    <row r="122" spans="1:14" ht="12" customHeight="1" x14ac:dyDescent="0.3">
      <c r="A122" s="17"/>
      <c r="B122" s="18">
        <v>2020</v>
      </c>
      <c r="C122" s="162">
        <v>125</v>
      </c>
      <c r="D122" s="162" t="s">
        <v>49</v>
      </c>
      <c r="E122" s="162" t="s">
        <v>49</v>
      </c>
      <c r="F122" s="162" t="s">
        <v>49</v>
      </c>
      <c r="G122" s="163" t="s">
        <v>49</v>
      </c>
      <c r="H122" s="162" t="s">
        <v>49</v>
      </c>
      <c r="I122" s="162" t="s">
        <v>49</v>
      </c>
      <c r="J122" s="162" t="s">
        <v>49</v>
      </c>
      <c r="K122" s="162" t="s">
        <v>49</v>
      </c>
      <c r="L122" s="163" t="s">
        <v>49</v>
      </c>
      <c r="M122" s="162" t="s">
        <v>49</v>
      </c>
      <c r="N122" s="163" t="s">
        <v>49</v>
      </c>
    </row>
    <row r="123" spans="1:14" ht="12" customHeight="1" x14ac:dyDescent="0.3">
      <c r="A123" s="17"/>
      <c r="B123" s="18">
        <v>2021</v>
      </c>
      <c r="C123" s="162" t="s">
        <v>49</v>
      </c>
      <c r="D123" s="162" t="s">
        <v>49</v>
      </c>
      <c r="E123" s="162" t="s">
        <v>49</v>
      </c>
      <c r="F123" s="162" t="s">
        <v>49</v>
      </c>
      <c r="G123" s="163" t="s">
        <v>49</v>
      </c>
      <c r="H123" s="162">
        <v>125</v>
      </c>
      <c r="I123" s="162">
        <v>125</v>
      </c>
      <c r="J123" s="162">
        <v>125</v>
      </c>
      <c r="K123" s="162" t="s">
        <v>49</v>
      </c>
      <c r="L123" s="163">
        <v>114</v>
      </c>
      <c r="M123" s="162" t="s">
        <v>49</v>
      </c>
      <c r="N123" s="163" t="s">
        <v>49</v>
      </c>
    </row>
    <row r="124" spans="1:14" ht="12" customHeight="1" x14ac:dyDescent="0.3">
      <c r="A124" s="17"/>
      <c r="B124" s="18">
        <v>2022</v>
      </c>
      <c r="C124" s="162">
        <v>141</v>
      </c>
      <c r="D124" s="162">
        <v>145</v>
      </c>
      <c r="E124" s="162">
        <v>145</v>
      </c>
      <c r="F124" s="162">
        <v>145</v>
      </c>
      <c r="G124" s="163" t="s">
        <v>49</v>
      </c>
      <c r="H124" s="162">
        <v>145</v>
      </c>
      <c r="I124" s="162">
        <v>150</v>
      </c>
      <c r="J124" s="162">
        <v>170</v>
      </c>
      <c r="K124" s="162">
        <v>170</v>
      </c>
      <c r="L124" s="163">
        <v>170</v>
      </c>
      <c r="M124" s="162">
        <v>170</v>
      </c>
      <c r="N124" s="163">
        <v>170</v>
      </c>
    </row>
    <row r="125" spans="1:14" ht="12" customHeight="1" x14ac:dyDescent="0.3">
      <c r="A125" s="17"/>
      <c r="B125" s="18">
        <v>2023</v>
      </c>
      <c r="C125" s="162">
        <v>170</v>
      </c>
      <c r="D125" s="162">
        <v>170</v>
      </c>
      <c r="E125" s="162">
        <v>170</v>
      </c>
      <c r="F125" s="162">
        <v>175</v>
      </c>
      <c r="G125" s="163">
        <v>175</v>
      </c>
      <c r="H125" s="162">
        <v>175</v>
      </c>
      <c r="I125" s="162">
        <v>175</v>
      </c>
      <c r="J125" s="162">
        <v>175</v>
      </c>
      <c r="K125" s="162">
        <v>175</v>
      </c>
      <c r="L125" s="162">
        <v>175</v>
      </c>
      <c r="M125" s="162">
        <v>175</v>
      </c>
      <c r="N125" s="162">
        <v>175</v>
      </c>
    </row>
    <row r="126" spans="1:14" ht="12" customHeight="1" x14ac:dyDescent="0.3">
      <c r="A126" s="17"/>
      <c r="B126" s="18">
        <v>2024</v>
      </c>
      <c r="C126" s="162">
        <v>175</v>
      </c>
      <c r="D126" s="162">
        <v>155</v>
      </c>
      <c r="E126" s="162">
        <v>148</v>
      </c>
      <c r="F126" s="162">
        <v>155</v>
      </c>
      <c r="G126" s="163">
        <v>155</v>
      </c>
      <c r="H126" s="162">
        <v>150</v>
      </c>
      <c r="I126" s="162">
        <v>150</v>
      </c>
      <c r="J126" s="162">
        <v>150</v>
      </c>
      <c r="K126" s="162">
        <v>148.5</v>
      </c>
      <c r="L126" s="162">
        <v>137</v>
      </c>
      <c r="M126" s="162">
        <v>137</v>
      </c>
      <c r="N126" s="162">
        <v>137</v>
      </c>
    </row>
    <row r="127" spans="1:14" ht="12" customHeight="1" x14ac:dyDescent="0.3">
      <c r="A127" s="21"/>
      <c r="B127" s="22">
        <v>2025</v>
      </c>
      <c r="C127" s="167">
        <v>152</v>
      </c>
      <c r="D127" s="167">
        <v>144</v>
      </c>
      <c r="E127" s="167">
        <v>144</v>
      </c>
      <c r="F127" s="167">
        <v>155</v>
      </c>
      <c r="G127" s="167">
        <v>170</v>
      </c>
      <c r="H127" s="167">
        <v>170</v>
      </c>
      <c r="I127" s="167">
        <v>130</v>
      </c>
      <c r="J127" s="167">
        <v>147</v>
      </c>
      <c r="K127" s="167"/>
      <c r="L127" s="167"/>
      <c r="M127" s="167"/>
      <c r="N127" s="167"/>
    </row>
    <row r="128" spans="1:14" ht="12" customHeight="1" x14ac:dyDescent="0.3">
      <c r="A128" s="15" t="s">
        <v>41</v>
      </c>
      <c r="B128" s="11">
        <v>2018</v>
      </c>
      <c r="C128" s="169">
        <v>96.25</v>
      </c>
      <c r="D128" s="168">
        <v>100</v>
      </c>
      <c r="E128" s="169">
        <v>100</v>
      </c>
      <c r="F128" s="162">
        <v>100</v>
      </c>
      <c r="G128" s="162">
        <v>100</v>
      </c>
      <c r="H128" s="162">
        <v>100</v>
      </c>
      <c r="I128" s="162">
        <v>100</v>
      </c>
      <c r="J128" s="163">
        <v>100</v>
      </c>
      <c r="K128" s="162">
        <v>100</v>
      </c>
      <c r="L128" s="163">
        <v>100</v>
      </c>
      <c r="M128" s="162">
        <v>105</v>
      </c>
      <c r="N128" s="163">
        <v>105</v>
      </c>
    </row>
    <row r="129" spans="1:14" ht="12" customHeight="1" x14ac:dyDescent="0.3">
      <c r="A129" s="15"/>
      <c r="B129" s="11">
        <v>2019</v>
      </c>
      <c r="C129" s="162">
        <v>105</v>
      </c>
      <c r="D129" s="163">
        <v>105</v>
      </c>
      <c r="E129" s="162">
        <v>105</v>
      </c>
      <c r="F129" s="162">
        <v>105</v>
      </c>
      <c r="G129" s="162">
        <v>105</v>
      </c>
      <c r="H129" s="162">
        <v>105</v>
      </c>
      <c r="I129" s="162">
        <v>105</v>
      </c>
      <c r="J129" s="168">
        <v>105</v>
      </c>
      <c r="K129" s="169">
        <v>105</v>
      </c>
      <c r="L129" s="163">
        <v>105</v>
      </c>
      <c r="M129" s="162">
        <v>105</v>
      </c>
      <c r="N129" s="163">
        <v>105</v>
      </c>
    </row>
    <row r="130" spans="1:14" ht="12" customHeight="1" x14ac:dyDescent="0.3">
      <c r="A130" s="15"/>
      <c r="B130" s="11">
        <v>2020</v>
      </c>
      <c r="C130" s="162">
        <v>105</v>
      </c>
      <c r="D130" s="163">
        <v>105</v>
      </c>
      <c r="E130" s="162" t="s">
        <v>49</v>
      </c>
      <c r="F130" s="162" t="s">
        <v>49</v>
      </c>
      <c r="G130" s="162" t="s">
        <v>49</v>
      </c>
      <c r="H130" s="162">
        <v>105</v>
      </c>
      <c r="I130" s="162">
        <v>107.5</v>
      </c>
      <c r="J130" s="163">
        <v>107.5</v>
      </c>
      <c r="K130" s="162" t="s">
        <v>49</v>
      </c>
      <c r="L130" s="163" t="s">
        <v>49</v>
      </c>
      <c r="M130" s="162">
        <v>105</v>
      </c>
      <c r="N130" s="163">
        <v>107.5</v>
      </c>
    </row>
    <row r="131" spans="1:14" ht="12" customHeight="1" x14ac:dyDescent="0.3">
      <c r="A131" s="15"/>
      <c r="B131" s="11">
        <v>2021</v>
      </c>
      <c r="C131" s="162">
        <v>115</v>
      </c>
      <c r="D131" s="163">
        <v>110</v>
      </c>
      <c r="E131" s="162">
        <v>110</v>
      </c>
      <c r="F131" s="162">
        <v>110</v>
      </c>
      <c r="G131" s="162">
        <v>110</v>
      </c>
      <c r="H131" s="162">
        <v>110</v>
      </c>
      <c r="I131" s="162">
        <v>110</v>
      </c>
      <c r="J131" s="163">
        <v>110</v>
      </c>
      <c r="K131" s="162">
        <v>110</v>
      </c>
      <c r="L131" s="164" t="s">
        <v>148</v>
      </c>
      <c r="M131" s="5" t="s">
        <v>148</v>
      </c>
      <c r="N131" s="164" t="s">
        <v>148</v>
      </c>
    </row>
    <row r="132" spans="1:14" ht="12" customHeight="1" x14ac:dyDescent="0.3">
      <c r="A132" s="15"/>
      <c r="B132" s="11">
        <v>2022</v>
      </c>
      <c r="C132" s="162">
        <v>110</v>
      </c>
      <c r="D132" s="163">
        <v>120</v>
      </c>
      <c r="E132" s="162">
        <v>120</v>
      </c>
      <c r="F132" s="162">
        <v>120</v>
      </c>
      <c r="G132" s="162">
        <v>120</v>
      </c>
      <c r="H132" s="162">
        <v>120</v>
      </c>
      <c r="I132" s="162">
        <v>120</v>
      </c>
      <c r="J132" s="163">
        <v>120</v>
      </c>
      <c r="K132" s="162">
        <v>122</v>
      </c>
      <c r="L132" s="163">
        <v>120</v>
      </c>
      <c r="M132" s="162">
        <v>120</v>
      </c>
      <c r="N132" s="163">
        <v>125</v>
      </c>
    </row>
    <row r="133" spans="1:14" ht="12" customHeight="1" x14ac:dyDescent="0.3">
      <c r="A133" s="15"/>
      <c r="B133" s="11">
        <v>2023</v>
      </c>
      <c r="C133" s="162">
        <v>125</v>
      </c>
      <c r="D133" s="162">
        <v>125</v>
      </c>
      <c r="E133" s="162">
        <v>122</v>
      </c>
      <c r="F133" s="162">
        <v>110</v>
      </c>
      <c r="G133" s="162">
        <v>110</v>
      </c>
      <c r="H133" s="162">
        <v>110</v>
      </c>
      <c r="I133" s="162">
        <v>120</v>
      </c>
      <c r="J133" s="162">
        <v>120</v>
      </c>
      <c r="K133" s="162">
        <v>118</v>
      </c>
      <c r="L133" s="162">
        <v>130</v>
      </c>
      <c r="M133" s="162">
        <v>118</v>
      </c>
      <c r="N133" s="162">
        <v>118</v>
      </c>
    </row>
    <row r="134" spans="1:14" ht="12" customHeight="1" x14ac:dyDescent="0.3">
      <c r="A134" s="15"/>
      <c r="B134" s="11">
        <v>2024</v>
      </c>
      <c r="C134" s="5" t="s">
        <v>4</v>
      </c>
      <c r="D134" s="162">
        <v>170</v>
      </c>
      <c r="E134" s="162">
        <v>163</v>
      </c>
      <c r="F134" s="162">
        <v>170</v>
      </c>
      <c r="G134" s="163">
        <v>170</v>
      </c>
      <c r="H134" s="162">
        <v>170</v>
      </c>
      <c r="I134" s="162">
        <v>170</v>
      </c>
      <c r="J134" s="162">
        <v>175</v>
      </c>
      <c r="K134" s="162">
        <v>172.5</v>
      </c>
      <c r="L134" s="162">
        <v>182.5</v>
      </c>
      <c r="M134" s="162">
        <v>182.5</v>
      </c>
      <c r="N134" s="162">
        <v>185</v>
      </c>
    </row>
    <row r="135" spans="1:14" ht="12" customHeight="1" x14ac:dyDescent="0.3">
      <c r="A135" s="130"/>
      <c r="B135" s="131">
        <v>2025</v>
      </c>
      <c r="C135" s="167">
        <v>155</v>
      </c>
      <c r="D135" s="167">
        <v>155</v>
      </c>
      <c r="E135" s="167">
        <v>163</v>
      </c>
      <c r="F135" s="167">
        <v>110</v>
      </c>
      <c r="G135" s="167">
        <v>167</v>
      </c>
      <c r="H135" s="167">
        <v>143</v>
      </c>
      <c r="I135" s="167">
        <v>143.30000000000001</v>
      </c>
      <c r="J135" s="167">
        <v>143</v>
      </c>
      <c r="K135" s="167"/>
      <c r="L135" s="167"/>
      <c r="M135" s="167"/>
      <c r="N135" s="167"/>
    </row>
    <row r="136" spans="1:14" ht="12" customHeight="1" x14ac:dyDescent="0.3">
      <c r="A136" s="15" t="s">
        <v>45</v>
      </c>
      <c r="B136" s="11">
        <v>2018</v>
      </c>
      <c r="C136" s="169">
        <v>50</v>
      </c>
      <c r="D136" s="168">
        <v>50</v>
      </c>
      <c r="E136" s="169">
        <v>50</v>
      </c>
      <c r="F136" s="162">
        <v>49</v>
      </c>
      <c r="G136" s="163">
        <v>49</v>
      </c>
      <c r="H136" s="162">
        <v>49</v>
      </c>
      <c r="I136" s="162">
        <v>49</v>
      </c>
      <c r="J136" s="162">
        <v>49</v>
      </c>
      <c r="K136" s="162">
        <v>49</v>
      </c>
      <c r="L136" s="163">
        <v>49</v>
      </c>
      <c r="M136" s="162">
        <v>49</v>
      </c>
      <c r="N136" s="163">
        <v>48</v>
      </c>
    </row>
    <row r="137" spans="1:14" ht="12" customHeight="1" x14ac:dyDescent="0.3">
      <c r="A137" s="15"/>
      <c r="B137" s="11">
        <v>2019</v>
      </c>
      <c r="C137" s="162">
        <v>50</v>
      </c>
      <c r="D137" s="163">
        <v>50</v>
      </c>
      <c r="E137" s="162">
        <v>50</v>
      </c>
      <c r="F137" s="162">
        <v>54</v>
      </c>
      <c r="G137" s="163">
        <v>55</v>
      </c>
      <c r="H137" s="162">
        <v>50</v>
      </c>
      <c r="I137" s="162">
        <v>50</v>
      </c>
      <c r="J137" s="169">
        <v>50</v>
      </c>
      <c r="K137" s="169">
        <v>65</v>
      </c>
      <c r="L137" s="163">
        <v>70</v>
      </c>
      <c r="M137" s="162">
        <v>70</v>
      </c>
      <c r="N137" s="163">
        <v>73</v>
      </c>
    </row>
    <row r="138" spans="1:14" ht="12" customHeight="1" x14ac:dyDescent="0.3">
      <c r="A138" s="15"/>
      <c r="B138" s="11">
        <v>2020</v>
      </c>
      <c r="C138" s="162">
        <v>70</v>
      </c>
      <c r="D138" s="163">
        <v>70</v>
      </c>
      <c r="E138" s="162">
        <v>70</v>
      </c>
      <c r="F138" s="162">
        <v>70</v>
      </c>
      <c r="G138" s="163">
        <v>60</v>
      </c>
      <c r="H138" s="162">
        <v>60</v>
      </c>
      <c r="I138" s="162">
        <v>60</v>
      </c>
      <c r="J138" s="169">
        <v>70</v>
      </c>
      <c r="K138" s="162">
        <v>60</v>
      </c>
      <c r="L138" s="163">
        <v>52.5</v>
      </c>
      <c r="M138" s="162">
        <v>60</v>
      </c>
      <c r="N138" s="163">
        <v>60</v>
      </c>
    </row>
    <row r="139" spans="1:14" ht="12" customHeight="1" x14ac:dyDescent="0.3">
      <c r="A139" s="15"/>
      <c r="B139" s="11">
        <v>2021</v>
      </c>
      <c r="C139" s="162">
        <v>72.5</v>
      </c>
      <c r="D139" s="163">
        <v>77.5</v>
      </c>
      <c r="E139" s="162">
        <v>75</v>
      </c>
      <c r="F139" s="162">
        <v>75</v>
      </c>
      <c r="G139" s="163">
        <v>75</v>
      </c>
      <c r="H139" s="162">
        <v>75</v>
      </c>
      <c r="I139" s="162">
        <v>75</v>
      </c>
      <c r="J139" s="162">
        <v>75</v>
      </c>
      <c r="K139" s="162">
        <v>85</v>
      </c>
      <c r="L139" s="163">
        <v>75</v>
      </c>
      <c r="M139" s="162">
        <v>75</v>
      </c>
      <c r="N139" s="163">
        <v>75</v>
      </c>
    </row>
    <row r="140" spans="1:14" ht="12" customHeight="1" x14ac:dyDescent="0.3">
      <c r="A140" s="15"/>
      <c r="B140" s="11">
        <v>2022</v>
      </c>
      <c r="C140" s="162">
        <v>75</v>
      </c>
      <c r="D140" s="163">
        <v>75</v>
      </c>
      <c r="E140" s="162">
        <v>73</v>
      </c>
      <c r="F140" s="162">
        <v>73</v>
      </c>
      <c r="G140" s="163">
        <v>80</v>
      </c>
      <c r="H140" s="162">
        <v>80</v>
      </c>
      <c r="I140" s="162">
        <v>80</v>
      </c>
      <c r="J140" s="162">
        <v>112</v>
      </c>
      <c r="K140" s="162">
        <v>123</v>
      </c>
      <c r="L140" s="163">
        <v>123</v>
      </c>
      <c r="M140" s="162">
        <v>80</v>
      </c>
      <c r="N140" s="163">
        <v>97.5</v>
      </c>
    </row>
    <row r="141" spans="1:14" ht="12" customHeight="1" x14ac:dyDescent="0.3">
      <c r="A141" s="15"/>
      <c r="B141" s="11">
        <v>2023</v>
      </c>
      <c r="C141" s="162">
        <v>125</v>
      </c>
      <c r="D141" s="162">
        <v>125</v>
      </c>
      <c r="E141" s="162">
        <v>125</v>
      </c>
      <c r="F141" s="162">
        <v>145</v>
      </c>
      <c r="G141" s="163">
        <v>125</v>
      </c>
      <c r="H141" s="162">
        <v>125</v>
      </c>
      <c r="I141" s="162">
        <v>125</v>
      </c>
      <c r="J141" s="162">
        <v>125</v>
      </c>
      <c r="K141" s="162">
        <v>125</v>
      </c>
      <c r="L141" s="162">
        <v>125</v>
      </c>
      <c r="M141" s="162">
        <v>125</v>
      </c>
      <c r="N141" s="162">
        <v>125</v>
      </c>
    </row>
    <row r="142" spans="1:14" ht="12" customHeight="1" x14ac:dyDescent="0.3">
      <c r="A142" s="15"/>
      <c r="B142" s="11">
        <v>2024</v>
      </c>
      <c r="C142" s="162">
        <v>105</v>
      </c>
      <c r="D142" s="162">
        <v>95</v>
      </c>
      <c r="E142" s="162">
        <v>86</v>
      </c>
      <c r="F142" s="162">
        <v>95</v>
      </c>
      <c r="G142" s="163">
        <v>130</v>
      </c>
      <c r="H142" s="162">
        <v>108</v>
      </c>
      <c r="I142" s="162">
        <v>130</v>
      </c>
      <c r="J142" s="162">
        <v>145</v>
      </c>
      <c r="K142" s="162">
        <v>100</v>
      </c>
      <c r="L142" s="162">
        <v>100</v>
      </c>
      <c r="M142" s="163" t="s">
        <v>49</v>
      </c>
      <c r="N142" s="162">
        <v>107.5</v>
      </c>
    </row>
    <row r="143" spans="1:14" ht="12" customHeight="1" x14ac:dyDescent="0.3">
      <c r="A143" s="130"/>
      <c r="B143" s="131">
        <v>2025</v>
      </c>
      <c r="C143" s="167">
        <v>108</v>
      </c>
      <c r="D143" s="167">
        <v>105</v>
      </c>
      <c r="E143" s="167">
        <v>108</v>
      </c>
      <c r="F143" s="167">
        <v>108</v>
      </c>
      <c r="G143" s="167">
        <v>88</v>
      </c>
      <c r="H143" s="167">
        <v>95</v>
      </c>
      <c r="I143" s="167">
        <v>94</v>
      </c>
      <c r="J143" s="167">
        <v>90</v>
      </c>
      <c r="K143" s="167"/>
      <c r="L143" s="167"/>
      <c r="M143" s="165"/>
      <c r="N143" s="167"/>
    </row>
    <row r="144" spans="1:14" ht="12" customHeight="1" x14ac:dyDescent="0.3">
      <c r="A144" s="15" t="s">
        <v>65</v>
      </c>
      <c r="B144" s="11">
        <v>2018</v>
      </c>
      <c r="C144" s="169">
        <v>56.5</v>
      </c>
      <c r="D144" s="168">
        <v>56</v>
      </c>
      <c r="E144" s="169">
        <v>58</v>
      </c>
      <c r="F144" s="162">
        <v>60</v>
      </c>
      <c r="G144" s="163">
        <v>59</v>
      </c>
      <c r="H144" s="162">
        <v>59</v>
      </c>
      <c r="I144" s="162">
        <v>58</v>
      </c>
      <c r="J144" s="162">
        <v>58</v>
      </c>
      <c r="K144" s="162">
        <v>58</v>
      </c>
      <c r="L144" s="163">
        <v>60</v>
      </c>
      <c r="M144" s="162">
        <v>60</v>
      </c>
      <c r="N144" s="163">
        <v>60</v>
      </c>
    </row>
    <row r="145" spans="1:14" ht="12" customHeight="1" x14ac:dyDescent="0.3">
      <c r="A145" s="15"/>
      <c r="B145" s="11">
        <v>2019</v>
      </c>
      <c r="C145" s="162">
        <v>60</v>
      </c>
      <c r="D145" s="163">
        <v>60</v>
      </c>
      <c r="E145" s="162">
        <v>63</v>
      </c>
      <c r="F145" s="162">
        <v>62.5</v>
      </c>
      <c r="G145" s="163">
        <v>62.5</v>
      </c>
      <c r="H145" s="162">
        <v>60</v>
      </c>
      <c r="I145" s="162">
        <v>60</v>
      </c>
      <c r="J145" s="169">
        <v>62</v>
      </c>
      <c r="K145" s="169">
        <v>62.5</v>
      </c>
      <c r="L145" s="163">
        <v>62.5</v>
      </c>
      <c r="M145" s="163">
        <v>62.5</v>
      </c>
      <c r="N145" s="163">
        <v>62.5</v>
      </c>
    </row>
    <row r="146" spans="1:14" ht="12" customHeight="1" x14ac:dyDescent="0.3">
      <c r="A146" s="15"/>
      <c r="B146" s="11">
        <v>2020</v>
      </c>
      <c r="C146" s="162">
        <v>60</v>
      </c>
      <c r="D146" s="163">
        <v>62.5</v>
      </c>
      <c r="E146" s="162" t="s">
        <v>49</v>
      </c>
      <c r="F146" s="162" t="s">
        <v>49</v>
      </c>
      <c r="G146" s="163">
        <v>62.5</v>
      </c>
      <c r="H146" s="162">
        <v>62.5</v>
      </c>
      <c r="I146" s="162" t="s">
        <v>49</v>
      </c>
      <c r="J146" s="162">
        <v>62.5</v>
      </c>
      <c r="K146" s="169">
        <v>75</v>
      </c>
      <c r="L146" s="168">
        <v>75</v>
      </c>
      <c r="M146" s="168">
        <v>75</v>
      </c>
      <c r="N146" s="168">
        <v>75</v>
      </c>
    </row>
    <row r="147" spans="1:14" ht="12" customHeight="1" x14ac:dyDescent="0.3">
      <c r="A147" s="15"/>
      <c r="B147" s="11">
        <v>2021</v>
      </c>
      <c r="C147" s="162">
        <v>65</v>
      </c>
      <c r="D147" s="163">
        <v>65</v>
      </c>
      <c r="E147" s="162">
        <v>65</v>
      </c>
      <c r="F147" s="162">
        <v>65</v>
      </c>
      <c r="G147" s="163">
        <v>65</v>
      </c>
      <c r="H147" s="162">
        <v>66</v>
      </c>
      <c r="I147" s="162">
        <v>65</v>
      </c>
      <c r="J147" s="162">
        <v>70</v>
      </c>
      <c r="K147" s="162">
        <v>70</v>
      </c>
      <c r="L147" s="163">
        <v>70</v>
      </c>
      <c r="M147" s="163">
        <v>70</v>
      </c>
      <c r="N147" s="163">
        <v>70</v>
      </c>
    </row>
    <row r="148" spans="1:14" ht="12" customHeight="1" x14ac:dyDescent="0.3">
      <c r="A148" s="15"/>
      <c r="B148" s="11">
        <v>2022</v>
      </c>
      <c r="C148" s="162">
        <v>70</v>
      </c>
      <c r="D148" s="163">
        <v>70</v>
      </c>
      <c r="E148" s="162">
        <v>70</v>
      </c>
      <c r="F148" s="162">
        <v>75</v>
      </c>
      <c r="G148" s="163">
        <v>71</v>
      </c>
      <c r="H148" s="162">
        <v>75</v>
      </c>
      <c r="I148" s="162">
        <v>75</v>
      </c>
      <c r="J148" s="162">
        <v>75</v>
      </c>
      <c r="K148" s="162">
        <v>75</v>
      </c>
      <c r="L148" s="163">
        <v>75</v>
      </c>
      <c r="M148" s="163">
        <v>75</v>
      </c>
      <c r="N148" s="163">
        <v>75</v>
      </c>
    </row>
    <row r="149" spans="1:14" ht="12" customHeight="1" x14ac:dyDescent="0.3">
      <c r="A149" s="15"/>
      <c r="B149" s="11">
        <v>2023</v>
      </c>
      <c r="C149" s="162">
        <v>80</v>
      </c>
      <c r="D149" s="162">
        <v>90</v>
      </c>
      <c r="E149" s="162">
        <v>95</v>
      </c>
      <c r="F149" s="162">
        <v>95</v>
      </c>
      <c r="G149" s="163">
        <v>95</v>
      </c>
      <c r="H149" s="162">
        <v>95</v>
      </c>
      <c r="I149" s="162">
        <v>95</v>
      </c>
      <c r="J149" s="162">
        <v>95</v>
      </c>
      <c r="K149" s="162">
        <v>95</v>
      </c>
      <c r="L149" s="162">
        <v>95</v>
      </c>
      <c r="M149" s="163" t="s">
        <v>49</v>
      </c>
      <c r="N149" s="163" t="s">
        <v>49</v>
      </c>
    </row>
    <row r="150" spans="1:14" ht="12" customHeight="1" x14ac:dyDescent="0.3">
      <c r="A150" s="15"/>
      <c r="B150" s="11">
        <v>2024</v>
      </c>
      <c r="C150" s="5" t="s">
        <v>4</v>
      </c>
      <c r="D150" s="5" t="s">
        <v>4</v>
      </c>
      <c r="E150" s="162">
        <v>88</v>
      </c>
      <c r="F150" s="162">
        <v>100</v>
      </c>
      <c r="G150" s="163">
        <v>95</v>
      </c>
      <c r="H150" s="5" t="s">
        <v>4</v>
      </c>
      <c r="I150" s="5" t="s">
        <v>4</v>
      </c>
      <c r="J150" s="5" t="s">
        <v>4</v>
      </c>
      <c r="K150" s="5" t="s">
        <v>4</v>
      </c>
      <c r="L150" s="162">
        <v>110</v>
      </c>
      <c r="M150" s="162">
        <v>108</v>
      </c>
      <c r="N150" s="162">
        <v>125</v>
      </c>
    </row>
    <row r="151" spans="1:14" ht="12" customHeight="1" x14ac:dyDescent="0.3">
      <c r="A151" s="130"/>
      <c r="B151" s="131">
        <v>2025</v>
      </c>
      <c r="C151" s="167">
        <v>80</v>
      </c>
      <c r="D151" s="166" t="s">
        <v>4</v>
      </c>
      <c r="E151" s="166" t="s">
        <v>4</v>
      </c>
      <c r="F151" s="167">
        <v>96</v>
      </c>
      <c r="G151" s="167">
        <v>96</v>
      </c>
      <c r="H151" s="167">
        <v>94</v>
      </c>
      <c r="I151" s="167">
        <v>82.3</v>
      </c>
      <c r="J151" s="167">
        <v>98</v>
      </c>
      <c r="K151" s="166"/>
      <c r="L151" s="167"/>
      <c r="M151" s="167"/>
      <c r="N151" s="167"/>
    </row>
    <row r="152" spans="1:14" ht="12" customHeight="1" x14ac:dyDescent="0.3">
      <c r="A152" s="15" t="s">
        <v>90</v>
      </c>
      <c r="B152" s="11">
        <v>2018</v>
      </c>
      <c r="C152" s="169">
        <v>170</v>
      </c>
      <c r="D152" s="168">
        <v>170</v>
      </c>
      <c r="E152" s="169">
        <v>170</v>
      </c>
      <c r="F152" s="162">
        <v>170</v>
      </c>
      <c r="G152" s="163">
        <v>170</v>
      </c>
      <c r="H152" s="162">
        <v>170</v>
      </c>
      <c r="I152" s="162">
        <v>170</v>
      </c>
      <c r="J152" s="162">
        <v>170</v>
      </c>
      <c r="K152" s="162">
        <v>170</v>
      </c>
      <c r="L152" s="163">
        <v>170</v>
      </c>
      <c r="M152" s="163">
        <v>170</v>
      </c>
      <c r="N152" s="163">
        <v>170</v>
      </c>
    </row>
    <row r="153" spans="1:14" ht="12" customHeight="1" x14ac:dyDescent="0.3">
      <c r="A153" s="15"/>
      <c r="B153" s="11">
        <v>2019</v>
      </c>
      <c r="C153" s="162">
        <v>119</v>
      </c>
      <c r="D153" s="163">
        <v>119</v>
      </c>
      <c r="E153" s="162">
        <v>119</v>
      </c>
      <c r="F153" s="162">
        <v>121</v>
      </c>
      <c r="G153" s="163">
        <v>121</v>
      </c>
      <c r="H153" s="162">
        <v>119</v>
      </c>
      <c r="I153" s="162">
        <v>119</v>
      </c>
      <c r="J153" s="169">
        <v>121</v>
      </c>
      <c r="K153" s="169">
        <v>125</v>
      </c>
      <c r="L153" s="163">
        <v>125</v>
      </c>
      <c r="M153" s="163">
        <v>125</v>
      </c>
      <c r="N153" s="163">
        <v>125</v>
      </c>
    </row>
    <row r="154" spans="1:14" ht="12" customHeight="1" x14ac:dyDescent="0.3">
      <c r="A154" s="15"/>
      <c r="B154" s="11">
        <v>2020</v>
      </c>
      <c r="C154" s="162">
        <v>125</v>
      </c>
      <c r="D154" s="163">
        <v>125</v>
      </c>
      <c r="E154" s="162">
        <v>125</v>
      </c>
      <c r="F154" s="162">
        <v>125</v>
      </c>
      <c r="G154" s="163">
        <v>125</v>
      </c>
      <c r="H154" s="162">
        <v>125</v>
      </c>
      <c r="I154" s="162">
        <v>125</v>
      </c>
      <c r="J154" s="162">
        <v>125</v>
      </c>
      <c r="K154" s="162">
        <v>125</v>
      </c>
      <c r="L154" s="163">
        <v>125</v>
      </c>
      <c r="M154" s="163">
        <v>125</v>
      </c>
      <c r="N154" s="163">
        <v>125</v>
      </c>
    </row>
    <row r="155" spans="1:14" ht="12" customHeight="1" x14ac:dyDescent="0.3">
      <c r="A155" s="15"/>
      <c r="B155" s="11">
        <v>2021</v>
      </c>
      <c r="C155" s="162" t="s">
        <v>49</v>
      </c>
      <c r="D155" s="163" t="s">
        <v>49</v>
      </c>
      <c r="E155" s="162" t="s">
        <v>49</v>
      </c>
      <c r="F155" s="162" t="s">
        <v>49</v>
      </c>
      <c r="G155" s="163" t="s">
        <v>49</v>
      </c>
      <c r="H155" s="162" t="s">
        <v>49</v>
      </c>
      <c r="I155" s="162" t="s">
        <v>49</v>
      </c>
      <c r="J155" s="162" t="s">
        <v>49</v>
      </c>
      <c r="K155" s="162" t="s">
        <v>49</v>
      </c>
      <c r="L155" s="163" t="s">
        <v>49</v>
      </c>
      <c r="M155" s="163" t="s">
        <v>49</v>
      </c>
      <c r="N155" s="163" t="s">
        <v>49</v>
      </c>
    </row>
    <row r="156" spans="1:14" ht="12" customHeight="1" x14ac:dyDescent="0.3">
      <c r="A156" s="15"/>
      <c r="B156" s="11">
        <v>2022</v>
      </c>
      <c r="C156" s="162">
        <v>72.5</v>
      </c>
      <c r="D156" s="163">
        <v>72.5</v>
      </c>
      <c r="E156" s="162">
        <v>75</v>
      </c>
      <c r="F156" s="162">
        <v>70</v>
      </c>
      <c r="G156" s="163" t="s">
        <v>49</v>
      </c>
      <c r="H156" s="162" t="s">
        <v>49</v>
      </c>
      <c r="I156" s="162" t="s">
        <v>49</v>
      </c>
      <c r="J156" s="162">
        <v>77.5</v>
      </c>
      <c r="K156" s="162">
        <v>75</v>
      </c>
      <c r="L156" s="163">
        <v>75</v>
      </c>
      <c r="M156" s="163">
        <v>77.5</v>
      </c>
      <c r="N156" s="163">
        <v>70</v>
      </c>
    </row>
    <row r="157" spans="1:14" ht="12" customHeight="1" x14ac:dyDescent="0.3">
      <c r="A157" s="15"/>
      <c r="B157" s="11">
        <v>2023</v>
      </c>
      <c r="C157" s="162">
        <v>150</v>
      </c>
      <c r="D157" s="162">
        <v>123</v>
      </c>
      <c r="E157" s="162" t="s">
        <v>49</v>
      </c>
      <c r="F157" s="162">
        <v>125</v>
      </c>
      <c r="G157" s="163">
        <v>125</v>
      </c>
      <c r="H157" s="162">
        <v>125</v>
      </c>
      <c r="I157" s="162">
        <v>125</v>
      </c>
      <c r="J157" s="162">
        <v>125</v>
      </c>
      <c r="K157" s="162">
        <v>125</v>
      </c>
      <c r="L157" s="162">
        <v>125</v>
      </c>
      <c r="M157" s="162">
        <v>120</v>
      </c>
      <c r="N157" s="162">
        <v>120</v>
      </c>
    </row>
    <row r="158" spans="1:14" ht="12" customHeight="1" x14ac:dyDescent="0.3">
      <c r="A158" s="15"/>
      <c r="B158" s="11">
        <v>2024</v>
      </c>
      <c r="C158" s="5" t="s">
        <v>4</v>
      </c>
      <c r="D158" s="162">
        <v>105</v>
      </c>
      <c r="E158" s="162">
        <v>105</v>
      </c>
      <c r="F158" s="162">
        <v>105</v>
      </c>
      <c r="G158" s="164" t="s">
        <v>4</v>
      </c>
      <c r="H158" s="162">
        <v>100</v>
      </c>
      <c r="I158" s="5" t="s">
        <v>4</v>
      </c>
      <c r="J158" s="5" t="s">
        <v>4</v>
      </c>
      <c r="K158" s="5" t="s">
        <v>4</v>
      </c>
      <c r="L158" s="162">
        <v>150</v>
      </c>
      <c r="M158" s="162">
        <v>245</v>
      </c>
      <c r="N158" s="5" t="s">
        <v>4</v>
      </c>
    </row>
    <row r="159" spans="1:14" ht="12" customHeight="1" x14ac:dyDescent="0.3">
      <c r="A159" s="130"/>
      <c r="B159" s="131">
        <v>2025</v>
      </c>
      <c r="C159" s="167">
        <v>100</v>
      </c>
      <c r="D159" s="167">
        <v>100</v>
      </c>
      <c r="E159" s="166" t="s">
        <v>4</v>
      </c>
      <c r="F159" s="167">
        <v>250</v>
      </c>
      <c r="G159" s="167">
        <v>100</v>
      </c>
      <c r="H159" s="166" t="s">
        <v>4</v>
      </c>
      <c r="I159" s="167">
        <v>100</v>
      </c>
      <c r="J159" s="166" t="s">
        <v>4</v>
      </c>
      <c r="K159" s="166"/>
      <c r="L159" s="167"/>
      <c r="M159" s="167"/>
      <c r="N159" s="166"/>
    </row>
    <row r="160" spans="1:14" ht="12" customHeight="1" x14ac:dyDescent="0.3">
      <c r="A160" s="15" t="s">
        <v>72</v>
      </c>
      <c r="B160" s="11">
        <v>2018</v>
      </c>
      <c r="C160" s="169">
        <v>132.5</v>
      </c>
      <c r="D160" s="168">
        <v>127.5</v>
      </c>
      <c r="E160" s="169">
        <v>135</v>
      </c>
      <c r="F160" s="162">
        <v>132.5</v>
      </c>
      <c r="G160" s="163">
        <v>125</v>
      </c>
      <c r="H160" s="162">
        <v>127.5</v>
      </c>
      <c r="I160" s="162">
        <v>107.5</v>
      </c>
      <c r="J160" s="162">
        <v>132.5</v>
      </c>
      <c r="K160" s="162">
        <v>112.5</v>
      </c>
      <c r="L160" s="163">
        <v>132.5</v>
      </c>
      <c r="M160" s="163">
        <v>132.5</v>
      </c>
      <c r="N160" s="163">
        <v>132.5</v>
      </c>
    </row>
    <row r="161" spans="1:14" ht="12" customHeight="1" x14ac:dyDescent="0.3">
      <c r="A161" s="15"/>
      <c r="B161" s="11">
        <v>2019</v>
      </c>
      <c r="C161" s="162">
        <v>132.5</v>
      </c>
      <c r="D161" s="163">
        <v>132.5</v>
      </c>
      <c r="E161" s="162">
        <v>132.5</v>
      </c>
      <c r="F161" s="162">
        <v>132.5</v>
      </c>
      <c r="G161" s="163">
        <v>132.5</v>
      </c>
      <c r="H161" s="162">
        <v>127.5</v>
      </c>
      <c r="I161" s="162">
        <v>127.5</v>
      </c>
      <c r="J161" s="169">
        <v>132.5</v>
      </c>
      <c r="K161" s="169">
        <v>140</v>
      </c>
      <c r="L161" s="163">
        <v>140</v>
      </c>
      <c r="M161" s="163">
        <v>140</v>
      </c>
      <c r="N161" s="163">
        <v>115</v>
      </c>
    </row>
    <row r="162" spans="1:14" ht="12" customHeight="1" x14ac:dyDescent="0.3">
      <c r="A162" s="16"/>
      <c r="B162" s="11">
        <v>2020</v>
      </c>
      <c r="C162" s="162">
        <v>135</v>
      </c>
      <c r="D162" s="163">
        <v>135</v>
      </c>
      <c r="E162" s="162">
        <v>135</v>
      </c>
      <c r="F162" s="162">
        <v>135</v>
      </c>
      <c r="G162" s="163">
        <v>135</v>
      </c>
      <c r="H162" s="162">
        <v>135</v>
      </c>
      <c r="I162" s="162">
        <v>135</v>
      </c>
      <c r="J162" s="169">
        <v>125</v>
      </c>
      <c r="K162" s="169">
        <v>125</v>
      </c>
      <c r="L162" s="163">
        <v>135</v>
      </c>
      <c r="M162" s="163">
        <v>140</v>
      </c>
      <c r="N162" s="163">
        <v>135</v>
      </c>
    </row>
    <row r="163" spans="1:14" ht="12" customHeight="1" x14ac:dyDescent="0.3">
      <c r="A163" s="16"/>
      <c r="B163" s="11">
        <v>2021</v>
      </c>
      <c r="C163" s="162">
        <v>135</v>
      </c>
      <c r="D163" s="163">
        <v>115</v>
      </c>
      <c r="E163" s="162">
        <v>95</v>
      </c>
      <c r="F163" s="162">
        <v>95</v>
      </c>
      <c r="G163" s="163">
        <v>140</v>
      </c>
      <c r="H163" s="162">
        <v>140</v>
      </c>
      <c r="I163" s="162">
        <v>140</v>
      </c>
      <c r="J163" s="162">
        <v>140</v>
      </c>
      <c r="K163" s="162">
        <v>140</v>
      </c>
      <c r="L163" s="163">
        <v>140</v>
      </c>
      <c r="M163" s="163">
        <v>140</v>
      </c>
      <c r="N163" s="163">
        <v>140</v>
      </c>
    </row>
    <row r="164" spans="1:14" ht="12" customHeight="1" x14ac:dyDescent="0.3">
      <c r="A164" s="16"/>
      <c r="B164" s="11">
        <v>2022</v>
      </c>
      <c r="C164" s="162">
        <v>130</v>
      </c>
      <c r="D164" s="163">
        <v>130</v>
      </c>
      <c r="E164" s="162">
        <v>125</v>
      </c>
      <c r="F164" s="162">
        <v>125</v>
      </c>
      <c r="G164" s="163">
        <v>125</v>
      </c>
      <c r="H164" s="162">
        <v>125</v>
      </c>
      <c r="I164" s="162">
        <v>125</v>
      </c>
      <c r="J164" s="162">
        <v>125</v>
      </c>
      <c r="K164" s="162">
        <v>125</v>
      </c>
      <c r="L164" s="163">
        <v>125</v>
      </c>
      <c r="M164" s="162">
        <v>125</v>
      </c>
      <c r="N164" s="163">
        <v>125</v>
      </c>
    </row>
    <row r="165" spans="1:14" ht="12" customHeight="1" x14ac:dyDescent="0.3">
      <c r="A165" s="16"/>
      <c r="B165" s="11">
        <v>2023</v>
      </c>
      <c r="C165" s="162">
        <v>125</v>
      </c>
      <c r="D165" s="162">
        <v>130</v>
      </c>
      <c r="E165" s="162">
        <v>130</v>
      </c>
      <c r="F165" s="162">
        <v>125</v>
      </c>
      <c r="G165" s="163">
        <v>135</v>
      </c>
      <c r="H165" s="162">
        <v>125</v>
      </c>
      <c r="I165" s="162">
        <v>125</v>
      </c>
      <c r="J165" s="162">
        <v>125</v>
      </c>
      <c r="K165" s="162">
        <v>130</v>
      </c>
      <c r="L165" s="162">
        <v>130</v>
      </c>
      <c r="M165" s="163">
        <v>120</v>
      </c>
      <c r="N165" s="162">
        <v>120</v>
      </c>
    </row>
    <row r="166" spans="1:14" ht="12" customHeight="1" x14ac:dyDescent="0.3">
      <c r="A166" s="16"/>
      <c r="B166" s="11">
        <v>2024</v>
      </c>
      <c r="C166" s="162">
        <v>105</v>
      </c>
      <c r="D166" s="162">
        <v>120</v>
      </c>
      <c r="E166" s="162">
        <v>115</v>
      </c>
      <c r="F166" s="162">
        <v>120</v>
      </c>
      <c r="G166" s="163">
        <v>120</v>
      </c>
      <c r="H166" s="162">
        <v>120</v>
      </c>
      <c r="I166" s="162">
        <v>120</v>
      </c>
      <c r="J166" s="162">
        <v>120</v>
      </c>
      <c r="K166" s="162">
        <v>115</v>
      </c>
      <c r="L166" s="5" t="s">
        <v>4</v>
      </c>
      <c r="M166" s="5" t="s">
        <v>4</v>
      </c>
      <c r="N166" s="162">
        <v>110</v>
      </c>
    </row>
    <row r="167" spans="1:14" ht="12" customHeight="1" x14ac:dyDescent="0.3">
      <c r="A167" s="146"/>
      <c r="B167" s="131">
        <v>2025</v>
      </c>
      <c r="C167" s="167">
        <v>110</v>
      </c>
      <c r="D167" s="167">
        <v>110</v>
      </c>
      <c r="E167" s="167">
        <v>110</v>
      </c>
      <c r="F167" s="167">
        <v>110</v>
      </c>
      <c r="G167" s="167">
        <v>110</v>
      </c>
      <c r="H167" s="167">
        <v>145</v>
      </c>
      <c r="I167" s="167">
        <v>145</v>
      </c>
      <c r="J167" s="167">
        <v>145</v>
      </c>
      <c r="K167" s="167"/>
      <c r="L167" s="166"/>
      <c r="M167" s="166"/>
      <c r="N167" s="167"/>
    </row>
    <row r="168" spans="1:14" ht="9" customHeight="1" x14ac:dyDescent="0.3">
      <c r="A168" s="10" t="s">
        <v>87</v>
      </c>
      <c r="B168" s="172"/>
      <c r="C168" s="17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</row>
    <row r="169" spans="1:14" ht="9" customHeight="1" x14ac:dyDescent="0.3">
      <c r="A169" s="116" t="s">
        <v>67</v>
      </c>
      <c r="B169" s="174"/>
      <c r="C169" s="175"/>
      <c r="D169" s="156"/>
      <c r="E169" s="156"/>
      <c r="F169" s="156"/>
      <c r="G169" s="156"/>
      <c r="H169" s="153"/>
      <c r="I169" s="153"/>
      <c r="J169" s="153"/>
      <c r="K169" s="153"/>
      <c r="L169" s="153"/>
      <c r="M169" s="153"/>
      <c r="N169" s="153"/>
    </row>
    <row r="170" spans="1:14" ht="9" customHeight="1" x14ac:dyDescent="0.3">
      <c r="A170" s="118" t="s">
        <v>68</v>
      </c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</row>
    <row r="171" spans="1:14" ht="9" customHeight="1" x14ac:dyDescent="0.3">
      <c r="A171" s="118" t="s">
        <v>120</v>
      </c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</row>
    <row r="172" spans="1:14" ht="9" customHeight="1" x14ac:dyDescent="0.3">
      <c r="A172" s="118" t="s">
        <v>469</v>
      </c>
    </row>
    <row r="173" spans="1:14" ht="9.75" customHeight="1" x14ac:dyDescent="0.3">
      <c r="A173" s="118"/>
    </row>
  </sheetData>
  <mergeCells count="3">
    <mergeCell ref="A1:N1"/>
    <mergeCell ref="A57:F57"/>
    <mergeCell ref="A109:F109"/>
  </mergeCells>
  <pageMargins left="0.27559055118110237" right="0.27559055118110237" top="0.39370078740157483" bottom="0.39370078740157483" header="0" footer="0"/>
  <pageSetup paperSize="9" orientation="portrait" horizontalDpi="0" verticalDpi="0"/>
  <rowBreaks count="1" manualBreakCount="1">
    <brk id="56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6"/>
  <dimension ref="A1:I153"/>
  <sheetViews>
    <sheetView showGridLines="0" topLeftCell="A51" zoomScaleNormal="100" workbookViewId="0">
      <selection activeCell="A74" sqref="A74:G150"/>
    </sheetView>
  </sheetViews>
  <sheetFormatPr baseColWidth="10" defaultColWidth="11.44140625" defaultRowHeight="13.8" x14ac:dyDescent="0.25"/>
  <cols>
    <col min="1" max="1" width="21.88671875" style="222" customWidth="1"/>
    <col min="2" max="2" width="7.88671875" style="582" customWidth="1"/>
    <col min="3" max="4" width="7.88671875" style="222" customWidth="1"/>
    <col min="5" max="5" width="7.88671875" style="582" customWidth="1"/>
    <col min="6" max="7" width="7.88671875" style="222" customWidth="1"/>
    <col min="8" max="16384" width="11.44140625" style="222"/>
  </cols>
  <sheetData>
    <row r="1" spans="1:7" x14ac:dyDescent="0.25">
      <c r="A1" s="234" t="s">
        <v>149</v>
      </c>
      <c r="B1" s="575"/>
      <c r="C1" s="235"/>
      <c r="D1" s="235"/>
      <c r="E1" s="575"/>
      <c r="F1" s="235"/>
      <c r="G1" s="50"/>
    </row>
    <row r="2" spans="1:7" ht="12" customHeight="1" x14ac:dyDescent="0.25">
      <c r="A2" s="234" t="s">
        <v>616</v>
      </c>
      <c r="B2" s="575"/>
      <c r="C2" s="235"/>
      <c r="D2" s="235"/>
      <c r="E2" s="575"/>
      <c r="F2" s="235"/>
      <c r="G2" s="50"/>
    </row>
    <row r="3" spans="1:7" ht="5.0999999999999996" customHeight="1" x14ac:dyDescent="0.25">
      <c r="A3" s="180"/>
      <c r="B3" s="575"/>
      <c r="C3" s="235"/>
      <c r="D3" s="235"/>
      <c r="E3" s="575"/>
      <c r="F3" s="235"/>
      <c r="G3" s="50"/>
    </row>
    <row r="4" spans="1:7" ht="14.1" customHeight="1" x14ac:dyDescent="0.25">
      <c r="A4" s="770" t="s">
        <v>0</v>
      </c>
      <c r="B4" s="772" t="s">
        <v>150</v>
      </c>
      <c r="C4" s="773"/>
      <c r="D4" s="774"/>
      <c r="E4" s="772" t="s">
        <v>151</v>
      </c>
      <c r="F4" s="773"/>
      <c r="G4" s="774"/>
    </row>
    <row r="5" spans="1:7" ht="14.1" customHeight="1" x14ac:dyDescent="0.25">
      <c r="A5" s="771"/>
      <c r="B5" s="586" t="s">
        <v>152</v>
      </c>
      <c r="C5" s="227" t="s">
        <v>160</v>
      </c>
      <c r="D5" s="228" t="s">
        <v>1</v>
      </c>
      <c r="E5" s="586" t="s">
        <v>152</v>
      </c>
      <c r="F5" s="227" t="s">
        <v>160</v>
      </c>
      <c r="G5" s="228" t="s">
        <v>1</v>
      </c>
    </row>
    <row r="6" spans="1:7" ht="3" customHeight="1" x14ac:dyDescent="0.25">
      <c r="A6" s="229"/>
      <c r="B6" s="576"/>
      <c r="C6" s="230"/>
      <c r="D6" s="231"/>
      <c r="E6" s="576"/>
      <c r="F6" s="230"/>
      <c r="G6" s="231"/>
    </row>
    <row r="7" spans="1:7" ht="11.1" customHeight="1" x14ac:dyDescent="0.25">
      <c r="A7" s="224" t="s">
        <v>473</v>
      </c>
      <c r="B7" s="577"/>
      <c r="C7" s="237"/>
      <c r="D7" s="236"/>
      <c r="E7" s="577"/>
      <c r="F7" s="237"/>
      <c r="G7" s="236"/>
    </row>
    <row r="8" spans="1:7" ht="11.1" customHeight="1" x14ac:dyDescent="0.25">
      <c r="A8" s="251" t="s">
        <v>477</v>
      </c>
      <c r="B8" s="253">
        <v>165</v>
      </c>
      <c r="C8" s="243">
        <v>165</v>
      </c>
      <c r="D8" s="245">
        <f t="shared" ref="D8:D13" si="0">((C8/B8)     -    1)*100</f>
        <v>0</v>
      </c>
      <c r="E8" s="253">
        <v>153</v>
      </c>
      <c r="F8" s="243">
        <v>153</v>
      </c>
      <c r="G8" s="245">
        <f t="shared" ref="G8:G13" si="1">((F8/E8)     -    1)*100</f>
        <v>0</v>
      </c>
    </row>
    <row r="9" spans="1:7" ht="11.1" customHeight="1" x14ac:dyDescent="0.25">
      <c r="A9" s="251" t="s">
        <v>484</v>
      </c>
      <c r="B9" s="253">
        <v>130</v>
      </c>
      <c r="C9" s="243">
        <v>130</v>
      </c>
      <c r="D9" s="245">
        <f t="shared" si="0"/>
        <v>0</v>
      </c>
      <c r="E9" s="253">
        <v>105</v>
      </c>
      <c r="F9" s="243">
        <v>105</v>
      </c>
      <c r="G9" s="245">
        <f t="shared" si="1"/>
        <v>0</v>
      </c>
    </row>
    <row r="10" spans="1:7" ht="11.1" customHeight="1" x14ac:dyDescent="0.25">
      <c r="A10" s="251" t="s">
        <v>492</v>
      </c>
      <c r="B10" s="253">
        <v>120</v>
      </c>
      <c r="C10" s="243">
        <v>120</v>
      </c>
      <c r="D10" s="245">
        <f t="shared" si="0"/>
        <v>0</v>
      </c>
      <c r="E10" s="253">
        <v>90</v>
      </c>
      <c r="F10" s="243">
        <v>90</v>
      </c>
      <c r="G10" s="245">
        <f t="shared" si="1"/>
        <v>0</v>
      </c>
    </row>
    <row r="11" spans="1:7" ht="11.1" customHeight="1" x14ac:dyDescent="0.25">
      <c r="A11" s="251" t="s">
        <v>474</v>
      </c>
      <c r="B11" s="253">
        <v>135</v>
      </c>
      <c r="C11" s="243">
        <v>135</v>
      </c>
      <c r="D11" s="245">
        <f t="shared" si="0"/>
        <v>0</v>
      </c>
      <c r="E11" s="253">
        <v>135</v>
      </c>
      <c r="F11" s="243">
        <v>135</v>
      </c>
      <c r="G11" s="245">
        <f t="shared" si="1"/>
        <v>0</v>
      </c>
    </row>
    <row r="12" spans="1:7" ht="11.1" customHeight="1" x14ac:dyDescent="0.25">
      <c r="A12" s="251" t="s">
        <v>475</v>
      </c>
      <c r="B12" s="253">
        <v>105</v>
      </c>
      <c r="C12" s="243">
        <v>105</v>
      </c>
      <c r="D12" s="245">
        <f t="shared" si="0"/>
        <v>0</v>
      </c>
      <c r="E12" s="253">
        <v>95</v>
      </c>
      <c r="F12" s="243">
        <v>95</v>
      </c>
      <c r="G12" s="245">
        <f t="shared" si="1"/>
        <v>0</v>
      </c>
    </row>
    <row r="13" spans="1:7" ht="11.1" customHeight="1" x14ac:dyDescent="0.25">
      <c r="A13" s="251" t="s">
        <v>476</v>
      </c>
      <c r="B13" s="253">
        <v>130</v>
      </c>
      <c r="C13" s="243">
        <v>130</v>
      </c>
      <c r="D13" s="245">
        <f t="shared" si="0"/>
        <v>0</v>
      </c>
      <c r="E13" s="253">
        <v>85</v>
      </c>
      <c r="F13" s="243">
        <v>85</v>
      </c>
      <c r="G13" s="245">
        <f t="shared" si="1"/>
        <v>0</v>
      </c>
    </row>
    <row r="14" spans="1:7" ht="11.1" customHeight="1" x14ac:dyDescent="0.25">
      <c r="A14" s="224" t="s">
        <v>77</v>
      </c>
      <c r="B14" s="577"/>
      <c r="C14" s="237"/>
      <c r="D14" s="236"/>
      <c r="E14" s="577"/>
      <c r="F14" s="237"/>
      <c r="G14" s="236"/>
    </row>
    <row r="15" spans="1:7" ht="11.1" customHeight="1" x14ac:dyDescent="0.25">
      <c r="A15" s="251" t="s">
        <v>153</v>
      </c>
      <c r="B15" s="253">
        <v>80</v>
      </c>
      <c r="C15" s="253">
        <v>95</v>
      </c>
      <c r="D15" s="245">
        <f>((C15/B15)     -    1)*100</f>
        <v>18.75</v>
      </c>
      <c r="E15" s="253">
        <v>125</v>
      </c>
      <c r="F15" s="243">
        <v>110</v>
      </c>
      <c r="G15" s="245">
        <f>((F15/E15)     -    1)*100</f>
        <v>-12</v>
      </c>
    </row>
    <row r="16" spans="1:7" ht="11.1" customHeight="1" x14ac:dyDescent="0.25">
      <c r="A16" s="251" t="s">
        <v>505</v>
      </c>
      <c r="B16" s="253">
        <v>109</v>
      </c>
      <c r="C16" s="253">
        <v>100</v>
      </c>
      <c r="D16" s="245">
        <f>((C16/B16)     -    1)*100</f>
        <v>-8.2568807339449499</v>
      </c>
      <c r="E16" s="253">
        <v>200</v>
      </c>
      <c r="F16" s="243">
        <v>100</v>
      </c>
      <c r="G16" s="245">
        <f>((F16/E16)     -    1)*100</f>
        <v>-50</v>
      </c>
    </row>
    <row r="17" spans="1:9" ht="11.1" customHeight="1" x14ac:dyDescent="0.25">
      <c r="A17" s="251" t="s">
        <v>503</v>
      </c>
      <c r="B17" s="253">
        <v>83</v>
      </c>
      <c r="C17" s="253">
        <v>100</v>
      </c>
      <c r="D17" s="245">
        <f>((C17/B17)     -    1)*100</f>
        <v>20.481927710843383</v>
      </c>
      <c r="E17" s="253">
        <v>145</v>
      </c>
      <c r="F17" s="243">
        <v>150</v>
      </c>
      <c r="G17" s="245">
        <f>((F17/E17)     -    1)*100</f>
        <v>3.4482758620689724</v>
      </c>
    </row>
    <row r="18" spans="1:9" ht="11.1" customHeight="1" x14ac:dyDescent="0.25">
      <c r="A18" s="251" t="s">
        <v>154</v>
      </c>
      <c r="B18" s="567" t="s">
        <v>572</v>
      </c>
      <c r="C18" s="253">
        <v>100</v>
      </c>
      <c r="D18" s="236" t="s">
        <v>155</v>
      </c>
      <c r="E18" s="567" t="s">
        <v>572</v>
      </c>
      <c r="F18" s="243">
        <v>150</v>
      </c>
      <c r="G18" s="236" t="s">
        <v>155</v>
      </c>
    </row>
    <row r="19" spans="1:9" ht="11.1" customHeight="1" x14ac:dyDescent="0.25">
      <c r="A19" s="251" t="s">
        <v>156</v>
      </c>
      <c r="B19" s="253">
        <v>80</v>
      </c>
      <c r="C19" s="253">
        <v>90</v>
      </c>
      <c r="D19" s="245">
        <f>((C19/B19)     -    1)*100</f>
        <v>12.5</v>
      </c>
      <c r="E19" s="253">
        <v>73</v>
      </c>
      <c r="F19" s="243">
        <v>105</v>
      </c>
      <c r="G19" s="245">
        <f>((F19/E19)     -    1)*100</f>
        <v>43.835616438356162</v>
      </c>
    </row>
    <row r="20" spans="1:9" ht="11.1" customHeight="1" x14ac:dyDescent="0.25">
      <c r="A20" s="251" t="s">
        <v>157</v>
      </c>
      <c r="B20" s="567" t="s">
        <v>572</v>
      </c>
      <c r="C20" s="253">
        <v>100</v>
      </c>
      <c r="D20" s="236" t="s">
        <v>155</v>
      </c>
      <c r="E20" s="567" t="s">
        <v>572</v>
      </c>
      <c r="F20" s="243">
        <v>125</v>
      </c>
      <c r="G20" s="236" t="s">
        <v>155</v>
      </c>
    </row>
    <row r="21" spans="1:9" ht="11.1" customHeight="1" x14ac:dyDescent="0.25">
      <c r="A21" s="251" t="s">
        <v>186</v>
      </c>
      <c r="B21" s="567" t="s">
        <v>572</v>
      </c>
      <c r="C21" s="253">
        <v>105</v>
      </c>
      <c r="D21" s="236" t="s">
        <v>155</v>
      </c>
      <c r="E21" s="567" t="s">
        <v>572</v>
      </c>
      <c r="F21" s="243">
        <v>100</v>
      </c>
      <c r="G21" s="236" t="s">
        <v>155</v>
      </c>
    </row>
    <row r="22" spans="1:9" ht="11.1" customHeight="1" x14ac:dyDescent="0.25">
      <c r="A22" s="251" t="s">
        <v>547</v>
      </c>
      <c r="B22" s="253">
        <v>78</v>
      </c>
      <c r="C22" s="253">
        <v>95</v>
      </c>
      <c r="D22" s="245">
        <f>((C22/B22)     -    1)*100</f>
        <v>21.794871794871785</v>
      </c>
      <c r="E22" s="243">
        <v>135</v>
      </c>
      <c r="F22" s="243">
        <v>150</v>
      </c>
      <c r="G22" s="245">
        <f>((F22/E22)     -    1)*100</f>
        <v>11.111111111111116</v>
      </c>
    </row>
    <row r="23" spans="1:9" ht="11.1" customHeight="1" x14ac:dyDescent="0.25">
      <c r="A23" s="251" t="s">
        <v>548</v>
      </c>
      <c r="B23" s="567" t="s">
        <v>572</v>
      </c>
      <c r="C23" s="253">
        <v>90</v>
      </c>
      <c r="D23" s="236" t="s">
        <v>155</v>
      </c>
      <c r="E23" s="567" t="s">
        <v>572</v>
      </c>
      <c r="F23" s="243">
        <v>140</v>
      </c>
      <c r="G23" s="236" t="s">
        <v>155</v>
      </c>
    </row>
    <row r="24" spans="1:9" ht="11.1" customHeight="1" x14ac:dyDescent="0.25">
      <c r="A24" s="251" t="s">
        <v>549</v>
      </c>
      <c r="B24" s="567" t="s">
        <v>572</v>
      </c>
      <c r="C24" s="253">
        <v>90</v>
      </c>
      <c r="D24" s="236" t="s">
        <v>155</v>
      </c>
      <c r="E24" s="567" t="s">
        <v>572</v>
      </c>
      <c r="F24" s="243">
        <v>140</v>
      </c>
      <c r="G24" s="236" t="s">
        <v>155</v>
      </c>
    </row>
    <row r="25" spans="1:9" ht="11.1" customHeight="1" x14ac:dyDescent="0.25">
      <c r="A25" s="251" t="s">
        <v>159</v>
      </c>
      <c r="B25" s="253">
        <v>80</v>
      </c>
      <c r="C25" s="253">
        <v>100</v>
      </c>
      <c r="D25" s="245">
        <f>((C25/B25)     -    1)*100</f>
        <v>25</v>
      </c>
      <c r="E25" s="243">
        <v>128</v>
      </c>
      <c r="F25" s="243">
        <v>135</v>
      </c>
      <c r="G25" s="245">
        <f>((F25/E25)     -    1)*100</f>
        <v>5.46875</v>
      </c>
      <c r="I25" s="236"/>
    </row>
    <row r="26" spans="1:9" ht="11.1" customHeight="1" x14ac:dyDescent="0.25">
      <c r="A26" s="224" t="s">
        <v>2</v>
      </c>
      <c r="B26" s="572"/>
      <c r="C26" s="572"/>
      <c r="D26" s="1"/>
      <c r="E26" s="150"/>
      <c r="F26" s="13"/>
      <c r="G26" s="236"/>
    </row>
    <row r="27" spans="1:9" ht="11.1" customHeight="1" x14ac:dyDescent="0.25">
      <c r="A27" s="250" t="s">
        <v>5</v>
      </c>
      <c r="B27" s="253">
        <v>115</v>
      </c>
      <c r="C27" s="243">
        <v>105</v>
      </c>
      <c r="D27" s="246">
        <f t="shared" ref="D27:D34" si="2">((C27/B27)     -    1)*100</f>
        <v>-8.6956521739130483</v>
      </c>
      <c r="E27" s="243">
        <v>215</v>
      </c>
      <c r="F27" s="243">
        <v>136</v>
      </c>
      <c r="G27" s="245">
        <f t="shared" ref="G27" si="3">((F27/E27)     -    1)*100</f>
        <v>-36.744186046511629</v>
      </c>
    </row>
    <row r="28" spans="1:9" ht="11.1" customHeight="1" x14ac:dyDescent="0.25">
      <c r="A28" s="250" t="s">
        <v>78</v>
      </c>
      <c r="B28" s="253">
        <v>120</v>
      </c>
      <c r="C28" s="243">
        <v>120</v>
      </c>
      <c r="D28" s="246">
        <f t="shared" ref="D28:D31" si="4">((C28/B28)     -    1)*100</f>
        <v>0</v>
      </c>
      <c r="E28" s="567" t="s">
        <v>572</v>
      </c>
      <c r="F28" s="567" t="s">
        <v>572</v>
      </c>
      <c r="G28" s="236" t="s">
        <v>155</v>
      </c>
    </row>
    <row r="29" spans="1:9" ht="11.1" customHeight="1" x14ac:dyDescent="0.25">
      <c r="A29" s="250" t="s">
        <v>405</v>
      </c>
      <c r="B29" s="253">
        <v>120</v>
      </c>
      <c r="C29" s="243">
        <v>134</v>
      </c>
      <c r="D29" s="246">
        <f t="shared" si="4"/>
        <v>11.66666666666667</v>
      </c>
      <c r="E29" s="567" t="s">
        <v>572</v>
      </c>
      <c r="F29" s="567" t="s">
        <v>572</v>
      </c>
      <c r="G29" s="236" t="s">
        <v>155</v>
      </c>
    </row>
    <row r="30" spans="1:9" ht="11.1" customHeight="1" x14ac:dyDescent="0.25">
      <c r="A30" s="250" t="s">
        <v>85</v>
      </c>
      <c r="B30" s="253">
        <v>105</v>
      </c>
      <c r="C30" s="243">
        <v>110</v>
      </c>
      <c r="D30" s="246">
        <f t="shared" ref="D30" si="5">((C30/B30)     -    1)*100</f>
        <v>4.7619047619047672</v>
      </c>
      <c r="E30" s="243">
        <v>180</v>
      </c>
      <c r="F30" s="243">
        <v>250</v>
      </c>
      <c r="G30" s="245">
        <f t="shared" ref="G30" si="6">((F30/E30)     -    1)*100</f>
        <v>38.888888888888886</v>
      </c>
    </row>
    <row r="31" spans="1:9" ht="11.1" customHeight="1" x14ac:dyDescent="0.25">
      <c r="A31" s="250" t="s">
        <v>61</v>
      </c>
      <c r="B31" s="253">
        <v>115</v>
      </c>
      <c r="C31" s="243">
        <v>93</v>
      </c>
      <c r="D31" s="246">
        <f t="shared" si="4"/>
        <v>-19.130434782608695</v>
      </c>
      <c r="E31" s="243">
        <v>110</v>
      </c>
      <c r="F31" s="243">
        <v>113</v>
      </c>
      <c r="G31" s="245">
        <f t="shared" ref="G31" si="7">((F31/E31)     -    1)*100</f>
        <v>2.7272727272727337</v>
      </c>
    </row>
    <row r="32" spans="1:9" ht="11.1" customHeight="1" x14ac:dyDescent="0.25">
      <c r="A32" s="250" t="s">
        <v>550</v>
      </c>
      <c r="B32" s="253">
        <v>78</v>
      </c>
      <c r="C32" s="243">
        <v>78</v>
      </c>
      <c r="D32" s="246">
        <f t="shared" ref="D32" si="8">((C32/B32)     -    1)*100</f>
        <v>0</v>
      </c>
      <c r="E32" s="243">
        <v>238</v>
      </c>
      <c r="F32" s="243">
        <v>250</v>
      </c>
      <c r="G32" s="245">
        <f t="shared" ref="G32" si="9">((F32/E32)     -    1)*100</f>
        <v>5.0420168067226934</v>
      </c>
    </row>
    <row r="33" spans="1:7" ht="11.1" customHeight="1" x14ac:dyDescent="0.25">
      <c r="A33" s="250" t="s">
        <v>188</v>
      </c>
      <c r="B33" s="253">
        <v>153</v>
      </c>
      <c r="C33" s="243">
        <v>160</v>
      </c>
      <c r="D33" s="246">
        <f t="shared" si="2"/>
        <v>4.5751633986928164</v>
      </c>
      <c r="E33" s="567" t="s">
        <v>572</v>
      </c>
      <c r="F33" s="567" t="s">
        <v>572</v>
      </c>
      <c r="G33" s="236" t="s">
        <v>155</v>
      </c>
    </row>
    <row r="34" spans="1:7" ht="11.1" customHeight="1" x14ac:dyDescent="0.25">
      <c r="A34" s="250" t="s">
        <v>127</v>
      </c>
      <c r="B34" s="253">
        <v>130</v>
      </c>
      <c r="C34" s="243">
        <v>130</v>
      </c>
      <c r="D34" s="246">
        <f t="shared" si="2"/>
        <v>0</v>
      </c>
      <c r="E34" s="253">
        <v>145</v>
      </c>
      <c r="F34" s="243">
        <v>150</v>
      </c>
      <c r="G34" s="245">
        <f>((F34/E34)     -    1)*100</f>
        <v>3.4482758620689724</v>
      </c>
    </row>
    <row r="35" spans="1:7" ht="11.1" customHeight="1" x14ac:dyDescent="0.25">
      <c r="A35" s="224" t="s">
        <v>6</v>
      </c>
      <c r="B35" s="578"/>
      <c r="C35" s="238"/>
      <c r="D35" s="1"/>
      <c r="E35" s="578"/>
      <c r="F35" s="238"/>
      <c r="G35" s="1"/>
    </row>
    <row r="36" spans="1:7" ht="11.1" customHeight="1" x14ac:dyDescent="0.25">
      <c r="A36" s="250" t="s">
        <v>7</v>
      </c>
      <c r="B36" s="253">
        <v>73</v>
      </c>
      <c r="C36" s="243">
        <v>60</v>
      </c>
      <c r="D36" s="246">
        <f t="shared" ref="D36:D42" si="10">((C36/B36)     -    1)*100</f>
        <v>-17.808219178082197</v>
      </c>
      <c r="E36" s="567" t="s">
        <v>572</v>
      </c>
      <c r="F36" s="567" t="s">
        <v>572</v>
      </c>
      <c r="G36" s="236" t="s">
        <v>155</v>
      </c>
    </row>
    <row r="37" spans="1:7" ht="11.1" customHeight="1" x14ac:dyDescent="0.25">
      <c r="A37" s="250" t="s">
        <v>8</v>
      </c>
      <c r="B37" s="253">
        <v>90</v>
      </c>
      <c r="C37" s="243">
        <v>70</v>
      </c>
      <c r="D37" s="246">
        <f t="shared" si="10"/>
        <v>-22.222222222222221</v>
      </c>
      <c r="E37" s="253">
        <v>110</v>
      </c>
      <c r="F37" s="243">
        <v>129</v>
      </c>
      <c r="G37" s="246">
        <f t="shared" ref="G37" si="11">((F37/E37)     -    1)*100</f>
        <v>17.272727272727263</v>
      </c>
    </row>
    <row r="38" spans="1:7" ht="11.1" customHeight="1" x14ac:dyDescent="0.25">
      <c r="A38" s="250" t="s">
        <v>126</v>
      </c>
      <c r="B38" s="253">
        <v>85</v>
      </c>
      <c r="C38" s="243">
        <v>125</v>
      </c>
      <c r="D38" s="246">
        <f t="shared" si="10"/>
        <v>47.058823529411775</v>
      </c>
      <c r="E38" s="253">
        <v>80</v>
      </c>
      <c r="F38" s="243">
        <v>43</v>
      </c>
      <c r="G38" s="246">
        <f t="shared" ref="G38" si="12">((F38/E38)     -    1)*100</f>
        <v>-46.25</v>
      </c>
    </row>
    <row r="39" spans="1:7" ht="11.1" customHeight="1" x14ac:dyDescent="0.25">
      <c r="A39" s="250" t="s">
        <v>471</v>
      </c>
      <c r="B39" s="253">
        <v>68</v>
      </c>
      <c r="C39" s="243">
        <v>76</v>
      </c>
      <c r="D39" s="246">
        <f t="shared" si="10"/>
        <v>11.764705882352944</v>
      </c>
      <c r="E39" s="253">
        <v>105</v>
      </c>
      <c r="F39" s="243">
        <v>120</v>
      </c>
      <c r="G39" s="246">
        <f t="shared" ref="G39:G40" si="13">((F39/E39)     -    1)*100</f>
        <v>14.285714285714279</v>
      </c>
    </row>
    <row r="40" spans="1:7" ht="11.1" customHeight="1" x14ac:dyDescent="0.25">
      <c r="A40" s="250" t="s">
        <v>10</v>
      </c>
      <c r="B40" s="253">
        <v>70</v>
      </c>
      <c r="C40" s="243">
        <v>61</v>
      </c>
      <c r="D40" s="246">
        <f t="shared" si="10"/>
        <v>-12.857142857142856</v>
      </c>
      <c r="E40" s="253">
        <v>90</v>
      </c>
      <c r="F40" s="243">
        <v>121</v>
      </c>
      <c r="G40" s="246">
        <f t="shared" si="13"/>
        <v>34.444444444444457</v>
      </c>
    </row>
    <row r="41" spans="1:7" ht="11.1" customHeight="1" x14ac:dyDescent="0.25">
      <c r="A41" s="250" t="s">
        <v>11</v>
      </c>
      <c r="B41" s="253">
        <v>150</v>
      </c>
      <c r="C41" s="243">
        <v>97</v>
      </c>
      <c r="D41" s="246">
        <f t="shared" si="10"/>
        <v>-35.333333333333336</v>
      </c>
      <c r="E41" s="253">
        <v>185</v>
      </c>
      <c r="F41" s="243">
        <v>142</v>
      </c>
      <c r="G41" s="246">
        <f t="shared" ref="G41" si="14">((F41/E41)     -    1)*100</f>
        <v>-23.243243243243239</v>
      </c>
    </row>
    <row r="42" spans="1:7" ht="11.1" customHeight="1" x14ac:dyDescent="0.25">
      <c r="A42" s="250" t="s">
        <v>12</v>
      </c>
      <c r="B42" s="253">
        <v>110</v>
      </c>
      <c r="C42" s="243">
        <v>108</v>
      </c>
      <c r="D42" s="246">
        <f t="shared" si="10"/>
        <v>-1.8181818181818188</v>
      </c>
      <c r="E42" s="253">
        <v>120</v>
      </c>
      <c r="F42" s="243">
        <v>176</v>
      </c>
      <c r="G42" s="246">
        <f>((F42/E42)     -    1)*100</f>
        <v>46.666666666666657</v>
      </c>
    </row>
    <row r="43" spans="1:7" ht="11.1" customHeight="1" x14ac:dyDescent="0.25">
      <c r="A43" s="250" t="s">
        <v>13</v>
      </c>
      <c r="B43" s="253">
        <v>85</v>
      </c>
      <c r="C43" s="243">
        <v>95</v>
      </c>
      <c r="D43" s="246">
        <f t="shared" ref="D43:D44" si="15">((C43/B43)     -    1)*100</f>
        <v>11.764705882352944</v>
      </c>
      <c r="E43" s="253">
        <v>155</v>
      </c>
      <c r="F43" s="243">
        <v>176</v>
      </c>
      <c r="G43" s="246">
        <f t="shared" ref="G43:G44" si="16">((F43/E43)     -    1)*100</f>
        <v>13.548387096774196</v>
      </c>
    </row>
    <row r="44" spans="1:7" ht="11.1" customHeight="1" x14ac:dyDescent="0.25">
      <c r="A44" s="250" t="s">
        <v>14</v>
      </c>
      <c r="B44" s="253">
        <v>95</v>
      </c>
      <c r="C44" s="243">
        <v>97</v>
      </c>
      <c r="D44" s="246">
        <f t="shared" si="15"/>
        <v>2.1052631578947434</v>
      </c>
      <c r="E44" s="253">
        <v>110</v>
      </c>
      <c r="F44" s="243">
        <v>90</v>
      </c>
      <c r="G44" s="246">
        <f t="shared" si="16"/>
        <v>-18.181818181818176</v>
      </c>
    </row>
    <row r="45" spans="1:7" ht="11.1" customHeight="1" x14ac:dyDescent="0.25">
      <c r="A45" s="250" t="s">
        <v>92</v>
      </c>
      <c r="B45" s="253">
        <v>100</v>
      </c>
      <c r="C45" s="243">
        <v>96</v>
      </c>
      <c r="D45" s="246">
        <f>((C45/B45)     -    1)*100</f>
        <v>-4.0000000000000036</v>
      </c>
      <c r="E45" s="253">
        <v>125</v>
      </c>
      <c r="F45" s="243">
        <v>134</v>
      </c>
      <c r="G45" s="246">
        <f>((F45/E45)     -    1)*100</f>
        <v>7.2000000000000064</v>
      </c>
    </row>
    <row r="46" spans="1:7" ht="11.1" customHeight="1" x14ac:dyDescent="0.25">
      <c r="A46" s="224" t="s">
        <v>15</v>
      </c>
      <c r="B46" s="577"/>
      <c r="C46" s="237"/>
      <c r="D46" s="236"/>
      <c r="E46" s="578"/>
      <c r="F46" s="238"/>
      <c r="G46" s="1"/>
    </row>
    <row r="47" spans="1:7" ht="11.1" customHeight="1" x14ac:dyDescent="0.25">
      <c r="A47" s="250" t="s">
        <v>189</v>
      </c>
      <c r="B47" s="253">
        <v>65</v>
      </c>
      <c r="C47" s="243">
        <v>78</v>
      </c>
      <c r="D47" s="246">
        <f>((C47/B47)     -    1)*100</f>
        <v>19.999999999999996</v>
      </c>
      <c r="E47" s="253">
        <v>100</v>
      </c>
      <c r="F47" s="243">
        <v>115</v>
      </c>
      <c r="G47" s="246">
        <f>((F47/E47)     -    1)*100</f>
        <v>14.999999999999991</v>
      </c>
    </row>
    <row r="48" spans="1:7" ht="11.1" customHeight="1" x14ac:dyDescent="0.25">
      <c r="A48" s="250" t="s">
        <v>70</v>
      </c>
      <c r="B48" s="253">
        <v>80</v>
      </c>
      <c r="C48" s="243">
        <v>79</v>
      </c>
      <c r="D48" s="246">
        <f>((C48/B48)     -    1)*100</f>
        <v>-1.2499999999999956</v>
      </c>
      <c r="E48" s="253">
        <v>145</v>
      </c>
      <c r="F48" s="243">
        <v>150</v>
      </c>
      <c r="G48" s="246">
        <f>((F48/E48)     -    1)*100</f>
        <v>3.4482758620689724</v>
      </c>
    </row>
    <row r="49" spans="1:7" ht="11.1" customHeight="1" x14ac:dyDescent="0.25">
      <c r="A49" s="250" t="s">
        <v>69</v>
      </c>
      <c r="B49" s="253">
        <v>105</v>
      </c>
      <c r="C49" s="243">
        <v>124</v>
      </c>
      <c r="D49" s="246">
        <f>((C49/B49)     -    1)*100</f>
        <v>18.095238095238098</v>
      </c>
      <c r="E49" s="253">
        <v>125</v>
      </c>
      <c r="F49" s="243">
        <v>120</v>
      </c>
      <c r="G49" s="246">
        <f>((F49/E49)     -    1)*100</f>
        <v>-4.0000000000000036</v>
      </c>
    </row>
    <row r="50" spans="1:7" ht="11.1" customHeight="1" x14ac:dyDescent="0.25">
      <c r="A50" s="224" t="s">
        <v>16</v>
      </c>
      <c r="B50" s="578"/>
      <c r="C50" s="238"/>
      <c r="D50" s="1"/>
      <c r="E50" s="578"/>
      <c r="F50" s="238"/>
      <c r="G50" s="1"/>
    </row>
    <row r="51" spans="1:7" ht="11.1" customHeight="1" x14ac:dyDescent="0.25">
      <c r="A51" s="250" t="s">
        <v>494</v>
      </c>
      <c r="B51" s="253">
        <v>65</v>
      </c>
      <c r="C51" s="243">
        <v>82</v>
      </c>
      <c r="D51" s="247">
        <f>((C51/B51)     -    1)*100</f>
        <v>26.15384615384615</v>
      </c>
      <c r="E51" s="253">
        <v>125</v>
      </c>
      <c r="F51" s="243">
        <v>126</v>
      </c>
      <c r="G51" s="246">
        <f>((F51/E51)     -    1)*100</f>
        <v>0.80000000000000071</v>
      </c>
    </row>
    <row r="52" spans="1:7" ht="11.1" customHeight="1" x14ac:dyDescent="0.25">
      <c r="A52" s="250" t="s">
        <v>472</v>
      </c>
      <c r="B52" s="253">
        <v>105</v>
      </c>
      <c r="C52" s="243">
        <v>85</v>
      </c>
      <c r="D52" s="247">
        <f>((C52/B52)     -    1)*100</f>
        <v>-19.047619047619047</v>
      </c>
      <c r="E52" s="253">
        <v>110</v>
      </c>
      <c r="F52" s="567" t="s">
        <v>572</v>
      </c>
      <c r="G52" s="236" t="s">
        <v>155</v>
      </c>
    </row>
    <row r="53" spans="1:7" ht="11.1" customHeight="1" x14ac:dyDescent="0.25">
      <c r="A53" s="250" t="s">
        <v>479</v>
      </c>
      <c r="B53" s="253">
        <v>88</v>
      </c>
      <c r="C53" s="243">
        <v>97</v>
      </c>
      <c r="D53" s="247">
        <f>((C53/B53)     -    1)*100</f>
        <v>10.22727272727273</v>
      </c>
      <c r="E53" s="253">
        <v>88</v>
      </c>
      <c r="F53" s="243">
        <v>84</v>
      </c>
      <c r="G53" s="246">
        <f>((F53/E53)     -    1)*100</f>
        <v>-4.5454545454545414</v>
      </c>
    </row>
    <row r="54" spans="1:7" ht="11.1" customHeight="1" x14ac:dyDescent="0.25">
      <c r="A54" s="250" t="s">
        <v>190</v>
      </c>
      <c r="B54" s="253">
        <v>95</v>
      </c>
      <c r="C54" s="253">
        <v>93</v>
      </c>
      <c r="D54" s="247">
        <f>((C54/B54)     -    1)*100</f>
        <v>-2.1052631578947323</v>
      </c>
      <c r="E54" s="253">
        <v>140</v>
      </c>
      <c r="F54" s="243">
        <v>150</v>
      </c>
      <c r="G54" s="247">
        <f>((F54/E54)     -    1)*100</f>
        <v>7.1428571428571397</v>
      </c>
    </row>
    <row r="55" spans="1:7" ht="11.1" customHeight="1" x14ac:dyDescent="0.25">
      <c r="A55" s="224" t="s">
        <v>18</v>
      </c>
      <c r="B55" s="578"/>
      <c r="C55" s="238"/>
      <c r="D55" s="1"/>
      <c r="E55" s="578"/>
      <c r="F55" s="238"/>
      <c r="G55" s="1"/>
    </row>
    <row r="56" spans="1:7" ht="11.1" customHeight="1" x14ac:dyDescent="0.25">
      <c r="A56" s="250" t="s">
        <v>19</v>
      </c>
      <c r="B56" s="253">
        <v>130</v>
      </c>
      <c r="C56" s="243">
        <v>126</v>
      </c>
      <c r="D56" s="246">
        <f>((C56/B56)     -    1)*100</f>
        <v>-3.0769230769230771</v>
      </c>
      <c r="E56" s="253">
        <v>100</v>
      </c>
      <c r="F56" s="243">
        <v>122</v>
      </c>
      <c r="G56" s="247">
        <f t="shared" ref="G56:G63" si="17">((F56/E56)     -    1)*100</f>
        <v>21.999999999999996</v>
      </c>
    </row>
    <row r="57" spans="1:7" ht="11.1" customHeight="1" x14ac:dyDescent="0.25">
      <c r="A57" s="250" t="s">
        <v>20</v>
      </c>
      <c r="B57" s="253">
        <v>110</v>
      </c>
      <c r="C57" s="243">
        <v>137</v>
      </c>
      <c r="D57" s="246">
        <f>((C57/B57)     -    1)*100</f>
        <v>24.545454545454536</v>
      </c>
      <c r="E57" s="253">
        <v>145</v>
      </c>
      <c r="F57" s="243">
        <v>184</v>
      </c>
      <c r="G57" s="247">
        <f t="shared" si="17"/>
        <v>26.896551724137939</v>
      </c>
    </row>
    <row r="58" spans="1:7" ht="11.1" customHeight="1" x14ac:dyDescent="0.25">
      <c r="A58" s="250" t="s">
        <v>62</v>
      </c>
      <c r="B58" s="567" t="s">
        <v>572</v>
      </c>
      <c r="C58" s="567" t="s">
        <v>572</v>
      </c>
      <c r="D58" s="236" t="s">
        <v>155</v>
      </c>
      <c r="E58" s="253">
        <v>125</v>
      </c>
      <c r="F58" s="243">
        <v>121</v>
      </c>
      <c r="G58" s="247">
        <f t="shared" si="17"/>
        <v>-3.2000000000000028</v>
      </c>
    </row>
    <row r="59" spans="1:7" ht="11.1" customHeight="1" x14ac:dyDescent="0.25">
      <c r="A59" s="250" t="s">
        <v>80</v>
      </c>
      <c r="B59" s="253">
        <v>110</v>
      </c>
      <c r="C59" s="243">
        <v>110</v>
      </c>
      <c r="D59" s="246">
        <f>((C59/B59)     -    1)*100</f>
        <v>0</v>
      </c>
      <c r="E59" s="253">
        <v>123</v>
      </c>
      <c r="F59" s="243">
        <v>120</v>
      </c>
      <c r="G59" s="247">
        <f t="shared" si="17"/>
        <v>-2.4390243902439046</v>
      </c>
    </row>
    <row r="60" spans="1:7" ht="11.1" customHeight="1" x14ac:dyDescent="0.25">
      <c r="A60" s="250" t="s">
        <v>21</v>
      </c>
      <c r="B60" s="253">
        <v>150</v>
      </c>
      <c r="C60" s="243">
        <v>119</v>
      </c>
      <c r="D60" s="246">
        <f>((C60/B60)     -    1)*100</f>
        <v>-20.666666666666668</v>
      </c>
      <c r="E60" s="253">
        <v>130</v>
      </c>
      <c r="F60" s="243">
        <v>113</v>
      </c>
      <c r="G60" s="247">
        <f t="shared" si="17"/>
        <v>-13.076923076923075</v>
      </c>
    </row>
    <row r="61" spans="1:7" ht="11.1" customHeight="1" x14ac:dyDescent="0.25">
      <c r="A61" s="250" t="s">
        <v>124</v>
      </c>
      <c r="B61" s="253">
        <v>110</v>
      </c>
      <c r="C61" s="243">
        <v>119</v>
      </c>
      <c r="D61" s="246">
        <f>((C61/B61)     -    1)*100</f>
        <v>8.1818181818181799</v>
      </c>
      <c r="E61" s="253">
        <v>145</v>
      </c>
      <c r="F61" s="243">
        <v>140</v>
      </c>
      <c r="G61" s="247">
        <f t="shared" si="17"/>
        <v>-3.4482758620689613</v>
      </c>
    </row>
    <row r="62" spans="1:7" ht="11.1" customHeight="1" x14ac:dyDescent="0.25">
      <c r="A62" s="250" t="s">
        <v>22</v>
      </c>
      <c r="B62" s="253">
        <v>178</v>
      </c>
      <c r="C62" s="243">
        <v>174</v>
      </c>
      <c r="D62" s="246">
        <f>((C62/B62)     -    1)*100</f>
        <v>-2.2471910112359605</v>
      </c>
      <c r="E62" s="567" t="s">
        <v>572</v>
      </c>
      <c r="F62" s="567" t="s">
        <v>572</v>
      </c>
      <c r="G62" s="236" t="s">
        <v>155</v>
      </c>
    </row>
    <row r="63" spans="1:7" ht="11.1" customHeight="1" x14ac:dyDescent="0.25">
      <c r="A63" s="250" t="s">
        <v>23</v>
      </c>
      <c r="B63" s="567" t="s">
        <v>158</v>
      </c>
      <c r="C63" s="243">
        <v>170</v>
      </c>
      <c r="D63" s="236" t="s">
        <v>155</v>
      </c>
      <c r="E63" s="253">
        <v>125</v>
      </c>
      <c r="F63" s="243">
        <v>146</v>
      </c>
      <c r="G63" s="247">
        <f t="shared" si="17"/>
        <v>16.799999999999994</v>
      </c>
    </row>
    <row r="64" spans="1:7" ht="11.1" customHeight="1" x14ac:dyDescent="0.25">
      <c r="A64" s="250" t="s">
        <v>24</v>
      </c>
      <c r="B64" s="253">
        <v>130</v>
      </c>
      <c r="C64" s="243">
        <v>105</v>
      </c>
      <c r="D64" s="246">
        <f>((C64/B64)     -    1)*100</f>
        <v>-19.23076923076923</v>
      </c>
      <c r="E64" s="253">
        <v>107</v>
      </c>
      <c r="F64" s="243">
        <v>99</v>
      </c>
      <c r="G64" s="247">
        <f>((F64/E64)     -    1)*100</f>
        <v>-7.4766355140186924</v>
      </c>
    </row>
    <row r="65" spans="1:8" ht="11.1" customHeight="1" x14ac:dyDescent="0.25">
      <c r="A65" s="674" t="s">
        <v>125</v>
      </c>
      <c r="B65" s="675">
        <v>155</v>
      </c>
      <c r="C65" s="676">
        <v>181</v>
      </c>
      <c r="D65" s="246">
        <f>((C65/B65)     -    1)*100</f>
        <v>16.774193548387096</v>
      </c>
      <c r="E65" s="679" t="s">
        <v>572</v>
      </c>
      <c r="F65" s="679" t="s">
        <v>572</v>
      </c>
      <c r="G65" s="236" t="s">
        <v>155</v>
      </c>
      <c r="H65" s="256"/>
    </row>
    <row r="66" spans="1:8" ht="11.1" customHeight="1" x14ac:dyDescent="0.25">
      <c r="A66" s="674" t="s">
        <v>63</v>
      </c>
      <c r="B66" s="675">
        <v>130</v>
      </c>
      <c r="C66" s="676">
        <v>115</v>
      </c>
      <c r="D66" s="246">
        <f>((C66/B66)     -    1)*100</f>
        <v>-11.538461538461542</v>
      </c>
      <c r="E66" s="675">
        <v>75</v>
      </c>
      <c r="F66" s="676">
        <v>100</v>
      </c>
      <c r="G66" s="247">
        <f>((F66/E66)     -    1)*100</f>
        <v>33.333333333333329</v>
      </c>
      <c r="H66" s="256"/>
    </row>
    <row r="67" spans="1:8" ht="11.1" customHeight="1" x14ac:dyDescent="0.25">
      <c r="A67" s="668" t="s">
        <v>25</v>
      </c>
      <c r="B67" s="677"/>
      <c r="C67" s="678"/>
      <c r="D67" s="1"/>
      <c r="E67" s="677"/>
      <c r="F67" s="678"/>
      <c r="G67" s="1"/>
      <c r="H67" s="256"/>
    </row>
    <row r="68" spans="1:8" ht="11.1" customHeight="1" x14ac:dyDescent="0.25">
      <c r="A68" s="674" t="s">
        <v>564</v>
      </c>
      <c r="B68" s="675">
        <v>174</v>
      </c>
      <c r="C68" s="676">
        <v>173</v>
      </c>
      <c r="D68" s="246">
        <f>((C68/B68)     -    1)*100</f>
        <v>-0.57471264367816577</v>
      </c>
      <c r="E68" s="675">
        <v>102</v>
      </c>
      <c r="F68" s="676">
        <v>104</v>
      </c>
      <c r="G68" s="247">
        <f t="shared" ref="G68:G79" si="18">((F68/E68)     -    1)*100</f>
        <v>1.9607843137254832</v>
      </c>
      <c r="H68" s="256"/>
    </row>
    <row r="69" spans="1:8" ht="11.1" customHeight="1" x14ac:dyDescent="0.25">
      <c r="A69" s="674" t="s">
        <v>53</v>
      </c>
      <c r="B69" s="675">
        <v>143</v>
      </c>
      <c r="C69" s="676">
        <v>145</v>
      </c>
      <c r="D69" s="246">
        <f t="shared" ref="D69:D71" si="19">((C69/B69)     -    1)*100</f>
        <v>1.3986013986013957</v>
      </c>
      <c r="E69" s="675">
        <v>89</v>
      </c>
      <c r="F69" s="676">
        <v>94</v>
      </c>
      <c r="G69" s="247">
        <f t="shared" ref="G69:G71" si="20">((F69/E69)     -    1)*100</f>
        <v>5.6179775280898792</v>
      </c>
      <c r="H69" s="256"/>
    </row>
    <row r="70" spans="1:8" ht="11.1" customHeight="1" x14ac:dyDescent="0.25">
      <c r="A70" s="250" t="s">
        <v>565</v>
      </c>
      <c r="B70" s="253">
        <v>118</v>
      </c>
      <c r="C70" s="243">
        <v>115</v>
      </c>
      <c r="D70" s="246">
        <f t="shared" si="19"/>
        <v>-2.5423728813559365</v>
      </c>
      <c r="E70" s="253">
        <v>95</v>
      </c>
      <c r="F70" s="243">
        <v>135</v>
      </c>
      <c r="G70" s="247">
        <f t="shared" si="20"/>
        <v>42.105263157894733</v>
      </c>
    </row>
    <row r="71" spans="1:8" ht="11.1" customHeight="1" x14ac:dyDescent="0.25">
      <c r="A71" s="250" t="s">
        <v>58</v>
      </c>
      <c r="B71" s="253">
        <v>125</v>
      </c>
      <c r="C71" s="243">
        <v>135</v>
      </c>
      <c r="D71" s="246">
        <f t="shared" si="19"/>
        <v>8.0000000000000071</v>
      </c>
      <c r="E71" s="253">
        <v>110</v>
      </c>
      <c r="F71" s="243">
        <v>125</v>
      </c>
      <c r="G71" s="247">
        <f t="shared" si="20"/>
        <v>13.636363636363647</v>
      </c>
    </row>
    <row r="72" spans="1:8" ht="11.1" customHeight="1" x14ac:dyDescent="0.25">
      <c r="A72" s="250" t="s">
        <v>566</v>
      </c>
      <c r="B72" s="253">
        <v>125</v>
      </c>
      <c r="C72" s="243">
        <v>125</v>
      </c>
      <c r="D72" s="246">
        <f>((C72/B72)     -    1)*100</f>
        <v>0</v>
      </c>
      <c r="E72" s="253">
        <v>171</v>
      </c>
      <c r="F72" s="243">
        <v>170</v>
      </c>
      <c r="G72" s="247">
        <f t="shared" si="18"/>
        <v>-0.58479532163743242</v>
      </c>
    </row>
    <row r="73" spans="1:8" ht="12.9" customHeight="1" x14ac:dyDescent="0.25">
      <c r="A73" s="239"/>
      <c r="B73" s="579"/>
      <c r="C73" s="220"/>
      <c r="D73" s="220"/>
      <c r="E73" s="584"/>
      <c r="F73" s="240"/>
      <c r="G73" s="232" t="s">
        <v>26</v>
      </c>
    </row>
    <row r="74" spans="1:8" ht="12.9" customHeight="1" x14ac:dyDescent="0.2">
      <c r="A74" s="233" t="s">
        <v>486</v>
      </c>
      <c r="B74" s="580"/>
      <c r="C74" s="6"/>
      <c r="D74" s="181"/>
      <c r="E74" s="585"/>
      <c r="F74" s="182"/>
      <c r="G74" s="241"/>
    </row>
    <row r="75" spans="1:8" ht="12.9" customHeight="1" x14ac:dyDescent="0.25">
      <c r="A75" s="770" t="s">
        <v>0</v>
      </c>
      <c r="B75" s="772" t="s">
        <v>150</v>
      </c>
      <c r="C75" s="773"/>
      <c r="D75" s="774"/>
      <c r="E75" s="772" t="s">
        <v>151</v>
      </c>
      <c r="F75" s="773"/>
      <c r="G75" s="774"/>
    </row>
    <row r="76" spans="1:8" ht="12.9" customHeight="1" x14ac:dyDescent="0.25">
      <c r="A76" s="771"/>
      <c r="B76" s="586" t="s">
        <v>152</v>
      </c>
      <c r="C76" s="227" t="s">
        <v>160</v>
      </c>
      <c r="D76" s="228" t="s">
        <v>1</v>
      </c>
      <c r="E76" s="586" t="s">
        <v>152</v>
      </c>
      <c r="F76" s="227" t="s">
        <v>160</v>
      </c>
      <c r="G76" s="228" t="s">
        <v>1</v>
      </c>
    </row>
    <row r="77" spans="1:8" ht="3" customHeight="1" x14ac:dyDescent="0.25">
      <c r="A77" s="250"/>
      <c r="B77" s="253"/>
      <c r="C77" s="243"/>
      <c r="D77" s="246"/>
      <c r="E77" s="253"/>
      <c r="F77" s="243"/>
      <c r="G77" s="247"/>
    </row>
    <row r="78" spans="1:8" ht="11.1" customHeight="1" x14ac:dyDescent="0.25">
      <c r="A78" s="224" t="s">
        <v>81</v>
      </c>
      <c r="B78" s="581"/>
      <c r="C78" s="13"/>
      <c r="D78" s="236"/>
      <c r="E78" s="581"/>
      <c r="F78" s="13"/>
      <c r="G78" s="236"/>
    </row>
    <row r="79" spans="1:8" ht="9.9" customHeight="1" x14ac:dyDescent="0.25">
      <c r="A79" s="250" t="s">
        <v>88</v>
      </c>
      <c r="B79" s="253">
        <v>115</v>
      </c>
      <c r="C79" s="243">
        <v>92</v>
      </c>
      <c r="D79" s="246">
        <f>((C79/B79)     -    1)*100</f>
        <v>-19.999999999999996</v>
      </c>
      <c r="E79" s="253">
        <v>155</v>
      </c>
      <c r="F79" s="243">
        <v>170</v>
      </c>
      <c r="G79" s="247">
        <f t="shared" si="18"/>
        <v>9.6774193548387011</v>
      </c>
    </row>
    <row r="80" spans="1:8" ht="9.9" customHeight="1" x14ac:dyDescent="0.25">
      <c r="A80" s="250" t="s">
        <v>551</v>
      </c>
      <c r="B80" s="253">
        <v>130</v>
      </c>
      <c r="C80" s="243">
        <v>133</v>
      </c>
      <c r="D80" s="246">
        <f t="shared" ref="D80:D86" si="21">((C80/B80)     -    1)*100</f>
        <v>2.3076923076922995</v>
      </c>
      <c r="E80" s="253">
        <v>150</v>
      </c>
      <c r="F80" s="243">
        <v>142</v>
      </c>
      <c r="G80" s="247">
        <f t="shared" ref="G80" si="22">((F80/E80)     -    1)*100</f>
        <v>-5.3333333333333339</v>
      </c>
    </row>
    <row r="81" spans="1:7" ht="9.9" customHeight="1" x14ac:dyDescent="0.25">
      <c r="A81" s="250" t="s">
        <v>552</v>
      </c>
      <c r="B81" s="567" t="s">
        <v>572</v>
      </c>
      <c r="C81" s="243">
        <v>87</v>
      </c>
      <c r="D81" s="236" t="s">
        <v>155</v>
      </c>
      <c r="E81" s="567" t="s">
        <v>572</v>
      </c>
      <c r="F81" s="243">
        <v>160</v>
      </c>
      <c r="G81" s="236" t="s">
        <v>155</v>
      </c>
    </row>
    <row r="82" spans="1:7" ht="9.9" customHeight="1" x14ac:dyDescent="0.25">
      <c r="A82" s="250" t="s">
        <v>553</v>
      </c>
      <c r="B82" s="253">
        <v>115</v>
      </c>
      <c r="C82" s="243">
        <v>115</v>
      </c>
      <c r="D82" s="246">
        <f t="shared" ref="D82" si="23">((C82/B82)     -    1)*100</f>
        <v>0</v>
      </c>
      <c r="E82" s="253">
        <v>150</v>
      </c>
      <c r="F82" s="243">
        <v>159</v>
      </c>
      <c r="G82" s="247">
        <f t="shared" ref="G82" si="24">((F82/E82)     -    1)*100</f>
        <v>6.0000000000000053</v>
      </c>
    </row>
    <row r="83" spans="1:7" ht="9.9" customHeight="1" x14ac:dyDescent="0.25">
      <c r="A83" s="250" t="s">
        <v>27</v>
      </c>
      <c r="B83" s="253">
        <v>130</v>
      </c>
      <c r="C83" s="243">
        <v>120</v>
      </c>
      <c r="D83" s="246">
        <f t="shared" si="21"/>
        <v>-7.6923076923076872</v>
      </c>
      <c r="E83" s="567" t="s">
        <v>572</v>
      </c>
      <c r="F83" s="567" t="s">
        <v>572</v>
      </c>
      <c r="G83" s="236" t="s">
        <v>155</v>
      </c>
    </row>
    <row r="84" spans="1:7" ht="9.9" customHeight="1" x14ac:dyDescent="0.25">
      <c r="A84" s="250" t="s">
        <v>554</v>
      </c>
      <c r="B84" s="253">
        <v>225</v>
      </c>
      <c r="C84" s="243">
        <v>250</v>
      </c>
      <c r="D84" s="246">
        <f t="shared" si="21"/>
        <v>11.111111111111116</v>
      </c>
      <c r="E84" s="567" t="s">
        <v>572</v>
      </c>
      <c r="F84" s="567" t="s">
        <v>572</v>
      </c>
      <c r="G84" s="236" t="s">
        <v>155</v>
      </c>
    </row>
    <row r="85" spans="1:7" ht="9.9" customHeight="1" x14ac:dyDescent="0.25">
      <c r="A85" s="250" t="s">
        <v>555</v>
      </c>
      <c r="B85" s="253">
        <v>140</v>
      </c>
      <c r="C85" s="243">
        <v>124</v>
      </c>
      <c r="D85" s="246">
        <f t="shared" si="21"/>
        <v>-11.428571428571432</v>
      </c>
      <c r="E85" s="567" t="s">
        <v>572</v>
      </c>
      <c r="F85" s="567" t="s">
        <v>572</v>
      </c>
      <c r="G85" s="236" t="s">
        <v>155</v>
      </c>
    </row>
    <row r="86" spans="1:7" ht="9.9" customHeight="1" x14ac:dyDescent="0.25">
      <c r="A86" s="250" t="s">
        <v>556</v>
      </c>
      <c r="B86" s="253">
        <v>110</v>
      </c>
      <c r="C86" s="243">
        <v>89</v>
      </c>
      <c r="D86" s="246">
        <f t="shared" si="21"/>
        <v>-19.090909090909093</v>
      </c>
      <c r="E86" s="567" t="s">
        <v>572</v>
      </c>
      <c r="F86" s="567" t="s">
        <v>572</v>
      </c>
      <c r="G86" s="236" t="s">
        <v>155</v>
      </c>
    </row>
    <row r="87" spans="1:7" ht="11.1" customHeight="1" x14ac:dyDescent="0.25">
      <c r="A87" s="224" t="s">
        <v>86</v>
      </c>
      <c r="B87" s="578"/>
      <c r="C87" s="238"/>
      <c r="D87" s="1"/>
      <c r="E87" s="578"/>
      <c r="F87" s="238"/>
      <c r="G87" s="1"/>
    </row>
    <row r="88" spans="1:7" ht="9.9" customHeight="1" x14ac:dyDescent="0.25">
      <c r="A88" s="250" t="s">
        <v>28</v>
      </c>
      <c r="B88" s="253">
        <v>165</v>
      </c>
      <c r="C88" s="243">
        <v>155</v>
      </c>
      <c r="D88" s="246">
        <f t="shared" ref="D88:D97" si="25">((C88/B88)     -    1)*100</f>
        <v>-6.0606060606060552</v>
      </c>
      <c r="E88" s="253">
        <v>175</v>
      </c>
      <c r="F88" s="243">
        <v>175</v>
      </c>
      <c r="G88" s="246">
        <f>((F88/E88)     -    1)*100</f>
        <v>0</v>
      </c>
    </row>
    <row r="89" spans="1:7" ht="9.9" customHeight="1" x14ac:dyDescent="0.25">
      <c r="A89" s="250" t="s">
        <v>82</v>
      </c>
      <c r="B89" s="567" t="s">
        <v>572</v>
      </c>
      <c r="C89" s="567" t="s">
        <v>572</v>
      </c>
      <c r="D89" s="236" t="s">
        <v>155</v>
      </c>
      <c r="E89" s="567" t="s">
        <v>572</v>
      </c>
      <c r="F89" s="243">
        <v>110</v>
      </c>
      <c r="G89" s="236" t="s">
        <v>155</v>
      </c>
    </row>
    <row r="90" spans="1:7" ht="9.9" customHeight="1" x14ac:dyDescent="0.25">
      <c r="A90" s="250" t="s">
        <v>29</v>
      </c>
      <c r="B90" s="253">
        <v>165</v>
      </c>
      <c r="C90" s="243">
        <v>165</v>
      </c>
      <c r="D90" s="246">
        <f t="shared" si="25"/>
        <v>0</v>
      </c>
      <c r="E90" s="567" t="s">
        <v>572</v>
      </c>
      <c r="F90" s="567" t="s">
        <v>572</v>
      </c>
      <c r="G90" s="236" t="s">
        <v>155</v>
      </c>
    </row>
    <row r="91" spans="1:7" ht="9.9" customHeight="1" x14ac:dyDescent="0.25">
      <c r="A91" s="250" t="s">
        <v>30</v>
      </c>
      <c r="B91" s="253">
        <v>150</v>
      </c>
      <c r="C91" s="243">
        <v>140</v>
      </c>
      <c r="D91" s="246">
        <f t="shared" si="25"/>
        <v>-6.6666666666666652</v>
      </c>
      <c r="E91" s="253">
        <v>200</v>
      </c>
      <c r="F91" s="243">
        <v>210</v>
      </c>
      <c r="G91" s="246">
        <f t="shared" ref="G91:G97" si="26">((F91/E91)     -    1)*100</f>
        <v>5.0000000000000044</v>
      </c>
    </row>
    <row r="92" spans="1:7" ht="9.9" customHeight="1" x14ac:dyDescent="0.25">
      <c r="A92" s="250" t="s">
        <v>64</v>
      </c>
      <c r="B92" s="253">
        <v>83</v>
      </c>
      <c r="C92" s="243">
        <v>83</v>
      </c>
      <c r="D92" s="246">
        <f t="shared" si="25"/>
        <v>0</v>
      </c>
      <c r="E92" s="253">
        <v>115</v>
      </c>
      <c r="F92" s="243">
        <v>100</v>
      </c>
      <c r="G92" s="246">
        <f t="shared" si="26"/>
        <v>-13.043478260869568</v>
      </c>
    </row>
    <row r="93" spans="1:7" ht="9.9" customHeight="1" x14ac:dyDescent="0.25">
      <c r="A93" s="250" t="s">
        <v>31</v>
      </c>
      <c r="B93" s="253">
        <v>95</v>
      </c>
      <c r="C93" s="243">
        <v>95</v>
      </c>
      <c r="D93" s="246">
        <f t="shared" si="25"/>
        <v>0</v>
      </c>
      <c r="E93" s="253">
        <v>98</v>
      </c>
      <c r="F93" s="243">
        <v>98</v>
      </c>
      <c r="G93" s="246">
        <f t="shared" si="26"/>
        <v>0</v>
      </c>
    </row>
    <row r="94" spans="1:7" ht="9.9" customHeight="1" x14ac:dyDescent="0.25">
      <c r="A94" s="250" t="s">
        <v>54</v>
      </c>
      <c r="B94" s="253">
        <v>170</v>
      </c>
      <c r="C94" s="243">
        <v>170</v>
      </c>
      <c r="D94" s="246">
        <f t="shared" si="25"/>
        <v>0</v>
      </c>
      <c r="E94" s="253">
        <v>145</v>
      </c>
      <c r="F94" s="243">
        <v>153</v>
      </c>
      <c r="G94" s="246">
        <f t="shared" si="26"/>
        <v>5.5172413793103559</v>
      </c>
    </row>
    <row r="95" spans="1:7" ht="9.9" customHeight="1" x14ac:dyDescent="0.25">
      <c r="A95" s="250" t="s">
        <v>83</v>
      </c>
      <c r="B95" s="253">
        <v>110</v>
      </c>
      <c r="C95" s="243">
        <v>110</v>
      </c>
      <c r="D95" s="246">
        <f t="shared" si="25"/>
        <v>0</v>
      </c>
      <c r="E95" s="253">
        <v>110</v>
      </c>
      <c r="F95" s="243">
        <v>110</v>
      </c>
      <c r="G95" s="246">
        <f t="shared" si="26"/>
        <v>0</v>
      </c>
    </row>
    <row r="96" spans="1:7" ht="9.9" customHeight="1" x14ac:dyDescent="0.25">
      <c r="A96" s="250" t="s">
        <v>32</v>
      </c>
      <c r="B96" s="253">
        <v>80</v>
      </c>
      <c r="C96" s="243">
        <v>85</v>
      </c>
      <c r="D96" s="246">
        <f t="shared" si="25"/>
        <v>6.25</v>
      </c>
      <c r="E96" s="253">
        <v>105</v>
      </c>
      <c r="F96" s="243">
        <v>105</v>
      </c>
      <c r="G96" s="246">
        <f t="shared" si="26"/>
        <v>0</v>
      </c>
    </row>
    <row r="97" spans="1:8" ht="9.9" customHeight="1" x14ac:dyDescent="0.25">
      <c r="A97" s="250" t="s">
        <v>33</v>
      </c>
      <c r="B97" s="253">
        <v>70</v>
      </c>
      <c r="C97" s="243">
        <v>73</v>
      </c>
      <c r="D97" s="246">
        <f t="shared" si="25"/>
        <v>4.2857142857142927</v>
      </c>
      <c r="E97" s="253">
        <v>65</v>
      </c>
      <c r="F97" s="243">
        <v>68</v>
      </c>
      <c r="G97" s="246">
        <f t="shared" si="26"/>
        <v>4.6153846153846212</v>
      </c>
    </row>
    <row r="98" spans="1:8" ht="9.9" customHeight="1" x14ac:dyDescent="0.25">
      <c r="A98" s="250" t="s">
        <v>34</v>
      </c>
      <c r="B98" s="253">
        <v>140</v>
      </c>
      <c r="C98" s="243">
        <v>163</v>
      </c>
      <c r="D98" s="246">
        <f>((C98/B98)     -    1)*100</f>
        <v>16.428571428571438</v>
      </c>
      <c r="E98" s="253">
        <v>125</v>
      </c>
      <c r="F98" s="243">
        <v>125</v>
      </c>
      <c r="G98" s="246">
        <f>((F98/E98)     -    1)*100</f>
        <v>0</v>
      </c>
    </row>
    <row r="99" spans="1:8" ht="9.9" customHeight="1" x14ac:dyDescent="0.25">
      <c r="A99" s="250" t="s">
        <v>66</v>
      </c>
      <c r="B99" s="567" t="s">
        <v>572</v>
      </c>
      <c r="C99" s="243">
        <v>188</v>
      </c>
      <c r="D99" s="236" t="s">
        <v>155</v>
      </c>
      <c r="E99" s="567" t="s">
        <v>572</v>
      </c>
      <c r="F99" s="243">
        <v>145</v>
      </c>
      <c r="G99" s="236" t="s">
        <v>155</v>
      </c>
      <c r="H99" s="256"/>
    </row>
    <row r="100" spans="1:8" ht="11.1" customHeight="1" x14ac:dyDescent="0.25">
      <c r="A100" s="224" t="s">
        <v>35</v>
      </c>
      <c r="B100" s="578"/>
      <c r="C100" s="238"/>
      <c r="D100" s="1"/>
      <c r="E100" s="578"/>
      <c r="F100" s="238"/>
      <c r="G100" s="1"/>
      <c r="H100" s="256"/>
    </row>
    <row r="101" spans="1:8" ht="9.9" customHeight="1" x14ac:dyDescent="0.25">
      <c r="A101" s="250" t="s">
        <v>36</v>
      </c>
      <c r="B101" s="253">
        <v>175</v>
      </c>
      <c r="C101" s="243">
        <v>175</v>
      </c>
      <c r="D101" s="246">
        <f>((C101/B101)     -    1)*100</f>
        <v>0</v>
      </c>
      <c r="E101" s="253">
        <v>90</v>
      </c>
      <c r="F101" s="243">
        <v>100</v>
      </c>
      <c r="G101" s="246">
        <f>((F101/E101)     -    1)*100</f>
        <v>11.111111111111116</v>
      </c>
      <c r="H101" s="256"/>
    </row>
    <row r="102" spans="1:8" ht="9.9" customHeight="1" x14ac:dyDescent="0.25">
      <c r="A102" s="250" t="s">
        <v>37</v>
      </c>
      <c r="B102" s="253">
        <v>175</v>
      </c>
      <c r="C102" s="243">
        <v>185</v>
      </c>
      <c r="D102" s="246">
        <f>((C102/B102)     -    1)*100</f>
        <v>5.7142857142857162</v>
      </c>
      <c r="E102" s="253">
        <v>105</v>
      </c>
      <c r="F102" s="243">
        <v>110</v>
      </c>
      <c r="G102" s="246">
        <f>((F102/E102)     -    1)*100</f>
        <v>4.7619047619047672</v>
      </c>
      <c r="H102" s="256"/>
    </row>
    <row r="103" spans="1:8" ht="9.9" customHeight="1" x14ac:dyDescent="0.25">
      <c r="A103" s="250" t="s">
        <v>38</v>
      </c>
      <c r="B103" s="253">
        <v>175</v>
      </c>
      <c r="C103" s="243">
        <v>175</v>
      </c>
      <c r="D103" s="246">
        <f>((C103/B103)     -    1)*100</f>
        <v>0</v>
      </c>
      <c r="E103" s="253">
        <v>90</v>
      </c>
      <c r="F103" s="243">
        <v>100</v>
      </c>
      <c r="G103" s="246">
        <f>((F103/E103)     -    1)*100</f>
        <v>11.111111111111116</v>
      </c>
      <c r="H103" s="256"/>
    </row>
    <row r="104" spans="1:8" ht="11.1" customHeight="1" x14ac:dyDescent="0.25">
      <c r="A104" s="224" t="s">
        <v>206</v>
      </c>
      <c r="B104" s="563"/>
      <c r="C104" s="243"/>
      <c r="D104" s="236"/>
      <c r="E104" s="563"/>
      <c r="F104" s="62"/>
      <c r="G104" s="236"/>
      <c r="H104" s="256"/>
    </row>
    <row r="105" spans="1:8" ht="9.9" customHeight="1" x14ac:dyDescent="0.25">
      <c r="A105" s="250" t="s">
        <v>143</v>
      </c>
      <c r="B105" s="253">
        <v>95</v>
      </c>
      <c r="C105" s="243">
        <v>172</v>
      </c>
      <c r="D105" s="246">
        <f t="shared" ref="D105" si="27">((C105/B105)     -    1)*100</f>
        <v>81.05263157894737</v>
      </c>
      <c r="E105" s="567" t="s">
        <v>572</v>
      </c>
      <c r="F105" s="243">
        <v>224</v>
      </c>
      <c r="G105" s="236" t="s">
        <v>155</v>
      </c>
      <c r="H105" s="256"/>
    </row>
    <row r="106" spans="1:8" ht="11.1" customHeight="1" x14ac:dyDescent="0.25">
      <c r="A106" s="224" t="s">
        <v>560</v>
      </c>
      <c r="B106" s="578"/>
      <c r="C106" s="238"/>
      <c r="D106" s="1"/>
      <c r="E106" s="578"/>
      <c r="F106" s="238"/>
      <c r="G106" s="1"/>
      <c r="H106" s="256"/>
    </row>
    <row r="107" spans="1:8" ht="9.9" customHeight="1" x14ac:dyDescent="0.25">
      <c r="A107" s="255" t="s">
        <v>561</v>
      </c>
      <c r="B107" s="253">
        <v>165</v>
      </c>
      <c r="C107" s="243">
        <v>155</v>
      </c>
      <c r="D107" s="236" t="s">
        <v>155</v>
      </c>
      <c r="E107" s="567" t="s">
        <v>572</v>
      </c>
      <c r="F107" s="567" t="s">
        <v>572</v>
      </c>
      <c r="G107" s="236" t="s">
        <v>155</v>
      </c>
      <c r="H107" s="256"/>
    </row>
    <row r="108" spans="1:8" ht="9.9" customHeight="1" x14ac:dyDescent="0.25">
      <c r="A108" s="250" t="s">
        <v>562</v>
      </c>
      <c r="B108" s="253">
        <v>165</v>
      </c>
      <c r="C108" s="243">
        <v>155</v>
      </c>
      <c r="D108" s="246">
        <f>((C108/B108)     -    1)*100</f>
        <v>-6.0606060606060552</v>
      </c>
      <c r="E108" s="567" t="s">
        <v>572</v>
      </c>
      <c r="F108" s="567" t="s">
        <v>572</v>
      </c>
      <c r="G108" s="236" t="s">
        <v>155</v>
      </c>
      <c r="H108" s="256"/>
    </row>
    <row r="109" spans="1:8" ht="9.9" customHeight="1" x14ac:dyDescent="0.25">
      <c r="A109" s="250" t="s">
        <v>563</v>
      </c>
      <c r="B109" s="253">
        <v>175</v>
      </c>
      <c r="C109" s="243">
        <v>155</v>
      </c>
      <c r="D109" s="246">
        <f>((C109/B109)     -    1)*100</f>
        <v>-11.428571428571432</v>
      </c>
      <c r="E109" s="567" t="s">
        <v>572</v>
      </c>
      <c r="F109" s="567" t="s">
        <v>572</v>
      </c>
      <c r="G109" s="236" t="s">
        <v>155</v>
      </c>
      <c r="H109" s="256"/>
    </row>
    <row r="110" spans="1:8" ht="11.1" customHeight="1" x14ac:dyDescent="0.25">
      <c r="A110" s="224" t="s">
        <v>192</v>
      </c>
      <c r="B110" s="578"/>
      <c r="C110" s="238"/>
      <c r="D110" s="1"/>
      <c r="E110" s="578"/>
      <c r="F110" s="238"/>
      <c r="G110" s="1"/>
      <c r="H110" s="256"/>
    </row>
    <row r="111" spans="1:8" ht="9.9" customHeight="1" x14ac:dyDescent="0.25">
      <c r="A111" s="255" t="s">
        <v>193</v>
      </c>
      <c r="B111" s="567" t="s">
        <v>572</v>
      </c>
      <c r="C111" s="243">
        <v>100</v>
      </c>
      <c r="D111" s="236" t="s">
        <v>155</v>
      </c>
      <c r="E111" s="567" t="s">
        <v>572</v>
      </c>
      <c r="F111" s="243">
        <v>80</v>
      </c>
      <c r="G111" s="236" t="s">
        <v>155</v>
      </c>
      <c r="H111" s="256"/>
    </row>
    <row r="112" spans="1:8" ht="9.9" customHeight="1" x14ac:dyDescent="0.25">
      <c r="A112" s="250" t="s">
        <v>194</v>
      </c>
      <c r="B112" s="253">
        <v>95</v>
      </c>
      <c r="C112" s="243">
        <v>95</v>
      </c>
      <c r="D112" s="246">
        <f>((C112/B112)     -    1)*100</f>
        <v>0</v>
      </c>
      <c r="E112" s="253">
        <v>260</v>
      </c>
      <c r="F112" s="243">
        <v>280</v>
      </c>
      <c r="G112" s="246">
        <f>((F112/E112)     -    1)*100</f>
        <v>7.6923076923076872</v>
      </c>
      <c r="H112" s="256"/>
    </row>
    <row r="113" spans="1:8" ht="9.9" customHeight="1" x14ac:dyDescent="0.25">
      <c r="A113" s="250" t="s">
        <v>207</v>
      </c>
      <c r="B113" s="567" t="s">
        <v>572</v>
      </c>
      <c r="C113" s="243">
        <v>70</v>
      </c>
      <c r="D113" s="236" t="s">
        <v>155</v>
      </c>
      <c r="E113" s="567" t="s">
        <v>572</v>
      </c>
      <c r="F113" s="243">
        <v>105</v>
      </c>
      <c r="G113" s="236" t="s">
        <v>155</v>
      </c>
      <c r="H113" s="256"/>
    </row>
    <row r="114" spans="1:8" ht="9.9" customHeight="1" x14ac:dyDescent="0.25">
      <c r="A114" s="674" t="s">
        <v>195</v>
      </c>
      <c r="B114" s="675">
        <v>112</v>
      </c>
      <c r="C114" s="676">
        <v>98</v>
      </c>
      <c r="D114" s="246">
        <f>((C114/B114)     -    1)*100</f>
        <v>-12.5</v>
      </c>
      <c r="E114" s="675">
        <v>180</v>
      </c>
      <c r="F114" s="676">
        <v>100</v>
      </c>
      <c r="G114" s="246">
        <f>((F114/E114)     -    1)*100</f>
        <v>-44.444444444444443</v>
      </c>
      <c r="H114" s="256"/>
    </row>
    <row r="115" spans="1:8" ht="11.1" customHeight="1" x14ac:dyDescent="0.25">
      <c r="A115" s="668" t="s">
        <v>39</v>
      </c>
      <c r="B115" s="677"/>
      <c r="C115" s="678"/>
      <c r="D115" s="1"/>
      <c r="E115" s="677"/>
      <c r="F115" s="678"/>
      <c r="G115" s="1"/>
      <c r="H115" s="256"/>
    </row>
    <row r="116" spans="1:8" ht="9.9" customHeight="1" x14ac:dyDescent="0.25">
      <c r="A116" s="674" t="s">
        <v>93</v>
      </c>
      <c r="B116" s="675">
        <v>110</v>
      </c>
      <c r="C116" s="676">
        <v>120</v>
      </c>
      <c r="D116" s="246">
        <f>((C116/B116)     -    1)*100</f>
        <v>9.0909090909090828</v>
      </c>
      <c r="E116" s="679" t="s">
        <v>572</v>
      </c>
      <c r="F116" s="679" t="s">
        <v>572</v>
      </c>
      <c r="G116" s="236" t="s">
        <v>155</v>
      </c>
      <c r="H116" s="256"/>
    </row>
    <row r="117" spans="1:8" ht="9.9" customHeight="1" x14ac:dyDescent="0.25">
      <c r="A117" s="250" t="s">
        <v>40</v>
      </c>
      <c r="B117" s="253">
        <v>185</v>
      </c>
      <c r="C117" s="243">
        <v>158</v>
      </c>
      <c r="D117" s="246">
        <f>((C117/B117)     -    1)*100</f>
        <v>-14.594594594594589</v>
      </c>
      <c r="E117" s="567" t="s">
        <v>572</v>
      </c>
      <c r="F117" s="567" t="s">
        <v>572</v>
      </c>
      <c r="G117" s="236" t="s">
        <v>155</v>
      </c>
    </row>
    <row r="118" spans="1:8" ht="9.9" customHeight="1" x14ac:dyDescent="0.25">
      <c r="A118" s="250" t="s">
        <v>41</v>
      </c>
      <c r="B118" s="253">
        <v>110</v>
      </c>
      <c r="C118" s="243">
        <v>144</v>
      </c>
      <c r="D118" s="246">
        <f>((C118/B118)     -    1)*100</f>
        <v>30.909090909090907</v>
      </c>
      <c r="E118" s="253">
        <v>145</v>
      </c>
      <c r="F118" s="243">
        <v>143</v>
      </c>
      <c r="G118" s="246">
        <f>((F118/E118)     -    1)*100</f>
        <v>-1.379310344827589</v>
      </c>
    </row>
    <row r="119" spans="1:8" ht="11.1" customHeight="1" x14ac:dyDescent="0.25">
      <c r="A119" s="224" t="s">
        <v>42</v>
      </c>
      <c r="B119" s="578"/>
      <c r="C119" s="238"/>
      <c r="D119" s="1"/>
      <c r="E119" s="578"/>
      <c r="F119" s="238"/>
      <c r="G119" s="1"/>
    </row>
    <row r="120" spans="1:8" ht="9.9" customHeight="1" x14ac:dyDescent="0.25">
      <c r="A120" s="250" t="s">
        <v>44</v>
      </c>
      <c r="B120" s="253">
        <v>105</v>
      </c>
      <c r="C120" s="243">
        <v>91</v>
      </c>
      <c r="D120" s="246">
        <f>((C120/B120)     -    1)*100</f>
        <v>-13.33333333333333</v>
      </c>
      <c r="E120" s="253">
        <v>65</v>
      </c>
      <c r="F120" s="243">
        <v>101</v>
      </c>
      <c r="G120" s="246">
        <f>((F120/E120)     -    1)*100</f>
        <v>55.384615384615387</v>
      </c>
    </row>
    <row r="121" spans="1:8" ht="9.9" customHeight="1" x14ac:dyDescent="0.25">
      <c r="A121" s="250" t="s">
        <v>414</v>
      </c>
      <c r="B121" s="253">
        <v>198</v>
      </c>
      <c r="C121" s="243">
        <v>168</v>
      </c>
      <c r="D121" s="246">
        <f>((C121/B121)     -    1)*100</f>
        <v>-15.151515151515149</v>
      </c>
      <c r="E121" s="253">
        <v>78</v>
      </c>
      <c r="F121" s="243">
        <v>78</v>
      </c>
      <c r="G121" s="246">
        <f>((F121/E121)     -    1)*100</f>
        <v>0</v>
      </c>
    </row>
    <row r="122" spans="1:8" ht="11.1" customHeight="1" x14ac:dyDescent="0.25">
      <c r="A122" s="224" t="s">
        <v>196</v>
      </c>
      <c r="B122" s="680"/>
      <c r="C122" s="681"/>
      <c r="D122" s="681"/>
      <c r="E122" s="680"/>
    </row>
    <row r="123" spans="1:8" ht="9.9" customHeight="1" x14ac:dyDescent="0.25">
      <c r="A123" s="250" t="s">
        <v>204</v>
      </c>
      <c r="B123" s="567" t="s">
        <v>572</v>
      </c>
      <c r="C123" s="243">
        <v>81</v>
      </c>
      <c r="D123" s="236" t="s">
        <v>155</v>
      </c>
      <c r="E123" s="567" t="s">
        <v>572</v>
      </c>
      <c r="F123" s="567" t="s">
        <v>572</v>
      </c>
      <c r="G123" s="236" t="s">
        <v>155</v>
      </c>
    </row>
    <row r="124" spans="1:8" ht="9.9" customHeight="1" x14ac:dyDescent="0.25">
      <c r="A124" s="250" t="s">
        <v>198</v>
      </c>
      <c r="B124" s="567" t="s">
        <v>572</v>
      </c>
      <c r="C124" s="243">
        <v>65</v>
      </c>
      <c r="D124" s="236" t="s">
        <v>155</v>
      </c>
      <c r="E124" s="567" t="s">
        <v>572</v>
      </c>
      <c r="F124" s="243">
        <v>80</v>
      </c>
      <c r="G124" s="236" t="s">
        <v>155</v>
      </c>
    </row>
    <row r="125" spans="1:8" ht="9.9" customHeight="1" x14ac:dyDescent="0.25">
      <c r="A125" s="250" t="s">
        <v>557</v>
      </c>
      <c r="B125" s="567" t="s">
        <v>572</v>
      </c>
      <c r="C125" s="243">
        <v>60</v>
      </c>
      <c r="D125" s="236" t="s">
        <v>155</v>
      </c>
      <c r="E125" s="567" t="s">
        <v>572</v>
      </c>
      <c r="F125" s="567" t="s">
        <v>572</v>
      </c>
      <c r="G125" s="236" t="s">
        <v>155</v>
      </c>
    </row>
    <row r="126" spans="1:8" ht="9.9" customHeight="1" x14ac:dyDescent="0.25">
      <c r="A126" s="250" t="s">
        <v>201</v>
      </c>
      <c r="B126" s="567" t="s">
        <v>572</v>
      </c>
      <c r="C126" s="243">
        <v>69</v>
      </c>
      <c r="D126" s="236" t="s">
        <v>155</v>
      </c>
      <c r="E126" s="567" t="s">
        <v>572</v>
      </c>
      <c r="F126" s="567" t="s">
        <v>572</v>
      </c>
      <c r="G126" s="236" t="s">
        <v>155</v>
      </c>
    </row>
    <row r="127" spans="1:8" ht="9.9" customHeight="1" x14ac:dyDescent="0.25">
      <c r="A127" s="250" t="s">
        <v>200</v>
      </c>
      <c r="B127" s="567" t="s">
        <v>572</v>
      </c>
      <c r="C127" s="243">
        <v>73</v>
      </c>
      <c r="D127" s="236" t="s">
        <v>155</v>
      </c>
      <c r="E127" s="567" t="s">
        <v>572</v>
      </c>
      <c r="F127" s="567" t="s">
        <v>572</v>
      </c>
      <c r="G127" s="236" t="s">
        <v>155</v>
      </c>
    </row>
    <row r="128" spans="1:8" ht="9.9" customHeight="1" x14ac:dyDescent="0.25">
      <c r="A128" s="250" t="s">
        <v>203</v>
      </c>
      <c r="B128" s="567" t="s">
        <v>572</v>
      </c>
      <c r="C128" s="243">
        <v>70</v>
      </c>
      <c r="D128" s="236" t="s">
        <v>155</v>
      </c>
      <c r="E128" s="567" t="s">
        <v>572</v>
      </c>
      <c r="F128" s="567" t="s">
        <v>572</v>
      </c>
      <c r="G128" s="236" t="s">
        <v>155</v>
      </c>
    </row>
    <row r="129" spans="1:7" ht="9.9" customHeight="1" x14ac:dyDescent="0.25">
      <c r="A129" s="250" t="s">
        <v>202</v>
      </c>
      <c r="B129" s="567" t="s">
        <v>572</v>
      </c>
      <c r="C129" s="243">
        <v>93</v>
      </c>
      <c r="D129" s="236" t="s">
        <v>155</v>
      </c>
      <c r="E129" s="567" t="s">
        <v>572</v>
      </c>
      <c r="F129" s="243">
        <v>90</v>
      </c>
      <c r="G129" s="236" t="s">
        <v>155</v>
      </c>
    </row>
    <row r="130" spans="1:7" ht="9.9" customHeight="1" x14ac:dyDescent="0.25">
      <c r="A130" s="250" t="s">
        <v>65</v>
      </c>
      <c r="B130" s="567" t="s">
        <v>572</v>
      </c>
      <c r="C130" s="243">
        <v>84</v>
      </c>
      <c r="D130" s="236" t="s">
        <v>155</v>
      </c>
      <c r="E130" s="567" t="s">
        <v>572</v>
      </c>
      <c r="F130" s="567" t="s">
        <v>572</v>
      </c>
      <c r="G130" s="236" t="s">
        <v>155</v>
      </c>
    </row>
    <row r="131" spans="1:7" ht="9.9" customHeight="1" x14ac:dyDescent="0.25">
      <c r="A131" s="250" t="s">
        <v>485</v>
      </c>
      <c r="B131" s="567" t="s">
        <v>572</v>
      </c>
      <c r="C131" s="243">
        <v>60</v>
      </c>
      <c r="D131" s="236" t="s">
        <v>155</v>
      </c>
      <c r="E131" s="567" t="s">
        <v>572</v>
      </c>
      <c r="F131" s="243">
        <v>140</v>
      </c>
      <c r="G131" s="236" t="s">
        <v>155</v>
      </c>
    </row>
    <row r="132" spans="1:7" ht="9.9" customHeight="1" x14ac:dyDescent="0.25">
      <c r="A132" s="250" t="s">
        <v>199</v>
      </c>
      <c r="B132" s="567" t="s">
        <v>572</v>
      </c>
      <c r="C132" s="243">
        <v>100</v>
      </c>
      <c r="D132" s="236" t="s">
        <v>155</v>
      </c>
      <c r="E132" s="567" t="s">
        <v>572</v>
      </c>
      <c r="F132" s="243">
        <v>110</v>
      </c>
      <c r="G132" s="236" t="s">
        <v>155</v>
      </c>
    </row>
    <row r="133" spans="1:7" ht="9.9" customHeight="1" x14ac:dyDescent="0.25">
      <c r="A133" s="250" t="s">
        <v>197</v>
      </c>
      <c r="B133" s="567" t="s">
        <v>572</v>
      </c>
      <c r="C133" s="243">
        <v>55</v>
      </c>
      <c r="D133" s="236" t="s">
        <v>155</v>
      </c>
      <c r="E133" s="567" t="s">
        <v>572</v>
      </c>
      <c r="F133" s="243">
        <v>70</v>
      </c>
      <c r="G133" s="236" t="s">
        <v>155</v>
      </c>
    </row>
    <row r="134" spans="1:7" ht="11.1" customHeight="1" x14ac:dyDescent="0.25">
      <c r="A134" s="224" t="s">
        <v>84</v>
      </c>
      <c r="B134" s="578"/>
      <c r="C134" s="238"/>
      <c r="D134" s="1"/>
      <c r="E134" s="572"/>
      <c r="F134" s="238"/>
      <c r="G134" s="1"/>
    </row>
    <row r="135" spans="1:7" ht="9.9" customHeight="1" x14ac:dyDescent="0.25">
      <c r="A135" s="250" t="s">
        <v>481</v>
      </c>
      <c r="B135" s="253">
        <v>155</v>
      </c>
      <c r="C135" s="243">
        <v>140</v>
      </c>
      <c r="D135" s="245">
        <f>((C135/B135)     -    1)*100</f>
        <v>-9.6774193548387117</v>
      </c>
      <c r="E135" s="567" t="s">
        <v>572</v>
      </c>
      <c r="F135" s="567" t="s">
        <v>572</v>
      </c>
      <c r="G135" s="236" t="s">
        <v>155</v>
      </c>
    </row>
    <row r="136" spans="1:7" ht="9.9" customHeight="1" x14ac:dyDescent="0.25">
      <c r="A136" s="250" t="s">
        <v>59</v>
      </c>
      <c r="B136" s="253">
        <v>190</v>
      </c>
      <c r="C136" s="243">
        <v>105</v>
      </c>
      <c r="D136" s="245">
        <f t="shared" ref="D136" si="28">((C136/B136)     -    1)*100</f>
        <v>-44.73684210526315</v>
      </c>
      <c r="E136" s="567" t="s">
        <v>572</v>
      </c>
      <c r="F136" s="567" t="s">
        <v>572</v>
      </c>
      <c r="G136" s="236" t="s">
        <v>155</v>
      </c>
    </row>
    <row r="137" spans="1:7" ht="9.9" customHeight="1" x14ac:dyDescent="0.25">
      <c r="A137" s="250" t="s">
        <v>60</v>
      </c>
      <c r="B137" s="253">
        <v>165</v>
      </c>
      <c r="C137" s="243">
        <v>127</v>
      </c>
      <c r="D137" s="245">
        <f>((C137/B137)     -    1)*100</f>
        <v>-23.030303030303035</v>
      </c>
      <c r="E137" s="567" t="s">
        <v>572</v>
      </c>
      <c r="F137" s="567" t="s">
        <v>572</v>
      </c>
      <c r="G137" s="236" t="s">
        <v>155</v>
      </c>
    </row>
    <row r="138" spans="1:7" ht="11.1" customHeight="1" x14ac:dyDescent="0.25">
      <c r="A138" s="224" t="s">
        <v>89</v>
      </c>
      <c r="B138" s="578"/>
      <c r="C138" s="238"/>
      <c r="D138" s="1"/>
      <c r="E138" s="578"/>
      <c r="F138" s="238"/>
      <c r="G138" s="1"/>
    </row>
    <row r="139" spans="1:7" ht="9.9" customHeight="1" x14ac:dyDescent="0.25">
      <c r="A139" s="250" t="s">
        <v>450</v>
      </c>
      <c r="B139" s="567" t="s">
        <v>572</v>
      </c>
      <c r="C139" s="243">
        <v>85</v>
      </c>
      <c r="D139" s="236" t="s">
        <v>155</v>
      </c>
      <c r="E139" s="567" t="s">
        <v>572</v>
      </c>
      <c r="F139" s="567" t="s">
        <v>572</v>
      </c>
      <c r="G139" s="236" t="s">
        <v>155</v>
      </c>
    </row>
    <row r="140" spans="1:7" ht="9.9" customHeight="1" x14ac:dyDescent="0.25">
      <c r="A140" s="250" t="s">
        <v>559</v>
      </c>
      <c r="B140" s="253">
        <v>88</v>
      </c>
      <c r="C140" s="243">
        <v>93</v>
      </c>
      <c r="D140" s="245">
        <f t="shared" ref="D140:D141" si="29">((C140/B140)     -    1)*100</f>
        <v>5.6818181818181879</v>
      </c>
      <c r="E140" s="567" t="s">
        <v>572</v>
      </c>
      <c r="F140" s="567" t="s">
        <v>572</v>
      </c>
      <c r="G140" s="236" t="s">
        <v>155</v>
      </c>
    </row>
    <row r="141" spans="1:7" ht="9.9" customHeight="1" x14ac:dyDescent="0.25">
      <c r="A141" s="250" t="s">
        <v>495</v>
      </c>
      <c r="B141" s="253">
        <v>95</v>
      </c>
      <c r="C141" s="243">
        <v>95</v>
      </c>
      <c r="D141" s="245">
        <f t="shared" si="29"/>
        <v>0</v>
      </c>
      <c r="E141" s="567" t="s">
        <v>572</v>
      </c>
      <c r="F141" s="567" t="s">
        <v>572</v>
      </c>
      <c r="G141" s="236" t="s">
        <v>155</v>
      </c>
    </row>
    <row r="142" spans="1:7" ht="11.1" customHeight="1" x14ac:dyDescent="0.25">
      <c r="A142" s="224" t="s">
        <v>71</v>
      </c>
      <c r="B142" s="578"/>
      <c r="C142" s="238"/>
      <c r="D142" s="1"/>
      <c r="E142" s="578"/>
      <c r="F142" s="238"/>
      <c r="G142" s="1"/>
    </row>
    <row r="143" spans="1:7" ht="9.9" customHeight="1" x14ac:dyDescent="0.25">
      <c r="A143" s="250" t="s">
        <v>74</v>
      </c>
      <c r="B143" s="253">
        <v>140</v>
      </c>
      <c r="C143" s="243">
        <v>160</v>
      </c>
      <c r="D143" s="246">
        <f>((C143/B143)     -    1)*100</f>
        <v>14.285714285714279</v>
      </c>
      <c r="E143" s="567" t="s">
        <v>572</v>
      </c>
      <c r="F143" s="567" t="s">
        <v>572</v>
      </c>
      <c r="G143" s="236" t="s">
        <v>155</v>
      </c>
    </row>
    <row r="144" spans="1:7" ht="9.9" customHeight="1" x14ac:dyDescent="0.25">
      <c r="A144" s="250" t="s">
        <v>72</v>
      </c>
      <c r="B144" s="253">
        <v>150</v>
      </c>
      <c r="C144" s="243">
        <v>160</v>
      </c>
      <c r="D144" s="245">
        <f>((C144/B144)     -    1)*100</f>
        <v>6.6666666666666652</v>
      </c>
      <c r="E144" s="567" t="s">
        <v>572</v>
      </c>
      <c r="F144" s="567" t="s">
        <v>572</v>
      </c>
      <c r="G144" s="236" t="s">
        <v>155</v>
      </c>
    </row>
    <row r="145" spans="1:7" ht="9.9" customHeight="1" x14ac:dyDescent="0.25">
      <c r="A145" s="250" t="s">
        <v>73</v>
      </c>
      <c r="B145" s="253">
        <v>160</v>
      </c>
      <c r="C145" s="243">
        <v>160</v>
      </c>
      <c r="D145" s="246">
        <f>((C145/B145)     -    1)*100</f>
        <v>0</v>
      </c>
      <c r="E145" s="243">
        <v>160</v>
      </c>
      <c r="F145" s="243">
        <v>145</v>
      </c>
      <c r="G145" s="245">
        <f>((F145/E145)     -    1)*100</f>
        <v>-9.375</v>
      </c>
    </row>
    <row r="146" spans="1:7" ht="11.1" customHeight="1" x14ac:dyDescent="0.25">
      <c r="A146" s="224" t="s">
        <v>46</v>
      </c>
      <c r="B146" s="578"/>
      <c r="C146" s="238"/>
      <c r="D146" s="1"/>
      <c r="E146" s="578"/>
      <c r="F146" s="238"/>
      <c r="G146" s="1"/>
    </row>
    <row r="147" spans="1:7" ht="9.9" customHeight="1" x14ac:dyDescent="0.25">
      <c r="A147" s="252" t="s">
        <v>47</v>
      </c>
      <c r="B147" s="587">
        <v>120</v>
      </c>
      <c r="C147" s="244">
        <v>120</v>
      </c>
      <c r="D147" s="248">
        <f>((C147/B147)     -    1)*100</f>
        <v>0</v>
      </c>
      <c r="E147" s="564" t="s">
        <v>158</v>
      </c>
      <c r="F147" s="63" t="s">
        <v>158</v>
      </c>
      <c r="G147" s="242" t="s">
        <v>155</v>
      </c>
    </row>
    <row r="148" spans="1:7" ht="9" customHeight="1" x14ac:dyDescent="0.25">
      <c r="A148" s="10" t="s">
        <v>87</v>
      </c>
      <c r="B148" s="583"/>
      <c r="C148" s="52"/>
      <c r="D148" s="52"/>
      <c r="E148" s="583"/>
      <c r="F148" s="52"/>
      <c r="G148" s="52"/>
    </row>
    <row r="149" spans="1:7" ht="9" customHeight="1" x14ac:dyDescent="0.25">
      <c r="A149" s="116" t="s">
        <v>67</v>
      </c>
      <c r="B149" s="583"/>
      <c r="C149" s="52"/>
      <c r="D149" s="52"/>
      <c r="E149" s="583"/>
      <c r="F149" s="52"/>
      <c r="G149" s="52"/>
    </row>
    <row r="150" spans="1:7" ht="9" customHeight="1" x14ac:dyDescent="0.25">
      <c r="A150" s="116" t="s">
        <v>68</v>
      </c>
      <c r="B150" s="583"/>
      <c r="C150" s="52"/>
      <c r="D150" s="52"/>
      <c r="E150" s="583"/>
      <c r="F150" s="52"/>
      <c r="G150" s="52"/>
    </row>
    <row r="151" spans="1:7" ht="9" customHeight="1" x14ac:dyDescent="0.25">
      <c r="A151" s="116"/>
      <c r="B151" s="583"/>
      <c r="C151" s="52"/>
      <c r="D151" s="52"/>
      <c r="E151" s="583"/>
      <c r="F151" s="52"/>
      <c r="G151" s="52"/>
    </row>
    <row r="152" spans="1:7" ht="9.75" customHeight="1" x14ac:dyDescent="0.25">
      <c r="A152" s="116"/>
    </row>
    <row r="153" spans="1:7" ht="8.25" customHeight="1" x14ac:dyDescent="0.25"/>
  </sheetData>
  <mergeCells count="6">
    <mergeCell ref="A4:A5"/>
    <mergeCell ref="B4:D4"/>
    <mergeCell ref="E4:G4"/>
    <mergeCell ref="A75:A76"/>
    <mergeCell ref="B75:D75"/>
    <mergeCell ref="E75:G75"/>
  </mergeCells>
  <pageMargins left="0.27559055118110237" right="0.27559055118110237" top="0.39370078740157483" bottom="0.39370078740157483" header="0" footer="0"/>
  <pageSetup paperSize="9" orientation="portrait" r:id="rId1"/>
  <ignoredErrors>
    <ignoredError sqref="B5:G5 B76:G7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8"/>
  <dimension ref="A1:H663"/>
  <sheetViews>
    <sheetView showGridLines="0" topLeftCell="A49" zoomScaleNormal="100" workbookViewId="0">
      <selection activeCell="K68" sqref="K68"/>
    </sheetView>
  </sheetViews>
  <sheetFormatPr baseColWidth="10" defaultColWidth="11.44140625" defaultRowHeight="15" customHeight="1" x14ac:dyDescent="0.3"/>
  <cols>
    <col min="1" max="1" width="20.109375" style="2" customWidth="1"/>
    <col min="2" max="2" width="14.44140625" style="2" customWidth="1"/>
    <col min="3" max="3" width="20" style="2" customWidth="1"/>
    <col min="4" max="4" width="7.6640625" style="2" customWidth="1"/>
    <col min="5" max="5" width="8.33203125" style="2" customWidth="1"/>
    <col min="6" max="7" width="6.6640625" style="2" customWidth="1"/>
    <col min="8" max="16384" width="11.44140625" style="2"/>
  </cols>
  <sheetData>
    <row r="1" spans="1:7" ht="19.2" customHeight="1" x14ac:dyDescent="0.3">
      <c r="A1" s="267" t="s">
        <v>573</v>
      </c>
      <c r="B1" s="267"/>
      <c r="C1" s="277"/>
      <c r="D1" s="278"/>
      <c r="E1" s="277"/>
      <c r="F1" s="277"/>
      <c r="G1" s="279"/>
    </row>
    <row r="2" spans="1:7" ht="12" customHeight="1" x14ac:dyDescent="0.3">
      <c r="A2" s="267" t="s">
        <v>617</v>
      </c>
      <c r="B2" s="267"/>
      <c r="C2" s="280"/>
      <c r="D2" s="281"/>
      <c r="E2" s="280"/>
      <c r="F2" s="280"/>
      <c r="G2" s="282"/>
    </row>
    <row r="3" spans="1:7" ht="4.95" customHeight="1" x14ac:dyDescent="0.3">
      <c r="B3" s="267" t="s">
        <v>334</v>
      </c>
      <c r="C3" s="267"/>
      <c r="D3" s="267"/>
      <c r="E3" s="267"/>
      <c r="F3" s="267"/>
      <c r="G3" s="283"/>
    </row>
    <row r="4" spans="1:7" ht="24" customHeight="1" x14ac:dyDescent="0.3">
      <c r="A4" s="284" t="s">
        <v>208</v>
      </c>
      <c r="B4" s="284" t="s">
        <v>335</v>
      </c>
      <c r="C4" s="284" t="s">
        <v>246</v>
      </c>
      <c r="D4" s="284" t="s">
        <v>336</v>
      </c>
      <c r="E4" s="284" t="s">
        <v>211</v>
      </c>
      <c r="F4" s="284" t="s">
        <v>337</v>
      </c>
      <c r="G4" s="284" t="s">
        <v>338</v>
      </c>
    </row>
    <row r="5" spans="1:7" ht="12" customHeight="1" x14ac:dyDescent="0.3">
      <c r="A5" s="775" t="s">
        <v>339</v>
      </c>
      <c r="B5" s="285" t="s">
        <v>340</v>
      </c>
      <c r="C5" s="285" t="s">
        <v>341</v>
      </c>
      <c r="D5" s="286" t="s">
        <v>342</v>
      </c>
      <c r="E5" s="287" t="s">
        <v>343</v>
      </c>
      <c r="F5" s="295">
        <v>4</v>
      </c>
      <c r="G5" s="289">
        <v>5</v>
      </c>
    </row>
    <row r="6" spans="1:7" ht="12" customHeight="1" x14ac:dyDescent="0.3">
      <c r="A6" s="776"/>
      <c r="B6" s="290" t="s">
        <v>323</v>
      </c>
      <c r="C6" s="290" t="s">
        <v>454</v>
      </c>
      <c r="D6" s="291" t="s">
        <v>342</v>
      </c>
      <c r="E6" s="292" t="s">
        <v>342</v>
      </c>
      <c r="F6" s="293">
        <v>4</v>
      </c>
      <c r="G6" s="294">
        <v>12</v>
      </c>
    </row>
    <row r="7" spans="1:7" ht="12" customHeight="1" x14ac:dyDescent="0.3">
      <c r="A7" s="775" t="s">
        <v>222</v>
      </c>
      <c r="B7" s="285" t="s">
        <v>340</v>
      </c>
      <c r="C7" s="285" t="s">
        <v>344</v>
      </c>
      <c r="D7" s="286" t="s">
        <v>342</v>
      </c>
      <c r="E7" s="287" t="s">
        <v>342</v>
      </c>
      <c r="F7" s="295">
        <v>450</v>
      </c>
      <c r="G7" s="289">
        <v>4</v>
      </c>
    </row>
    <row r="8" spans="1:7" ht="12" customHeight="1" x14ac:dyDescent="0.3">
      <c r="A8" s="777"/>
      <c r="B8" s="285" t="s">
        <v>340</v>
      </c>
      <c r="C8" s="285" t="s">
        <v>346</v>
      </c>
      <c r="D8" s="286" t="s">
        <v>342</v>
      </c>
      <c r="E8" s="287" t="s">
        <v>345</v>
      </c>
      <c r="F8" s="295">
        <v>1193</v>
      </c>
      <c r="G8" s="289">
        <v>5</v>
      </c>
    </row>
    <row r="9" spans="1:7" ht="12" customHeight="1" x14ac:dyDescent="0.3">
      <c r="A9" s="777"/>
      <c r="B9" s="285" t="s">
        <v>340</v>
      </c>
      <c r="C9" s="285" t="s">
        <v>347</v>
      </c>
      <c r="D9" s="286" t="s">
        <v>342</v>
      </c>
      <c r="E9" s="287" t="s">
        <v>345</v>
      </c>
      <c r="F9" s="295">
        <v>50</v>
      </c>
      <c r="G9" s="289">
        <v>5</v>
      </c>
    </row>
    <row r="10" spans="1:7" ht="12" customHeight="1" x14ac:dyDescent="0.3">
      <c r="A10" s="777"/>
      <c r="B10" s="285" t="s">
        <v>325</v>
      </c>
      <c r="C10" s="285" t="s">
        <v>348</v>
      </c>
      <c r="D10" s="286" t="s">
        <v>342</v>
      </c>
      <c r="E10" s="287" t="s">
        <v>342</v>
      </c>
      <c r="F10" s="295">
        <v>2909</v>
      </c>
      <c r="G10" s="289">
        <v>3.5</v>
      </c>
    </row>
    <row r="11" spans="1:7" ht="12" customHeight="1" x14ac:dyDescent="0.3">
      <c r="A11" s="777"/>
      <c r="B11" s="285" t="s">
        <v>329</v>
      </c>
      <c r="C11" s="285" t="s">
        <v>497</v>
      </c>
      <c r="D11" s="286" t="s">
        <v>342</v>
      </c>
      <c r="E11" s="287" t="s">
        <v>342</v>
      </c>
      <c r="F11" s="288">
        <v>450</v>
      </c>
      <c r="G11" s="289">
        <v>8</v>
      </c>
    </row>
    <row r="12" spans="1:7" ht="12" customHeight="1" x14ac:dyDescent="0.3">
      <c r="A12" s="777"/>
      <c r="B12" s="285" t="s">
        <v>323</v>
      </c>
      <c r="C12" s="285" t="s">
        <v>349</v>
      </c>
      <c r="D12" s="286" t="s">
        <v>342</v>
      </c>
      <c r="E12" s="287" t="s">
        <v>343</v>
      </c>
      <c r="F12" s="288">
        <v>30</v>
      </c>
      <c r="G12" s="289">
        <v>13</v>
      </c>
    </row>
    <row r="13" spans="1:7" ht="12" customHeight="1" x14ac:dyDescent="0.3">
      <c r="A13" s="777"/>
      <c r="B13" s="285" t="s">
        <v>457</v>
      </c>
      <c r="C13" s="285" t="s">
        <v>499</v>
      </c>
      <c r="D13" s="286" t="s">
        <v>342</v>
      </c>
      <c r="E13" s="287" t="s">
        <v>342</v>
      </c>
      <c r="F13" s="288">
        <v>4350</v>
      </c>
      <c r="G13" s="289">
        <v>3.5</v>
      </c>
    </row>
    <row r="14" spans="1:7" ht="12" customHeight="1" x14ac:dyDescent="0.3">
      <c r="A14" s="777"/>
      <c r="B14" s="285" t="s">
        <v>457</v>
      </c>
      <c r="C14" s="285" t="s">
        <v>574</v>
      </c>
      <c r="D14" s="286" t="s">
        <v>342</v>
      </c>
      <c r="E14" s="287" t="s">
        <v>343</v>
      </c>
      <c r="F14" s="288">
        <v>300</v>
      </c>
      <c r="G14" s="289">
        <v>4</v>
      </c>
    </row>
    <row r="15" spans="1:7" ht="12" customHeight="1" x14ac:dyDescent="0.3">
      <c r="A15" s="777"/>
      <c r="B15" s="285" t="s">
        <v>457</v>
      </c>
      <c r="C15" s="285" t="s">
        <v>449</v>
      </c>
      <c r="D15" s="286" t="s">
        <v>342</v>
      </c>
      <c r="E15" s="287" t="s">
        <v>343</v>
      </c>
      <c r="F15" s="288">
        <v>2850</v>
      </c>
      <c r="G15" s="289">
        <v>4</v>
      </c>
    </row>
    <row r="16" spans="1:7" ht="12" customHeight="1" x14ac:dyDescent="0.3">
      <c r="A16" s="777"/>
      <c r="B16" s="285" t="s">
        <v>321</v>
      </c>
      <c r="C16" s="285" t="s">
        <v>352</v>
      </c>
      <c r="D16" s="286" t="s">
        <v>342</v>
      </c>
      <c r="E16" s="287" t="s">
        <v>345</v>
      </c>
      <c r="F16" s="288">
        <v>44</v>
      </c>
      <c r="G16" s="289">
        <v>5</v>
      </c>
    </row>
    <row r="17" spans="1:7" ht="12" customHeight="1" x14ac:dyDescent="0.3">
      <c r="A17" s="777"/>
      <c r="B17" s="285" t="s">
        <v>333</v>
      </c>
      <c r="C17" s="285" t="s">
        <v>353</v>
      </c>
      <c r="D17" s="286" t="s">
        <v>342</v>
      </c>
      <c r="E17" s="287" t="s">
        <v>343</v>
      </c>
      <c r="F17" s="288">
        <v>891</v>
      </c>
      <c r="G17" s="289">
        <v>5.5</v>
      </c>
    </row>
    <row r="18" spans="1:7" ht="12" customHeight="1" x14ac:dyDescent="0.3">
      <c r="A18" s="777"/>
      <c r="B18" s="285" t="s">
        <v>333</v>
      </c>
      <c r="C18" s="285" t="s">
        <v>353</v>
      </c>
      <c r="D18" s="286" t="s">
        <v>342</v>
      </c>
      <c r="E18" s="287" t="s">
        <v>345</v>
      </c>
      <c r="F18" s="288">
        <v>3284</v>
      </c>
      <c r="G18" s="289">
        <v>6</v>
      </c>
    </row>
    <row r="19" spans="1:7" ht="12" customHeight="1" x14ac:dyDescent="0.3">
      <c r="A19" s="776"/>
      <c r="B19" s="285" t="s">
        <v>333</v>
      </c>
      <c r="C19" s="285" t="s">
        <v>353</v>
      </c>
      <c r="D19" s="286" t="s">
        <v>342</v>
      </c>
      <c r="E19" s="287" t="s">
        <v>342</v>
      </c>
      <c r="F19" s="288">
        <v>34</v>
      </c>
      <c r="G19" s="289">
        <v>5</v>
      </c>
    </row>
    <row r="20" spans="1:7" ht="12" customHeight="1" x14ac:dyDescent="0.3">
      <c r="A20" s="775" t="s">
        <v>5</v>
      </c>
      <c r="B20" s="301" t="s">
        <v>324</v>
      </c>
      <c r="C20" s="301" t="s">
        <v>354</v>
      </c>
      <c r="D20" s="302" t="s">
        <v>342</v>
      </c>
      <c r="E20" s="303" t="s">
        <v>342</v>
      </c>
      <c r="F20" s="304">
        <v>4200</v>
      </c>
      <c r="G20" s="300">
        <v>2.5</v>
      </c>
    </row>
    <row r="21" spans="1:7" ht="12" customHeight="1" x14ac:dyDescent="0.3">
      <c r="A21" s="777"/>
      <c r="B21" s="285" t="s">
        <v>340</v>
      </c>
      <c r="C21" s="285" t="s">
        <v>344</v>
      </c>
      <c r="D21" s="286" t="s">
        <v>342</v>
      </c>
      <c r="E21" s="287" t="s">
        <v>342</v>
      </c>
      <c r="F21" s="295">
        <v>2320</v>
      </c>
      <c r="G21" s="289">
        <v>5.5</v>
      </c>
    </row>
    <row r="22" spans="1:7" ht="12" customHeight="1" x14ac:dyDescent="0.3">
      <c r="A22" s="777"/>
      <c r="B22" s="285" t="s">
        <v>458</v>
      </c>
      <c r="C22" s="285" t="s">
        <v>455</v>
      </c>
      <c r="D22" s="286" t="s">
        <v>342</v>
      </c>
      <c r="E22" s="287" t="s">
        <v>342</v>
      </c>
      <c r="F22" s="295">
        <v>3950</v>
      </c>
      <c r="G22" s="289">
        <v>6.5</v>
      </c>
    </row>
    <row r="23" spans="1:7" ht="12" customHeight="1" x14ac:dyDescent="0.3">
      <c r="A23" s="777"/>
      <c r="B23" s="285" t="s">
        <v>322</v>
      </c>
      <c r="C23" s="285" t="s">
        <v>350</v>
      </c>
      <c r="D23" s="286" t="s">
        <v>342</v>
      </c>
      <c r="E23" s="287" t="s">
        <v>342</v>
      </c>
      <c r="F23" s="295">
        <v>750</v>
      </c>
      <c r="G23" s="289">
        <v>6</v>
      </c>
    </row>
    <row r="24" spans="1:7" ht="12" customHeight="1" x14ac:dyDescent="0.3">
      <c r="A24" s="776"/>
      <c r="B24" s="290" t="s">
        <v>322</v>
      </c>
      <c r="C24" s="290" t="s">
        <v>350</v>
      </c>
      <c r="D24" s="291" t="s">
        <v>342</v>
      </c>
      <c r="E24" s="292" t="s">
        <v>343</v>
      </c>
      <c r="F24" s="293">
        <v>875</v>
      </c>
      <c r="G24" s="289">
        <v>6.5</v>
      </c>
    </row>
    <row r="25" spans="1:7" ht="12" customHeight="1" x14ac:dyDescent="0.3">
      <c r="A25" s="775" t="s">
        <v>355</v>
      </c>
      <c r="B25" s="285" t="s">
        <v>340</v>
      </c>
      <c r="C25" s="285" t="s">
        <v>356</v>
      </c>
      <c r="D25" s="286" t="s">
        <v>342</v>
      </c>
      <c r="E25" s="287" t="s">
        <v>343</v>
      </c>
      <c r="F25" s="295">
        <v>50</v>
      </c>
      <c r="G25" s="300">
        <v>7.9</v>
      </c>
    </row>
    <row r="26" spans="1:7" ht="12" customHeight="1" x14ac:dyDescent="0.3">
      <c r="A26" s="777"/>
      <c r="B26" s="285" t="s">
        <v>330</v>
      </c>
      <c r="C26" s="285" t="s">
        <v>357</v>
      </c>
      <c r="D26" s="286" t="s">
        <v>342</v>
      </c>
      <c r="E26" s="287" t="s">
        <v>345</v>
      </c>
      <c r="F26" s="295">
        <v>120</v>
      </c>
      <c r="G26" s="289">
        <v>15</v>
      </c>
    </row>
    <row r="27" spans="1:7" ht="12" customHeight="1" x14ac:dyDescent="0.3">
      <c r="A27" s="777"/>
      <c r="B27" s="285" t="s">
        <v>457</v>
      </c>
      <c r="C27" s="285" t="s">
        <v>575</v>
      </c>
      <c r="D27" s="286" t="s">
        <v>342</v>
      </c>
      <c r="E27" s="287" t="s">
        <v>343</v>
      </c>
      <c r="F27" s="295">
        <v>3690</v>
      </c>
      <c r="G27" s="289">
        <v>13</v>
      </c>
    </row>
    <row r="28" spans="1:7" ht="12" customHeight="1" x14ac:dyDescent="0.3">
      <c r="A28" s="776"/>
      <c r="B28" s="290" t="s">
        <v>321</v>
      </c>
      <c r="C28" s="290" t="s">
        <v>358</v>
      </c>
      <c r="D28" s="291" t="s">
        <v>342</v>
      </c>
      <c r="E28" s="292" t="s">
        <v>343</v>
      </c>
      <c r="F28" s="293">
        <v>1200</v>
      </c>
      <c r="G28" s="294">
        <v>7.5</v>
      </c>
    </row>
    <row r="29" spans="1:7" ht="12" customHeight="1" x14ac:dyDescent="0.3">
      <c r="A29" s="775" t="s">
        <v>226</v>
      </c>
      <c r="B29" s="285" t="s">
        <v>325</v>
      </c>
      <c r="C29" s="285" t="s">
        <v>388</v>
      </c>
      <c r="D29" s="286" t="s">
        <v>342</v>
      </c>
      <c r="E29" s="287" t="s">
        <v>343</v>
      </c>
      <c r="F29" s="295">
        <v>416</v>
      </c>
      <c r="G29" s="289">
        <v>8.1999999999999993</v>
      </c>
    </row>
    <row r="30" spans="1:7" ht="12" customHeight="1" x14ac:dyDescent="0.3">
      <c r="A30" s="777"/>
      <c r="B30" s="285" t="s">
        <v>458</v>
      </c>
      <c r="C30" s="285" t="s">
        <v>455</v>
      </c>
      <c r="D30" s="286" t="s">
        <v>342</v>
      </c>
      <c r="E30" s="287" t="s">
        <v>345</v>
      </c>
      <c r="F30" s="295">
        <v>2043</v>
      </c>
      <c r="G30" s="289">
        <v>15</v>
      </c>
    </row>
    <row r="31" spans="1:7" ht="12" customHeight="1" x14ac:dyDescent="0.3">
      <c r="A31" s="777"/>
      <c r="B31" s="285" t="s">
        <v>323</v>
      </c>
      <c r="C31" s="285" t="s">
        <v>359</v>
      </c>
      <c r="D31" s="286" t="s">
        <v>342</v>
      </c>
      <c r="E31" s="287" t="s">
        <v>343</v>
      </c>
      <c r="F31" s="295">
        <v>833</v>
      </c>
      <c r="G31" s="289">
        <v>15</v>
      </c>
    </row>
    <row r="32" spans="1:7" ht="12" customHeight="1" x14ac:dyDescent="0.3">
      <c r="A32" s="777"/>
      <c r="B32" s="285" t="s">
        <v>457</v>
      </c>
      <c r="C32" s="285" t="s">
        <v>499</v>
      </c>
      <c r="D32" s="286" t="s">
        <v>342</v>
      </c>
      <c r="E32" s="287" t="s">
        <v>343</v>
      </c>
      <c r="F32" s="295">
        <v>1000</v>
      </c>
      <c r="G32" s="289">
        <v>3</v>
      </c>
    </row>
    <row r="33" spans="1:7" ht="12" customHeight="1" x14ac:dyDescent="0.3">
      <c r="A33" s="777"/>
      <c r="B33" s="285" t="s">
        <v>457</v>
      </c>
      <c r="C33" s="285" t="s">
        <v>499</v>
      </c>
      <c r="D33" s="286" t="s">
        <v>342</v>
      </c>
      <c r="E33" s="287" t="s">
        <v>345</v>
      </c>
      <c r="F33" s="295">
        <v>2950</v>
      </c>
      <c r="G33" s="289">
        <v>3.5</v>
      </c>
    </row>
    <row r="34" spans="1:7" ht="12" customHeight="1" x14ac:dyDescent="0.3">
      <c r="A34" s="777"/>
      <c r="B34" s="285" t="s">
        <v>457</v>
      </c>
      <c r="C34" s="285" t="s">
        <v>576</v>
      </c>
      <c r="D34" s="286" t="s">
        <v>342</v>
      </c>
      <c r="E34" s="287" t="s">
        <v>343</v>
      </c>
      <c r="F34" s="295">
        <v>550</v>
      </c>
      <c r="G34" s="289">
        <v>3</v>
      </c>
    </row>
    <row r="35" spans="1:7" ht="12" customHeight="1" x14ac:dyDescent="0.3">
      <c r="A35" s="776"/>
      <c r="B35" s="290" t="s">
        <v>457</v>
      </c>
      <c r="C35" s="290" t="s">
        <v>449</v>
      </c>
      <c r="D35" s="291" t="s">
        <v>342</v>
      </c>
      <c r="E35" s="292" t="s">
        <v>343</v>
      </c>
      <c r="F35" s="293">
        <v>9400</v>
      </c>
      <c r="G35" s="294">
        <v>3</v>
      </c>
    </row>
    <row r="36" spans="1:7" ht="12" customHeight="1" x14ac:dyDescent="0.3">
      <c r="A36" s="600" t="s">
        <v>227</v>
      </c>
      <c r="B36" s="296" t="s">
        <v>322</v>
      </c>
      <c r="C36" s="296" t="s">
        <v>360</v>
      </c>
      <c r="D36" s="297" t="s">
        <v>342</v>
      </c>
      <c r="E36" s="298" t="s">
        <v>342</v>
      </c>
      <c r="F36" s="299">
        <v>2425</v>
      </c>
      <c r="G36" s="305">
        <v>8</v>
      </c>
    </row>
    <row r="37" spans="1:7" ht="12" customHeight="1" x14ac:dyDescent="0.3">
      <c r="A37" s="616" t="s">
        <v>361</v>
      </c>
      <c r="B37" s="290" t="s">
        <v>322</v>
      </c>
      <c r="C37" s="290" t="s">
        <v>389</v>
      </c>
      <c r="D37" s="291" t="s">
        <v>351</v>
      </c>
      <c r="E37" s="292" t="s">
        <v>351</v>
      </c>
      <c r="F37" s="293">
        <v>69</v>
      </c>
      <c r="G37" s="294">
        <v>12</v>
      </c>
    </row>
    <row r="38" spans="1:7" ht="12" customHeight="1" x14ac:dyDescent="0.3">
      <c r="A38" s="775" t="s">
        <v>487</v>
      </c>
      <c r="B38" s="301" t="s">
        <v>362</v>
      </c>
      <c r="C38" s="301" t="s">
        <v>363</v>
      </c>
      <c r="D38" s="302" t="s">
        <v>342</v>
      </c>
      <c r="E38" s="287" t="s">
        <v>343</v>
      </c>
      <c r="F38" s="304">
        <v>425</v>
      </c>
      <c r="G38" s="300">
        <v>17</v>
      </c>
    </row>
    <row r="39" spans="1:7" ht="12" customHeight="1" x14ac:dyDescent="0.3">
      <c r="A39" s="777"/>
      <c r="B39" s="285" t="s">
        <v>362</v>
      </c>
      <c r="C39" s="285" t="s">
        <v>363</v>
      </c>
      <c r="D39" s="286" t="s">
        <v>342</v>
      </c>
      <c r="E39" s="287" t="s">
        <v>342</v>
      </c>
      <c r="F39" s="295">
        <v>200</v>
      </c>
      <c r="G39" s="289">
        <v>16</v>
      </c>
    </row>
    <row r="40" spans="1:7" ht="12" customHeight="1" x14ac:dyDescent="0.3">
      <c r="A40" s="776"/>
      <c r="B40" s="290" t="s">
        <v>322</v>
      </c>
      <c r="C40" s="290" t="s">
        <v>360</v>
      </c>
      <c r="D40" s="291" t="s">
        <v>343</v>
      </c>
      <c r="E40" s="292" t="s">
        <v>342</v>
      </c>
      <c r="F40" s="293">
        <v>2975</v>
      </c>
      <c r="G40" s="294">
        <v>11.8</v>
      </c>
    </row>
    <row r="41" spans="1:7" ht="12" customHeight="1" x14ac:dyDescent="0.3">
      <c r="A41" s="775" t="s">
        <v>230</v>
      </c>
      <c r="B41" s="285" t="s">
        <v>323</v>
      </c>
      <c r="C41" s="301" t="s">
        <v>364</v>
      </c>
      <c r="D41" s="302" t="s">
        <v>342</v>
      </c>
      <c r="E41" s="303" t="s">
        <v>343</v>
      </c>
      <c r="F41" s="304">
        <v>30</v>
      </c>
      <c r="G41" s="300">
        <v>12.01</v>
      </c>
    </row>
    <row r="42" spans="1:7" ht="12" customHeight="1" x14ac:dyDescent="0.3">
      <c r="A42" s="776"/>
      <c r="B42" s="285" t="s">
        <v>321</v>
      </c>
      <c r="C42" s="285" t="s">
        <v>365</v>
      </c>
      <c r="D42" s="286" t="s">
        <v>342</v>
      </c>
      <c r="E42" s="287" t="s">
        <v>342</v>
      </c>
      <c r="F42" s="295">
        <v>1300</v>
      </c>
      <c r="G42" s="289">
        <v>4.9800000000000004</v>
      </c>
    </row>
    <row r="43" spans="1:7" ht="12" customHeight="1" x14ac:dyDescent="0.3">
      <c r="A43" s="617" t="s">
        <v>231</v>
      </c>
      <c r="B43" s="296" t="s">
        <v>322</v>
      </c>
      <c r="C43" s="296" t="s">
        <v>577</v>
      </c>
      <c r="D43" s="297" t="s">
        <v>342</v>
      </c>
      <c r="E43" s="298" t="s">
        <v>351</v>
      </c>
      <c r="F43" s="299">
        <v>3384</v>
      </c>
      <c r="G43" s="305">
        <v>17.34</v>
      </c>
    </row>
    <row r="44" spans="1:7" ht="12" customHeight="1" x14ac:dyDescent="0.3">
      <c r="A44" s="775" t="s">
        <v>232</v>
      </c>
      <c r="B44" s="285" t="s">
        <v>324</v>
      </c>
      <c r="C44" s="285" t="s">
        <v>366</v>
      </c>
      <c r="D44" s="286" t="s">
        <v>342</v>
      </c>
      <c r="E44" s="287" t="s">
        <v>342</v>
      </c>
      <c r="F44" s="288">
        <v>640</v>
      </c>
      <c r="G44" s="289">
        <v>3.7</v>
      </c>
    </row>
    <row r="45" spans="1:7" ht="12" customHeight="1" x14ac:dyDescent="0.3">
      <c r="A45" s="777"/>
      <c r="B45" s="285" t="s">
        <v>324</v>
      </c>
      <c r="C45" s="285" t="s">
        <v>366</v>
      </c>
      <c r="D45" s="286" t="s">
        <v>342</v>
      </c>
      <c r="E45" s="287" t="s">
        <v>343</v>
      </c>
      <c r="F45" s="288">
        <v>760</v>
      </c>
      <c r="G45" s="289">
        <v>10.5</v>
      </c>
    </row>
    <row r="46" spans="1:7" ht="12" customHeight="1" x14ac:dyDescent="0.3">
      <c r="A46" s="777"/>
      <c r="B46" s="285" t="s">
        <v>324</v>
      </c>
      <c r="C46" s="285" t="s">
        <v>367</v>
      </c>
      <c r="D46" s="286" t="s">
        <v>342</v>
      </c>
      <c r="E46" s="287" t="s">
        <v>343</v>
      </c>
      <c r="F46" s="288">
        <v>300</v>
      </c>
      <c r="G46" s="289">
        <v>10.5</v>
      </c>
    </row>
    <row r="47" spans="1:7" ht="12" customHeight="1" x14ac:dyDescent="0.3">
      <c r="A47" s="777"/>
      <c r="B47" s="285" t="s">
        <v>322</v>
      </c>
      <c r="C47" s="285" t="s">
        <v>488</v>
      </c>
      <c r="D47" s="286" t="s">
        <v>342</v>
      </c>
      <c r="E47" s="287" t="s">
        <v>342</v>
      </c>
      <c r="F47" s="288">
        <v>528</v>
      </c>
      <c r="G47" s="289">
        <v>10</v>
      </c>
    </row>
    <row r="48" spans="1:7" ht="12" customHeight="1" x14ac:dyDescent="0.3">
      <c r="A48" s="777"/>
      <c r="B48" s="285" t="s">
        <v>322</v>
      </c>
      <c r="C48" s="285" t="s">
        <v>360</v>
      </c>
      <c r="D48" s="286" t="s">
        <v>342</v>
      </c>
      <c r="E48" s="287" t="s">
        <v>345</v>
      </c>
      <c r="F48" s="288">
        <v>1300</v>
      </c>
      <c r="G48" s="289">
        <v>50.63</v>
      </c>
    </row>
    <row r="49" spans="1:8" ht="12" customHeight="1" x14ac:dyDescent="0.3">
      <c r="A49" s="777"/>
      <c r="B49" s="285" t="s">
        <v>322</v>
      </c>
      <c r="C49" s="285" t="s">
        <v>360</v>
      </c>
      <c r="D49" s="286" t="s">
        <v>342</v>
      </c>
      <c r="E49" s="287" t="s">
        <v>342</v>
      </c>
      <c r="F49" s="288">
        <v>680</v>
      </c>
      <c r="G49" s="289">
        <v>19.91</v>
      </c>
    </row>
    <row r="50" spans="1:8" ht="12" customHeight="1" x14ac:dyDescent="0.3">
      <c r="A50" s="776"/>
      <c r="B50" s="290" t="s">
        <v>322</v>
      </c>
      <c r="C50" s="290" t="s">
        <v>360</v>
      </c>
      <c r="D50" s="291" t="s">
        <v>342</v>
      </c>
      <c r="E50" s="292" t="s">
        <v>343</v>
      </c>
      <c r="F50" s="293">
        <v>3146</v>
      </c>
      <c r="G50" s="294">
        <v>10.32</v>
      </c>
    </row>
    <row r="51" spans="1:8" ht="13.8" x14ac:dyDescent="0.3">
      <c r="A51" s="306"/>
      <c r="B51" s="307"/>
      <c r="C51" s="307"/>
      <c r="D51" s="308"/>
      <c r="E51" s="309"/>
      <c r="F51" s="4"/>
      <c r="G51" s="310" t="s">
        <v>293</v>
      </c>
    </row>
    <row r="52" spans="1:8" ht="13.8" x14ac:dyDescent="0.3">
      <c r="A52" s="311" t="s">
        <v>623</v>
      </c>
      <c r="B52" s="312"/>
      <c r="C52" s="312"/>
      <c r="D52" s="312"/>
      <c r="E52" s="312"/>
      <c r="F52" s="312"/>
      <c r="G52" s="313"/>
    </row>
    <row r="53" spans="1:8" ht="24" customHeight="1" x14ac:dyDescent="0.3">
      <c r="A53" s="284" t="s">
        <v>208</v>
      </c>
      <c r="B53" s="284" t="s">
        <v>335</v>
      </c>
      <c r="C53" s="284" t="s">
        <v>246</v>
      </c>
      <c r="D53" s="284" t="s">
        <v>336</v>
      </c>
      <c r="E53" s="284" t="s">
        <v>211</v>
      </c>
      <c r="F53" s="284" t="s">
        <v>337</v>
      </c>
      <c r="G53" s="284" t="s">
        <v>338</v>
      </c>
    </row>
    <row r="54" spans="1:8" ht="3" customHeight="1" x14ac:dyDescent="0.3">
      <c r="A54" s="682"/>
      <c r="B54" s="301"/>
      <c r="C54" s="301"/>
      <c r="D54" s="302"/>
      <c r="E54" s="303"/>
      <c r="F54" s="304"/>
      <c r="G54" s="300"/>
    </row>
    <row r="55" spans="1:8" ht="12" customHeight="1" x14ac:dyDescent="0.3">
      <c r="A55" s="617"/>
      <c r="B55" s="285" t="s">
        <v>329</v>
      </c>
      <c r="C55" s="285" t="s">
        <v>578</v>
      </c>
      <c r="D55" s="286" t="s">
        <v>342</v>
      </c>
      <c r="E55" s="287" t="s">
        <v>342</v>
      </c>
      <c r="F55" s="295">
        <v>3565</v>
      </c>
      <c r="G55" s="289">
        <v>10</v>
      </c>
    </row>
    <row r="56" spans="1:8" ht="12" customHeight="1" x14ac:dyDescent="0.3">
      <c r="A56" s="617" t="s">
        <v>237</v>
      </c>
      <c r="B56" s="285" t="s">
        <v>327</v>
      </c>
      <c r="C56" s="285" t="s">
        <v>579</v>
      </c>
      <c r="D56" s="286" t="s">
        <v>342</v>
      </c>
      <c r="E56" s="287" t="s">
        <v>342</v>
      </c>
      <c r="F56" s="295">
        <v>20</v>
      </c>
      <c r="G56" s="289">
        <v>15</v>
      </c>
    </row>
    <row r="57" spans="1:8" ht="12" customHeight="1" x14ac:dyDescent="0.3">
      <c r="A57" s="616"/>
      <c r="B57" s="290" t="s">
        <v>327</v>
      </c>
      <c r="C57" s="290" t="s">
        <v>580</v>
      </c>
      <c r="D57" s="291" t="s">
        <v>342</v>
      </c>
      <c r="E57" s="292" t="s">
        <v>342</v>
      </c>
      <c r="F57" s="293">
        <v>635</v>
      </c>
      <c r="G57" s="294">
        <v>17</v>
      </c>
    </row>
    <row r="58" spans="1:8" ht="12" customHeight="1" x14ac:dyDescent="0.3">
      <c r="A58" s="616" t="s">
        <v>288</v>
      </c>
      <c r="B58" s="290" t="s">
        <v>370</v>
      </c>
      <c r="C58" s="290" t="s">
        <v>368</v>
      </c>
      <c r="D58" s="291" t="s">
        <v>342</v>
      </c>
      <c r="E58" s="292" t="s">
        <v>342</v>
      </c>
      <c r="F58" s="293">
        <v>2079</v>
      </c>
      <c r="G58" s="294">
        <v>5.62</v>
      </c>
    </row>
    <row r="59" spans="1:8" ht="12" customHeight="1" x14ac:dyDescent="0.3">
      <c r="A59" s="775" t="s">
        <v>238</v>
      </c>
      <c r="B59" s="285" t="s">
        <v>362</v>
      </c>
      <c r="C59" s="285" t="s">
        <v>363</v>
      </c>
      <c r="D59" s="286" t="s">
        <v>342</v>
      </c>
      <c r="E59" s="287" t="s">
        <v>345</v>
      </c>
      <c r="F59" s="295">
        <v>145</v>
      </c>
      <c r="G59" s="289">
        <v>15</v>
      </c>
      <c r="H59" s="667"/>
    </row>
    <row r="60" spans="1:8" ht="12" customHeight="1" x14ac:dyDescent="0.3">
      <c r="A60" s="776"/>
      <c r="B60" s="290" t="s">
        <v>362</v>
      </c>
      <c r="C60" s="290" t="s">
        <v>369</v>
      </c>
      <c r="D60" s="291" t="s">
        <v>342</v>
      </c>
      <c r="E60" s="292" t="s">
        <v>345</v>
      </c>
      <c r="F60" s="293">
        <v>275</v>
      </c>
      <c r="G60" s="294">
        <v>15</v>
      </c>
    </row>
    <row r="61" spans="1:8" ht="12" customHeight="1" x14ac:dyDescent="0.3">
      <c r="A61" s="617" t="s">
        <v>456</v>
      </c>
      <c r="B61" s="285" t="s">
        <v>457</v>
      </c>
      <c r="C61" s="285" t="s">
        <v>489</v>
      </c>
      <c r="D61" s="286" t="s">
        <v>342</v>
      </c>
      <c r="E61" s="287" t="s">
        <v>342</v>
      </c>
      <c r="F61" s="295">
        <v>400</v>
      </c>
      <c r="G61" s="305">
        <v>3</v>
      </c>
    </row>
    <row r="62" spans="1:8" ht="12" customHeight="1" x14ac:dyDescent="0.3">
      <c r="A62" s="775" t="s">
        <v>300</v>
      </c>
      <c r="B62" s="301" t="s">
        <v>370</v>
      </c>
      <c r="C62" s="301" t="s">
        <v>371</v>
      </c>
      <c r="D62" s="302" t="s">
        <v>342</v>
      </c>
      <c r="E62" s="303" t="s">
        <v>342</v>
      </c>
      <c r="F62" s="304">
        <v>420</v>
      </c>
      <c r="G62" s="289">
        <v>10.7</v>
      </c>
    </row>
    <row r="63" spans="1:8" ht="12" customHeight="1" x14ac:dyDescent="0.3">
      <c r="A63" s="777"/>
      <c r="B63" s="290" t="s">
        <v>362</v>
      </c>
      <c r="C63" s="290" t="s">
        <v>372</v>
      </c>
      <c r="D63" s="291" t="s">
        <v>342</v>
      </c>
      <c r="E63" s="292" t="s">
        <v>342</v>
      </c>
      <c r="F63" s="293">
        <v>3</v>
      </c>
      <c r="G63" s="294">
        <v>19.18</v>
      </c>
    </row>
    <row r="64" spans="1:8" ht="12" customHeight="1" x14ac:dyDescent="0.3">
      <c r="A64" s="775" t="s">
        <v>239</v>
      </c>
      <c r="B64" s="285" t="s">
        <v>457</v>
      </c>
      <c r="C64" s="285" t="s">
        <v>499</v>
      </c>
      <c r="D64" s="286" t="s">
        <v>342</v>
      </c>
      <c r="E64" s="287" t="s">
        <v>345</v>
      </c>
      <c r="F64" s="295">
        <v>1881</v>
      </c>
      <c r="G64" s="289">
        <v>3.5</v>
      </c>
    </row>
    <row r="65" spans="1:7" ht="12" customHeight="1" x14ac:dyDescent="0.3">
      <c r="A65" s="777"/>
      <c r="B65" s="285" t="s">
        <v>457</v>
      </c>
      <c r="C65" s="285" t="s">
        <v>489</v>
      </c>
      <c r="D65" s="286" t="s">
        <v>342</v>
      </c>
      <c r="E65" s="287" t="s">
        <v>345</v>
      </c>
      <c r="F65" s="295">
        <v>3263</v>
      </c>
      <c r="G65" s="289">
        <v>3.5</v>
      </c>
    </row>
    <row r="66" spans="1:7" ht="12" customHeight="1" x14ac:dyDescent="0.3">
      <c r="A66" s="777"/>
      <c r="B66" s="285" t="s">
        <v>457</v>
      </c>
      <c r="C66" s="285" t="s">
        <v>489</v>
      </c>
      <c r="D66" s="286" t="s">
        <v>342</v>
      </c>
      <c r="E66" s="287" t="s">
        <v>343</v>
      </c>
      <c r="F66" s="295">
        <v>11050</v>
      </c>
      <c r="G66" s="289">
        <v>3</v>
      </c>
    </row>
    <row r="67" spans="1:7" ht="12" customHeight="1" x14ac:dyDescent="0.3">
      <c r="A67" s="777"/>
      <c r="B67" s="285" t="s">
        <v>457</v>
      </c>
      <c r="C67" s="285" t="s">
        <v>449</v>
      </c>
      <c r="D67" s="286" t="s">
        <v>342</v>
      </c>
      <c r="E67" s="287" t="s">
        <v>343</v>
      </c>
      <c r="F67" s="295">
        <v>12350</v>
      </c>
      <c r="G67" s="289">
        <v>3</v>
      </c>
    </row>
    <row r="68" spans="1:7" ht="12" customHeight="1" x14ac:dyDescent="0.3">
      <c r="A68" s="777"/>
      <c r="B68" s="285" t="s">
        <v>457</v>
      </c>
      <c r="C68" s="285" t="s">
        <v>449</v>
      </c>
      <c r="D68" s="286" t="s">
        <v>342</v>
      </c>
      <c r="E68" s="287" t="s">
        <v>345</v>
      </c>
      <c r="F68" s="295">
        <v>9979</v>
      </c>
      <c r="G68" s="289">
        <v>3.5</v>
      </c>
    </row>
    <row r="69" spans="1:7" ht="12" customHeight="1" x14ac:dyDescent="0.3">
      <c r="A69" s="777"/>
      <c r="B69" s="285" t="s">
        <v>327</v>
      </c>
      <c r="C69" s="285" t="s">
        <v>373</v>
      </c>
      <c r="D69" s="286" t="s">
        <v>342</v>
      </c>
      <c r="E69" s="287" t="s">
        <v>345</v>
      </c>
      <c r="F69" s="288">
        <v>50</v>
      </c>
      <c r="G69" s="289">
        <v>10.57</v>
      </c>
    </row>
    <row r="70" spans="1:7" ht="12" customHeight="1" x14ac:dyDescent="0.3">
      <c r="A70" s="777"/>
      <c r="B70" s="285" t="s">
        <v>327</v>
      </c>
      <c r="C70" s="285" t="s">
        <v>374</v>
      </c>
      <c r="D70" s="286" t="s">
        <v>342</v>
      </c>
      <c r="E70" s="287" t="s">
        <v>343</v>
      </c>
      <c r="F70" s="288">
        <v>3050</v>
      </c>
      <c r="G70" s="289">
        <v>9.75</v>
      </c>
    </row>
    <row r="71" spans="1:7" ht="12" customHeight="1" x14ac:dyDescent="0.3">
      <c r="A71" s="777"/>
      <c r="B71" s="285" t="s">
        <v>331</v>
      </c>
      <c r="C71" s="285" t="s">
        <v>375</v>
      </c>
      <c r="D71" s="286" t="s">
        <v>342</v>
      </c>
      <c r="E71" s="287" t="s">
        <v>342</v>
      </c>
      <c r="F71" s="288">
        <v>900</v>
      </c>
      <c r="G71" s="289">
        <v>10.35</v>
      </c>
    </row>
    <row r="72" spans="1:7" ht="12" customHeight="1" x14ac:dyDescent="0.3">
      <c r="A72" s="777"/>
      <c r="B72" s="285" t="s">
        <v>331</v>
      </c>
      <c r="C72" s="285" t="s">
        <v>375</v>
      </c>
      <c r="D72" s="286" t="s">
        <v>342</v>
      </c>
      <c r="E72" s="287" t="s">
        <v>343</v>
      </c>
      <c r="F72" s="288">
        <v>150</v>
      </c>
      <c r="G72" s="289">
        <v>10.89</v>
      </c>
    </row>
    <row r="73" spans="1:7" ht="12" customHeight="1" x14ac:dyDescent="0.3">
      <c r="A73" s="777"/>
      <c r="B73" s="285" t="s">
        <v>331</v>
      </c>
      <c r="C73" s="285" t="s">
        <v>375</v>
      </c>
      <c r="D73" s="286" t="s">
        <v>342</v>
      </c>
      <c r="E73" s="287" t="s">
        <v>345</v>
      </c>
      <c r="F73" s="288">
        <v>100</v>
      </c>
      <c r="G73" s="289">
        <v>12</v>
      </c>
    </row>
    <row r="74" spans="1:7" ht="12" customHeight="1" x14ac:dyDescent="0.3">
      <c r="A74" s="777"/>
      <c r="B74" s="285" t="s">
        <v>331</v>
      </c>
      <c r="C74" s="285" t="s">
        <v>376</v>
      </c>
      <c r="D74" s="286" t="s">
        <v>342</v>
      </c>
      <c r="E74" s="287" t="s">
        <v>345</v>
      </c>
      <c r="F74" s="288">
        <v>150</v>
      </c>
      <c r="G74" s="289">
        <v>12</v>
      </c>
    </row>
    <row r="75" spans="1:7" ht="12" customHeight="1" x14ac:dyDescent="0.3">
      <c r="A75" s="776"/>
      <c r="B75" s="290" t="s">
        <v>321</v>
      </c>
      <c r="C75" s="290" t="s">
        <v>377</v>
      </c>
      <c r="D75" s="291" t="s">
        <v>342</v>
      </c>
      <c r="E75" s="292" t="s">
        <v>343</v>
      </c>
      <c r="F75" s="293">
        <v>3550</v>
      </c>
      <c r="G75" s="294">
        <v>5.41</v>
      </c>
    </row>
    <row r="76" spans="1:7" ht="12" customHeight="1" x14ac:dyDescent="0.3">
      <c r="A76" s="775" t="s">
        <v>241</v>
      </c>
      <c r="B76" s="285" t="s">
        <v>324</v>
      </c>
      <c r="C76" s="285" t="s">
        <v>378</v>
      </c>
      <c r="D76" s="286" t="s">
        <v>342</v>
      </c>
      <c r="E76" s="287" t="s">
        <v>343</v>
      </c>
      <c r="F76" s="295">
        <v>209</v>
      </c>
      <c r="G76" s="289">
        <v>5.51</v>
      </c>
    </row>
    <row r="77" spans="1:7" ht="12" customHeight="1" x14ac:dyDescent="0.3">
      <c r="A77" s="777"/>
      <c r="B77" s="285" t="s">
        <v>324</v>
      </c>
      <c r="C77" s="285" t="s">
        <v>378</v>
      </c>
      <c r="D77" s="286" t="s">
        <v>342</v>
      </c>
      <c r="E77" s="287" t="s">
        <v>345</v>
      </c>
      <c r="F77" s="288">
        <v>274</v>
      </c>
      <c r="G77" s="289">
        <v>80.400000000000006</v>
      </c>
    </row>
    <row r="78" spans="1:7" ht="12" customHeight="1" x14ac:dyDescent="0.3">
      <c r="A78" s="777"/>
      <c r="B78" s="285" t="s">
        <v>324</v>
      </c>
      <c r="C78" s="285" t="s">
        <v>379</v>
      </c>
      <c r="D78" s="286" t="s">
        <v>342</v>
      </c>
      <c r="E78" s="287" t="s">
        <v>345</v>
      </c>
      <c r="F78" s="288">
        <v>204</v>
      </c>
      <c r="G78" s="289">
        <v>80.400000000000006</v>
      </c>
    </row>
    <row r="79" spans="1:7" ht="12" customHeight="1" x14ac:dyDescent="0.3">
      <c r="A79" s="777"/>
      <c r="B79" s="285" t="s">
        <v>324</v>
      </c>
      <c r="C79" s="285" t="s">
        <v>379</v>
      </c>
      <c r="D79" s="286" t="s">
        <v>342</v>
      </c>
      <c r="E79" s="287" t="s">
        <v>343</v>
      </c>
      <c r="F79" s="288">
        <v>19141</v>
      </c>
      <c r="G79" s="289">
        <v>5.51</v>
      </c>
    </row>
    <row r="80" spans="1:7" ht="12" customHeight="1" x14ac:dyDescent="0.3">
      <c r="A80" s="777"/>
      <c r="B80" s="285" t="s">
        <v>324</v>
      </c>
      <c r="C80" s="285" t="s">
        <v>380</v>
      </c>
      <c r="D80" s="286" t="s">
        <v>342</v>
      </c>
      <c r="E80" s="287" t="s">
        <v>345</v>
      </c>
      <c r="F80" s="288">
        <v>291</v>
      </c>
      <c r="G80" s="289">
        <v>80.400000000000006</v>
      </c>
    </row>
    <row r="81" spans="1:7" ht="12" customHeight="1" x14ac:dyDescent="0.3">
      <c r="A81" s="777"/>
      <c r="B81" s="285" t="s">
        <v>324</v>
      </c>
      <c r="C81" s="412" t="s">
        <v>390</v>
      </c>
      <c r="D81" s="286" t="s">
        <v>342</v>
      </c>
      <c r="E81" s="287" t="s">
        <v>345</v>
      </c>
      <c r="F81" s="288">
        <v>469</v>
      </c>
      <c r="G81" s="289">
        <v>80.400000000000006</v>
      </c>
    </row>
    <row r="82" spans="1:7" ht="12" customHeight="1" x14ac:dyDescent="0.3">
      <c r="A82" s="777"/>
      <c r="B82" s="285" t="s">
        <v>324</v>
      </c>
      <c r="C82" s="412" t="s">
        <v>390</v>
      </c>
      <c r="D82" s="286" t="s">
        <v>342</v>
      </c>
      <c r="E82" s="287" t="s">
        <v>343</v>
      </c>
      <c r="F82" s="288">
        <v>1840</v>
      </c>
      <c r="G82" s="289">
        <v>5.51</v>
      </c>
    </row>
    <row r="83" spans="1:7" ht="12" customHeight="1" x14ac:dyDescent="0.3">
      <c r="A83" s="777"/>
      <c r="B83" s="285" t="s">
        <v>324</v>
      </c>
      <c r="C83" s="285" t="s">
        <v>381</v>
      </c>
      <c r="D83" s="286" t="s">
        <v>342</v>
      </c>
      <c r="E83" s="287" t="s">
        <v>345</v>
      </c>
      <c r="F83" s="288">
        <v>531</v>
      </c>
      <c r="G83" s="289">
        <v>80.400000000000006</v>
      </c>
    </row>
    <row r="84" spans="1:7" ht="12" customHeight="1" x14ac:dyDescent="0.3">
      <c r="A84" s="777"/>
      <c r="B84" s="285" t="s">
        <v>324</v>
      </c>
      <c r="C84" s="285" t="s">
        <v>381</v>
      </c>
      <c r="D84" s="286" t="s">
        <v>342</v>
      </c>
      <c r="E84" s="287" t="s">
        <v>343</v>
      </c>
      <c r="F84" s="288">
        <v>1695</v>
      </c>
      <c r="G84" s="289">
        <v>5.51</v>
      </c>
    </row>
    <row r="85" spans="1:7" ht="12" customHeight="1" x14ac:dyDescent="0.3">
      <c r="A85" s="777"/>
      <c r="B85" s="285" t="s">
        <v>324</v>
      </c>
      <c r="C85" s="285" t="s">
        <v>382</v>
      </c>
      <c r="D85" s="286" t="s">
        <v>342</v>
      </c>
      <c r="E85" s="287" t="s">
        <v>343</v>
      </c>
      <c r="F85" s="288">
        <v>1573</v>
      </c>
      <c r="G85" s="289">
        <v>5.51</v>
      </c>
    </row>
    <row r="86" spans="1:7" ht="12" customHeight="1" x14ac:dyDescent="0.3">
      <c r="A86" s="777"/>
      <c r="B86" s="285" t="s">
        <v>324</v>
      </c>
      <c r="C86" s="285" t="s">
        <v>382</v>
      </c>
      <c r="D86" s="286" t="s">
        <v>342</v>
      </c>
      <c r="E86" s="287" t="s">
        <v>345</v>
      </c>
      <c r="F86" s="288">
        <v>766</v>
      </c>
      <c r="G86" s="289">
        <v>80.400000000000006</v>
      </c>
    </row>
    <row r="87" spans="1:7" ht="12" customHeight="1" x14ac:dyDescent="0.3">
      <c r="A87" s="777"/>
      <c r="B87" s="285" t="s">
        <v>324</v>
      </c>
      <c r="C87" s="285" t="s">
        <v>383</v>
      </c>
      <c r="D87" s="286" t="s">
        <v>342</v>
      </c>
      <c r="E87" s="287" t="s">
        <v>345</v>
      </c>
      <c r="F87" s="288">
        <v>447</v>
      </c>
      <c r="G87" s="289">
        <v>80.400000000000006</v>
      </c>
    </row>
    <row r="88" spans="1:7" ht="12" customHeight="1" x14ac:dyDescent="0.3">
      <c r="A88" s="777"/>
      <c r="B88" s="285" t="s">
        <v>324</v>
      </c>
      <c r="C88" s="285" t="s">
        <v>383</v>
      </c>
      <c r="D88" s="286" t="s">
        <v>342</v>
      </c>
      <c r="E88" s="287" t="s">
        <v>343</v>
      </c>
      <c r="F88" s="288">
        <v>11</v>
      </c>
      <c r="G88" s="289">
        <v>5.51</v>
      </c>
    </row>
    <row r="89" spans="1:7" ht="12" customHeight="1" x14ac:dyDescent="0.3">
      <c r="A89" s="777"/>
      <c r="B89" s="285" t="s">
        <v>370</v>
      </c>
      <c r="C89" s="285" t="s">
        <v>384</v>
      </c>
      <c r="D89" s="286" t="s">
        <v>342</v>
      </c>
      <c r="E89" s="287" t="s">
        <v>345</v>
      </c>
      <c r="F89" s="288">
        <v>25</v>
      </c>
      <c r="G89" s="289">
        <v>12.91</v>
      </c>
    </row>
    <row r="90" spans="1:7" ht="12" customHeight="1" x14ac:dyDescent="0.3">
      <c r="A90" s="777"/>
      <c r="B90" s="285" t="s">
        <v>370</v>
      </c>
      <c r="C90" s="285" t="s">
        <v>384</v>
      </c>
      <c r="D90" s="286" t="s">
        <v>342</v>
      </c>
      <c r="E90" s="287" t="s">
        <v>343</v>
      </c>
      <c r="F90" s="288">
        <v>25</v>
      </c>
      <c r="G90" s="289">
        <v>10.94</v>
      </c>
    </row>
    <row r="91" spans="1:7" ht="12" customHeight="1" x14ac:dyDescent="0.3">
      <c r="A91" s="777"/>
      <c r="B91" s="285" t="s">
        <v>370</v>
      </c>
      <c r="C91" s="285" t="s">
        <v>384</v>
      </c>
      <c r="D91" s="286" t="s">
        <v>342</v>
      </c>
      <c r="E91" s="287" t="s">
        <v>342</v>
      </c>
      <c r="F91" s="288">
        <v>3425</v>
      </c>
      <c r="G91" s="289">
        <v>8.99</v>
      </c>
    </row>
    <row r="92" spans="1:7" ht="12" customHeight="1" x14ac:dyDescent="0.3">
      <c r="A92" s="777"/>
      <c r="B92" s="285" t="s">
        <v>370</v>
      </c>
      <c r="C92" s="285" t="s">
        <v>368</v>
      </c>
      <c r="D92" s="286" t="s">
        <v>342</v>
      </c>
      <c r="E92" s="287" t="s">
        <v>345</v>
      </c>
      <c r="F92" s="288">
        <v>644</v>
      </c>
      <c r="G92" s="289">
        <v>12.91</v>
      </c>
    </row>
    <row r="93" spans="1:7" ht="12" customHeight="1" x14ac:dyDescent="0.3">
      <c r="A93" s="777"/>
      <c r="B93" s="285" t="s">
        <v>370</v>
      </c>
      <c r="C93" s="285" t="s">
        <v>368</v>
      </c>
      <c r="D93" s="286" t="s">
        <v>342</v>
      </c>
      <c r="E93" s="287" t="s">
        <v>343</v>
      </c>
      <c r="F93" s="288">
        <v>782</v>
      </c>
      <c r="G93" s="289">
        <v>10.94</v>
      </c>
    </row>
    <row r="94" spans="1:7" ht="12" customHeight="1" x14ac:dyDescent="0.3">
      <c r="A94" s="777"/>
      <c r="B94" s="285" t="s">
        <v>322</v>
      </c>
      <c r="C94" s="285" t="s">
        <v>498</v>
      </c>
      <c r="D94" s="286" t="s">
        <v>342</v>
      </c>
      <c r="E94" s="287" t="s">
        <v>351</v>
      </c>
      <c r="F94" s="288">
        <v>3100</v>
      </c>
      <c r="G94" s="289">
        <v>16.43</v>
      </c>
    </row>
    <row r="95" spans="1:7" ht="12" customHeight="1" x14ac:dyDescent="0.3">
      <c r="A95" s="777"/>
      <c r="B95" s="285" t="s">
        <v>322</v>
      </c>
      <c r="C95" s="285" t="s">
        <v>360</v>
      </c>
      <c r="D95" s="286" t="s">
        <v>342</v>
      </c>
      <c r="E95" s="287" t="s">
        <v>345</v>
      </c>
      <c r="F95" s="288">
        <v>304</v>
      </c>
      <c r="G95" s="289">
        <v>8.98</v>
      </c>
    </row>
    <row r="96" spans="1:7" ht="12" customHeight="1" x14ac:dyDescent="0.3">
      <c r="A96" s="777"/>
      <c r="B96" s="285" t="s">
        <v>322</v>
      </c>
      <c r="C96" s="285" t="s">
        <v>360</v>
      </c>
      <c r="D96" s="286" t="s">
        <v>342</v>
      </c>
      <c r="E96" s="287" t="s">
        <v>343</v>
      </c>
      <c r="F96" s="288">
        <v>1533</v>
      </c>
      <c r="G96" s="289">
        <v>5.5</v>
      </c>
    </row>
    <row r="97" spans="1:7" ht="12" customHeight="1" x14ac:dyDescent="0.3">
      <c r="A97" s="777"/>
      <c r="B97" s="285" t="s">
        <v>322</v>
      </c>
      <c r="C97" s="285" t="s">
        <v>360</v>
      </c>
      <c r="D97" s="286" t="s">
        <v>342</v>
      </c>
      <c r="E97" s="287" t="s">
        <v>342</v>
      </c>
      <c r="F97" s="288">
        <v>16611</v>
      </c>
      <c r="G97" s="289">
        <v>4.83</v>
      </c>
    </row>
    <row r="98" spans="1:7" ht="12" customHeight="1" x14ac:dyDescent="0.3">
      <c r="A98" s="777"/>
      <c r="B98" s="285" t="s">
        <v>322</v>
      </c>
      <c r="C98" s="285" t="s">
        <v>385</v>
      </c>
      <c r="D98" s="286" t="s">
        <v>387</v>
      </c>
      <c r="E98" s="287" t="s">
        <v>387</v>
      </c>
      <c r="F98" s="288">
        <v>6101</v>
      </c>
      <c r="G98" s="289">
        <v>63.04</v>
      </c>
    </row>
    <row r="99" spans="1:7" ht="12" customHeight="1" x14ac:dyDescent="0.3">
      <c r="A99" s="776"/>
      <c r="B99" s="285" t="s">
        <v>322</v>
      </c>
      <c r="C99" s="285" t="s">
        <v>386</v>
      </c>
      <c r="D99" s="286" t="s">
        <v>387</v>
      </c>
      <c r="E99" s="292" t="s">
        <v>387</v>
      </c>
      <c r="F99" s="295">
        <v>2749</v>
      </c>
      <c r="G99" s="289">
        <v>63.04</v>
      </c>
    </row>
    <row r="100" spans="1:7" ht="9" customHeight="1" x14ac:dyDescent="0.3">
      <c r="A100" s="265" t="s">
        <v>244</v>
      </c>
      <c r="B100" s="264"/>
      <c r="C100" s="4"/>
      <c r="D100" s="4"/>
      <c r="F100" s="4"/>
      <c r="G100" s="4"/>
    </row>
    <row r="101" spans="1:7" ht="9" customHeight="1" x14ac:dyDescent="0.3">
      <c r="A101" s="511" t="s">
        <v>67</v>
      </c>
      <c r="B101" s="265"/>
    </row>
    <row r="102" spans="1:7" ht="9" customHeight="1" x14ac:dyDescent="0.3">
      <c r="A102" s="512" t="s">
        <v>68</v>
      </c>
    </row>
    <row r="103" spans="1:7" ht="13.8" x14ac:dyDescent="0.3"/>
    <row r="104" spans="1:7" ht="13.8" x14ac:dyDescent="0.3"/>
    <row r="105" spans="1:7" ht="13.8" x14ac:dyDescent="0.3"/>
    <row r="106" spans="1:7" ht="13.8" x14ac:dyDescent="0.3"/>
    <row r="107" spans="1:7" ht="13.8" x14ac:dyDescent="0.3"/>
    <row r="108" spans="1:7" ht="13.8" x14ac:dyDescent="0.3"/>
    <row r="109" spans="1:7" ht="13.8" x14ac:dyDescent="0.3"/>
    <row r="110" spans="1:7" ht="13.8" x14ac:dyDescent="0.3"/>
    <row r="111" spans="1:7" ht="13.8" x14ac:dyDescent="0.3"/>
    <row r="112" spans="1:7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</sheetData>
  <mergeCells count="12">
    <mergeCell ref="A64:A75"/>
    <mergeCell ref="A76:A99"/>
    <mergeCell ref="A29:A35"/>
    <mergeCell ref="A38:A40"/>
    <mergeCell ref="A41:A42"/>
    <mergeCell ref="A44:A50"/>
    <mergeCell ref="A59:A60"/>
    <mergeCell ref="A5:A6"/>
    <mergeCell ref="A7:A19"/>
    <mergeCell ref="A20:A24"/>
    <mergeCell ref="A25:A28"/>
    <mergeCell ref="A62:A63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9"/>
  <dimension ref="A1:E878"/>
  <sheetViews>
    <sheetView showGridLines="0" zoomScaleNormal="100" workbookViewId="0">
      <selection sqref="A1:E30"/>
    </sheetView>
  </sheetViews>
  <sheetFormatPr baseColWidth="10" defaultColWidth="10.6640625" defaultRowHeight="15" customHeight="1" x14ac:dyDescent="0.25"/>
  <cols>
    <col min="1" max="1" width="18" style="260" customWidth="1"/>
    <col min="2" max="4" width="15.6640625" style="260" customWidth="1"/>
    <col min="5" max="5" width="10.6640625" style="260"/>
    <col min="6" max="6" width="15.44140625" style="260" customWidth="1"/>
    <col min="7" max="16384" width="10.6640625" style="260"/>
  </cols>
  <sheetData>
    <row r="1" spans="1:5" ht="22.2" customHeight="1" x14ac:dyDescent="0.3">
      <c r="A1" s="683" t="s">
        <v>581</v>
      </c>
      <c r="B1" s="684"/>
      <c r="C1" s="684"/>
      <c r="D1" s="685"/>
      <c r="E1" s="686"/>
    </row>
    <row r="2" spans="1:5" ht="12" customHeight="1" x14ac:dyDescent="0.3">
      <c r="A2" s="778" t="s">
        <v>618</v>
      </c>
      <c r="B2" s="778"/>
      <c r="C2" s="778"/>
      <c r="D2" s="778"/>
      <c r="E2" s="686"/>
    </row>
    <row r="3" spans="1:5" ht="6" customHeight="1" x14ac:dyDescent="0.25">
      <c r="A3" s="684"/>
      <c r="B3" s="684"/>
      <c r="C3" s="684"/>
      <c r="D3" s="684"/>
      <c r="E3" s="686"/>
    </row>
    <row r="4" spans="1:5" ht="20.399999999999999" x14ac:dyDescent="0.25">
      <c r="A4" s="687" t="s">
        <v>56</v>
      </c>
      <c r="B4" s="688" t="s">
        <v>317</v>
      </c>
      <c r="C4" s="688" t="s">
        <v>318</v>
      </c>
      <c r="D4" s="688" t="s">
        <v>319</v>
      </c>
      <c r="E4" s="686"/>
    </row>
    <row r="5" spans="1:5" ht="3.75" customHeight="1" x14ac:dyDescent="0.25">
      <c r="A5" s="686"/>
      <c r="B5" s="686"/>
      <c r="C5" s="686"/>
      <c r="D5" s="686"/>
      <c r="E5" s="686"/>
    </row>
    <row r="6" spans="1:5" ht="12" customHeight="1" x14ac:dyDescent="0.25">
      <c r="A6" s="689" t="s">
        <v>320</v>
      </c>
      <c r="B6" s="690"/>
      <c r="C6" s="691"/>
      <c r="D6" s="690"/>
      <c r="E6" s="686"/>
    </row>
    <row r="7" spans="1:5" ht="12" customHeight="1" x14ac:dyDescent="0.2">
      <c r="A7" s="692" t="s">
        <v>321</v>
      </c>
      <c r="B7" s="693">
        <v>6094</v>
      </c>
      <c r="C7" s="694">
        <v>140</v>
      </c>
      <c r="D7" s="695">
        <v>43.528571428571432</v>
      </c>
      <c r="E7" s="686"/>
    </row>
    <row r="8" spans="1:5" ht="12" customHeight="1" x14ac:dyDescent="0.2">
      <c r="A8" s="692" t="s">
        <v>322</v>
      </c>
      <c r="B8" s="693">
        <v>46530</v>
      </c>
      <c r="C8" s="694">
        <v>25</v>
      </c>
      <c r="D8" s="695">
        <v>1861.2</v>
      </c>
      <c r="E8" s="686"/>
    </row>
    <row r="9" spans="1:5" ht="12" customHeight="1" x14ac:dyDescent="0.2">
      <c r="A9" s="692" t="s">
        <v>323</v>
      </c>
      <c r="B9" s="693">
        <v>897</v>
      </c>
      <c r="C9" s="694">
        <v>60</v>
      </c>
      <c r="D9" s="695">
        <v>14.95</v>
      </c>
      <c r="E9" s="686"/>
    </row>
    <row r="10" spans="1:5" ht="12" customHeight="1" x14ac:dyDescent="0.2">
      <c r="A10" s="692" t="s">
        <v>458</v>
      </c>
      <c r="B10" s="693">
        <v>9683</v>
      </c>
      <c r="C10" s="694">
        <v>60</v>
      </c>
      <c r="D10" s="695">
        <v>161.38333333333333</v>
      </c>
      <c r="E10" s="686"/>
    </row>
    <row r="11" spans="1:5" ht="12" customHeight="1" x14ac:dyDescent="0.2">
      <c r="A11" s="692" t="s">
        <v>324</v>
      </c>
      <c r="B11" s="693">
        <v>33351</v>
      </c>
      <c r="C11" s="694">
        <v>50</v>
      </c>
      <c r="D11" s="695">
        <v>667.02</v>
      </c>
      <c r="E11" s="686"/>
    </row>
    <row r="12" spans="1:5" ht="12" customHeight="1" x14ac:dyDescent="0.2">
      <c r="A12" s="692" t="s">
        <v>325</v>
      </c>
      <c r="B12" s="693">
        <v>3325</v>
      </c>
      <c r="C12" s="694">
        <v>75</v>
      </c>
      <c r="D12" s="695">
        <v>44.333333333333336</v>
      </c>
      <c r="E12" s="686"/>
    </row>
    <row r="13" spans="1:5" ht="12" customHeight="1" x14ac:dyDescent="0.2">
      <c r="A13" s="692" t="s">
        <v>326</v>
      </c>
      <c r="B13" s="693">
        <v>4067</v>
      </c>
      <c r="C13" s="694">
        <v>100</v>
      </c>
      <c r="D13" s="695">
        <v>40.67</v>
      </c>
      <c r="E13" s="686"/>
    </row>
    <row r="14" spans="1:5" ht="12" customHeight="1" x14ac:dyDescent="0.2">
      <c r="A14" s="692" t="s">
        <v>327</v>
      </c>
      <c r="B14" s="693">
        <v>3755</v>
      </c>
      <c r="C14" s="694">
        <v>120</v>
      </c>
      <c r="D14" s="695">
        <v>31.291666666666668</v>
      </c>
      <c r="E14" s="686"/>
    </row>
    <row r="15" spans="1:5" ht="9" customHeight="1" x14ac:dyDescent="0.2">
      <c r="A15" s="696"/>
      <c r="B15" s="693"/>
      <c r="C15" s="694"/>
      <c r="D15" s="695"/>
      <c r="E15" s="686"/>
    </row>
    <row r="16" spans="1:5" ht="12" customHeight="1" x14ac:dyDescent="0.2">
      <c r="A16" s="697" t="s">
        <v>328</v>
      </c>
      <c r="B16" s="693"/>
      <c r="C16" s="694"/>
      <c r="D16" s="695"/>
      <c r="E16" s="686"/>
    </row>
    <row r="17" spans="1:5" ht="12" customHeight="1" x14ac:dyDescent="0.2">
      <c r="A17" s="692" t="s">
        <v>329</v>
      </c>
      <c r="B17" s="693">
        <v>4015</v>
      </c>
      <c r="C17" s="694">
        <v>65</v>
      </c>
      <c r="D17" s="695">
        <v>61.769230769230766</v>
      </c>
      <c r="E17" s="686"/>
    </row>
    <row r="18" spans="1:5" ht="12" customHeight="1" x14ac:dyDescent="0.2">
      <c r="A18" s="692" t="s">
        <v>500</v>
      </c>
      <c r="B18" s="693">
        <v>9698</v>
      </c>
      <c r="C18" s="694">
        <v>60</v>
      </c>
      <c r="D18" s="695">
        <v>161.63333333333333</v>
      </c>
      <c r="E18" s="686"/>
    </row>
    <row r="19" spans="1:5" ht="12" customHeight="1" x14ac:dyDescent="0.2">
      <c r="A19" s="692" t="s">
        <v>330</v>
      </c>
      <c r="B19" s="693">
        <v>120</v>
      </c>
      <c r="C19" s="694">
        <v>60</v>
      </c>
      <c r="D19" s="695">
        <v>2</v>
      </c>
      <c r="E19" s="686"/>
    </row>
    <row r="20" spans="1:5" ht="12" customHeight="1" x14ac:dyDescent="0.2">
      <c r="A20" s="692" t="s">
        <v>331</v>
      </c>
      <c r="B20" s="693">
        <v>1300</v>
      </c>
      <c r="C20" s="694">
        <v>100</v>
      </c>
      <c r="D20" s="695">
        <v>13</v>
      </c>
      <c r="E20" s="686"/>
    </row>
    <row r="21" spans="1:5" ht="6" customHeight="1" x14ac:dyDescent="0.2">
      <c r="A21" s="692"/>
      <c r="B21" s="693"/>
      <c r="C21" s="694"/>
      <c r="D21" s="695"/>
      <c r="E21" s="686"/>
    </row>
    <row r="22" spans="1:5" ht="12" customHeight="1" x14ac:dyDescent="0.2">
      <c r="A22" s="697" t="s">
        <v>459</v>
      </c>
      <c r="B22" s="693"/>
      <c r="C22" s="694"/>
      <c r="D22" s="695"/>
      <c r="E22" s="686"/>
    </row>
    <row r="23" spans="1:5" ht="12" customHeight="1" x14ac:dyDescent="0.2">
      <c r="A23" s="692" t="s">
        <v>457</v>
      </c>
      <c r="B23" s="693">
        <v>60323</v>
      </c>
      <c r="C23" s="694">
        <v>2000</v>
      </c>
      <c r="D23" s="695">
        <v>30.1615</v>
      </c>
      <c r="E23" s="686"/>
    </row>
    <row r="24" spans="1:5" ht="4.5" customHeight="1" x14ac:dyDescent="0.2">
      <c r="A24" s="696"/>
      <c r="B24" s="693"/>
      <c r="C24" s="694"/>
      <c r="D24" s="695"/>
      <c r="E24" s="686"/>
    </row>
    <row r="25" spans="1:5" ht="12" customHeight="1" x14ac:dyDescent="0.2">
      <c r="A25" s="697" t="s">
        <v>332</v>
      </c>
      <c r="B25" s="693"/>
      <c r="C25" s="698"/>
      <c r="D25" s="699"/>
      <c r="E25" s="686"/>
    </row>
    <row r="26" spans="1:5" ht="12" customHeight="1" x14ac:dyDescent="0.2">
      <c r="A26" s="700" t="s">
        <v>333</v>
      </c>
      <c r="B26" s="701">
        <v>4209</v>
      </c>
      <c r="C26" s="702">
        <v>150</v>
      </c>
      <c r="D26" s="703">
        <v>28.06</v>
      </c>
      <c r="E26" s="686"/>
    </row>
    <row r="27" spans="1:5" ht="9" customHeight="1" x14ac:dyDescent="0.15">
      <c r="A27" s="704" t="s">
        <v>619</v>
      </c>
      <c r="B27" s="705"/>
      <c r="C27" s="706"/>
      <c r="D27" s="684"/>
      <c r="E27" s="686"/>
    </row>
    <row r="28" spans="1:5" ht="9" customHeight="1" x14ac:dyDescent="0.25">
      <c r="A28" s="707" t="s">
        <v>67</v>
      </c>
      <c r="B28" s="708"/>
      <c r="C28" s="708"/>
      <c r="D28" s="709"/>
      <c r="E28" s="686"/>
    </row>
    <row r="29" spans="1:5" ht="9" customHeight="1" x14ac:dyDescent="0.15">
      <c r="A29" s="710" t="s">
        <v>68</v>
      </c>
      <c r="B29" s="686"/>
      <c r="C29" s="686"/>
      <c r="D29" s="686"/>
      <c r="E29" s="686"/>
    </row>
    <row r="30" spans="1:5" ht="13.2" x14ac:dyDescent="0.25">
      <c r="A30" s="686"/>
      <c r="B30" s="686"/>
      <c r="C30" s="686"/>
      <c r="D30" s="686"/>
      <c r="E30" s="686"/>
    </row>
    <row r="31" spans="1:5" ht="13.2" x14ac:dyDescent="0.25"/>
    <row r="32" spans="1:5" ht="13.2" x14ac:dyDescent="0.25"/>
    <row r="33" s="260" customFormat="1" ht="13.2" x14ac:dyDescent="0.25"/>
    <row r="34" s="260" customFormat="1" ht="13.2" x14ac:dyDescent="0.25"/>
    <row r="35" s="260" customFormat="1" ht="13.2" x14ac:dyDescent="0.25"/>
    <row r="36" s="260" customFormat="1" ht="13.2" x14ac:dyDescent="0.25"/>
    <row r="37" s="260" customFormat="1" ht="13.2" x14ac:dyDescent="0.25"/>
    <row r="38" s="260" customFormat="1" ht="13.2" x14ac:dyDescent="0.25"/>
    <row r="39" s="260" customFormat="1" ht="13.2" x14ac:dyDescent="0.25"/>
    <row r="40" s="260" customFormat="1" ht="13.2" x14ac:dyDescent="0.25"/>
    <row r="41" s="260" customFormat="1" ht="13.2" x14ac:dyDescent="0.25"/>
    <row r="42" s="260" customFormat="1" ht="13.2" x14ac:dyDescent="0.25"/>
    <row r="43" s="260" customFormat="1" ht="13.2" x14ac:dyDescent="0.25"/>
    <row r="44" s="260" customFormat="1" ht="13.2" x14ac:dyDescent="0.25"/>
    <row r="45" s="260" customFormat="1" ht="13.2" x14ac:dyDescent="0.25"/>
    <row r="46" s="260" customFormat="1" ht="13.2" x14ac:dyDescent="0.25"/>
    <row r="47" s="260" customFormat="1" ht="13.2" x14ac:dyDescent="0.25"/>
    <row r="48" s="260" customFormat="1" ht="13.2" x14ac:dyDescent="0.25"/>
    <row r="49" s="260" customFormat="1" ht="13.2" x14ac:dyDescent="0.25"/>
    <row r="50" s="260" customFormat="1" ht="13.2" x14ac:dyDescent="0.25"/>
    <row r="51" s="260" customFormat="1" ht="13.2" x14ac:dyDescent="0.25"/>
    <row r="52" s="260" customFormat="1" ht="13.2" x14ac:dyDescent="0.25"/>
    <row r="53" s="260" customFormat="1" ht="13.2" x14ac:dyDescent="0.25"/>
    <row r="54" s="260" customFormat="1" ht="13.2" x14ac:dyDescent="0.25"/>
    <row r="55" s="260" customFormat="1" ht="13.2" x14ac:dyDescent="0.25"/>
    <row r="56" s="260" customFormat="1" ht="13.2" x14ac:dyDescent="0.25"/>
    <row r="57" s="260" customFormat="1" ht="13.2" x14ac:dyDescent="0.25"/>
    <row r="58" s="260" customFormat="1" ht="13.2" x14ac:dyDescent="0.25"/>
    <row r="59" s="260" customFormat="1" ht="13.2" x14ac:dyDescent="0.25"/>
    <row r="60" s="260" customFormat="1" ht="13.2" x14ac:dyDescent="0.25"/>
    <row r="61" s="260" customFormat="1" ht="13.2" x14ac:dyDescent="0.25"/>
    <row r="62" s="260" customFormat="1" ht="13.2" x14ac:dyDescent="0.25"/>
    <row r="63" s="260" customFormat="1" ht="13.2" x14ac:dyDescent="0.25"/>
    <row r="64" s="260" customFormat="1" ht="13.2" x14ac:dyDescent="0.25"/>
    <row r="65" s="260" customFormat="1" ht="13.2" x14ac:dyDescent="0.25"/>
    <row r="66" s="260" customFormat="1" ht="13.2" x14ac:dyDescent="0.25"/>
    <row r="67" s="260" customFormat="1" ht="13.2" x14ac:dyDescent="0.25"/>
    <row r="68" s="260" customFormat="1" ht="13.2" x14ac:dyDescent="0.25"/>
    <row r="69" s="260" customFormat="1" ht="13.2" x14ac:dyDescent="0.25"/>
    <row r="70" s="260" customFormat="1" ht="13.2" x14ac:dyDescent="0.25"/>
    <row r="71" s="260" customFormat="1" ht="13.2" x14ac:dyDescent="0.25"/>
    <row r="72" s="260" customFormat="1" ht="13.2" x14ac:dyDescent="0.25"/>
    <row r="73" s="260" customFormat="1" ht="13.2" x14ac:dyDescent="0.25"/>
    <row r="74" s="260" customFormat="1" ht="13.2" x14ac:dyDescent="0.25"/>
    <row r="75" s="260" customFormat="1" ht="13.2" x14ac:dyDescent="0.25"/>
    <row r="76" s="260" customFormat="1" ht="13.2" x14ac:dyDescent="0.25"/>
    <row r="77" s="260" customFormat="1" ht="13.2" x14ac:dyDescent="0.25"/>
    <row r="78" s="260" customFormat="1" ht="13.2" x14ac:dyDescent="0.25"/>
    <row r="79" s="260" customFormat="1" ht="13.2" x14ac:dyDescent="0.25"/>
    <row r="80" s="260" customFormat="1" ht="13.2" x14ac:dyDescent="0.25"/>
    <row r="81" s="260" customFormat="1" ht="13.2" x14ac:dyDescent="0.25"/>
    <row r="82" s="260" customFormat="1" ht="13.2" x14ac:dyDescent="0.25"/>
    <row r="83" s="260" customFormat="1" ht="13.2" x14ac:dyDescent="0.25"/>
    <row r="84" s="260" customFormat="1" ht="13.2" x14ac:dyDescent="0.25"/>
    <row r="85" s="260" customFormat="1" ht="13.2" x14ac:dyDescent="0.25"/>
    <row r="86" s="260" customFormat="1" ht="13.2" x14ac:dyDescent="0.25"/>
    <row r="87" s="260" customFormat="1" ht="13.2" x14ac:dyDescent="0.25"/>
    <row r="88" s="260" customFormat="1" ht="13.2" x14ac:dyDescent="0.25"/>
    <row r="89" s="260" customFormat="1" ht="13.2" x14ac:dyDescent="0.25"/>
    <row r="90" s="260" customFormat="1" ht="13.2" x14ac:dyDescent="0.25"/>
    <row r="91" s="260" customFormat="1" ht="13.2" x14ac:dyDescent="0.25"/>
    <row r="92" s="260" customFormat="1" ht="13.2" x14ac:dyDescent="0.25"/>
    <row r="93" s="260" customFormat="1" ht="13.2" x14ac:dyDescent="0.25"/>
    <row r="94" s="260" customFormat="1" ht="13.2" x14ac:dyDescent="0.25"/>
    <row r="95" s="260" customFormat="1" ht="13.2" x14ac:dyDescent="0.25"/>
    <row r="96" s="260" customFormat="1" ht="13.2" x14ac:dyDescent="0.25"/>
    <row r="97" s="260" customFormat="1" ht="13.2" x14ac:dyDescent="0.25"/>
    <row r="98" s="260" customFormat="1" ht="13.2" x14ac:dyDescent="0.25"/>
    <row r="99" s="260" customFormat="1" ht="13.2" x14ac:dyDescent="0.25"/>
    <row r="100" s="260" customFormat="1" ht="13.2" x14ac:dyDescent="0.25"/>
    <row r="101" s="260" customFormat="1" ht="13.2" x14ac:dyDescent="0.25"/>
    <row r="102" s="260" customFormat="1" ht="13.2" x14ac:dyDescent="0.25"/>
    <row r="103" s="260" customFormat="1" ht="13.2" x14ac:dyDescent="0.25"/>
    <row r="104" s="260" customFormat="1" ht="13.2" x14ac:dyDescent="0.25"/>
    <row r="105" s="260" customFormat="1" ht="13.2" x14ac:dyDescent="0.25"/>
    <row r="106" s="260" customFormat="1" ht="13.2" x14ac:dyDescent="0.25"/>
    <row r="107" s="260" customFormat="1" ht="13.2" x14ac:dyDescent="0.25"/>
    <row r="108" s="260" customFormat="1" ht="13.2" x14ac:dyDescent="0.25"/>
    <row r="109" s="260" customFormat="1" ht="13.2" x14ac:dyDescent="0.25"/>
    <row r="110" s="260" customFormat="1" ht="13.2" x14ac:dyDescent="0.25"/>
    <row r="111" s="260" customFormat="1" ht="13.2" x14ac:dyDescent="0.25"/>
    <row r="112" s="260" customFormat="1" ht="13.2" x14ac:dyDescent="0.25"/>
    <row r="113" s="260" customFormat="1" ht="13.2" x14ac:dyDescent="0.25"/>
    <row r="114" s="260" customFormat="1" ht="13.2" x14ac:dyDescent="0.25"/>
    <row r="115" s="260" customFormat="1" ht="13.2" x14ac:dyDescent="0.25"/>
    <row r="116" s="260" customFormat="1" ht="13.2" x14ac:dyDescent="0.25"/>
    <row r="117" s="260" customFormat="1" ht="13.2" x14ac:dyDescent="0.25"/>
    <row r="118" s="260" customFormat="1" ht="13.2" x14ac:dyDescent="0.25"/>
    <row r="119" s="260" customFormat="1" ht="13.2" x14ac:dyDescent="0.25"/>
    <row r="120" s="260" customFormat="1" ht="13.2" x14ac:dyDescent="0.25"/>
    <row r="121" s="260" customFormat="1" ht="13.2" x14ac:dyDescent="0.25"/>
    <row r="122" s="260" customFormat="1" ht="13.2" x14ac:dyDescent="0.25"/>
    <row r="123" s="260" customFormat="1" ht="13.2" x14ac:dyDescent="0.25"/>
    <row r="124" s="260" customFormat="1" ht="13.2" x14ac:dyDescent="0.25"/>
    <row r="125" s="260" customFormat="1" ht="13.2" x14ac:dyDescent="0.25"/>
    <row r="126" s="260" customFormat="1" ht="13.2" x14ac:dyDescent="0.25"/>
    <row r="127" s="260" customFormat="1" ht="13.2" x14ac:dyDescent="0.25"/>
    <row r="128" s="260" customFormat="1" ht="13.2" x14ac:dyDescent="0.25"/>
    <row r="129" s="260" customFormat="1" ht="13.2" x14ac:dyDescent="0.25"/>
    <row r="130" s="260" customFormat="1" ht="13.2" x14ac:dyDescent="0.25"/>
    <row r="131" s="260" customFormat="1" ht="13.2" x14ac:dyDescent="0.25"/>
    <row r="132" s="260" customFormat="1" ht="13.2" x14ac:dyDescent="0.25"/>
    <row r="133" s="260" customFormat="1" ht="13.2" x14ac:dyDescent="0.25"/>
    <row r="134" s="260" customFormat="1" ht="13.2" x14ac:dyDescent="0.25"/>
    <row r="135" s="260" customFormat="1" ht="13.2" x14ac:dyDescent="0.25"/>
    <row r="136" s="260" customFormat="1" ht="13.2" x14ac:dyDescent="0.25"/>
    <row r="137" s="260" customFormat="1" ht="13.2" x14ac:dyDescent="0.25"/>
    <row r="138" s="260" customFormat="1" ht="13.2" x14ac:dyDescent="0.25"/>
    <row r="139" s="260" customFormat="1" ht="13.2" x14ac:dyDescent="0.25"/>
    <row r="140" s="260" customFormat="1" ht="13.2" x14ac:dyDescent="0.25"/>
    <row r="141" s="260" customFormat="1" ht="13.2" x14ac:dyDescent="0.25"/>
    <row r="142" s="260" customFormat="1" ht="13.2" x14ac:dyDescent="0.25"/>
    <row r="143" s="260" customFormat="1" ht="13.2" x14ac:dyDescent="0.25"/>
    <row r="144" s="260" customFormat="1" ht="13.2" x14ac:dyDescent="0.25"/>
    <row r="145" s="260" customFormat="1" ht="13.2" x14ac:dyDescent="0.25"/>
    <row r="146" s="260" customFormat="1" ht="13.2" x14ac:dyDescent="0.25"/>
    <row r="147" s="260" customFormat="1" ht="13.2" x14ac:dyDescent="0.25"/>
    <row r="148" s="260" customFormat="1" ht="13.2" x14ac:dyDescent="0.25"/>
    <row r="149" s="260" customFormat="1" ht="13.2" x14ac:dyDescent="0.25"/>
    <row r="150" s="260" customFormat="1" ht="13.2" x14ac:dyDescent="0.25"/>
    <row r="151" s="260" customFormat="1" ht="13.2" x14ac:dyDescent="0.25"/>
    <row r="152" s="260" customFormat="1" ht="13.2" x14ac:dyDescent="0.25"/>
    <row r="153" s="260" customFormat="1" ht="13.2" x14ac:dyDescent="0.25"/>
    <row r="154" s="260" customFormat="1" ht="13.2" x14ac:dyDescent="0.25"/>
    <row r="155" s="260" customFormat="1" ht="13.2" x14ac:dyDescent="0.25"/>
    <row r="156" s="260" customFormat="1" ht="13.2" x14ac:dyDescent="0.25"/>
    <row r="157" s="260" customFormat="1" ht="13.2" x14ac:dyDescent="0.25"/>
    <row r="158" s="260" customFormat="1" ht="13.2" x14ac:dyDescent="0.25"/>
    <row r="159" s="260" customFormat="1" ht="13.2" x14ac:dyDescent="0.25"/>
    <row r="160" s="260" customFormat="1" ht="13.2" x14ac:dyDescent="0.25"/>
    <row r="161" s="260" customFormat="1" ht="13.2" x14ac:dyDescent="0.25"/>
    <row r="162" s="260" customFormat="1" ht="13.2" x14ac:dyDescent="0.25"/>
    <row r="163" s="260" customFormat="1" ht="13.2" x14ac:dyDescent="0.25"/>
    <row r="164" s="260" customFormat="1" ht="13.2" x14ac:dyDescent="0.25"/>
    <row r="165" s="260" customFormat="1" ht="13.2" x14ac:dyDescent="0.25"/>
    <row r="166" s="260" customFormat="1" ht="13.2" x14ac:dyDescent="0.25"/>
    <row r="167" s="260" customFormat="1" ht="13.2" x14ac:dyDescent="0.25"/>
    <row r="168" s="260" customFormat="1" ht="13.2" x14ac:dyDescent="0.25"/>
    <row r="169" s="260" customFormat="1" ht="13.2" x14ac:dyDescent="0.25"/>
    <row r="170" s="260" customFormat="1" ht="13.2" x14ac:dyDescent="0.25"/>
    <row r="171" s="260" customFormat="1" ht="13.2" x14ac:dyDescent="0.25"/>
    <row r="172" s="260" customFormat="1" ht="13.2" x14ac:dyDescent="0.25"/>
    <row r="173" s="260" customFormat="1" ht="13.2" x14ac:dyDescent="0.25"/>
    <row r="174" s="260" customFormat="1" ht="13.2" x14ac:dyDescent="0.25"/>
    <row r="175" s="260" customFormat="1" ht="13.2" x14ac:dyDescent="0.25"/>
    <row r="176" s="260" customFormat="1" ht="13.2" x14ac:dyDescent="0.25"/>
    <row r="177" s="260" customFormat="1" ht="13.2" x14ac:dyDescent="0.25"/>
    <row r="178" s="260" customFormat="1" ht="13.2" x14ac:dyDescent="0.25"/>
    <row r="179" s="260" customFormat="1" ht="13.2" x14ac:dyDescent="0.25"/>
    <row r="180" s="260" customFormat="1" ht="13.2" x14ac:dyDescent="0.25"/>
    <row r="181" s="260" customFormat="1" ht="13.2" x14ac:dyDescent="0.25"/>
    <row r="182" s="260" customFormat="1" ht="13.2" x14ac:dyDescent="0.25"/>
    <row r="183" s="260" customFormat="1" ht="13.2" x14ac:dyDescent="0.25"/>
    <row r="184" s="260" customFormat="1" ht="13.2" x14ac:dyDescent="0.25"/>
    <row r="185" s="260" customFormat="1" ht="13.2" x14ac:dyDescent="0.25"/>
    <row r="186" s="260" customFormat="1" ht="13.2" x14ac:dyDescent="0.25"/>
    <row r="187" s="260" customFormat="1" ht="13.2" x14ac:dyDescent="0.25"/>
    <row r="188" s="260" customFormat="1" ht="13.2" x14ac:dyDescent="0.25"/>
    <row r="189" s="260" customFormat="1" ht="13.2" x14ac:dyDescent="0.25"/>
    <row r="190" s="260" customFormat="1" ht="13.2" x14ac:dyDescent="0.25"/>
    <row r="191" s="260" customFormat="1" ht="13.2" x14ac:dyDescent="0.25"/>
    <row r="192" s="260" customFormat="1" ht="13.2" x14ac:dyDescent="0.25"/>
    <row r="193" s="260" customFormat="1" ht="13.2" x14ac:dyDescent="0.25"/>
    <row r="194" s="260" customFormat="1" ht="13.2" x14ac:dyDescent="0.25"/>
    <row r="195" s="260" customFormat="1" ht="13.2" x14ac:dyDescent="0.25"/>
    <row r="196" s="260" customFormat="1" ht="13.2" x14ac:dyDescent="0.25"/>
    <row r="197" s="260" customFormat="1" ht="13.2" x14ac:dyDescent="0.25"/>
    <row r="198" s="260" customFormat="1" ht="13.2" x14ac:dyDescent="0.25"/>
    <row r="199" s="260" customFormat="1" ht="13.2" x14ac:dyDescent="0.25"/>
    <row r="200" s="260" customFormat="1" ht="13.2" x14ac:dyDescent="0.25"/>
    <row r="201" s="260" customFormat="1" ht="13.2" x14ac:dyDescent="0.25"/>
    <row r="202" s="260" customFormat="1" ht="13.2" x14ac:dyDescent="0.25"/>
    <row r="203" s="260" customFormat="1" ht="13.2" x14ac:dyDescent="0.25"/>
    <row r="204" s="260" customFormat="1" ht="13.2" x14ac:dyDescent="0.25"/>
    <row r="205" s="260" customFormat="1" ht="13.2" x14ac:dyDescent="0.25"/>
    <row r="206" s="260" customFormat="1" ht="13.2" x14ac:dyDescent="0.25"/>
    <row r="207" s="260" customFormat="1" ht="13.2" x14ac:dyDescent="0.25"/>
    <row r="208" s="260" customFormat="1" ht="13.2" x14ac:dyDescent="0.25"/>
    <row r="209" s="260" customFormat="1" ht="13.2" x14ac:dyDescent="0.25"/>
    <row r="210" s="260" customFormat="1" ht="13.2" x14ac:dyDescent="0.25"/>
    <row r="211" s="260" customFormat="1" ht="13.2" x14ac:dyDescent="0.25"/>
    <row r="212" s="260" customFormat="1" ht="13.2" x14ac:dyDescent="0.25"/>
    <row r="213" s="260" customFormat="1" ht="13.2" x14ac:dyDescent="0.25"/>
    <row r="214" s="260" customFormat="1" ht="13.2" x14ac:dyDescent="0.25"/>
    <row r="215" s="260" customFormat="1" ht="13.2" x14ac:dyDescent="0.25"/>
    <row r="216" s="260" customFormat="1" ht="13.2" x14ac:dyDescent="0.25"/>
    <row r="217" s="260" customFormat="1" ht="13.2" x14ac:dyDescent="0.25"/>
    <row r="218" s="260" customFormat="1" ht="13.2" x14ac:dyDescent="0.25"/>
    <row r="219" s="260" customFormat="1" ht="13.2" x14ac:dyDescent="0.25"/>
    <row r="220" s="260" customFormat="1" ht="13.2" x14ac:dyDescent="0.25"/>
    <row r="221" s="260" customFormat="1" ht="13.2" x14ac:dyDescent="0.25"/>
    <row r="222" s="260" customFormat="1" ht="13.2" x14ac:dyDescent="0.25"/>
    <row r="223" s="260" customFormat="1" ht="13.2" x14ac:dyDescent="0.25"/>
    <row r="224" s="260" customFormat="1" ht="13.2" x14ac:dyDescent="0.25"/>
    <row r="225" s="260" customFormat="1" ht="13.2" x14ac:dyDescent="0.25"/>
    <row r="226" s="260" customFormat="1" ht="13.2" x14ac:dyDescent="0.25"/>
    <row r="227" s="260" customFormat="1" ht="13.2" x14ac:dyDescent="0.25"/>
    <row r="228" s="260" customFormat="1" ht="13.2" x14ac:dyDescent="0.25"/>
    <row r="229" s="260" customFormat="1" ht="13.2" x14ac:dyDescent="0.25"/>
    <row r="230" s="260" customFormat="1" ht="13.2" x14ac:dyDescent="0.25"/>
    <row r="231" s="260" customFormat="1" ht="13.2" x14ac:dyDescent="0.25"/>
    <row r="232" s="260" customFormat="1" ht="13.2" x14ac:dyDescent="0.25"/>
    <row r="233" s="260" customFormat="1" ht="13.2" x14ac:dyDescent="0.25"/>
    <row r="234" s="260" customFormat="1" ht="13.2" x14ac:dyDescent="0.25"/>
    <row r="235" s="260" customFormat="1" ht="13.2" x14ac:dyDescent="0.25"/>
    <row r="236" s="260" customFormat="1" ht="13.2" x14ac:dyDescent="0.25"/>
    <row r="237" s="260" customFormat="1" ht="13.2" x14ac:dyDescent="0.25"/>
    <row r="238" s="260" customFormat="1" ht="13.2" x14ac:dyDescent="0.25"/>
    <row r="239" s="260" customFormat="1" ht="13.2" x14ac:dyDescent="0.25"/>
    <row r="240" s="260" customFormat="1" ht="13.2" x14ac:dyDescent="0.25"/>
    <row r="241" s="260" customFormat="1" ht="13.2" x14ac:dyDescent="0.25"/>
    <row r="242" s="260" customFormat="1" ht="13.2" x14ac:dyDescent="0.25"/>
    <row r="243" s="260" customFormat="1" ht="13.2" x14ac:dyDescent="0.25"/>
    <row r="244" s="260" customFormat="1" ht="13.2" x14ac:dyDescent="0.25"/>
    <row r="245" s="260" customFormat="1" ht="13.2" x14ac:dyDescent="0.25"/>
    <row r="246" s="260" customFormat="1" ht="13.2" x14ac:dyDescent="0.25"/>
    <row r="247" s="260" customFormat="1" ht="13.2" x14ac:dyDescent="0.25"/>
    <row r="248" s="260" customFormat="1" ht="13.2" x14ac:dyDescent="0.25"/>
    <row r="249" s="260" customFormat="1" ht="13.2" x14ac:dyDescent="0.25"/>
    <row r="250" s="260" customFormat="1" ht="13.2" x14ac:dyDescent="0.25"/>
    <row r="251" s="260" customFormat="1" ht="13.2" x14ac:dyDescent="0.25"/>
    <row r="252" s="260" customFormat="1" ht="13.2" x14ac:dyDescent="0.25"/>
    <row r="253" s="260" customFormat="1" ht="13.2" x14ac:dyDescent="0.25"/>
    <row r="254" s="260" customFormat="1" ht="13.2" x14ac:dyDescent="0.25"/>
    <row r="255" s="260" customFormat="1" ht="13.2" x14ac:dyDescent="0.25"/>
    <row r="256" s="260" customFormat="1" ht="13.2" x14ac:dyDescent="0.25"/>
    <row r="257" s="260" customFormat="1" ht="13.2" x14ac:dyDescent="0.25"/>
    <row r="258" s="260" customFormat="1" ht="13.2" x14ac:dyDescent="0.25"/>
    <row r="259" s="260" customFormat="1" ht="13.2" x14ac:dyDescent="0.25"/>
    <row r="260" s="260" customFormat="1" ht="13.2" x14ac:dyDescent="0.25"/>
    <row r="261" s="260" customFormat="1" ht="13.2" x14ac:dyDescent="0.25"/>
    <row r="262" s="260" customFormat="1" ht="13.2" x14ac:dyDescent="0.25"/>
    <row r="263" s="260" customFormat="1" ht="13.2" x14ac:dyDescent="0.25"/>
    <row r="264" s="260" customFormat="1" ht="13.2" x14ac:dyDescent="0.25"/>
    <row r="265" s="260" customFormat="1" ht="13.2" x14ac:dyDescent="0.25"/>
    <row r="266" s="260" customFormat="1" ht="13.2" x14ac:dyDescent="0.25"/>
    <row r="267" s="260" customFormat="1" ht="13.2" x14ac:dyDescent="0.25"/>
    <row r="268" s="260" customFormat="1" ht="13.2" x14ac:dyDescent="0.25"/>
    <row r="269" s="260" customFormat="1" ht="13.2" x14ac:dyDescent="0.25"/>
    <row r="270" s="260" customFormat="1" ht="13.2" x14ac:dyDescent="0.25"/>
    <row r="271" s="260" customFormat="1" ht="13.2" x14ac:dyDescent="0.25"/>
    <row r="272" s="260" customFormat="1" ht="13.2" x14ac:dyDescent="0.25"/>
    <row r="273" s="260" customFormat="1" ht="13.2" x14ac:dyDescent="0.25"/>
    <row r="274" s="260" customFormat="1" ht="13.2" x14ac:dyDescent="0.25"/>
    <row r="275" s="260" customFormat="1" ht="13.2" x14ac:dyDescent="0.25"/>
    <row r="276" s="260" customFormat="1" ht="13.2" x14ac:dyDescent="0.25"/>
    <row r="277" s="260" customFormat="1" ht="13.2" x14ac:dyDescent="0.25"/>
    <row r="278" s="260" customFormat="1" ht="13.2" x14ac:dyDescent="0.25"/>
    <row r="279" s="260" customFormat="1" ht="13.2" x14ac:dyDescent="0.25"/>
    <row r="280" s="260" customFormat="1" ht="13.2" x14ac:dyDescent="0.25"/>
    <row r="281" s="260" customFormat="1" ht="13.2" x14ac:dyDescent="0.25"/>
    <row r="282" s="260" customFormat="1" ht="13.2" x14ac:dyDescent="0.25"/>
    <row r="283" s="260" customFormat="1" ht="13.2" x14ac:dyDescent="0.25"/>
    <row r="284" s="260" customFormat="1" ht="13.2" x14ac:dyDescent="0.25"/>
    <row r="285" s="260" customFormat="1" ht="13.2" x14ac:dyDescent="0.25"/>
    <row r="286" s="260" customFormat="1" ht="13.2" x14ac:dyDescent="0.25"/>
    <row r="287" s="260" customFormat="1" ht="13.2" x14ac:dyDescent="0.25"/>
    <row r="288" s="260" customFormat="1" ht="13.2" x14ac:dyDescent="0.25"/>
    <row r="289" s="260" customFormat="1" ht="13.2" x14ac:dyDescent="0.25"/>
    <row r="290" s="260" customFormat="1" ht="13.2" x14ac:dyDescent="0.25"/>
    <row r="291" s="260" customFormat="1" ht="13.2" x14ac:dyDescent="0.25"/>
    <row r="292" s="260" customFormat="1" ht="13.2" x14ac:dyDescent="0.25"/>
    <row r="293" s="260" customFormat="1" ht="13.2" x14ac:dyDescent="0.25"/>
    <row r="294" s="260" customFormat="1" ht="13.2" x14ac:dyDescent="0.25"/>
    <row r="295" s="260" customFormat="1" ht="13.2" x14ac:dyDescent="0.25"/>
    <row r="296" s="260" customFormat="1" ht="13.2" x14ac:dyDescent="0.25"/>
    <row r="297" s="260" customFormat="1" ht="13.2" x14ac:dyDescent="0.25"/>
    <row r="298" s="260" customFormat="1" ht="13.2" x14ac:dyDescent="0.25"/>
    <row r="299" s="260" customFormat="1" ht="13.2" x14ac:dyDescent="0.25"/>
    <row r="300" s="260" customFormat="1" ht="13.2" x14ac:dyDescent="0.25"/>
    <row r="301" s="260" customFormat="1" ht="13.2" x14ac:dyDescent="0.25"/>
    <row r="302" s="260" customFormat="1" ht="13.2" x14ac:dyDescent="0.25"/>
    <row r="303" s="260" customFormat="1" ht="13.2" x14ac:dyDescent="0.25"/>
    <row r="304" s="260" customFormat="1" ht="13.2" x14ac:dyDescent="0.25"/>
    <row r="305" s="260" customFormat="1" ht="13.2" x14ac:dyDescent="0.25"/>
    <row r="306" s="260" customFormat="1" ht="13.2" x14ac:dyDescent="0.25"/>
    <row r="307" s="260" customFormat="1" ht="13.2" x14ac:dyDescent="0.25"/>
    <row r="308" s="260" customFormat="1" ht="13.2" x14ac:dyDescent="0.25"/>
    <row r="309" s="260" customFormat="1" ht="13.2" x14ac:dyDescent="0.25"/>
    <row r="310" s="260" customFormat="1" ht="13.2" x14ac:dyDescent="0.25"/>
    <row r="311" s="260" customFormat="1" ht="13.2" x14ac:dyDescent="0.25"/>
    <row r="312" s="260" customFormat="1" ht="13.2" x14ac:dyDescent="0.25"/>
    <row r="313" s="260" customFormat="1" ht="13.2" x14ac:dyDescent="0.25"/>
    <row r="314" s="260" customFormat="1" ht="13.2" x14ac:dyDescent="0.25"/>
    <row r="315" s="260" customFormat="1" ht="13.2" x14ac:dyDescent="0.25"/>
    <row r="316" s="260" customFormat="1" ht="13.2" x14ac:dyDescent="0.25"/>
    <row r="317" s="260" customFormat="1" ht="13.2" x14ac:dyDescent="0.25"/>
    <row r="318" s="260" customFormat="1" ht="13.2" x14ac:dyDescent="0.25"/>
    <row r="319" s="260" customFormat="1" ht="13.2" x14ac:dyDescent="0.25"/>
    <row r="320" s="260" customFormat="1" ht="13.2" x14ac:dyDescent="0.25"/>
    <row r="321" s="260" customFormat="1" ht="13.2" x14ac:dyDescent="0.25"/>
    <row r="322" s="260" customFormat="1" ht="13.2" x14ac:dyDescent="0.25"/>
    <row r="323" s="260" customFormat="1" ht="13.2" x14ac:dyDescent="0.25"/>
    <row r="324" s="260" customFormat="1" ht="13.2" x14ac:dyDescent="0.25"/>
    <row r="325" s="260" customFormat="1" ht="13.2" x14ac:dyDescent="0.25"/>
    <row r="326" s="260" customFormat="1" ht="13.2" x14ac:dyDescent="0.25"/>
    <row r="327" s="260" customFormat="1" ht="13.2" x14ac:dyDescent="0.25"/>
    <row r="328" s="260" customFormat="1" ht="13.2" x14ac:dyDescent="0.25"/>
    <row r="329" s="260" customFormat="1" ht="13.2" x14ac:dyDescent="0.25"/>
    <row r="330" s="260" customFormat="1" ht="13.2" x14ac:dyDescent="0.25"/>
    <row r="331" s="260" customFormat="1" ht="13.2" x14ac:dyDescent="0.25"/>
    <row r="332" s="260" customFormat="1" ht="13.2" x14ac:dyDescent="0.25"/>
    <row r="333" s="260" customFormat="1" ht="13.2" x14ac:dyDescent="0.25"/>
    <row r="334" s="260" customFormat="1" ht="13.2" x14ac:dyDescent="0.25"/>
    <row r="335" s="260" customFormat="1" ht="13.2" x14ac:dyDescent="0.25"/>
    <row r="336" s="260" customFormat="1" ht="13.2" x14ac:dyDescent="0.25"/>
    <row r="337" s="260" customFormat="1" ht="13.2" x14ac:dyDescent="0.25"/>
    <row r="338" s="260" customFormat="1" ht="13.2" x14ac:dyDescent="0.25"/>
    <row r="339" s="260" customFormat="1" ht="13.2" x14ac:dyDescent="0.25"/>
    <row r="340" s="260" customFormat="1" ht="13.2" x14ac:dyDescent="0.25"/>
    <row r="341" s="260" customFormat="1" ht="13.2" x14ac:dyDescent="0.25"/>
    <row r="342" s="260" customFormat="1" ht="13.2" x14ac:dyDescent="0.25"/>
    <row r="343" s="260" customFormat="1" ht="13.2" x14ac:dyDescent="0.25"/>
    <row r="344" s="260" customFormat="1" ht="13.2" x14ac:dyDescent="0.25"/>
    <row r="345" s="260" customFormat="1" ht="13.2" x14ac:dyDescent="0.25"/>
    <row r="346" s="260" customFormat="1" ht="13.2" x14ac:dyDescent="0.25"/>
    <row r="347" s="260" customFormat="1" ht="13.2" x14ac:dyDescent="0.25"/>
    <row r="348" s="260" customFormat="1" ht="13.2" x14ac:dyDescent="0.25"/>
    <row r="349" s="260" customFormat="1" ht="13.2" x14ac:dyDescent="0.25"/>
    <row r="350" s="260" customFormat="1" ht="13.2" x14ac:dyDescent="0.25"/>
    <row r="351" s="260" customFormat="1" ht="13.2" x14ac:dyDescent="0.25"/>
    <row r="352" s="260" customFormat="1" ht="13.2" x14ac:dyDescent="0.25"/>
    <row r="353" s="260" customFormat="1" ht="13.2" x14ac:dyDescent="0.25"/>
    <row r="354" s="260" customFormat="1" ht="13.2" x14ac:dyDescent="0.25"/>
    <row r="355" s="260" customFormat="1" ht="13.2" x14ac:dyDescent="0.25"/>
    <row r="356" s="260" customFormat="1" ht="13.2" x14ac:dyDescent="0.25"/>
    <row r="357" s="260" customFormat="1" ht="13.2" x14ac:dyDescent="0.25"/>
    <row r="358" s="260" customFormat="1" ht="13.2" x14ac:dyDescent="0.25"/>
    <row r="359" s="260" customFormat="1" ht="13.2" x14ac:dyDescent="0.25"/>
    <row r="360" s="260" customFormat="1" ht="13.2" x14ac:dyDescent="0.25"/>
    <row r="361" s="260" customFormat="1" ht="13.2" x14ac:dyDescent="0.25"/>
    <row r="362" s="260" customFormat="1" ht="13.2" x14ac:dyDescent="0.25"/>
    <row r="363" s="260" customFormat="1" ht="13.2" x14ac:dyDescent="0.25"/>
    <row r="364" s="260" customFormat="1" ht="13.2" x14ac:dyDescent="0.25"/>
    <row r="365" s="260" customFormat="1" ht="13.2" x14ac:dyDescent="0.25"/>
    <row r="366" s="260" customFormat="1" ht="13.2" x14ac:dyDescent="0.25"/>
    <row r="367" s="260" customFormat="1" ht="13.2" x14ac:dyDescent="0.25"/>
    <row r="368" s="260" customFormat="1" ht="13.2" x14ac:dyDescent="0.25"/>
    <row r="369" s="260" customFormat="1" ht="13.2" x14ac:dyDescent="0.25"/>
    <row r="370" s="260" customFormat="1" ht="13.2" x14ac:dyDescent="0.25"/>
    <row r="371" s="260" customFormat="1" ht="13.2" x14ac:dyDescent="0.25"/>
    <row r="372" s="260" customFormat="1" ht="13.2" x14ac:dyDescent="0.25"/>
    <row r="373" s="260" customFormat="1" ht="13.2" x14ac:dyDescent="0.25"/>
    <row r="374" s="260" customFormat="1" ht="13.2" x14ac:dyDescent="0.25"/>
    <row r="375" s="260" customFormat="1" ht="13.2" x14ac:dyDescent="0.25"/>
    <row r="376" s="260" customFormat="1" ht="13.2" x14ac:dyDescent="0.25"/>
    <row r="377" s="260" customFormat="1" ht="13.2" x14ac:dyDescent="0.25"/>
    <row r="378" s="260" customFormat="1" ht="13.2" x14ac:dyDescent="0.25"/>
    <row r="379" s="260" customFormat="1" ht="13.2" x14ac:dyDescent="0.25"/>
    <row r="380" s="260" customFormat="1" ht="13.2" x14ac:dyDescent="0.25"/>
    <row r="381" s="260" customFormat="1" ht="13.2" x14ac:dyDescent="0.25"/>
    <row r="382" s="260" customFormat="1" ht="13.2" x14ac:dyDescent="0.25"/>
    <row r="383" s="260" customFormat="1" ht="13.2" x14ac:dyDescent="0.25"/>
    <row r="384" s="260" customFormat="1" ht="13.2" x14ac:dyDescent="0.25"/>
    <row r="385" s="260" customFormat="1" ht="13.2" x14ac:dyDescent="0.25"/>
    <row r="386" s="260" customFormat="1" ht="13.2" x14ac:dyDescent="0.25"/>
    <row r="387" s="260" customFormat="1" ht="13.2" x14ac:dyDescent="0.25"/>
    <row r="388" s="260" customFormat="1" ht="13.2" x14ac:dyDescent="0.25"/>
    <row r="389" s="260" customFormat="1" ht="13.2" x14ac:dyDescent="0.25"/>
    <row r="390" s="260" customFormat="1" ht="13.2" x14ac:dyDescent="0.25"/>
    <row r="391" s="260" customFormat="1" ht="13.2" x14ac:dyDescent="0.25"/>
    <row r="392" s="260" customFormat="1" ht="13.2" x14ac:dyDescent="0.25"/>
    <row r="393" s="260" customFormat="1" ht="13.2" x14ac:dyDescent="0.25"/>
    <row r="394" s="260" customFormat="1" ht="13.2" x14ac:dyDescent="0.25"/>
    <row r="395" s="260" customFormat="1" ht="13.2" x14ac:dyDescent="0.25"/>
    <row r="396" s="260" customFormat="1" ht="13.2" x14ac:dyDescent="0.25"/>
    <row r="397" s="260" customFormat="1" ht="13.2" x14ac:dyDescent="0.25"/>
    <row r="398" s="260" customFormat="1" ht="13.2" x14ac:dyDescent="0.25"/>
    <row r="399" s="260" customFormat="1" ht="13.2" x14ac:dyDescent="0.25"/>
    <row r="400" s="260" customFormat="1" ht="13.2" x14ac:dyDescent="0.25"/>
    <row r="401" s="260" customFormat="1" ht="13.2" x14ac:dyDescent="0.25"/>
    <row r="402" s="260" customFormat="1" ht="13.2" x14ac:dyDescent="0.25"/>
    <row r="403" s="260" customFormat="1" ht="13.2" x14ac:dyDescent="0.25"/>
    <row r="404" s="260" customFormat="1" ht="13.2" x14ac:dyDescent="0.25"/>
    <row r="405" s="260" customFormat="1" ht="13.2" x14ac:dyDescent="0.25"/>
    <row r="406" s="260" customFormat="1" ht="13.2" x14ac:dyDescent="0.25"/>
    <row r="407" s="260" customFormat="1" ht="13.2" x14ac:dyDescent="0.25"/>
    <row r="408" s="260" customFormat="1" ht="13.2" x14ac:dyDescent="0.25"/>
    <row r="409" s="260" customFormat="1" ht="13.2" x14ac:dyDescent="0.25"/>
    <row r="410" s="260" customFormat="1" ht="13.2" x14ac:dyDescent="0.25"/>
    <row r="411" s="260" customFormat="1" ht="13.2" x14ac:dyDescent="0.25"/>
    <row r="412" s="260" customFormat="1" ht="13.2" x14ac:dyDescent="0.25"/>
    <row r="413" s="260" customFormat="1" ht="13.2" x14ac:dyDescent="0.25"/>
    <row r="414" s="260" customFormat="1" ht="13.2" x14ac:dyDescent="0.25"/>
    <row r="415" s="260" customFormat="1" ht="13.2" x14ac:dyDescent="0.25"/>
    <row r="416" s="260" customFormat="1" ht="13.2" x14ac:dyDescent="0.25"/>
    <row r="417" s="260" customFormat="1" ht="13.2" x14ac:dyDescent="0.25"/>
    <row r="418" s="260" customFormat="1" ht="13.2" x14ac:dyDescent="0.25"/>
    <row r="419" s="260" customFormat="1" ht="13.2" x14ac:dyDescent="0.25"/>
    <row r="420" s="260" customFormat="1" ht="13.2" x14ac:dyDescent="0.25"/>
    <row r="421" s="260" customFormat="1" ht="13.2" x14ac:dyDescent="0.25"/>
    <row r="422" s="260" customFormat="1" ht="13.2" x14ac:dyDescent="0.25"/>
    <row r="423" s="260" customFormat="1" ht="13.2" x14ac:dyDescent="0.25"/>
    <row r="424" s="260" customFormat="1" ht="13.2" x14ac:dyDescent="0.25"/>
    <row r="425" s="260" customFormat="1" ht="13.2" x14ac:dyDescent="0.25"/>
    <row r="426" s="260" customFormat="1" ht="13.2" x14ac:dyDescent="0.25"/>
    <row r="427" s="260" customFormat="1" ht="13.2" x14ac:dyDescent="0.25"/>
    <row r="428" s="260" customFormat="1" ht="13.2" x14ac:dyDescent="0.25"/>
    <row r="429" s="260" customFormat="1" ht="13.2" x14ac:dyDescent="0.25"/>
    <row r="430" s="260" customFormat="1" ht="13.2" x14ac:dyDescent="0.25"/>
    <row r="431" s="260" customFormat="1" ht="13.2" x14ac:dyDescent="0.25"/>
    <row r="432" s="260" customFormat="1" ht="13.2" x14ac:dyDescent="0.25"/>
    <row r="433" s="260" customFormat="1" ht="13.2" x14ac:dyDescent="0.25"/>
    <row r="434" s="260" customFormat="1" ht="13.2" x14ac:dyDescent="0.25"/>
    <row r="435" s="260" customFormat="1" ht="13.2" x14ac:dyDescent="0.25"/>
    <row r="436" s="260" customFormat="1" ht="13.2" x14ac:dyDescent="0.25"/>
    <row r="437" s="260" customFormat="1" ht="13.2" x14ac:dyDescent="0.25"/>
    <row r="438" s="260" customFormat="1" ht="13.2" x14ac:dyDescent="0.25"/>
    <row r="439" s="260" customFormat="1" ht="13.2" x14ac:dyDescent="0.25"/>
    <row r="440" s="260" customFormat="1" ht="13.2" x14ac:dyDescent="0.25"/>
    <row r="441" s="260" customFormat="1" ht="13.2" x14ac:dyDescent="0.25"/>
    <row r="442" s="260" customFormat="1" ht="13.2" x14ac:dyDescent="0.25"/>
    <row r="443" s="260" customFormat="1" ht="13.2" x14ac:dyDescent="0.25"/>
    <row r="444" s="260" customFormat="1" ht="13.2" x14ac:dyDescent="0.25"/>
    <row r="445" s="260" customFormat="1" ht="13.2" x14ac:dyDescent="0.25"/>
    <row r="446" s="260" customFormat="1" ht="13.2" x14ac:dyDescent="0.25"/>
    <row r="447" s="260" customFormat="1" ht="13.2" x14ac:dyDescent="0.25"/>
    <row r="448" s="260" customFormat="1" ht="13.2" x14ac:dyDescent="0.25"/>
    <row r="449" s="260" customFormat="1" ht="13.2" x14ac:dyDescent="0.25"/>
    <row r="450" s="260" customFormat="1" ht="13.2" x14ac:dyDescent="0.25"/>
    <row r="451" s="260" customFormat="1" ht="13.2" x14ac:dyDescent="0.25"/>
    <row r="452" s="260" customFormat="1" ht="13.2" x14ac:dyDescent="0.25"/>
    <row r="453" s="260" customFormat="1" ht="13.2" x14ac:dyDescent="0.25"/>
    <row r="454" s="260" customFormat="1" ht="13.2" x14ac:dyDescent="0.25"/>
    <row r="455" s="260" customFormat="1" ht="13.2" x14ac:dyDescent="0.25"/>
    <row r="456" s="260" customFormat="1" ht="13.2" x14ac:dyDescent="0.25"/>
    <row r="457" s="260" customFormat="1" ht="13.2" x14ac:dyDescent="0.25"/>
    <row r="458" s="260" customFormat="1" ht="13.2" x14ac:dyDescent="0.25"/>
    <row r="459" s="260" customFormat="1" ht="13.2" x14ac:dyDescent="0.25"/>
    <row r="460" s="260" customFormat="1" ht="13.2" x14ac:dyDescent="0.25"/>
    <row r="461" s="260" customFormat="1" ht="13.2" x14ac:dyDescent="0.25"/>
    <row r="462" s="260" customFormat="1" ht="13.2" x14ac:dyDescent="0.25"/>
    <row r="463" s="260" customFormat="1" ht="13.2" x14ac:dyDescent="0.25"/>
    <row r="464" s="260" customFormat="1" ht="13.2" x14ac:dyDescent="0.25"/>
    <row r="465" s="260" customFormat="1" ht="13.2" x14ac:dyDescent="0.25"/>
    <row r="466" s="260" customFormat="1" ht="13.2" x14ac:dyDescent="0.25"/>
    <row r="467" s="260" customFormat="1" ht="13.2" x14ac:dyDescent="0.25"/>
    <row r="468" s="260" customFormat="1" ht="13.2" x14ac:dyDescent="0.25"/>
    <row r="469" s="260" customFormat="1" ht="13.2" x14ac:dyDescent="0.25"/>
    <row r="470" s="260" customFormat="1" ht="13.2" x14ac:dyDescent="0.25"/>
    <row r="471" s="260" customFormat="1" ht="13.2" x14ac:dyDescent="0.25"/>
    <row r="472" s="260" customFormat="1" ht="13.2" x14ac:dyDescent="0.25"/>
    <row r="473" s="260" customFormat="1" ht="13.2" x14ac:dyDescent="0.25"/>
    <row r="474" s="260" customFormat="1" ht="13.2" x14ac:dyDescent="0.25"/>
    <row r="475" s="260" customFormat="1" ht="13.2" x14ac:dyDescent="0.25"/>
    <row r="476" s="260" customFormat="1" ht="13.2" x14ac:dyDescent="0.25"/>
    <row r="477" s="260" customFormat="1" ht="13.2" x14ac:dyDescent="0.25"/>
    <row r="478" s="260" customFormat="1" ht="13.2" x14ac:dyDescent="0.25"/>
    <row r="479" s="260" customFormat="1" ht="13.2" x14ac:dyDescent="0.25"/>
    <row r="480" s="260" customFormat="1" ht="13.2" x14ac:dyDescent="0.25"/>
    <row r="481" s="260" customFormat="1" ht="13.2" x14ac:dyDescent="0.25"/>
    <row r="482" s="260" customFormat="1" ht="13.2" x14ac:dyDescent="0.25"/>
    <row r="483" s="260" customFormat="1" ht="13.2" x14ac:dyDescent="0.25"/>
    <row r="484" s="260" customFormat="1" ht="13.2" x14ac:dyDescent="0.25"/>
    <row r="485" s="260" customFormat="1" ht="13.2" x14ac:dyDescent="0.25"/>
    <row r="486" s="260" customFormat="1" ht="13.2" x14ac:dyDescent="0.25"/>
    <row r="487" s="260" customFormat="1" ht="13.2" x14ac:dyDescent="0.25"/>
    <row r="488" s="260" customFormat="1" ht="13.2" x14ac:dyDescent="0.25"/>
    <row r="489" s="260" customFormat="1" ht="13.2" x14ac:dyDescent="0.25"/>
    <row r="490" s="260" customFormat="1" ht="13.2" x14ac:dyDescent="0.25"/>
    <row r="491" s="260" customFormat="1" ht="13.2" x14ac:dyDescent="0.25"/>
    <row r="492" s="260" customFormat="1" ht="13.2" x14ac:dyDescent="0.25"/>
    <row r="493" s="260" customFormat="1" ht="13.2" x14ac:dyDescent="0.25"/>
    <row r="494" s="260" customFormat="1" ht="13.2" x14ac:dyDescent="0.25"/>
    <row r="495" s="260" customFormat="1" ht="13.2" x14ac:dyDescent="0.25"/>
    <row r="496" s="260" customFormat="1" ht="13.2" x14ac:dyDescent="0.25"/>
    <row r="497" s="260" customFormat="1" ht="13.2" x14ac:dyDescent="0.25"/>
    <row r="498" s="260" customFormat="1" ht="13.2" x14ac:dyDescent="0.25"/>
    <row r="499" s="260" customFormat="1" ht="13.2" x14ac:dyDescent="0.25"/>
    <row r="500" s="260" customFormat="1" ht="13.2" x14ac:dyDescent="0.25"/>
    <row r="501" s="260" customFormat="1" ht="13.2" x14ac:dyDescent="0.25"/>
    <row r="502" s="260" customFormat="1" ht="13.2" x14ac:dyDescent="0.25"/>
    <row r="503" s="260" customFormat="1" ht="13.2" x14ac:dyDescent="0.25"/>
    <row r="504" s="260" customFormat="1" ht="13.2" x14ac:dyDescent="0.25"/>
    <row r="505" s="260" customFormat="1" ht="13.2" x14ac:dyDescent="0.25"/>
    <row r="506" s="260" customFormat="1" ht="13.2" x14ac:dyDescent="0.25"/>
    <row r="507" s="260" customFormat="1" ht="13.2" x14ac:dyDescent="0.25"/>
    <row r="508" s="260" customFormat="1" ht="13.2" x14ac:dyDescent="0.25"/>
    <row r="509" s="260" customFormat="1" ht="13.2" x14ac:dyDescent="0.25"/>
    <row r="510" s="260" customFormat="1" ht="13.2" x14ac:dyDescent="0.25"/>
    <row r="511" s="260" customFormat="1" ht="13.2" x14ac:dyDescent="0.25"/>
    <row r="512" s="260" customFormat="1" ht="13.2" x14ac:dyDescent="0.25"/>
    <row r="513" s="260" customFormat="1" ht="13.2" x14ac:dyDescent="0.25"/>
    <row r="514" s="260" customFormat="1" ht="13.2" x14ac:dyDescent="0.25"/>
    <row r="515" s="260" customFormat="1" ht="13.2" x14ac:dyDescent="0.25"/>
    <row r="516" s="260" customFormat="1" ht="13.2" x14ac:dyDescent="0.25"/>
    <row r="517" s="260" customFormat="1" ht="13.2" x14ac:dyDescent="0.25"/>
    <row r="518" s="260" customFormat="1" ht="13.2" x14ac:dyDescent="0.25"/>
    <row r="519" s="260" customFormat="1" ht="13.2" x14ac:dyDescent="0.25"/>
    <row r="520" s="260" customFormat="1" ht="13.2" x14ac:dyDescent="0.25"/>
    <row r="521" s="260" customFormat="1" ht="13.2" x14ac:dyDescent="0.25"/>
    <row r="522" s="260" customFormat="1" ht="13.2" x14ac:dyDescent="0.25"/>
    <row r="523" s="260" customFormat="1" ht="13.2" x14ac:dyDescent="0.25"/>
    <row r="524" s="260" customFormat="1" ht="13.2" x14ac:dyDescent="0.25"/>
    <row r="525" s="260" customFormat="1" ht="13.2" x14ac:dyDescent="0.25"/>
    <row r="526" s="260" customFormat="1" ht="13.2" x14ac:dyDescent="0.25"/>
    <row r="527" s="260" customFormat="1" ht="13.2" x14ac:dyDescent="0.25"/>
    <row r="528" s="260" customFormat="1" ht="13.2" x14ac:dyDescent="0.25"/>
    <row r="529" s="260" customFormat="1" ht="13.2" x14ac:dyDescent="0.25"/>
    <row r="530" s="260" customFormat="1" ht="13.2" x14ac:dyDescent="0.25"/>
    <row r="531" s="260" customFormat="1" ht="13.2" x14ac:dyDescent="0.25"/>
    <row r="532" s="260" customFormat="1" ht="13.2" x14ac:dyDescent="0.25"/>
    <row r="533" s="260" customFormat="1" ht="13.2" x14ac:dyDescent="0.25"/>
    <row r="534" s="260" customFormat="1" ht="13.2" x14ac:dyDescent="0.25"/>
    <row r="535" s="260" customFormat="1" ht="13.2" x14ac:dyDescent="0.25"/>
    <row r="536" s="260" customFormat="1" ht="13.2" x14ac:dyDescent="0.25"/>
    <row r="537" s="260" customFormat="1" ht="13.2" x14ac:dyDescent="0.25"/>
    <row r="538" s="260" customFormat="1" ht="13.2" x14ac:dyDescent="0.25"/>
    <row r="539" s="260" customFormat="1" ht="13.2" x14ac:dyDescent="0.25"/>
    <row r="540" s="260" customFormat="1" ht="13.2" x14ac:dyDescent="0.25"/>
    <row r="541" s="260" customFormat="1" ht="13.2" x14ac:dyDescent="0.25"/>
    <row r="542" s="260" customFormat="1" ht="13.2" x14ac:dyDescent="0.25"/>
    <row r="543" s="260" customFormat="1" ht="13.2" x14ac:dyDescent="0.25"/>
    <row r="544" s="260" customFormat="1" ht="13.2" x14ac:dyDescent="0.25"/>
    <row r="545" s="260" customFormat="1" ht="13.2" x14ac:dyDescent="0.25"/>
    <row r="546" s="260" customFormat="1" ht="13.2" x14ac:dyDescent="0.25"/>
    <row r="547" s="260" customFormat="1" ht="13.2" x14ac:dyDescent="0.25"/>
    <row r="548" s="260" customFormat="1" ht="13.2" x14ac:dyDescent="0.25"/>
    <row r="549" s="260" customFormat="1" ht="13.2" x14ac:dyDescent="0.25"/>
    <row r="550" s="260" customFormat="1" ht="13.2" x14ac:dyDescent="0.25"/>
    <row r="551" s="260" customFormat="1" ht="13.2" x14ac:dyDescent="0.25"/>
    <row r="552" s="260" customFormat="1" ht="13.2" x14ac:dyDescent="0.25"/>
    <row r="553" s="260" customFormat="1" ht="13.2" x14ac:dyDescent="0.25"/>
    <row r="554" s="260" customFormat="1" ht="13.2" x14ac:dyDescent="0.25"/>
    <row r="555" s="260" customFormat="1" ht="13.2" x14ac:dyDescent="0.25"/>
    <row r="556" s="260" customFormat="1" ht="13.2" x14ac:dyDescent="0.25"/>
    <row r="557" s="260" customFormat="1" ht="13.2" x14ac:dyDescent="0.25"/>
    <row r="558" s="260" customFormat="1" ht="13.2" x14ac:dyDescent="0.25"/>
    <row r="559" s="260" customFormat="1" ht="13.2" x14ac:dyDescent="0.25"/>
    <row r="560" s="260" customFormat="1" ht="13.2" x14ac:dyDescent="0.25"/>
    <row r="561" s="260" customFormat="1" ht="13.2" x14ac:dyDescent="0.25"/>
    <row r="562" s="260" customFormat="1" ht="13.2" x14ac:dyDescent="0.25"/>
    <row r="563" s="260" customFormat="1" ht="13.2" x14ac:dyDescent="0.25"/>
    <row r="564" s="260" customFormat="1" ht="13.2" x14ac:dyDescent="0.25"/>
    <row r="565" s="260" customFormat="1" ht="13.2" x14ac:dyDescent="0.25"/>
    <row r="566" s="260" customFormat="1" ht="13.2" x14ac:dyDescent="0.25"/>
    <row r="567" s="260" customFormat="1" ht="13.2" x14ac:dyDescent="0.25"/>
    <row r="568" s="260" customFormat="1" ht="13.2" x14ac:dyDescent="0.25"/>
    <row r="569" s="260" customFormat="1" ht="13.2" x14ac:dyDescent="0.25"/>
    <row r="570" s="260" customFormat="1" ht="13.2" x14ac:dyDescent="0.25"/>
    <row r="571" s="260" customFormat="1" ht="13.2" x14ac:dyDescent="0.25"/>
    <row r="572" s="260" customFormat="1" ht="13.2" x14ac:dyDescent="0.25"/>
    <row r="573" s="260" customFormat="1" ht="13.2" x14ac:dyDescent="0.25"/>
    <row r="574" s="260" customFormat="1" ht="13.2" x14ac:dyDescent="0.25"/>
    <row r="575" s="260" customFormat="1" ht="13.2" x14ac:dyDescent="0.25"/>
    <row r="576" s="260" customFormat="1" ht="13.2" x14ac:dyDescent="0.25"/>
    <row r="577" s="260" customFormat="1" ht="13.2" x14ac:dyDescent="0.25"/>
    <row r="578" s="260" customFormat="1" ht="13.2" x14ac:dyDescent="0.25"/>
    <row r="579" s="260" customFormat="1" ht="13.2" x14ac:dyDescent="0.25"/>
    <row r="580" s="260" customFormat="1" ht="13.2" x14ac:dyDescent="0.25"/>
    <row r="581" s="260" customFormat="1" ht="13.2" x14ac:dyDescent="0.25"/>
    <row r="582" s="260" customFormat="1" ht="13.2" x14ac:dyDescent="0.25"/>
    <row r="583" s="260" customFormat="1" ht="13.2" x14ac:dyDescent="0.25"/>
    <row r="584" s="260" customFormat="1" ht="13.2" x14ac:dyDescent="0.25"/>
    <row r="585" s="260" customFormat="1" ht="13.2" x14ac:dyDescent="0.25"/>
    <row r="586" s="260" customFormat="1" ht="13.2" x14ac:dyDescent="0.25"/>
    <row r="587" s="260" customFormat="1" ht="13.2" x14ac:dyDescent="0.25"/>
    <row r="588" s="260" customFormat="1" ht="13.2" x14ac:dyDescent="0.25"/>
    <row r="589" s="260" customFormat="1" ht="13.2" x14ac:dyDescent="0.25"/>
    <row r="590" s="260" customFormat="1" ht="13.2" x14ac:dyDescent="0.25"/>
    <row r="591" s="260" customFormat="1" ht="13.2" x14ac:dyDescent="0.25"/>
    <row r="592" s="260" customFormat="1" ht="13.2" x14ac:dyDescent="0.25"/>
    <row r="593" s="260" customFormat="1" ht="13.2" x14ac:dyDescent="0.25"/>
    <row r="594" s="260" customFormat="1" ht="13.2" x14ac:dyDescent="0.25"/>
    <row r="595" s="260" customFormat="1" ht="13.2" x14ac:dyDescent="0.25"/>
    <row r="596" s="260" customFormat="1" ht="13.2" x14ac:dyDescent="0.25"/>
    <row r="597" s="260" customFormat="1" ht="13.2" x14ac:dyDescent="0.25"/>
    <row r="598" s="260" customFormat="1" ht="13.2" x14ac:dyDescent="0.25"/>
    <row r="599" s="260" customFormat="1" ht="13.2" x14ac:dyDescent="0.25"/>
    <row r="600" s="260" customFormat="1" ht="13.2" x14ac:dyDescent="0.25"/>
    <row r="601" s="260" customFormat="1" ht="13.2" x14ac:dyDescent="0.25"/>
    <row r="602" s="260" customFormat="1" ht="13.2" x14ac:dyDescent="0.25"/>
    <row r="603" s="260" customFormat="1" ht="13.2" x14ac:dyDescent="0.25"/>
    <row r="604" s="260" customFormat="1" ht="13.2" x14ac:dyDescent="0.25"/>
    <row r="605" s="260" customFormat="1" ht="13.2" x14ac:dyDescent="0.25"/>
    <row r="606" s="260" customFormat="1" ht="13.2" x14ac:dyDescent="0.25"/>
    <row r="607" s="260" customFormat="1" ht="13.2" x14ac:dyDescent="0.25"/>
    <row r="608" s="260" customFormat="1" ht="13.2" x14ac:dyDescent="0.25"/>
    <row r="609" s="260" customFormat="1" ht="13.2" x14ac:dyDescent="0.25"/>
    <row r="610" s="260" customFormat="1" ht="13.2" x14ac:dyDescent="0.25"/>
    <row r="611" s="260" customFormat="1" ht="13.2" x14ac:dyDescent="0.25"/>
    <row r="612" s="260" customFormat="1" ht="13.2" x14ac:dyDescent="0.25"/>
    <row r="613" s="260" customFormat="1" ht="13.2" x14ac:dyDescent="0.25"/>
    <row r="614" s="260" customFormat="1" ht="13.2" x14ac:dyDescent="0.25"/>
    <row r="615" s="260" customFormat="1" ht="13.2" x14ac:dyDescent="0.25"/>
    <row r="616" s="260" customFormat="1" ht="13.2" x14ac:dyDescent="0.25"/>
    <row r="617" s="260" customFormat="1" ht="13.2" x14ac:dyDescent="0.25"/>
    <row r="618" s="260" customFormat="1" ht="13.2" x14ac:dyDescent="0.25"/>
    <row r="619" s="260" customFormat="1" ht="13.2" x14ac:dyDescent="0.25"/>
    <row r="620" s="260" customFormat="1" ht="13.2" x14ac:dyDescent="0.25"/>
    <row r="621" s="260" customFormat="1" ht="13.2" x14ac:dyDescent="0.25"/>
    <row r="622" s="260" customFormat="1" ht="13.2" x14ac:dyDescent="0.25"/>
    <row r="623" s="260" customFormat="1" ht="13.2" x14ac:dyDescent="0.25"/>
    <row r="624" s="260" customFormat="1" ht="13.2" x14ac:dyDescent="0.25"/>
    <row r="625" s="260" customFormat="1" ht="13.2" x14ac:dyDescent="0.25"/>
    <row r="626" s="260" customFormat="1" ht="13.2" x14ac:dyDescent="0.25"/>
    <row r="627" s="260" customFormat="1" ht="13.2" x14ac:dyDescent="0.25"/>
    <row r="628" s="260" customFormat="1" ht="13.2" x14ac:dyDescent="0.25"/>
    <row r="629" s="260" customFormat="1" ht="13.2" x14ac:dyDescent="0.25"/>
    <row r="630" s="260" customFormat="1" ht="13.2" x14ac:dyDescent="0.25"/>
    <row r="631" s="260" customFormat="1" ht="13.2" x14ac:dyDescent="0.25"/>
    <row r="632" s="260" customFormat="1" ht="13.2" x14ac:dyDescent="0.25"/>
    <row r="633" s="260" customFormat="1" ht="13.2" x14ac:dyDescent="0.25"/>
    <row r="634" s="260" customFormat="1" ht="13.2" x14ac:dyDescent="0.25"/>
    <row r="635" s="260" customFormat="1" ht="13.2" x14ac:dyDescent="0.25"/>
    <row r="636" s="260" customFormat="1" ht="13.2" x14ac:dyDescent="0.25"/>
    <row r="637" s="260" customFormat="1" ht="13.2" x14ac:dyDescent="0.25"/>
    <row r="638" s="260" customFormat="1" ht="13.2" x14ac:dyDescent="0.25"/>
    <row r="639" s="260" customFormat="1" ht="13.2" x14ac:dyDescent="0.25"/>
    <row r="640" s="260" customFormat="1" ht="13.2" x14ac:dyDescent="0.25"/>
    <row r="641" s="260" customFormat="1" ht="13.2" x14ac:dyDescent="0.25"/>
    <row r="642" s="260" customFormat="1" ht="13.2" x14ac:dyDescent="0.25"/>
    <row r="643" s="260" customFormat="1" ht="13.2" x14ac:dyDescent="0.25"/>
    <row r="644" s="260" customFormat="1" ht="13.2" x14ac:dyDescent="0.25"/>
    <row r="645" s="260" customFormat="1" ht="13.2" x14ac:dyDescent="0.25"/>
    <row r="646" s="260" customFormat="1" ht="13.2" x14ac:dyDescent="0.25"/>
    <row r="647" s="260" customFormat="1" ht="13.2" x14ac:dyDescent="0.25"/>
    <row r="648" s="260" customFormat="1" ht="13.2" x14ac:dyDescent="0.25"/>
    <row r="649" s="260" customFormat="1" ht="13.2" x14ac:dyDescent="0.25"/>
    <row r="650" s="260" customFormat="1" ht="13.2" x14ac:dyDescent="0.25"/>
    <row r="651" s="260" customFormat="1" ht="13.2" x14ac:dyDescent="0.25"/>
    <row r="652" s="260" customFormat="1" ht="13.2" x14ac:dyDescent="0.25"/>
    <row r="653" s="260" customFormat="1" ht="13.2" x14ac:dyDescent="0.25"/>
    <row r="654" s="260" customFormat="1" ht="13.2" x14ac:dyDescent="0.25"/>
    <row r="655" s="260" customFormat="1" ht="13.2" x14ac:dyDescent="0.25"/>
    <row r="656" s="260" customFormat="1" ht="13.2" x14ac:dyDescent="0.25"/>
    <row r="657" s="260" customFormat="1" ht="13.2" x14ac:dyDescent="0.25"/>
    <row r="658" s="260" customFormat="1" ht="13.2" x14ac:dyDescent="0.25"/>
    <row r="659" s="260" customFormat="1" ht="13.2" x14ac:dyDescent="0.25"/>
    <row r="660" s="260" customFormat="1" ht="13.2" x14ac:dyDescent="0.25"/>
    <row r="661" s="260" customFormat="1" ht="13.2" x14ac:dyDescent="0.25"/>
    <row r="662" s="260" customFormat="1" ht="13.2" x14ac:dyDescent="0.25"/>
    <row r="663" s="260" customFormat="1" ht="13.2" x14ac:dyDescent="0.25"/>
    <row r="664" s="260" customFormat="1" ht="13.2" x14ac:dyDescent="0.25"/>
    <row r="665" s="260" customFormat="1" ht="13.2" x14ac:dyDescent="0.25"/>
    <row r="666" s="260" customFormat="1" ht="13.2" x14ac:dyDescent="0.25"/>
    <row r="667" s="260" customFormat="1" ht="13.2" x14ac:dyDescent="0.25"/>
    <row r="668" s="260" customFormat="1" ht="13.2" x14ac:dyDescent="0.25"/>
    <row r="669" s="260" customFormat="1" ht="13.2" x14ac:dyDescent="0.25"/>
    <row r="670" s="260" customFormat="1" ht="13.2" x14ac:dyDescent="0.25"/>
    <row r="671" s="260" customFormat="1" ht="13.2" x14ac:dyDescent="0.25"/>
    <row r="672" s="260" customFormat="1" ht="13.2" x14ac:dyDescent="0.25"/>
    <row r="673" s="260" customFormat="1" ht="13.2" x14ac:dyDescent="0.25"/>
    <row r="674" s="260" customFormat="1" ht="13.2" x14ac:dyDescent="0.25"/>
    <row r="675" s="260" customFormat="1" ht="13.2" x14ac:dyDescent="0.25"/>
    <row r="676" s="260" customFormat="1" ht="13.2" x14ac:dyDescent="0.25"/>
    <row r="677" s="260" customFormat="1" ht="13.2" x14ac:dyDescent="0.25"/>
    <row r="678" s="260" customFormat="1" ht="13.2" x14ac:dyDescent="0.25"/>
    <row r="679" s="260" customFormat="1" ht="13.2" x14ac:dyDescent="0.25"/>
    <row r="680" s="260" customFormat="1" ht="13.2" x14ac:dyDescent="0.25"/>
    <row r="681" s="260" customFormat="1" ht="13.2" x14ac:dyDescent="0.25"/>
    <row r="682" s="260" customFormat="1" ht="13.2" x14ac:dyDescent="0.25"/>
    <row r="683" s="260" customFormat="1" ht="13.2" x14ac:dyDescent="0.25"/>
    <row r="684" s="260" customFormat="1" ht="13.2" x14ac:dyDescent="0.25"/>
    <row r="685" s="260" customFormat="1" ht="13.2" x14ac:dyDescent="0.25"/>
    <row r="686" s="260" customFormat="1" ht="13.2" x14ac:dyDescent="0.25"/>
    <row r="687" s="260" customFormat="1" ht="13.2" x14ac:dyDescent="0.25"/>
    <row r="688" s="260" customFormat="1" ht="13.2" x14ac:dyDescent="0.25"/>
    <row r="689" s="260" customFormat="1" ht="13.2" x14ac:dyDescent="0.25"/>
    <row r="690" s="260" customFormat="1" ht="13.2" x14ac:dyDescent="0.25"/>
    <row r="691" s="260" customFormat="1" ht="13.2" x14ac:dyDescent="0.25"/>
    <row r="692" s="260" customFormat="1" ht="13.2" x14ac:dyDescent="0.25"/>
    <row r="693" s="260" customFormat="1" ht="13.2" x14ac:dyDescent="0.25"/>
    <row r="694" s="260" customFormat="1" ht="13.2" x14ac:dyDescent="0.25"/>
    <row r="695" s="260" customFormat="1" ht="13.2" x14ac:dyDescent="0.25"/>
    <row r="696" s="260" customFormat="1" ht="13.2" x14ac:dyDescent="0.25"/>
    <row r="697" s="260" customFormat="1" ht="13.2" x14ac:dyDescent="0.25"/>
    <row r="698" s="260" customFormat="1" ht="13.2" x14ac:dyDescent="0.25"/>
    <row r="699" s="260" customFormat="1" ht="13.2" x14ac:dyDescent="0.25"/>
    <row r="700" s="260" customFormat="1" ht="13.2" x14ac:dyDescent="0.25"/>
    <row r="701" s="260" customFormat="1" ht="13.2" x14ac:dyDescent="0.25"/>
    <row r="702" s="260" customFormat="1" ht="13.2" x14ac:dyDescent="0.25"/>
    <row r="703" s="260" customFormat="1" ht="13.2" x14ac:dyDescent="0.25"/>
    <row r="704" s="260" customFormat="1" ht="13.2" x14ac:dyDescent="0.25"/>
    <row r="705" s="260" customFormat="1" ht="13.2" x14ac:dyDescent="0.25"/>
    <row r="706" s="260" customFormat="1" ht="13.2" x14ac:dyDescent="0.25"/>
    <row r="707" s="260" customFormat="1" ht="13.2" x14ac:dyDescent="0.25"/>
    <row r="708" s="260" customFormat="1" ht="13.2" x14ac:dyDescent="0.25"/>
    <row r="709" s="260" customFormat="1" ht="13.2" x14ac:dyDescent="0.25"/>
    <row r="710" s="260" customFormat="1" ht="13.2" x14ac:dyDescent="0.25"/>
    <row r="711" s="260" customFormat="1" ht="13.2" x14ac:dyDescent="0.25"/>
    <row r="712" s="260" customFormat="1" ht="13.2" x14ac:dyDescent="0.25"/>
    <row r="713" s="260" customFormat="1" ht="13.2" x14ac:dyDescent="0.25"/>
    <row r="714" s="260" customFormat="1" ht="13.2" x14ac:dyDescent="0.25"/>
    <row r="715" s="260" customFormat="1" ht="13.2" x14ac:dyDescent="0.25"/>
    <row r="716" s="260" customFormat="1" ht="13.2" x14ac:dyDescent="0.25"/>
    <row r="717" s="260" customFormat="1" ht="13.2" x14ac:dyDescent="0.25"/>
    <row r="718" s="260" customFormat="1" ht="13.2" x14ac:dyDescent="0.25"/>
    <row r="719" s="260" customFormat="1" ht="13.2" x14ac:dyDescent="0.25"/>
    <row r="720" s="260" customFormat="1" ht="13.2" x14ac:dyDescent="0.25"/>
    <row r="721" s="260" customFormat="1" ht="13.2" x14ac:dyDescent="0.25"/>
    <row r="722" s="260" customFormat="1" ht="13.2" x14ac:dyDescent="0.25"/>
    <row r="723" s="260" customFormat="1" ht="13.2" x14ac:dyDescent="0.25"/>
    <row r="724" s="260" customFormat="1" ht="13.2" x14ac:dyDescent="0.25"/>
    <row r="725" s="260" customFormat="1" ht="13.2" x14ac:dyDescent="0.25"/>
    <row r="726" s="260" customFormat="1" ht="13.2" x14ac:dyDescent="0.25"/>
    <row r="727" s="260" customFormat="1" ht="13.2" x14ac:dyDescent="0.25"/>
    <row r="728" s="260" customFormat="1" ht="13.2" x14ac:dyDescent="0.25"/>
    <row r="729" s="260" customFormat="1" ht="13.2" x14ac:dyDescent="0.25"/>
    <row r="730" s="260" customFormat="1" ht="13.2" x14ac:dyDescent="0.25"/>
    <row r="731" s="260" customFormat="1" ht="13.2" x14ac:dyDescent="0.25"/>
    <row r="732" s="260" customFormat="1" ht="13.2" x14ac:dyDescent="0.25"/>
    <row r="733" s="260" customFormat="1" ht="13.2" x14ac:dyDescent="0.25"/>
    <row r="734" s="260" customFormat="1" ht="13.2" x14ac:dyDescent="0.25"/>
    <row r="735" s="260" customFormat="1" ht="13.2" x14ac:dyDescent="0.25"/>
    <row r="736" s="260" customFormat="1" ht="13.2" x14ac:dyDescent="0.25"/>
    <row r="737" s="260" customFormat="1" ht="13.2" x14ac:dyDescent="0.25"/>
    <row r="738" s="260" customFormat="1" ht="13.2" x14ac:dyDescent="0.25"/>
    <row r="739" s="260" customFormat="1" ht="13.2" x14ac:dyDescent="0.25"/>
    <row r="740" s="260" customFormat="1" ht="13.2" x14ac:dyDescent="0.25"/>
    <row r="741" s="260" customFormat="1" ht="13.2" x14ac:dyDescent="0.25"/>
    <row r="742" s="260" customFormat="1" ht="13.2" x14ac:dyDescent="0.25"/>
    <row r="743" s="260" customFormat="1" ht="13.2" x14ac:dyDescent="0.25"/>
    <row r="744" s="260" customFormat="1" ht="13.2" x14ac:dyDescent="0.25"/>
    <row r="745" s="260" customFormat="1" ht="13.2" x14ac:dyDescent="0.25"/>
    <row r="746" s="260" customFormat="1" ht="13.2" x14ac:dyDescent="0.25"/>
    <row r="747" s="260" customFormat="1" ht="13.2" x14ac:dyDescent="0.25"/>
    <row r="748" s="260" customFormat="1" ht="13.2" x14ac:dyDescent="0.25"/>
    <row r="749" s="260" customFormat="1" ht="13.2" x14ac:dyDescent="0.25"/>
    <row r="750" s="260" customFormat="1" ht="13.2" x14ac:dyDescent="0.25"/>
    <row r="751" s="260" customFormat="1" ht="13.2" x14ac:dyDescent="0.25"/>
    <row r="752" s="260" customFormat="1" ht="13.2" x14ac:dyDescent="0.25"/>
    <row r="753" s="260" customFormat="1" ht="13.2" x14ac:dyDescent="0.25"/>
    <row r="754" s="260" customFormat="1" ht="13.2" x14ac:dyDescent="0.25"/>
    <row r="755" s="260" customFormat="1" ht="13.2" x14ac:dyDescent="0.25"/>
    <row r="756" s="260" customFormat="1" ht="13.2" x14ac:dyDescent="0.25"/>
    <row r="757" s="260" customFormat="1" ht="13.2" x14ac:dyDescent="0.25"/>
    <row r="758" s="260" customFormat="1" ht="13.2" x14ac:dyDescent="0.25"/>
    <row r="759" s="260" customFormat="1" ht="13.2" x14ac:dyDescent="0.25"/>
    <row r="760" s="260" customFormat="1" ht="13.2" x14ac:dyDescent="0.25"/>
    <row r="761" s="260" customFormat="1" ht="13.2" x14ac:dyDescent="0.25"/>
    <row r="762" s="260" customFormat="1" ht="13.2" x14ac:dyDescent="0.25"/>
    <row r="763" s="260" customFormat="1" ht="13.2" x14ac:dyDescent="0.25"/>
    <row r="764" s="260" customFormat="1" ht="13.2" x14ac:dyDescent="0.25"/>
    <row r="765" s="260" customFormat="1" ht="13.2" x14ac:dyDescent="0.25"/>
    <row r="766" s="260" customFormat="1" ht="13.2" x14ac:dyDescent="0.25"/>
    <row r="767" s="260" customFormat="1" ht="13.2" x14ac:dyDescent="0.25"/>
    <row r="768" s="260" customFormat="1" ht="13.2" x14ac:dyDescent="0.25"/>
    <row r="769" s="260" customFormat="1" ht="13.2" x14ac:dyDescent="0.25"/>
    <row r="770" s="260" customFormat="1" ht="13.2" x14ac:dyDescent="0.25"/>
    <row r="771" s="260" customFormat="1" ht="13.2" x14ac:dyDescent="0.25"/>
    <row r="772" s="260" customFormat="1" ht="13.2" x14ac:dyDescent="0.25"/>
    <row r="773" s="260" customFormat="1" ht="13.2" x14ac:dyDescent="0.25"/>
    <row r="774" s="260" customFormat="1" ht="13.2" x14ac:dyDescent="0.25"/>
    <row r="775" s="260" customFormat="1" ht="13.2" x14ac:dyDescent="0.25"/>
    <row r="776" s="260" customFormat="1" ht="13.2" x14ac:dyDescent="0.25"/>
    <row r="777" s="260" customFormat="1" ht="13.2" x14ac:dyDescent="0.25"/>
    <row r="778" s="260" customFormat="1" ht="13.2" x14ac:dyDescent="0.25"/>
    <row r="779" s="260" customFormat="1" ht="13.2" x14ac:dyDescent="0.25"/>
    <row r="780" s="260" customFormat="1" ht="13.2" x14ac:dyDescent="0.25"/>
    <row r="781" s="260" customFormat="1" ht="13.2" x14ac:dyDescent="0.25"/>
    <row r="782" s="260" customFormat="1" ht="13.2" x14ac:dyDescent="0.25"/>
    <row r="783" s="260" customFormat="1" ht="13.2" x14ac:dyDescent="0.25"/>
    <row r="784" s="260" customFormat="1" ht="13.2" x14ac:dyDescent="0.25"/>
    <row r="785" s="260" customFormat="1" ht="13.2" x14ac:dyDescent="0.25"/>
    <row r="786" s="260" customFormat="1" ht="13.2" x14ac:dyDescent="0.25"/>
    <row r="787" s="260" customFormat="1" ht="13.2" x14ac:dyDescent="0.25"/>
    <row r="788" s="260" customFormat="1" ht="13.2" x14ac:dyDescent="0.25"/>
    <row r="789" s="260" customFormat="1" ht="13.2" x14ac:dyDescent="0.25"/>
    <row r="790" s="260" customFormat="1" ht="13.2" x14ac:dyDescent="0.25"/>
    <row r="791" s="260" customFormat="1" ht="13.2" x14ac:dyDescent="0.25"/>
    <row r="792" s="260" customFormat="1" ht="13.2" x14ac:dyDescent="0.25"/>
    <row r="793" s="260" customFormat="1" ht="13.2" x14ac:dyDescent="0.25"/>
    <row r="794" s="260" customFormat="1" ht="13.2" x14ac:dyDescent="0.25"/>
    <row r="795" s="260" customFormat="1" ht="13.2" x14ac:dyDescent="0.25"/>
    <row r="796" s="260" customFormat="1" ht="13.2" x14ac:dyDescent="0.25"/>
    <row r="797" s="260" customFormat="1" ht="13.2" x14ac:dyDescent="0.25"/>
    <row r="798" s="260" customFormat="1" ht="13.2" x14ac:dyDescent="0.25"/>
    <row r="799" s="260" customFormat="1" ht="13.2" x14ac:dyDescent="0.25"/>
    <row r="800" s="260" customFormat="1" ht="13.2" x14ac:dyDescent="0.25"/>
    <row r="801" s="260" customFormat="1" ht="13.2" x14ac:dyDescent="0.25"/>
    <row r="802" s="260" customFormat="1" ht="13.2" x14ac:dyDescent="0.25"/>
    <row r="803" s="260" customFormat="1" ht="13.2" x14ac:dyDescent="0.25"/>
    <row r="804" s="260" customFormat="1" ht="13.2" x14ac:dyDescent="0.25"/>
    <row r="805" s="260" customFormat="1" ht="13.2" x14ac:dyDescent="0.25"/>
    <row r="806" s="260" customFormat="1" ht="13.2" x14ac:dyDescent="0.25"/>
    <row r="807" s="260" customFormat="1" ht="13.2" x14ac:dyDescent="0.25"/>
    <row r="808" s="260" customFormat="1" ht="13.2" x14ac:dyDescent="0.25"/>
    <row r="809" s="260" customFormat="1" ht="13.2" x14ac:dyDescent="0.25"/>
    <row r="810" s="260" customFormat="1" ht="13.2" x14ac:dyDescent="0.25"/>
    <row r="811" s="260" customFormat="1" ht="13.2" x14ac:dyDescent="0.25"/>
    <row r="812" s="260" customFormat="1" ht="13.2" x14ac:dyDescent="0.25"/>
    <row r="813" s="260" customFormat="1" ht="13.2" x14ac:dyDescent="0.25"/>
    <row r="814" s="260" customFormat="1" ht="13.2" x14ac:dyDescent="0.25"/>
    <row r="815" s="260" customFormat="1" ht="13.2" x14ac:dyDescent="0.25"/>
    <row r="816" s="260" customFormat="1" ht="13.2" x14ac:dyDescent="0.25"/>
    <row r="817" s="260" customFormat="1" ht="13.2" x14ac:dyDescent="0.25"/>
    <row r="818" s="260" customFormat="1" ht="13.2" x14ac:dyDescent="0.25"/>
    <row r="819" s="260" customFormat="1" ht="13.2" x14ac:dyDescent="0.25"/>
    <row r="820" s="260" customFormat="1" ht="13.2" x14ac:dyDescent="0.25"/>
    <row r="821" s="260" customFormat="1" ht="13.2" x14ac:dyDescent="0.25"/>
    <row r="822" s="260" customFormat="1" ht="13.2" x14ac:dyDescent="0.25"/>
    <row r="823" s="260" customFormat="1" ht="13.2" x14ac:dyDescent="0.25"/>
    <row r="824" s="260" customFormat="1" ht="13.2" x14ac:dyDescent="0.25"/>
    <row r="825" s="260" customFormat="1" ht="13.2" x14ac:dyDescent="0.25"/>
    <row r="826" s="260" customFormat="1" ht="13.2" x14ac:dyDescent="0.25"/>
    <row r="827" s="260" customFormat="1" ht="13.2" x14ac:dyDescent="0.25"/>
    <row r="828" s="260" customFormat="1" ht="13.2" x14ac:dyDescent="0.25"/>
    <row r="829" s="260" customFormat="1" ht="13.2" x14ac:dyDescent="0.25"/>
    <row r="830" s="260" customFormat="1" ht="13.2" x14ac:dyDescent="0.25"/>
    <row r="831" s="260" customFormat="1" ht="13.2" x14ac:dyDescent="0.25"/>
    <row r="832" s="260" customFormat="1" ht="13.2" x14ac:dyDescent="0.25"/>
    <row r="833" s="260" customFormat="1" ht="13.2" x14ac:dyDescent="0.25"/>
    <row r="834" s="260" customFormat="1" ht="13.2" x14ac:dyDescent="0.25"/>
    <row r="835" s="260" customFormat="1" ht="13.2" x14ac:dyDescent="0.25"/>
    <row r="836" s="260" customFormat="1" ht="13.2" x14ac:dyDescent="0.25"/>
    <row r="837" s="260" customFormat="1" ht="13.2" x14ac:dyDescent="0.25"/>
    <row r="838" s="260" customFormat="1" ht="13.2" x14ac:dyDescent="0.25"/>
    <row r="839" s="260" customFormat="1" ht="13.2" x14ac:dyDescent="0.25"/>
    <row r="840" s="260" customFormat="1" ht="13.2" x14ac:dyDescent="0.25"/>
    <row r="841" s="260" customFormat="1" ht="13.2" x14ac:dyDescent="0.25"/>
    <row r="842" s="260" customFormat="1" ht="13.2" x14ac:dyDescent="0.25"/>
    <row r="843" s="260" customFormat="1" ht="13.2" x14ac:dyDescent="0.25"/>
    <row r="844" s="260" customFormat="1" ht="13.2" x14ac:dyDescent="0.25"/>
    <row r="845" s="260" customFormat="1" ht="13.2" x14ac:dyDescent="0.25"/>
    <row r="846" s="260" customFormat="1" ht="13.2" x14ac:dyDescent="0.25"/>
    <row r="847" s="260" customFormat="1" ht="13.2" x14ac:dyDescent="0.25"/>
    <row r="848" s="260" customFormat="1" ht="13.2" x14ac:dyDescent="0.25"/>
    <row r="849" s="260" customFormat="1" ht="13.2" x14ac:dyDescent="0.25"/>
    <row r="850" s="260" customFormat="1" ht="13.2" x14ac:dyDescent="0.25"/>
    <row r="851" s="260" customFormat="1" ht="13.2" x14ac:dyDescent="0.25"/>
    <row r="852" s="260" customFormat="1" ht="13.2" x14ac:dyDescent="0.25"/>
    <row r="853" s="260" customFormat="1" ht="13.2" x14ac:dyDescent="0.25"/>
    <row r="854" s="260" customFormat="1" ht="13.2" x14ac:dyDescent="0.25"/>
    <row r="855" s="260" customFormat="1" ht="13.2" x14ac:dyDescent="0.25"/>
    <row r="856" s="260" customFormat="1" ht="13.2" x14ac:dyDescent="0.25"/>
    <row r="857" s="260" customFormat="1" ht="13.2" x14ac:dyDescent="0.25"/>
    <row r="858" s="260" customFormat="1" ht="13.2" x14ac:dyDescent="0.25"/>
    <row r="859" s="260" customFormat="1" ht="13.2" x14ac:dyDescent="0.25"/>
    <row r="860" s="260" customFormat="1" ht="13.2" x14ac:dyDescent="0.25"/>
    <row r="861" s="260" customFormat="1" ht="13.2" x14ac:dyDescent="0.25"/>
    <row r="862" s="260" customFormat="1" ht="13.2" x14ac:dyDescent="0.25"/>
    <row r="863" s="260" customFormat="1" ht="13.2" x14ac:dyDescent="0.25"/>
    <row r="864" s="260" customFormat="1" ht="13.2" x14ac:dyDescent="0.25"/>
    <row r="865" s="260" customFormat="1" ht="13.2" x14ac:dyDescent="0.25"/>
    <row r="866" s="260" customFormat="1" ht="13.2" x14ac:dyDescent="0.25"/>
    <row r="867" s="260" customFormat="1" ht="13.2" x14ac:dyDescent="0.25"/>
    <row r="868" s="260" customFormat="1" ht="13.2" x14ac:dyDescent="0.25"/>
    <row r="869" s="260" customFormat="1" ht="13.2" x14ac:dyDescent="0.25"/>
    <row r="870" s="260" customFormat="1" ht="13.2" x14ac:dyDescent="0.25"/>
    <row r="871" s="260" customFormat="1" ht="13.2" x14ac:dyDescent="0.25"/>
    <row r="872" s="260" customFormat="1" ht="13.2" x14ac:dyDescent="0.25"/>
    <row r="873" s="260" customFormat="1" ht="13.2" x14ac:dyDescent="0.25"/>
    <row r="874" s="260" customFormat="1" ht="13.2" x14ac:dyDescent="0.25"/>
    <row r="875" s="260" customFormat="1" ht="13.2" x14ac:dyDescent="0.25"/>
    <row r="876" s="260" customFormat="1" ht="13.2" x14ac:dyDescent="0.25"/>
    <row r="877" s="260" customFormat="1" ht="13.2" x14ac:dyDescent="0.25"/>
    <row r="878" s="260" customFormat="1" ht="13.2" x14ac:dyDescent="0.25"/>
  </sheetData>
  <mergeCells count="1">
    <mergeCell ref="A2:D2"/>
  </mergeCells>
  <pageMargins left="0.27559055118110237" right="0.27559055118110237" top="0.39370078740157483" bottom="0.39370078740157483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0"/>
  <dimension ref="A1:F484"/>
  <sheetViews>
    <sheetView showGridLines="0" topLeftCell="A41" zoomScaleNormal="100" workbookViewId="0">
      <selection activeCell="A63" sqref="A1:G63"/>
    </sheetView>
  </sheetViews>
  <sheetFormatPr baseColWidth="10" defaultColWidth="11.44140625" defaultRowHeight="15" customHeight="1" x14ac:dyDescent="0.25"/>
  <cols>
    <col min="1" max="1" width="22.109375" style="270" customWidth="1"/>
    <col min="2" max="2" width="11.5546875" style="270" customWidth="1"/>
    <col min="3" max="3" width="16.109375" style="270" customWidth="1"/>
    <col min="4" max="4" width="10" style="270" customWidth="1"/>
    <col min="5" max="5" width="8.5546875" style="270" customWidth="1"/>
    <col min="6" max="6" width="8.88671875" style="270" customWidth="1"/>
    <col min="7" max="7" width="2.109375" style="270" customWidth="1"/>
    <col min="8" max="16384" width="11.44140625" style="270"/>
  </cols>
  <sheetData>
    <row r="1" spans="1:6" ht="16.2" customHeight="1" x14ac:dyDescent="0.3">
      <c r="A1" s="267" t="s">
        <v>620</v>
      </c>
      <c r="B1" s="260"/>
      <c r="C1" s="260"/>
      <c r="D1" s="260"/>
      <c r="E1" s="268"/>
      <c r="F1" s="269"/>
    </row>
    <row r="2" spans="1:6" ht="12" customHeight="1" x14ac:dyDescent="0.25">
      <c r="A2" s="779" t="s">
        <v>621</v>
      </c>
      <c r="B2" s="779"/>
      <c r="C2" s="779"/>
      <c r="D2" s="779"/>
      <c r="E2" s="779"/>
      <c r="F2" s="779"/>
    </row>
    <row r="3" spans="1:6" ht="4.95" customHeight="1" x14ac:dyDescent="0.25">
      <c r="A3" s="780"/>
      <c r="B3" s="780"/>
      <c r="C3" s="780"/>
      <c r="D3" s="780"/>
      <c r="E3" s="780"/>
      <c r="F3" s="780"/>
    </row>
    <row r="4" spans="1:6" ht="18.75" customHeight="1" x14ac:dyDescent="0.25">
      <c r="A4" s="271" t="s">
        <v>208</v>
      </c>
      <c r="B4" s="272" t="s">
        <v>245</v>
      </c>
      <c r="C4" s="272" t="s">
        <v>246</v>
      </c>
      <c r="D4" s="271" t="s">
        <v>211</v>
      </c>
      <c r="E4" s="273" t="s">
        <v>247</v>
      </c>
      <c r="F4" s="273" t="s">
        <v>214</v>
      </c>
    </row>
    <row r="5" spans="1:6" ht="3" customHeight="1" x14ac:dyDescent="0.25">
      <c r="A5" s="52"/>
      <c r="B5" s="257"/>
      <c r="C5" s="257"/>
      <c r="D5" s="257"/>
      <c r="E5" s="257"/>
      <c r="F5" s="257"/>
    </row>
    <row r="6" spans="1:6" ht="11.4" customHeight="1" x14ac:dyDescent="0.2">
      <c r="A6" s="784" t="s">
        <v>227</v>
      </c>
      <c r="B6" s="98" t="s">
        <v>252</v>
      </c>
      <c r="C6" s="98" t="s">
        <v>251</v>
      </c>
      <c r="D6" s="98" t="s">
        <v>250</v>
      </c>
      <c r="E6" s="711">
        <v>267</v>
      </c>
      <c r="F6" s="620">
        <v>9</v>
      </c>
    </row>
    <row r="7" spans="1:6" ht="11.4" customHeight="1" x14ac:dyDescent="0.2">
      <c r="A7" s="785"/>
      <c r="B7" s="621" t="s">
        <v>252</v>
      </c>
      <c r="C7" s="621" t="s">
        <v>253</v>
      </c>
      <c r="D7" s="621" t="s">
        <v>250</v>
      </c>
      <c r="E7" s="712">
        <v>432</v>
      </c>
      <c r="F7" s="622">
        <v>9</v>
      </c>
    </row>
    <row r="8" spans="1:6" ht="11.4" customHeight="1" x14ac:dyDescent="0.2">
      <c r="A8" s="781" t="s">
        <v>228</v>
      </c>
      <c r="B8" s="98" t="s">
        <v>254</v>
      </c>
      <c r="C8" s="98" t="s">
        <v>255</v>
      </c>
      <c r="D8" s="98" t="s">
        <v>250</v>
      </c>
      <c r="E8" s="711">
        <v>85</v>
      </c>
      <c r="F8" s="620">
        <v>14</v>
      </c>
    </row>
    <row r="9" spans="1:6" ht="11.4" customHeight="1" x14ac:dyDescent="0.2">
      <c r="A9" s="782"/>
      <c r="B9" s="98" t="s">
        <v>248</v>
      </c>
      <c r="C9" s="98" t="s">
        <v>249</v>
      </c>
      <c r="D9" s="98" t="s">
        <v>250</v>
      </c>
      <c r="E9" s="711">
        <v>262</v>
      </c>
      <c r="F9" s="620">
        <v>14</v>
      </c>
    </row>
    <row r="10" spans="1:6" ht="11.4" customHeight="1" x14ac:dyDescent="0.2">
      <c r="A10" s="782"/>
      <c r="B10" s="621" t="s">
        <v>256</v>
      </c>
      <c r="C10" s="621" t="s">
        <v>257</v>
      </c>
      <c r="D10" s="621" t="s">
        <v>258</v>
      </c>
      <c r="E10" s="712">
        <v>120</v>
      </c>
      <c r="F10" s="622">
        <v>6</v>
      </c>
    </row>
    <row r="11" spans="1:6" ht="11.4" customHeight="1" x14ac:dyDescent="0.2">
      <c r="A11" s="781" t="s">
        <v>259</v>
      </c>
      <c r="B11" s="98" t="s">
        <v>260</v>
      </c>
      <c r="C11" s="98" t="s">
        <v>261</v>
      </c>
      <c r="D11" s="98" t="s">
        <v>250</v>
      </c>
      <c r="E11" s="711">
        <v>94</v>
      </c>
      <c r="F11" s="620">
        <v>12</v>
      </c>
    </row>
    <row r="12" spans="1:6" ht="11.4" customHeight="1" x14ac:dyDescent="0.2">
      <c r="A12" s="782"/>
      <c r="B12" s="98" t="s">
        <v>260</v>
      </c>
      <c r="C12" s="98" t="s">
        <v>262</v>
      </c>
      <c r="D12" s="98" t="s">
        <v>250</v>
      </c>
      <c r="E12" s="711">
        <v>105</v>
      </c>
      <c r="F12" s="620">
        <v>12</v>
      </c>
    </row>
    <row r="13" spans="1:6" ht="11.4" customHeight="1" x14ac:dyDescent="0.2">
      <c r="A13" s="782"/>
      <c r="B13" s="98" t="s">
        <v>260</v>
      </c>
      <c r="C13" s="98" t="s">
        <v>263</v>
      </c>
      <c r="D13" s="98" t="s">
        <v>250</v>
      </c>
      <c r="E13" s="711">
        <v>465</v>
      </c>
      <c r="F13" s="620">
        <v>12</v>
      </c>
    </row>
    <row r="14" spans="1:6" ht="11.4" customHeight="1" x14ac:dyDescent="0.2">
      <c r="A14" s="782"/>
      <c r="B14" s="98" t="s">
        <v>260</v>
      </c>
      <c r="C14" s="98" t="s">
        <v>264</v>
      </c>
      <c r="D14" s="98" t="s">
        <v>250</v>
      </c>
      <c r="E14" s="711">
        <v>2</v>
      </c>
      <c r="F14" s="620">
        <v>12</v>
      </c>
    </row>
    <row r="15" spans="1:6" ht="11.4" customHeight="1" x14ac:dyDescent="0.2">
      <c r="A15" s="782"/>
      <c r="B15" s="98" t="s">
        <v>260</v>
      </c>
      <c r="C15" s="98" t="s">
        <v>265</v>
      </c>
      <c r="D15" s="98" t="s">
        <v>250</v>
      </c>
      <c r="E15" s="711">
        <v>118</v>
      </c>
      <c r="F15" s="620">
        <v>12</v>
      </c>
    </row>
    <row r="16" spans="1:6" ht="11.4" customHeight="1" x14ac:dyDescent="0.2">
      <c r="A16" s="782"/>
      <c r="B16" s="98" t="s">
        <v>260</v>
      </c>
      <c r="C16" s="98" t="s">
        <v>266</v>
      </c>
      <c r="D16" s="98" t="s">
        <v>250</v>
      </c>
      <c r="E16" s="711">
        <v>27</v>
      </c>
      <c r="F16" s="620">
        <v>12</v>
      </c>
    </row>
    <row r="17" spans="1:6" ht="11.4" customHeight="1" x14ac:dyDescent="0.2">
      <c r="A17" s="782"/>
      <c r="B17" s="98" t="s">
        <v>260</v>
      </c>
      <c r="C17" s="98" t="s">
        <v>267</v>
      </c>
      <c r="D17" s="98" t="s">
        <v>250</v>
      </c>
      <c r="E17" s="711">
        <v>90</v>
      </c>
      <c r="F17" s="620">
        <v>12</v>
      </c>
    </row>
    <row r="18" spans="1:6" ht="11.4" customHeight="1" x14ac:dyDescent="0.2">
      <c r="A18" s="782"/>
      <c r="B18" s="98" t="s">
        <v>260</v>
      </c>
      <c r="C18" s="98" t="s">
        <v>268</v>
      </c>
      <c r="D18" s="98" t="s">
        <v>250</v>
      </c>
      <c r="E18" s="711">
        <v>113</v>
      </c>
      <c r="F18" s="620">
        <v>12</v>
      </c>
    </row>
    <row r="19" spans="1:6" ht="11.4" customHeight="1" x14ac:dyDescent="0.2">
      <c r="A19" s="782"/>
      <c r="B19" s="98" t="s">
        <v>260</v>
      </c>
      <c r="C19" s="98" t="s">
        <v>269</v>
      </c>
      <c r="D19" s="98" t="s">
        <v>250</v>
      </c>
      <c r="E19" s="711">
        <v>154</v>
      </c>
      <c r="F19" s="620">
        <v>12</v>
      </c>
    </row>
    <row r="20" spans="1:6" ht="11.4" customHeight="1" x14ac:dyDescent="0.2">
      <c r="A20" s="782"/>
      <c r="B20" s="98" t="s">
        <v>260</v>
      </c>
      <c r="C20" s="98" t="s">
        <v>270</v>
      </c>
      <c r="D20" s="98" t="s">
        <v>250</v>
      </c>
      <c r="E20" s="711">
        <v>196</v>
      </c>
      <c r="F20" s="620">
        <v>12</v>
      </c>
    </row>
    <row r="21" spans="1:6" ht="11.4" customHeight="1" x14ac:dyDescent="0.2">
      <c r="A21" s="782"/>
      <c r="B21" s="98" t="s">
        <v>260</v>
      </c>
      <c r="C21" s="98" t="s">
        <v>271</v>
      </c>
      <c r="D21" s="98" t="s">
        <v>250</v>
      </c>
      <c r="E21" s="711">
        <v>34</v>
      </c>
      <c r="F21" s="620">
        <v>12</v>
      </c>
    </row>
    <row r="22" spans="1:6" ht="11.4" customHeight="1" x14ac:dyDescent="0.2">
      <c r="A22" s="783"/>
      <c r="B22" s="621" t="s">
        <v>260</v>
      </c>
      <c r="C22" s="621" t="s">
        <v>272</v>
      </c>
      <c r="D22" s="621" t="s">
        <v>250</v>
      </c>
      <c r="E22" s="712">
        <v>57</v>
      </c>
      <c r="F22" s="622">
        <v>12</v>
      </c>
    </row>
    <row r="23" spans="1:6" ht="11.4" customHeight="1" x14ac:dyDescent="0.2">
      <c r="A23" s="781" t="s">
        <v>273</v>
      </c>
      <c r="B23" s="98" t="s">
        <v>248</v>
      </c>
      <c r="C23" s="98" t="s">
        <v>274</v>
      </c>
      <c r="D23" s="98" t="s">
        <v>250</v>
      </c>
      <c r="E23" s="711">
        <v>30</v>
      </c>
      <c r="F23" s="620">
        <v>7</v>
      </c>
    </row>
    <row r="24" spans="1:6" ht="11.4" customHeight="1" x14ac:dyDescent="0.2">
      <c r="A24" s="782"/>
      <c r="B24" s="98" t="s">
        <v>275</v>
      </c>
      <c r="C24" s="98" t="s">
        <v>276</v>
      </c>
      <c r="D24" s="98" t="s">
        <v>258</v>
      </c>
      <c r="E24" s="711">
        <v>1330</v>
      </c>
      <c r="F24" s="620">
        <v>4</v>
      </c>
    </row>
    <row r="25" spans="1:6" ht="11.4" customHeight="1" x14ac:dyDescent="0.2">
      <c r="A25" s="782"/>
      <c r="B25" s="98" t="s">
        <v>252</v>
      </c>
      <c r="C25" s="98" t="s">
        <v>501</v>
      </c>
      <c r="D25" s="98" t="s">
        <v>258</v>
      </c>
      <c r="E25" s="711">
        <v>255</v>
      </c>
      <c r="F25" s="620">
        <v>5</v>
      </c>
    </row>
    <row r="26" spans="1:6" ht="11.4" customHeight="1" x14ac:dyDescent="0.2">
      <c r="A26" s="782"/>
      <c r="B26" s="98" t="s">
        <v>277</v>
      </c>
      <c r="C26" s="98" t="s">
        <v>278</v>
      </c>
      <c r="D26" s="98" t="s">
        <v>279</v>
      </c>
      <c r="E26" s="711">
        <v>338</v>
      </c>
      <c r="F26" s="620">
        <v>5.93</v>
      </c>
    </row>
    <row r="27" spans="1:6" ht="11.4" customHeight="1" x14ac:dyDescent="0.2">
      <c r="A27" s="783"/>
      <c r="B27" s="621" t="s">
        <v>277</v>
      </c>
      <c r="C27" s="621" t="s">
        <v>280</v>
      </c>
      <c r="D27" s="98" t="s">
        <v>279</v>
      </c>
      <c r="E27" s="712">
        <v>695</v>
      </c>
      <c r="F27" s="622">
        <v>5.93</v>
      </c>
    </row>
    <row r="28" spans="1:6" ht="11.4" customHeight="1" x14ac:dyDescent="0.2">
      <c r="A28" s="781" t="s">
        <v>281</v>
      </c>
      <c r="B28" s="98" t="s">
        <v>282</v>
      </c>
      <c r="C28" s="98" t="s">
        <v>283</v>
      </c>
      <c r="D28" s="623" t="s">
        <v>250</v>
      </c>
      <c r="E28" s="711">
        <v>295</v>
      </c>
      <c r="F28" s="620">
        <v>8</v>
      </c>
    </row>
    <row r="29" spans="1:6" ht="11.4" customHeight="1" x14ac:dyDescent="0.2">
      <c r="A29" s="782"/>
      <c r="B29" s="98" t="s">
        <v>282</v>
      </c>
      <c r="C29" s="98" t="s">
        <v>57</v>
      </c>
      <c r="D29" s="98" t="s">
        <v>258</v>
      </c>
      <c r="E29" s="711">
        <v>2818</v>
      </c>
      <c r="F29" s="620">
        <v>5</v>
      </c>
    </row>
    <row r="30" spans="1:6" ht="11.4" customHeight="1" x14ac:dyDescent="0.2">
      <c r="A30" s="782"/>
      <c r="B30" s="98" t="s">
        <v>282</v>
      </c>
      <c r="C30" s="98" t="s">
        <v>284</v>
      </c>
      <c r="D30" s="98" t="s">
        <v>250</v>
      </c>
      <c r="E30" s="711">
        <v>45</v>
      </c>
      <c r="F30" s="620">
        <v>8</v>
      </c>
    </row>
    <row r="31" spans="1:6" ht="11.4" customHeight="1" x14ac:dyDescent="0.2">
      <c r="A31" s="782"/>
      <c r="B31" s="98" t="s">
        <v>282</v>
      </c>
      <c r="C31" s="98" t="s">
        <v>285</v>
      </c>
      <c r="D31" s="98" t="s">
        <v>258</v>
      </c>
      <c r="E31" s="711">
        <v>2276</v>
      </c>
      <c r="F31" s="620">
        <v>5</v>
      </c>
    </row>
    <row r="32" spans="1:6" ht="11.4" customHeight="1" x14ac:dyDescent="0.2">
      <c r="A32" s="782"/>
      <c r="B32" s="98" t="s">
        <v>282</v>
      </c>
      <c r="C32" s="98" t="s">
        <v>286</v>
      </c>
      <c r="D32" s="98" t="s">
        <v>250</v>
      </c>
      <c r="E32" s="711">
        <v>146</v>
      </c>
      <c r="F32" s="620">
        <v>8</v>
      </c>
    </row>
    <row r="33" spans="1:6" ht="11.4" customHeight="1" x14ac:dyDescent="0.2">
      <c r="A33" s="783"/>
      <c r="B33" s="621" t="s">
        <v>282</v>
      </c>
      <c r="C33" s="621" t="s">
        <v>287</v>
      </c>
      <c r="D33" s="621" t="s">
        <v>258</v>
      </c>
      <c r="E33" s="712">
        <v>2830</v>
      </c>
      <c r="F33" s="622">
        <v>5</v>
      </c>
    </row>
    <row r="34" spans="1:6" ht="12.9" customHeight="1" x14ac:dyDescent="0.2">
      <c r="A34" s="624" t="s">
        <v>288</v>
      </c>
      <c r="B34" s="621" t="s">
        <v>289</v>
      </c>
      <c r="C34" s="621" t="s">
        <v>290</v>
      </c>
      <c r="D34" s="621" t="s">
        <v>245</v>
      </c>
      <c r="E34" s="712">
        <v>424</v>
      </c>
      <c r="F34" s="622">
        <v>6</v>
      </c>
    </row>
    <row r="35" spans="1:6" ht="12.9" customHeight="1" x14ac:dyDescent="0.2">
      <c r="A35" s="625" t="s">
        <v>238</v>
      </c>
      <c r="B35" s="626" t="s">
        <v>291</v>
      </c>
      <c r="C35" s="626" t="s">
        <v>292</v>
      </c>
      <c r="D35" s="621" t="s">
        <v>245</v>
      </c>
      <c r="E35" s="713">
        <v>34</v>
      </c>
      <c r="F35" s="627">
        <v>5</v>
      </c>
    </row>
    <row r="36" spans="1:6" ht="12.9" customHeight="1" x14ac:dyDescent="0.2">
      <c r="A36" s="624" t="s">
        <v>295</v>
      </c>
      <c r="B36" s="628" t="s">
        <v>296</v>
      </c>
      <c r="C36" s="628" t="s">
        <v>297</v>
      </c>
      <c r="D36" s="628" t="s">
        <v>250</v>
      </c>
      <c r="E36" s="712">
        <v>50</v>
      </c>
      <c r="F36" s="622">
        <v>4</v>
      </c>
    </row>
    <row r="37" spans="1:6" ht="12.9" customHeight="1" x14ac:dyDescent="0.2">
      <c r="A37" s="624" t="s">
        <v>239</v>
      </c>
      <c r="B37" s="628" t="s">
        <v>298</v>
      </c>
      <c r="C37" s="628" t="s">
        <v>299</v>
      </c>
      <c r="D37" s="628" t="s">
        <v>250</v>
      </c>
      <c r="E37" s="712">
        <v>168</v>
      </c>
      <c r="F37" s="622">
        <v>9</v>
      </c>
    </row>
    <row r="38" spans="1:6" ht="11.4" customHeight="1" x14ac:dyDescent="0.2">
      <c r="A38" s="781" t="s">
        <v>300</v>
      </c>
      <c r="B38" s="629" t="s">
        <v>301</v>
      </c>
      <c r="C38" s="629" t="s">
        <v>460</v>
      </c>
      <c r="D38" s="629" t="s">
        <v>245</v>
      </c>
      <c r="E38" s="711">
        <v>323</v>
      </c>
      <c r="F38" s="620">
        <v>1.9</v>
      </c>
    </row>
    <row r="39" spans="1:6" ht="11.4" customHeight="1" x14ac:dyDescent="0.2">
      <c r="A39" s="782"/>
      <c r="B39" s="629" t="s">
        <v>294</v>
      </c>
      <c r="C39" s="629" t="s">
        <v>316</v>
      </c>
      <c r="D39" s="629" t="s">
        <v>245</v>
      </c>
      <c r="E39" s="711">
        <v>2</v>
      </c>
      <c r="F39" s="620">
        <v>2.77</v>
      </c>
    </row>
    <row r="40" spans="1:6" ht="11.4" customHeight="1" x14ac:dyDescent="0.2">
      <c r="A40" s="782"/>
      <c r="B40" s="629" t="s">
        <v>461</v>
      </c>
      <c r="C40" s="629" t="s">
        <v>461</v>
      </c>
      <c r="D40" s="629" t="s">
        <v>245</v>
      </c>
      <c r="E40" s="711">
        <v>27</v>
      </c>
      <c r="F40" s="620">
        <v>5</v>
      </c>
    </row>
    <row r="41" spans="1:6" ht="11.4" customHeight="1" x14ac:dyDescent="0.2">
      <c r="A41" s="782"/>
      <c r="B41" s="629" t="s">
        <v>302</v>
      </c>
      <c r="C41" s="629" t="s">
        <v>302</v>
      </c>
      <c r="D41" s="629" t="s">
        <v>245</v>
      </c>
      <c r="E41" s="711">
        <v>58</v>
      </c>
      <c r="F41" s="620">
        <v>1.9</v>
      </c>
    </row>
    <row r="42" spans="1:6" ht="11.4" customHeight="1" x14ac:dyDescent="0.2">
      <c r="A42" s="782"/>
      <c r="B42" s="629" t="s">
        <v>502</v>
      </c>
      <c r="C42" s="629" t="s">
        <v>502</v>
      </c>
      <c r="D42" s="629" t="s">
        <v>245</v>
      </c>
      <c r="E42" s="711">
        <v>150</v>
      </c>
      <c r="F42" s="620">
        <v>5</v>
      </c>
    </row>
    <row r="43" spans="1:6" ht="11.4" customHeight="1" x14ac:dyDescent="0.2">
      <c r="A43" s="782"/>
      <c r="B43" s="629" t="s">
        <v>490</v>
      </c>
      <c r="C43" s="629" t="s">
        <v>303</v>
      </c>
      <c r="D43" s="629" t="s">
        <v>245</v>
      </c>
      <c r="E43" s="711">
        <v>704</v>
      </c>
      <c r="F43" s="620">
        <v>5</v>
      </c>
    </row>
    <row r="44" spans="1:6" ht="11.4" customHeight="1" x14ac:dyDescent="0.2">
      <c r="A44" s="782"/>
      <c r="B44" s="629" t="s">
        <v>490</v>
      </c>
      <c r="C44" s="629" t="s">
        <v>304</v>
      </c>
      <c r="D44" s="629" t="s">
        <v>250</v>
      </c>
      <c r="E44" s="711">
        <v>137</v>
      </c>
      <c r="F44" s="620">
        <v>10</v>
      </c>
    </row>
    <row r="45" spans="1:6" ht="11.4" customHeight="1" x14ac:dyDescent="0.2">
      <c r="A45" s="782"/>
      <c r="B45" s="629" t="s">
        <v>490</v>
      </c>
      <c r="C45" s="629" t="s">
        <v>582</v>
      </c>
      <c r="D45" s="629" t="s">
        <v>250</v>
      </c>
      <c r="E45" s="711">
        <v>12</v>
      </c>
      <c r="F45" s="620">
        <v>10</v>
      </c>
    </row>
    <row r="46" spans="1:6" ht="11.4" customHeight="1" x14ac:dyDescent="0.2">
      <c r="A46" s="782"/>
      <c r="B46" s="629" t="s">
        <v>490</v>
      </c>
      <c r="C46" s="629" t="s">
        <v>491</v>
      </c>
      <c r="D46" s="629" t="s">
        <v>250</v>
      </c>
      <c r="E46" s="711">
        <v>90</v>
      </c>
      <c r="F46" s="620">
        <v>10</v>
      </c>
    </row>
    <row r="47" spans="1:6" ht="11.4" customHeight="1" x14ac:dyDescent="0.2">
      <c r="A47" s="782"/>
      <c r="B47" s="629" t="s">
        <v>275</v>
      </c>
      <c r="C47" s="629" t="s">
        <v>305</v>
      </c>
      <c r="D47" s="629" t="s">
        <v>250</v>
      </c>
      <c r="E47" s="711">
        <v>29</v>
      </c>
      <c r="F47" s="620">
        <v>10</v>
      </c>
    </row>
    <row r="48" spans="1:6" ht="11.4" customHeight="1" x14ac:dyDescent="0.2">
      <c r="A48" s="782"/>
      <c r="B48" s="629" t="s">
        <v>275</v>
      </c>
      <c r="C48" s="629" t="s">
        <v>55</v>
      </c>
      <c r="D48" s="629" t="s">
        <v>250</v>
      </c>
      <c r="E48" s="711">
        <v>162</v>
      </c>
      <c r="F48" s="620">
        <v>10</v>
      </c>
    </row>
    <row r="49" spans="1:6" ht="11.4" customHeight="1" x14ac:dyDescent="0.2">
      <c r="A49" s="782"/>
      <c r="B49" s="629" t="s">
        <v>282</v>
      </c>
      <c r="C49" s="629" t="s">
        <v>306</v>
      </c>
      <c r="D49" s="629" t="s">
        <v>250</v>
      </c>
      <c r="E49" s="711">
        <v>82</v>
      </c>
      <c r="F49" s="620">
        <v>10</v>
      </c>
    </row>
    <row r="50" spans="1:6" ht="11.4" customHeight="1" x14ac:dyDescent="0.2">
      <c r="A50" s="782"/>
      <c r="B50" s="629" t="s">
        <v>282</v>
      </c>
      <c r="C50" s="629" t="s">
        <v>307</v>
      </c>
      <c r="D50" s="629" t="s">
        <v>250</v>
      </c>
      <c r="E50" s="711">
        <v>49</v>
      </c>
      <c r="F50" s="620">
        <v>10</v>
      </c>
    </row>
    <row r="51" spans="1:6" ht="11.4" customHeight="1" x14ac:dyDescent="0.2">
      <c r="A51" s="782"/>
      <c r="B51" s="629" t="s">
        <v>282</v>
      </c>
      <c r="C51" s="629" t="s">
        <v>308</v>
      </c>
      <c r="D51" s="629" t="s">
        <v>250</v>
      </c>
      <c r="E51" s="711">
        <v>208</v>
      </c>
      <c r="F51" s="620">
        <v>10</v>
      </c>
    </row>
    <row r="52" spans="1:6" ht="11.4" customHeight="1" x14ac:dyDescent="0.2">
      <c r="A52" s="782"/>
      <c r="B52" s="629" t="s">
        <v>282</v>
      </c>
      <c r="C52" s="629" t="s">
        <v>309</v>
      </c>
      <c r="D52" s="629" t="s">
        <v>250</v>
      </c>
      <c r="E52" s="711">
        <v>263</v>
      </c>
      <c r="F52" s="620">
        <v>10</v>
      </c>
    </row>
    <row r="53" spans="1:6" ht="11.4" customHeight="1" x14ac:dyDescent="0.2">
      <c r="A53" s="782"/>
      <c r="B53" s="629" t="s">
        <v>282</v>
      </c>
      <c r="C53" s="629" t="s">
        <v>316</v>
      </c>
      <c r="D53" s="629" t="s">
        <v>245</v>
      </c>
      <c r="E53" s="711">
        <v>2168</v>
      </c>
      <c r="F53" s="620">
        <v>5</v>
      </c>
    </row>
    <row r="54" spans="1:6" ht="11.4" customHeight="1" x14ac:dyDescent="0.2">
      <c r="A54" s="782"/>
      <c r="B54" s="629" t="s">
        <v>282</v>
      </c>
      <c r="C54" s="629" t="s">
        <v>310</v>
      </c>
      <c r="D54" s="629" t="s">
        <v>250</v>
      </c>
      <c r="E54" s="711">
        <v>321</v>
      </c>
      <c r="F54" s="620">
        <v>10</v>
      </c>
    </row>
    <row r="55" spans="1:6" ht="11.4" customHeight="1" x14ac:dyDescent="0.2">
      <c r="A55" s="782"/>
      <c r="B55" s="629" t="s">
        <v>296</v>
      </c>
      <c r="C55" s="629" t="s">
        <v>311</v>
      </c>
      <c r="D55" s="629" t="s">
        <v>250</v>
      </c>
      <c r="E55" s="711">
        <v>45</v>
      </c>
      <c r="F55" s="620">
        <v>10</v>
      </c>
    </row>
    <row r="56" spans="1:6" ht="11.4" customHeight="1" x14ac:dyDescent="0.2">
      <c r="A56" s="782"/>
      <c r="B56" s="629" t="s">
        <v>296</v>
      </c>
      <c r="C56" s="629" t="s">
        <v>312</v>
      </c>
      <c r="D56" s="629" t="s">
        <v>250</v>
      </c>
      <c r="E56" s="711">
        <v>66</v>
      </c>
      <c r="F56" s="620">
        <v>10</v>
      </c>
    </row>
    <row r="57" spans="1:6" ht="11.4" customHeight="1" x14ac:dyDescent="0.2">
      <c r="A57" s="782"/>
      <c r="B57" s="629" t="s">
        <v>252</v>
      </c>
      <c r="C57" s="629" t="s">
        <v>316</v>
      </c>
      <c r="D57" s="629" t="s">
        <v>245</v>
      </c>
      <c r="E57" s="711">
        <v>10</v>
      </c>
      <c r="F57" s="620">
        <v>5</v>
      </c>
    </row>
    <row r="58" spans="1:6" ht="11.4" customHeight="1" x14ac:dyDescent="0.2">
      <c r="A58" s="782"/>
      <c r="B58" s="629" t="s">
        <v>277</v>
      </c>
      <c r="C58" s="629" t="s">
        <v>313</v>
      </c>
      <c r="D58" s="629" t="s">
        <v>279</v>
      </c>
      <c r="E58" s="711">
        <v>70</v>
      </c>
      <c r="F58" s="620">
        <v>9.17</v>
      </c>
    </row>
    <row r="59" spans="1:6" ht="11.4" customHeight="1" x14ac:dyDescent="0.2">
      <c r="A59" s="782"/>
      <c r="B59" s="629" t="s">
        <v>314</v>
      </c>
      <c r="C59" s="629" t="s">
        <v>314</v>
      </c>
      <c r="D59" s="629" t="s">
        <v>245</v>
      </c>
      <c r="E59" s="711">
        <v>37</v>
      </c>
      <c r="F59" s="620">
        <v>5</v>
      </c>
    </row>
    <row r="60" spans="1:6" ht="11.4" customHeight="1" x14ac:dyDescent="0.2">
      <c r="A60" s="783"/>
      <c r="B60" s="628" t="s">
        <v>315</v>
      </c>
      <c r="C60" s="629" t="s">
        <v>315</v>
      </c>
      <c r="D60" s="628" t="s">
        <v>245</v>
      </c>
      <c r="E60" s="712">
        <v>227</v>
      </c>
      <c r="F60" s="622">
        <v>5</v>
      </c>
    </row>
    <row r="61" spans="1:6" ht="9" customHeight="1" x14ac:dyDescent="0.25">
      <c r="A61" s="266" t="s">
        <v>244</v>
      </c>
      <c r="B61" s="266"/>
      <c r="C61" s="275"/>
    </row>
    <row r="62" spans="1:6" ht="9" customHeight="1" x14ac:dyDescent="0.25">
      <c r="A62" s="511" t="s">
        <v>67</v>
      </c>
      <c r="B62" s="276"/>
    </row>
    <row r="63" spans="1:6" ht="9" customHeight="1" x14ac:dyDescent="0.25">
      <c r="A63" s="511" t="s">
        <v>68</v>
      </c>
    </row>
    <row r="64" spans="1:6" ht="13.8" x14ac:dyDescent="0.25"/>
    <row r="65" ht="13.8" x14ac:dyDescent="0.25"/>
    <row r="66" ht="13.8" x14ac:dyDescent="0.25"/>
    <row r="67" ht="13.8" x14ac:dyDescent="0.25"/>
    <row r="68" ht="13.8" x14ac:dyDescent="0.25"/>
    <row r="69" ht="13.8" x14ac:dyDescent="0.25"/>
    <row r="70" ht="13.8" x14ac:dyDescent="0.25"/>
    <row r="71" ht="13.8" x14ac:dyDescent="0.25"/>
    <row r="72" ht="13.8" x14ac:dyDescent="0.25"/>
    <row r="73" ht="13.8" x14ac:dyDescent="0.25"/>
    <row r="74" ht="13.8" x14ac:dyDescent="0.25"/>
    <row r="75" ht="13.8" x14ac:dyDescent="0.25"/>
    <row r="76" ht="13.8" x14ac:dyDescent="0.25"/>
    <row r="77" ht="13.8" x14ac:dyDescent="0.25"/>
    <row r="78" ht="13.8" x14ac:dyDescent="0.25"/>
    <row r="79" ht="13.8" x14ac:dyDescent="0.25"/>
    <row r="80" ht="13.8" x14ac:dyDescent="0.25"/>
    <row r="81" ht="13.8" x14ac:dyDescent="0.25"/>
    <row r="82" ht="13.8" x14ac:dyDescent="0.25"/>
    <row r="83" ht="13.8" x14ac:dyDescent="0.25"/>
    <row r="84" ht="13.8" x14ac:dyDescent="0.25"/>
    <row r="85" ht="13.8" x14ac:dyDescent="0.25"/>
    <row r="86" ht="13.8" x14ac:dyDescent="0.25"/>
    <row r="87" ht="13.8" x14ac:dyDescent="0.25"/>
    <row r="88" ht="13.8" x14ac:dyDescent="0.25"/>
    <row r="89" ht="13.8" x14ac:dyDescent="0.25"/>
    <row r="90" ht="13.8" x14ac:dyDescent="0.25"/>
    <row r="91" ht="13.8" x14ac:dyDescent="0.25"/>
    <row r="92" ht="13.8" x14ac:dyDescent="0.25"/>
    <row r="93" ht="13.8" x14ac:dyDescent="0.25"/>
    <row r="94" ht="13.8" x14ac:dyDescent="0.25"/>
    <row r="95" ht="13.8" x14ac:dyDescent="0.25"/>
    <row r="96" ht="13.8" x14ac:dyDescent="0.25"/>
    <row r="97" ht="13.8" x14ac:dyDescent="0.25"/>
    <row r="98" ht="13.8" x14ac:dyDescent="0.25"/>
    <row r="99" ht="13.8" x14ac:dyDescent="0.25"/>
    <row r="100" ht="13.8" x14ac:dyDescent="0.25"/>
    <row r="101" ht="13.8" x14ac:dyDescent="0.25"/>
    <row r="102" ht="13.8" x14ac:dyDescent="0.25"/>
    <row r="103" ht="13.8" x14ac:dyDescent="0.25"/>
    <row r="104" ht="13.8" x14ac:dyDescent="0.25"/>
    <row r="105" ht="13.8" x14ac:dyDescent="0.25"/>
    <row r="106" ht="13.8" x14ac:dyDescent="0.25"/>
    <row r="107" ht="13.8" x14ac:dyDescent="0.25"/>
    <row r="108" ht="13.8" x14ac:dyDescent="0.25"/>
    <row r="109" ht="13.8" x14ac:dyDescent="0.25"/>
    <row r="110" ht="13.8" x14ac:dyDescent="0.25"/>
    <row r="111" ht="13.8" x14ac:dyDescent="0.25"/>
    <row r="112" ht="13.8" x14ac:dyDescent="0.25"/>
    <row r="113" ht="13.8" x14ac:dyDescent="0.25"/>
    <row r="114" ht="13.8" x14ac:dyDescent="0.25"/>
    <row r="115" ht="13.8" x14ac:dyDescent="0.25"/>
    <row r="116" ht="13.8" x14ac:dyDescent="0.25"/>
    <row r="117" ht="13.8" x14ac:dyDescent="0.25"/>
    <row r="118" ht="13.8" x14ac:dyDescent="0.25"/>
    <row r="119" ht="13.8" x14ac:dyDescent="0.25"/>
    <row r="120" ht="13.8" x14ac:dyDescent="0.25"/>
    <row r="121" ht="13.8" x14ac:dyDescent="0.25"/>
    <row r="122" ht="13.8" x14ac:dyDescent="0.25"/>
    <row r="123" ht="13.8" x14ac:dyDescent="0.25"/>
    <row r="124" ht="13.8" x14ac:dyDescent="0.25"/>
    <row r="125" ht="13.8" x14ac:dyDescent="0.25"/>
    <row r="126" ht="13.8" x14ac:dyDescent="0.25"/>
    <row r="127" ht="13.8" x14ac:dyDescent="0.25"/>
    <row r="128" ht="13.8" x14ac:dyDescent="0.25"/>
    <row r="129" ht="13.8" x14ac:dyDescent="0.25"/>
    <row r="130" ht="13.8" x14ac:dyDescent="0.25"/>
    <row r="131" ht="13.8" x14ac:dyDescent="0.25"/>
    <row r="132" ht="13.8" x14ac:dyDescent="0.25"/>
    <row r="133" ht="13.8" x14ac:dyDescent="0.25"/>
    <row r="134" ht="13.8" x14ac:dyDescent="0.25"/>
    <row r="135" ht="13.8" x14ac:dyDescent="0.25"/>
    <row r="136" ht="13.8" x14ac:dyDescent="0.25"/>
    <row r="137" ht="13.8" x14ac:dyDescent="0.25"/>
    <row r="138" ht="13.8" x14ac:dyDescent="0.25"/>
    <row r="139" ht="13.8" x14ac:dyDescent="0.25"/>
    <row r="140" ht="13.8" x14ac:dyDescent="0.25"/>
    <row r="141" ht="13.8" x14ac:dyDescent="0.25"/>
    <row r="142" ht="13.8" x14ac:dyDescent="0.25"/>
    <row r="143" ht="13.8" x14ac:dyDescent="0.25"/>
    <row r="144" ht="13.8" x14ac:dyDescent="0.25"/>
    <row r="145" ht="13.8" x14ac:dyDescent="0.25"/>
    <row r="146" ht="13.8" x14ac:dyDescent="0.25"/>
    <row r="147" ht="13.8" x14ac:dyDescent="0.25"/>
    <row r="148" ht="13.8" x14ac:dyDescent="0.25"/>
    <row r="149" ht="13.8" x14ac:dyDescent="0.25"/>
    <row r="150" ht="13.8" x14ac:dyDescent="0.25"/>
    <row r="151" ht="13.8" x14ac:dyDescent="0.25"/>
    <row r="152" ht="13.8" x14ac:dyDescent="0.25"/>
    <row r="153" ht="13.8" x14ac:dyDescent="0.25"/>
    <row r="154" ht="13.8" x14ac:dyDescent="0.25"/>
    <row r="155" ht="13.8" x14ac:dyDescent="0.25"/>
    <row r="156" ht="13.8" x14ac:dyDescent="0.25"/>
    <row r="157" ht="13.8" x14ac:dyDescent="0.25"/>
    <row r="158" ht="13.8" x14ac:dyDescent="0.25"/>
    <row r="159" ht="13.8" x14ac:dyDescent="0.25"/>
    <row r="160" ht="13.8" x14ac:dyDescent="0.25"/>
    <row r="161" ht="13.8" x14ac:dyDescent="0.25"/>
    <row r="162" ht="13.8" x14ac:dyDescent="0.25"/>
    <row r="163" ht="13.8" x14ac:dyDescent="0.25"/>
    <row r="164" ht="13.8" x14ac:dyDescent="0.25"/>
    <row r="165" ht="13.8" x14ac:dyDescent="0.25"/>
    <row r="166" ht="13.8" x14ac:dyDescent="0.25"/>
    <row r="167" ht="13.8" x14ac:dyDescent="0.25"/>
    <row r="168" ht="13.8" x14ac:dyDescent="0.25"/>
    <row r="169" ht="13.8" x14ac:dyDescent="0.25"/>
    <row r="170" ht="13.8" x14ac:dyDescent="0.25"/>
    <row r="171" ht="13.8" x14ac:dyDescent="0.25"/>
    <row r="172" ht="13.8" x14ac:dyDescent="0.25"/>
    <row r="173" ht="13.8" x14ac:dyDescent="0.25"/>
    <row r="174" ht="13.8" x14ac:dyDescent="0.25"/>
    <row r="175" ht="13.8" x14ac:dyDescent="0.25"/>
    <row r="176" ht="13.8" x14ac:dyDescent="0.25"/>
    <row r="177" ht="13.8" x14ac:dyDescent="0.25"/>
    <row r="178" ht="13.8" x14ac:dyDescent="0.25"/>
    <row r="179" ht="13.8" x14ac:dyDescent="0.25"/>
    <row r="180" ht="13.8" x14ac:dyDescent="0.25"/>
    <row r="181" ht="13.8" x14ac:dyDescent="0.25"/>
    <row r="182" ht="13.8" x14ac:dyDescent="0.25"/>
    <row r="183" ht="13.8" x14ac:dyDescent="0.25"/>
    <row r="184" ht="13.8" x14ac:dyDescent="0.25"/>
    <row r="185" ht="13.8" x14ac:dyDescent="0.25"/>
    <row r="186" ht="13.8" x14ac:dyDescent="0.25"/>
    <row r="187" ht="13.8" x14ac:dyDescent="0.25"/>
    <row r="188" ht="13.8" x14ac:dyDescent="0.25"/>
    <row r="189" ht="13.8" x14ac:dyDescent="0.25"/>
    <row r="190" ht="13.8" x14ac:dyDescent="0.25"/>
    <row r="191" ht="13.8" x14ac:dyDescent="0.25"/>
    <row r="192" ht="13.8" x14ac:dyDescent="0.25"/>
    <row r="193" ht="13.8" x14ac:dyDescent="0.25"/>
    <row r="194" ht="13.8" x14ac:dyDescent="0.25"/>
    <row r="195" ht="13.8" x14ac:dyDescent="0.25"/>
    <row r="196" ht="13.8" x14ac:dyDescent="0.25"/>
    <row r="197" ht="13.8" x14ac:dyDescent="0.25"/>
    <row r="198" ht="13.8" x14ac:dyDescent="0.25"/>
    <row r="199" ht="13.8" x14ac:dyDescent="0.25"/>
    <row r="200" ht="13.8" x14ac:dyDescent="0.25"/>
    <row r="201" ht="13.8" x14ac:dyDescent="0.25"/>
    <row r="202" ht="13.8" x14ac:dyDescent="0.25"/>
    <row r="203" ht="13.8" x14ac:dyDescent="0.25"/>
    <row r="204" ht="13.8" x14ac:dyDescent="0.25"/>
    <row r="205" ht="13.8" x14ac:dyDescent="0.25"/>
    <row r="206" ht="13.8" x14ac:dyDescent="0.25"/>
    <row r="207" ht="13.8" x14ac:dyDescent="0.25"/>
    <row r="208" ht="13.8" x14ac:dyDescent="0.25"/>
    <row r="209" ht="13.8" x14ac:dyDescent="0.25"/>
    <row r="210" ht="13.8" x14ac:dyDescent="0.25"/>
    <row r="211" ht="13.8" x14ac:dyDescent="0.25"/>
    <row r="212" ht="13.8" x14ac:dyDescent="0.25"/>
    <row r="213" ht="13.8" x14ac:dyDescent="0.25"/>
    <row r="214" ht="13.8" x14ac:dyDescent="0.25"/>
    <row r="215" ht="13.8" x14ac:dyDescent="0.25"/>
    <row r="216" ht="13.8" x14ac:dyDescent="0.25"/>
    <row r="217" ht="13.8" x14ac:dyDescent="0.25"/>
    <row r="218" ht="13.8" x14ac:dyDescent="0.25"/>
    <row r="219" ht="13.8" x14ac:dyDescent="0.25"/>
    <row r="220" ht="13.8" x14ac:dyDescent="0.25"/>
    <row r="221" ht="13.8" x14ac:dyDescent="0.25"/>
    <row r="222" ht="13.8" x14ac:dyDescent="0.25"/>
    <row r="223" ht="13.8" x14ac:dyDescent="0.25"/>
    <row r="224" ht="13.8" x14ac:dyDescent="0.25"/>
    <row r="225" ht="13.8" x14ac:dyDescent="0.25"/>
    <row r="226" ht="13.8" x14ac:dyDescent="0.25"/>
    <row r="227" ht="13.8" x14ac:dyDescent="0.25"/>
    <row r="228" ht="13.8" x14ac:dyDescent="0.25"/>
    <row r="229" ht="13.8" x14ac:dyDescent="0.25"/>
    <row r="230" ht="13.8" x14ac:dyDescent="0.25"/>
    <row r="231" ht="13.8" x14ac:dyDescent="0.25"/>
    <row r="232" ht="13.8" x14ac:dyDescent="0.25"/>
    <row r="233" ht="13.8" x14ac:dyDescent="0.25"/>
    <row r="234" ht="13.8" x14ac:dyDescent="0.25"/>
    <row r="235" ht="13.8" x14ac:dyDescent="0.25"/>
    <row r="236" ht="13.8" x14ac:dyDescent="0.25"/>
    <row r="237" ht="13.8" x14ac:dyDescent="0.25"/>
    <row r="238" ht="13.8" x14ac:dyDescent="0.25"/>
    <row r="239" ht="13.8" x14ac:dyDescent="0.25"/>
    <row r="240" ht="13.8" x14ac:dyDescent="0.25"/>
    <row r="241" ht="13.8" x14ac:dyDescent="0.25"/>
    <row r="242" ht="13.8" x14ac:dyDescent="0.25"/>
    <row r="243" ht="13.8" x14ac:dyDescent="0.25"/>
    <row r="244" ht="13.8" x14ac:dyDescent="0.25"/>
    <row r="245" ht="13.8" x14ac:dyDescent="0.25"/>
    <row r="246" ht="13.8" x14ac:dyDescent="0.25"/>
    <row r="247" ht="13.8" x14ac:dyDescent="0.25"/>
    <row r="248" ht="13.8" x14ac:dyDescent="0.25"/>
    <row r="249" ht="13.8" x14ac:dyDescent="0.25"/>
    <row r="250" ht="13.8" x14ac:dyDescent="0.25"/>
    <row r="251" ht="13.8" x14ac:dyDescent="0.25"/>
    <row r="252" ht="13.8" x14ac:dyDescent="0.25"/>
    <row r="253" ht="13.8" x14ac:dyDescent="0.25"/>
    <row r="254" ht="13.8" x14ac:dyDescent="0.25"/>
    <row r="255" ht="13.8" x14ac:dyDescent="0.25"/>
    <row r="256" ht="13.8" x14ac:dyDescent="0.25"/>
    <row r="257" ht="13.8" x14ac:dyDescent="0.25"/>
    <row r="258" ht="13.8" x14ac:dyDescent="0.25"/>
    <row r="259" ht="13.8" x14ac:dyDescent="0.25"/>
    <row r="260" ht="13.8" x14ac:dyDescent="0.25"/>
    <row r="261" ht="13.8" x14ac:dyDescent="0.25"/>
    <row r="262" ht="13.8" x14ac:dyDescent="0.25"/>
    <row r="263" ht="13.8" x14ac:dyDescent="0.25"/>
    <row r="264" ht="13.8" x14ac:dyDescent="0.25"/>
    <row r="265" ht="13.8" x14ac:dyDescent="0.25"/>
    <row r="266" ht="13.8" x14ac:dyDescent="0.25"/>
    <row r="267" ht="13.8" x14ac:dyDescent="0.25"/>
    <row r="268" ht="13.8" x14ac:dyDescent="0.25"/>
    <row r="269" ht="13.8" x14ac:dyDescent="0.25"/>
    <row r="270" ht="13.8" x14ac:dyDescent="0.25"/>
    <row r="271" ht="13.8" x14ac:dyDescent="0.25"/>
    <row r="272" ht="13.8" x14ac:dyDescent="0.25"/>
    <row r="273" ht="13.8" x14ac:dyDescent="0.25"/>
    <row r="274" ht="13.8" x14ac:dyDescent="0.25"/>
    <row r="275" ht="13.8" x14ac:dyDescent="0.25"/>
    <row r="276" ht="13.8" x14ac:dyDescent="0.25"/>
    <row r="277" ht="13.8" x14ac:dyDescent="0.25"/>
    <row r="278" ht="13.8" x14ac:dyDescent="0.25"/>
    <row r="279" ht="13.8" x14ac:dyDescent="0.25"/>
    <row r="280" ht="13.8" x14ac:dyDescent="0.25"/>
    <row r="281" ht="13.8" x14ac:dyDescent="0.25"/>
    <row r="282" ht="13.8" x14ac:dyDescent="0.25"/>
    <row r="283" ht="13.8" x14ac:dyDescent="0.25"/>
    <row r="284" ht="13.8" x14ac:dyDescent="0.25"/>
    <row r="285" ht="13.8" x14ac:dyDescent="0.25"/>
    <row r="286" ht="13.8" x14ac:dyDescent="0.25"/>
    <row r="287" ht="13.8" x14ac:dyDescent="0.25"/>
    <row r="288" ht="13.8" x14ac:dyDescent="0.25"/>
    <row r="289" ht="13.8" x14ac:dyDescent="0.25"/>
    <row r="290" ht="13.8" x14ac:dyDescent="0.25"/>
    <row r="291" ht="13.8" x14ac:dyDescent="0.25"/>
    <row r="292" ht="13.8" x14ac:dyDescent="0.25"/>
    <row r="293" ht="13.8" x14ac:dyDescent="0.25"/>
    <row r="294" ht="13.8" x14ac:dyDescent="0.25"/>
    <row r="295" ht="13.8" x14ac:dyDescent="0.25"/>
    <row r="296" ht="13.8" x14ac:dyDescent="0.25"/>
    <row r="297" ht="13.8" x14ac:dyDescent="0.25"/>
    <row r="298" ht="13.8" x14ac:dyDescent="0.25"/>
    <row r="299" ht="13.8" x14ac:dyDescent="0.25"/>
    <row r="300" ht="13.8" x14ac:dyDescent="0.25"/>
    <row r="301" ht="13.8" x14ac:dyDescent="0.25"/>
    <row r="302" ht="13.8" x14ac:dyDescent="0.25"/>
    <row r="303" ht="13.8" x14ac:dyDescent="0.25"/>
    <row r="304" ht="13.8" x14ac:dyDescent="0.25"/>
    <row r="305" ht="13.8" x14ac:dyDescent="0.25"/>
    <row r="306" ht="13.8" x14ac:dyDescent="0.25"/>
    <row r="307" ht="13.8" x14ac:dyDescent="0.25"/>
    <row r="308" ht="13.8" x14ac:dyDescent="0.25"/>
    <row r="309" ht="13.8" x14ac:dyDescent="0.25"/>
    <row r="310" ht="13.8" x14ac:dyDescent="0.25"/>
    <row r="311" ht="13.8" x14ac:dyDescent="0.25"/>
    <row r="312" ht="13.8" x14ac:dyDescent="0.25"/>
    <row r="313" ht="13.8" x14ac:dyDescent="0.25"/>
    <row r="314" ht="13.8" x14ac:dyDescent="0.25"/>
    <row r="315" ht="13.8" x14ac:dyDescent="0.25"/>
    <row r="316" ht="13.8" x14ac:dyDescent="0.25"/>
    <row r="317" ht="13.8" x14ac:dyDescent="0.25"/>
    <row r="318" ht="13.8" x14ac:dyDescent="0.25"/>
    <row r="319" ht="13.8" x14ac:dyDescent="0.25"/>
    <row r="320" ht="13.8" x14ac:dyDescent="0.25"/>
    <row r="321" ht="13.8" x14ac:dyDescent="0.25"/>
    <row r="322" ht="13.8" x14ac:dyDescent="0.25"/>
    <row r="323" ht="13.8" x14ac:dyDescent="0.25"/>
    <row r="324" ht="13.8" x14ac:dyDescent="0.25"/>
    <row r="325" ht="13.8" x14ac:dyDescent="0.25"/>
    <row r="326" ht="13.8" x14ac:dyDescent="0.25"/>
    <row r="327" ht="13.8" x14ac:dyDescent="0.25"/>
    <row r="328" ht="13.8" x14ac:dyDescent="0.25"/>
    <row r="329" ht="13.8" x14ac:dyDescent="0.25"/>
    <row r="330" ht="13.8" x14ac:dyDescent="0.25"/>
    <row r="331" ht="13.8" x14ac:dyDescent="0.25"/>
    <row r="332" ht="13.8" x14ac:dyDescent="0.25"/>
    <row r="333" ht="13.8" x14ac:dyDescent="0.25"/>
    <row r="334" ht="13.8" x14ac:dyDescent="0.25"/>
    <row r="335" ht="13.8" x14ac:dyDescent="0.25"/>
    <row r="336" ht="13.8" x14ac:dyDescent="0.25"/>
    <row r="337" ht="13.8" x14ac:dyDescent="0.25"/>
    <row r="338" ht="13.8" x14ac:dyDescent="0.25"/>
    <row r="339" ht="13.8" x14ac:dyDescent="0.25"/>
    <row r="340" ht="13.8" x14ac:dyDescent="0.25"/>
    <row r="341" ht="13.8" x14ac:dyDescent="0.25"/>
    <row r="342" ht="13.8" x14ac:dyDescent="0.25"/>
    <row r="343" ht="13.8" x14ac:dyDescent="0.25"/>
    <row r="344" ht="13.8" x14ac:dyDescent="0.25"/>
    <row r="345" ht="13.8" x14ac:dyDescent="0.25"/>
    <row r="346" ht="13.8" x14ac:dyDescent="0.25"/>
    <row r="347" ht="13.8" x14ac:dyDescent="0.25"/>
    <row r="348" ht="13.8" x14ac:dyDescent="0.25"/>
    <row r="349" ht="13.8" x14ac:dyDescent="0.25"/>
    <row r="350" ht="13.8" x14ac:dyDescent="0.25"/>
    <row r="351" ht="13.8" x14ac:dyDescent="0.25"/>
    <row r="352" ht="13.8" x14ac:dyDescent="0.25"/>
    <row r="353" ht="13.8" x14ac:dyDescent="0.25"/>
    <row r="354" ht="13.8" x14ac:dyDescent="0.25"/>
    <row r="355" ht="13.8" x14ac:dyDescent="0.25"/>
    <row r="356" ht="13.8" x14ac:dyDescent="0.25"/>
    <row r="357" ht="13.8" x14ac:dyDescent="0.25"/>
    <row r="358" ht="13.8" x14ac:dyDescent="0.25"/>
    <row r="359" ht="13.8" x14ac:dyDescent="0.25"/>
    <row r="360" ht="13.8" x14ac:dyDescent="0.25"/>
    <row r="361" ht="13.8" x14ac:dyDescent="0.25"/>
    <row r="362" ht="13.8" x14ac:dyDescent="0.25"/>
    <row r="363" ht="13.8" x14ac:dyDescent="0.25"/>
    <row r="364" ht="13.8" x14ac:dyDescent="0.25"/>
    <row r="365" ht="13.8" x14ac:dyDescent="0.25"/>
    <row r="366" ht="13.8" x14ac:dyDescent="0.25"/>
    <row r="367" ht="13.8" x14ac:dyDescent="0.25"/>
    <row r="368" ht="13.8" x14ac:dyDescent="0.25"/>
    <row r="369" ht="13.8" x14ac:dyDescent="0.25"/>
    <row r="370" ht="13.8" x14ac:dyDescent="0.25"/>
    <row r="371" ht="13.8" x14ac:dyDescent="0.25"/>
    <row r="372" ht="13.8" x14ac:dyDescent="0.25"/>
    <row r="373" ht="13.8" x14ac:dyDescent="0.25"/>
    <row r="374" ht="13.8" x14ac:dyDescent="0.25"/>
    <row r="375" ht="13.8" x14ac:dyDescent="0.25"/>
    <row r="376" ht="13.8" x14ac:dyDescent="0.25"/>
    <row r="377" ht="13.8" x14ac:dyDescent="0.25"/>
    <row r="378" ht="13.8" x14ac:dyDescent="0.25"/>
    <row r="379" ht="13.8" x14ac:dyDescent="0.25"/>
    <row r="380" ht="13.8" x14ac:dyDescent="0.25"/>
    <row r="381" ht="13.8" x14ac:dyDescent="0.25"/>
    <row r="382" ht="13.8" x14ac:dyDescent="0.25"/>
    <row r="383" ht="13.8" x14ac:dyDescent="0.25"/>
    <row r="384" ht="13.8" x14ac:dyDescent="0.25"/>
    <row r="385" ht="13.8" x14ac:dyDescent="0.25"/>
    <row r="386" ht="13.8" x14ac:dyDescent="0.25"/>
    <row r="387" ht="13.8" x14ac:dyDescent="0.25"/>
    <row r="388" ht="13.8" x14ac:dyDescent="0.25"/>
    <row r="389" ht="13.8" x14ac:dyDescent="0.25"/>
    <row r="390" ht="13.8" x14ac:dyDescent="0.25"/>
    <row r="391" ht="13.8" x14ac:dyDescent="0.25"/>
    <row r="392" ht="13.8" x14ac:dyDescent="0.25"/>
    <row r="393" ht="13.8" x14ac:dyDescent="0.25"/>
    <row r="394" ht="13.8" x14ac:dyDescent="0.25"/>
    <row r="395" ht="13.8" x14ac:dyDescent="0.25"/>
    <row r="396" ht="13.8" x14ac:dyDescent="0.25"/>
    <row r="397" ht="13.8" x14ac:dyDescent="0.25"/>
    <row r="398" ht="13.8" x14ac:dyDescent="0.25"/>
    <row r="399" ht="13.8" x14ac:dyDescent="0.25"/>
    <row r="400" ht="13.8" x14ac:dyDescent="0.25"/>
    <row r="401" ht="13.8" x14ac:dyDescent="0.25"/>
    <row r="402" ht="13.8" x14ac:dyDescent="0.25"/>
    <row r="403" ht="13.8" x14ac:dyDescent="0.25"/>
    <row r="404" ht="13.8" x14ac:dyDescent="0.25"/>
    <row r="405" ht="13.8" x14ac:dyDescent="0.25"/>
    <row r="406" ht="13.8" x14ac:dyDescent="0.25"/>
    <row r="407" ht="13.8" x14ac:dyDescent="0.25"/>
    <row r="408" ht="13.8" x14ac:dyDescent="0.25"/>
    <row r="409" ht="13.8" x14ac:dyDescent="0.25"/>
    <row r="410" ht="13.8" x14ac:dyDescent="0.25"/>
    <row r="411" ht="13.8" x14ac:dyDescent="0.25"/>
    <row r="412" ht="13.8" x14ac:dyDescent="0.25"/>
    <row r="413" ht="13.8" x14ac:dyDescent="0.25"/>
    <row r="414" ht="13.8" x14ac:dyDescent="0.25"/>
    <row r="415" ht="13.8" x14ac:dyDescent="0.25"/>
    <row r="416" ht="13.8" x14ac:dyDescent="0.25"/>
    <row r="417" ht="13.8" x14ac:dyDescent="0.25"/>
    <row r="418" ht="13.8" x14ac:dyDescent="0.25"/>
    <row r="419" ht="13.8" x14ac:dyDescent="0.25"/>
    <row r="420" ht="13.8" x14ac:dyDescent="0.25"/>
    <row r="421" ht="13.8" x14ac:dyDescent="0.25"/>
    <row r="422" ht="13.8" x14ac:dyDescent="0.25"/>
    <row r="423" ht="13.8" x14ac:dyDescent="0.25"/>
    <row r="424" ht="13.8" x14ac:dyDescent="0.25"/>
    <row r="425" ht="13.8" x14ac:dyDescent="0.25"/>
    <row r="426" ht="13.8" x14ac:dyDescent="0.25"/>
    <row r="427" ht="13.8" x14ac:dyDescent="0.25"/>
    <row r="428" ht="13.8" x14ac:dyDescent="0.25"/>
    <row r="429" ht="13.8" x14ac:dyDescent="0.25"/>
    <row r="430" ht="13.8" x14ac:dyDescent="0.25"/>
    <row r="431" ht="13.8" x14ac:dyDescent="0.25"/>
    <row r="432" ht="13.8" x14ac:dyDescent="0.25"/>
    <row r="433" ht="13.8" x14ac:dyDescent="0.25"/>
    <row r="434" ht="13.8" x14ac:dyDescent="0.25"/>
    <row r="435" ht="13.8" x14ac:dyDescent="0.25"/>
    <row r="436" ht="13.8" x14ac:dyDescent="0.25"/>
    <row r="437" ht="13.8" x14ac:dyDescent="0.25"/>
    <row r="438" ht="13.8" x14ac:dyDescent="0.25"/>
    <row r="439" ht="13.8" x14ac:dyDescent="0.25"/>
    <row r="440" ht="13.8" x14ac:dyDescent="0.25"/>
    <row r="441" ht="13.8" x14ac:dyDescent="0.25"/>
    <row r="442" ht="13.8" x14ac:dyDescent="0.25"/>
    <row r="443" ht="13.8" x14ac:dyDescent="0.25"/>
    <row r="444" ht="13.8" x14ac:dyDescent="0.25"/>
    <row r="445" ht="13.8" x14ac:dyDescent="0.25"/>
    <row r="446" ht="13.8" x14ac:dyDescent="0.25"/>
    <row r="447" ht="13.8" x14ac:dyDescent="0.25"/>
    <row r="448" ht="13.8" x14ac:dyDescent="0.25"/>
    <row r="449" ht="13.8" x14ac:dyDescent="0.25"/>
    <row r="450" ht="13.8" x14ac:dyDescent="0.25"/>
    <row r="451" ht="13.8" x14ac:dyDescent="0.25"/>
    <row r="452" ht="13.8" x14ac:dyDescent="0.25"/>
    <row r="453" ht="13.8" x14ac:dyDescent="0.25"/>
    <row r="454" ht="13.8" x14ac:dyDescent="0.25"/>
    <row r="455" ht="13.8" x14ac:dyDescent="0.25"/>
    <row r="456" ht="13.8" x14ac:dyDescent="0.25"/>
    <row r="457" ht="13.8" x14ac:dyDescent="0.25"/>
    <row r="458" ht="13.8" x14ac:dyDescent="0.25"/>
    <row r="459" ht="13.8" x14ac:dyDescent="0.25"/>
    <row r="460" ht="13.8" x14ac:dyDescent="0.25"/>
    <row r="461" ht="13.8" x14ac:dyDescent="0.25"/>
    <row r="462" ht="13.8" x14ac:dyDescent="0.25"/>
    <row r="463" ht="13.8" x14ac:dyDescent="0.25"/>
    <row r="464" ht="13.8" x14ac:dyDescent="0.25"/>
    <row r="465" ht="13.8" x14ac:dyDescent="0.25"/>
    <row r="466" ht="13.8" x14ac:dyDescent="0.25"/>
    <row r="467" ht="13.8" x14ac:dyDescent="0.25"/>
    <row r="468" ht="13.8" x14ac:dyDescent="0.25"/>
    <row r="469" ht="13.8" x14ac:dyDescent="0.25"/>
    <row r="470" ht="13.8" x14ac:dyDescent="0.25"/>
    <row r="471" ht="13.8" x14ac:dyDescent="0.25"/>
    <row r="472" ht="13.8" x14ac:dyDescent="0.25"/>
    <row r="473" ht="13.8" x14ac:dyDescent="0.25"/>
    <row r="474" ht="13.8" x14ac:dyDescent="0.25"/>
    <row r="475" ht="13.8" x14ac:dyDescent="0.25"/>
    <row r="476" ht="13.8" x14ac:dyDescent="0.25"/>
    <row r="477" ht="13.8" x14ac:dyDescent="0.25"/>
    <row r="478" ht="13.8" x14ac:dyDescent="0.25"/>
    <row r="479" ht="13.8" x14ac:dyDescent="0.25"/>
    <row r="480" ht="13.8" x14ac:dyDescent="0.25"/>
    <row r="481" ht="13.8" x14ac:dyDescent="0.25"/>
    <row r="482" ht="13.8" x14ac:dyDescent="0.25"/>
    <row r="483" ht="13.8" x14ac:dyDescent="0.25"/>
    <row r="484" ht="13.8" x14ac:dyDescent="0.25"/>
  </sheetData>
  <mergeCells count="8">
    <mergeCell ref="A2:F2"/>
    <mergeCell ref="A3:F3"/>
    <mergeCell ref="A38:A60"/>
    <mergeCell ref="A6:A7"/>
    <mergeCell ref="A8:A10"/>
    <mergeCell ref="A11:A22"/>
    <mergeCell ref="A23:A27"/>
    <mergeCell ref="A28:A33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/>
  <dimension ref="A1:G604"/>
  <sheetViews>
    <sheetView showGridLines="0" zoomScaleNormal="100" workbookViewId="0">
      <selection sqref="A1:H55"/>
    </sheetView>
  </sheetViews>
  <sheetFormatPr baseColWidth="10" defaultColWidth="13" defaultRowHeight="15" customHeight="1" x14ac:dyDescent="0.25"/>
  <cols>
    <col min="1" max="1" width="23.33203125" style="260" customWidth="1"/>
    <col min="2" max="2" width="10.44140625" style="260" customWidth="1"/>
    <col min="3" max="3" width="19.5546875" style="260" customWidth="1"/>
    <col min="4" max="4" width="15.6640625" style="260" customWidth="1"/>
    <col min="5" max="5" width="8.33203125" style="260" customWidth="1"/>
    <col min="6" max="6" width="8.109375" style="260" customWidth="1"/>
    <col min="7" max="7" width="8.6640625" style="260" customWidth="1"/>
    <col min="8" max="8" width="3.5546875" style="260" customWidth="1"/>
    <col min="9" max="16384" width="13" style="260"/>
  </cols>
  <sheetData>
    <row r="1" spans="1:7" ht="16.2" customHeight="1" x14ac:dyDescent="0.3">
      <c r="A1" s="258" t="s">
        <v>583</v>
      </c>
      <c r="B1" s="259"/>
      <c r="C1" s="259"/>
      <c r="D1" s="259"/>
      <c r="E1" s="259"/>
      <c r="F1" s="259"/>
      <c r="G1" s="259"/>
    </row>
    <row r="2" spans="1:7" ht="12" customHeight="1" x14ac:dyDescent="0.25">
      <c r="A2" s="786" t="s">
        <v>622</v>
      </c>
      <c r="B2" s="786"/>
      <c r="C2" s="786"/>
      <c r="D2" s="786"/>
      <c r="E2" s="786"/>
      <c r="F2" s="786"/>
      <c r="G2" s="786"/>
    </row>
    <row r="3" spans="1:7" ht="4.95" customHeight="1" x14ac:dyDescent="0.25">
      <c r="A3" s="618"/>
      <c r="B3" s="618"/>
      <c r="C3" s="618"/>
      <c r="D3" s="618"/>
      <c r="E3" s="618"/>
      <c r="F3" s="618"/>
      <c r="G3" s="618"/>
    </row>
    <row r="4" spans="1:7" ht="20.399999999999999" x14ac:dyDescent="0.25">
      <c r="A4" s="217" t="s">
        <v>208</v>
      </c>
      <c r="B4" s="217" t="s">
        <v>209</v>
      </c>
      <c r="C4" s="217" t="s">
        <v>210</v>
      </c>
      <c r="D4" s="217" t="s">
        <v>211</v>
      </c>
      <c r="E4" s="261" t="s">
        <v>212</v>
      </c>
      <c r="F4" s="261" t="s">
        <v>213</v>
      </c>
      <c r="G4" s="262" t="s">
        <v>214</v>
      </c>
    </row>
    <row r="5" spans="1:7" ht="3.75" customHeight="1" x14ac:dyDescent="0.25">
      <c r="A5" s="263"/>
      <c r="B5" s="263"/>
      <c r="C5" s="263"/>
      <c r="D5" s="263"/>
      <c r="E5" s="263"/>
      <c r="F5" s="263"/>
      <c r="G5" s="263"/>
    </row>
    <row r="6" spans="1:7" ht="12" customHeight="1" x14ac:dyDescent="0.25">
      <c r="A6" s="782" t="s">
        <v>52</v>
      </c>
      <c r="B6" s="597" t="s">
        <v>215</v>
      </c>
      <c r="C6" s="597" t="s">
        <v>216</v>
      </c>
      <c r="D6" s="597" t="s">
        <v>217</v>
      </c>
      <c r="E6" s="714">
        <v>4</v>
      </c>
      <c r="F6" s="714">
        <v>3</v>
      </c>
      <c r="G6" s="715">
        <v>25</v>
      </c>
    </row>
    <row r="7" spans="1:7" ht="12" customHeight="1" x14ac:dyDescent="0.25">
      <c r="A7" s="782"/>
      <c r="B7" s="597" t="s">
        <v>215</v>
      </c>
      <c r="C7" s="597" t="s">
        <v>216</v>
      </c>
      <c r="D7" s="597" t="s">
        <v>218</v>
      </c>
      <c r="E7" s="716">
        <v>1</v>
      </c>
      <c r="F7" s="716">
        <v>2</v>
      </c>
      <c r="G7" s="715">
        <v>35</v>
      </c>
    </row>
    <row r="8" spans="1:7" ht="12" customHeight="1" x14ac:dyDescent="0.25">
      <c r="A8" s="782"/>
      <c r="B8" s="597" t="s">
        <v>215</v>
      </c>
      <c r="C8" s="597" t="s">
        <v>219</v>
      </c>
      <c r="D8" s="597" t="s">
        <v>217</v>
      </c>
      <c r="E8" s="716">
        <v>7</v>
      </c>
      <c r="F8" s="716">
        <v>4</v>
      </c>
      <c r="G8" s="715">
        <v>25</v>
      </c>
    </row>
    <row r="9" spans="1:7" ht="12" customHeight="1" x14ac:dyDescent="0.25">
      <c r="A9" s="782"/>
      <c r="B9" s="597" t="s">
        <v>215</v>
      </c>
      <c r="C9" s="597" t="s">
        <v>219</v>
      </c>
      <c r="D9" s="597" t="s">
        <v>218</v>
      </c>
      <c r="E9" s="716">
        <v>2</v>
      </c>
      <c r="F9" s="716">
        <v>2</v>
      </c>
      <c r="G9" s="715">
        <v>35</v>
      </c>
    </row>
    <row r="10" spans="1:7" ht="12" customHeight="1" x14ac:dyDescent="0.25">
      <c r="A10" s="782"/>
      <c r="B10" s="597" t="s">
        <v>215</v>
      </c>
      <c r="C10" s="597" t="s">
        <v>220</v>
      </c>
      <c r="D10" s="597" t="s">
        <v>217</v>
      </c>
      <c r="E10" s="716">
        <v>32</v>
      </c>
      <c r="F10" s="716">
        <v>0</v>
      </c>
      <c r="G10" s="715">
        <v>25</v>
      </c>
    </row>
    <row r="11" spans="1:7" ht="12" customHeight="1" x14ac:dyDescent="0.25">
      <c r="A11" s="782"/>
      <c r="B11" s="597" t="s">
        <v>215</v>
      </c>
      <c r="C11" s="597" t="s">
        <v>220</v>
      </c>
      <c r="D11" s="597" t="s">
        <v>218</v>
      </c>
      <c r="E11" s="716">
        <v>7</v>
      </c>
      <c r="F11" s="716">
        <v>0</v>
      </c>
      <c r="G11" s="715">
        <v>35</v>
      </c>
    </row>
    <row r="12" spans="1:7" ht="12" customHeight="1" x14ac:dyDescent="0.25">
      <c r="A12" s="782"/>
      <c r="B12" s="597" t="s">
        <v>215</v>
      </c>
      <c r="C12" s="597" t="s">
        <v>221</v>
      </c>
      <c r="D12" s="597" t="s">
        <v>218</v>
      </c>
      <c r="E12" s="716">
        <v>6</v>
      </c>
      <c r="F12" s="716">
        <v>5</v>
      </c>
      <c r="G12" s="715">
        <v>35</v>
      </c>
    </row>
    <row r="13" spans="1:7" ht="12" customHeight="1" x14ac:dyDescent="0.25">
      <c r="A13" s="782"/>
      <c r="B13" s="717" t="s">
        <v>215</v>
      </c>
      <c r="C13" s="717" t="s">
        <v>221</v>
      </c>
      <c r="D13" s="717" t="s">
        <v>217</v>
      </c>
      <c r="E13" s="718">
        <v>42</v>
      </c>
      <c r="F13" s="718">
        <v>28</v>
      </c>
      <c r="G13" s="719">
        <v>25</v>
      </c>
    </row>
    <row r="14" spans="1:7" ht="12" customHeight="1" x14ac:dyDescent="0.25">
      <c r="A14" s="781" t="s">
        <v>222</v>
      </c>
      <c r="B14" s="597" t="s">
        <v>223</v>
      </c>
      <c r="C14" s="597" t="s">
        <v>224</v>
      </c>
      <c r="D14" s="597" t="s">
        <v>218</v>
      </c>
      <c r="E14" s="716">
        <v>0</v>
      </c>
      <c r="F14" s="716">
        <v>15</v>
      </c>
      <c r="G14" s="715">
        <v>1500</v>
      </c>
    </row>
    <row r="15" spans="1:7" ht="12" customHeight="1" x14ac:dyDescent="0.25">
      <c r="A15" s="782"/>
      <c r="B15" s="597" t="s">
        <v>223</v>
      </c>
      <c r="C15" s="597" t="s">
        <v>224</v>
      </c>
      <c r="D15" s="597" t="s">
        <v>225</v>
      </c>
      <c r="E15" s="716">
        <v>7</v>
      </c>
      <c r="F15" s="716">
        <v>13</v>
      </c>
      <c r="G15" s="715">
        <v>2500</v>
      </c>
    </row>
    <row r="16" spans="1:7" ht="12" customHeight="1" x14ac:dyDescent="0.25">
      <c r="A16" s="782"/>
      <c r="B16" s="597" t="s">
        <v>215</v>
      </c>
      <c r="C16" s="597" t="s">
        <v>216</v>
      </c>
      <c r="D16" s="597" t="s">
        <v>217</v>
      </c>
      <c r="E16" s="716">
        <v>121</v>
      </c>
      <c r="F16" s="716">
        <v>24</v>
      </c>
      <c r="G16" s="715">
        <v>20</v>
      </c>
    </row>
    <row r="17" spans="1:7" ht="12" customHeight="1" x14ac:dyDescent="0.25">
      <c r="A17" s="782"/>
      <c r="B17" s="597" t="s">
        <v>215</v>
      </c>
      <c r="C17" s="597" t="s">
        <v>216</v>
      </c>
      <c r="D17" s="597" t="s">
        <v>218</v>
      </c>
      <c r="E17" s="716">
        <v>17</v>
      </c>
      <c r="F17" s="716">
        <v>99</v>
      </c>
      <c r="G17" s="715">
        <v>30</v>
      </c>
    </row>
    <row r="18" spans="1:7" ht="12" customHeight="1" x14ac:dyDescent="0.25">
      <c r="A18" s="782"/>
      <c r="B18" s="597" t="s">
        <v>215</v>
      </c>
      <c r="C18" s="597" t="s">
        <v>219</v>
      </c>
      <c r="D18" s="597" t="s">
        <v>217</v>
      </c>
      <c r="E18" s="716">
        <v>93</v>
      </c>
      <c r="F18" s="716">
        <v>64</v>
      </c>
      <c r="G18" s="715">
        <v>20</v>
      </c>
    </row>
    <row r="19" spans="1:7" ht="12" customHeight="1" x14ac:dyDescent="0.25">
      <c r="A19" s="782"/>
      <c r="B19" s="597" t="s">
        <v>215</v>
      </c>
      <c r="C19" s="597" t="s">
        <v>219</v>
      </c>
      <c r="D19" s="597" t="s">
        <v>218</v>
      </c>
      <c r="E19" s="716">
        <v>13</v>
      </c>
      <c r="F19" s="716">
        <v>103</v>
      </c>
      <c r="G19" s="720">
        <v>30</v>
      </c>
    </row>
    <row r="20" spans="1:7" ht="12" customHeight="1" x14ac:dyDescent="0.25">
      <c r="A20" s="782"/>
      <c r="B20" s="597" t="s">
        <v>215</v>
      </c>
      <c r="C20" s="597" t="s">
        <v>221</v>
      </c>
      <c r="D20" s="597" t="s">
        <v>217</v>
      </c>
      <c r="E20" s="716">
        <v>77</v>
      </c>
      <c r="F20" s="716">
        <v>60</v>
      </c>
      <c r="G20" s="720">
        <v>20</v>
      </c>
    </row>
    <row r="21" spans="1:7" ht="12" customHeight="1" x14ac:dyDescent="0.25">
      <c r="A21" s="783"/>
      <c r="B21" s="717" t="s">
        <v>215</v>
      </c>
      <c r="C21" s="717" t="s">
        <v>221</v>
      </c>
      <c r="D21" s="717" t="s">
        <v>218</v>
      </c>
      <c r="E21" s="718">
        <v>17</v>
      </c>
      <c r="F21" s="718">
        <v>107</v>
      </c>
      <c r="G21" s="719">
        <v>30</v>
      </c>
    </row>
    <row r="22" spans="1:7" ht="12" customHeight="1" x14ac:dyDescent="0.25">
      <c r="A22" s="787" t="s">
        <v>226</v>
      </c>
      <c r="B22" s="597" t="s">
        <v>215</v>
      </c>
      <c r="C22" s="597" t="s">
        <v>216</v>
      </c>
      <c r="D22" s="597" t="s">
        <v>217</v>
      </c>
      <c r="E22" s="716">
        <v>12</v>
      </c>
      <c r="F22" s="716">
        <v>0</v>
      </c>
      <c r="G22" s="715">
        <v>30</v>
      </c>
    </row>
    <row r="23" spans="1:7" ht="12" customHeight="1" x14ac:dyDescent="0.25">
      <c r="A23" s="784"/>
      <c r="B23" s="597" t="s">
        <v>215</v>
      </c>
      <c r="C23" s="597" t="s">
        <v>219</v>
      </c>
      <c r="D23" s="597" t="s">
        <v>217</v>
      </c>
      <c r="E23" s="716">
        <v>18</v>
      </c>
      <c r="F23" s="716">
        <v>52</v>
      </c>
      <c r="G23" s="715">
        <v>30</v>
      </c>
    </row>
    <row r="24" spans="1:7" ht="12" customHeight="1" x14ac:dyDescent="0.25">
      <c r="A24" s="785"/>
      <c r="B24" s="717" t="s">
        <v>215</v>
      </c>
      <c r="C24" s="717" t="s">
        <v>221</v>
      </c>
      <c r="D24" s="717" t="s">
        <v>217</v>
      </c>
      <c r="E24" s="718">
        <v>31</v>
      </c>
      <c r="F24" s="718">
        <v>20</v>
      </c>
      <c r="G24" s="719">
        <v>30</v>
      </c>
    </row>
    <row r="25" spans="1:7" ht="12" customHeight="1" x14ac:dyDescent="0.25">
      <c r="A25" s="781" t="s">
        <v>227</v>
      </c>
      <c r="B25" s="597" t="s">
        <v>215</v>
      </c>
      <c r="C25" s="597" t="s">
        <v>216</v>
      </c>
      <c r="D25" s="597" t="s">
        <v>217</v>
      </c>
      <c r="E25" s="716">
        <v>13</v>
      </c>
      <c r="F25" s="716">
        <v>10</v>
      </c>
      <c r="G25" s="715">
        <v>25</v>
      </c>
    </row>
    <row r="26" spans="1:7" ht="12" customHeight="1" x14ac:dyDescent="0.25">
      <c r="A26" s="782"/>
      <c r="B26" s="597" t="s">
        <v>215</v>
      </c>
      <c r="C26" s="597" t="s">
        <v>219</v>
      </c>
      <c r="D26" s="597" t="s">
        <v>217</v>
      </c>
      <c r="E26" s="716">
        <v>4</v>
      </c>
      <c r="F26" s="716">
        <v>8</v>
      </c>
      <c r="G26" s="715">
        <v>25</v>
      </c>
    </row>
    <row r="27" spans="1:7" ht="12" customHeight="1" x14ac:dyDescent="0.25">
      <c r="A27" s="783"/>
      <c r="B27" s="717" t="s">
        <v>215</v>
      </c>
      <c r="C27" s="717" t="s">
        <v>221</v>
      </c>
      <c r="D27" s="717" t="s">
        <v>217</v>
      </c>
      <c r="E27" s="718">
        <v>14</v>
      </c>
      <c r="F27" s="718">
        <v>15</v>
      </c>
      <c r="G27" s="719">
        <v>25</v>
      </c>
    </row>
    <row r="28" spans="1:7" ht="15" customHeight="1" x14ac:dyDescent="0.25">
      <c r="A28" s="625" t="s">
        <v>228</v>
      </c>
      <c r="B28" s="721" t="s">
        <v>215</v>
      </c>
      <c r="C28" s="721" t="s">
        <v>229</v>
      </c>
      <c r="D28" s="717" t="s">
        <v>217</v>
      </c>
      <c r="E28" s="722">
        <v>349</v>
      </c>
      <c r="F28" s="722">
        <v>274</v>
      </c>
      <c r="G28" s="723">
        <v>40</v>
      </c>
    </row>
    <row r="29" spans="1:7" ht="12" customHeight="1" x14ac:dyDescent="0.25">
      <c r="A29" s="781" t="s">
        <v>230</v>
      </c>
      <c r="B29" s="597" t="s">
        <v>215</v>
      </c>
      <c r="C29" s="597" t="s">
        <v>462</v>
      </c>
      <c r="D29" s="597" t="s">
        <v>218</v>
      </c>
      <c r="E29" s="716">
        <v>25</v>
      </c>
      <c r="F29" s="716">
        <v>0</v>
      </c>
      <c r="G29" s="715">
        <v>25</v>
      </c>
    </row>
    <row r="30" spans="1:7" ht="12" customHeight="1" x14ac:dyDescent="0.25">
      <c r="A30" s="782"/>
      <c r="B30" s="597" t="s">
        <v>215</v>
      </c>
      <c r="C30" s="597" t="s">
        <v>219</v>
      </c>
      <c r="D30" s="597" t="s">
        <v>218</v>
      </c>
      <c r="E30" s="716">
        <v>15</v>
      </c>
      <c r="F30" s="716">
        <v>0</v>
      </c>
      <c r="G30" s="715">
        <v>25</v>
      </c>
    </row>
    <row r="31" spans="1:7" ht="12" customHeight="1" x14ac:dyDescent="0.25">
      <c r="A31" s="783"/>
      <c r="B31" s="717" t="s">
        <v>215</v>
      </c>
      <c r="C31" s="717" t="s">
        <v>221</v>
      </c>
      <c r="D31" s="717" t="s">
        <v>218</v>
      </c>
      <c r="E31" s="718">
        <v>60</v>
      </c>
      <c r="F31" s="718">
        <v>0</v>
      </c>
      <c r="G31" s="719">
        <v>25</v>
      </c>
    </row>
    <row r="32" spans="1:7" ht="12" customHeight="1" x14ac:dyDescent="0.25">
      <c r="A32" s="781" t="s">
        <v>231</v>
      </c>
      <c r="B32" s="597" t="s">
        <v>215</v>
      </c>
      <c r="C32" s="597" t="s">
        <v>216</v>
      </c>
      <c r="D32" s="597" t="s">
        <v>217</v>
      </c>
      <c r="E32" s="716">
        <v>10</v>
      </c>
      <c r="F32" s="716">
        <v>0</v>
      </c>
      <c r="G32" s="720">
        <v>35</v>
      </c>
    </row>
    <row r="33" spans="1:7" ht="12" customHeight="1" x14ac:dyDescent="0.25">
      <c r="A33" s="782"/>
      <c r="B33" s="597" t="s">
        <v>215</v>
      </c>
      <c r="C33" s="597" t="s">
        <v>219</v>
      </c>
      <c r="D33" s="597" t="s">
        <v>217</v>
      </c>
      <c r="E33" s="716">
        <v>10</v>
      </c>
      <c r="F33" s="716">
        <v>0</v>
      </c>
      <c r="G33" s="720">
        <v>35</v>
      </c>
    </row>
    <row r="34" spans="1:7" ht="12" customHeight="1" x14ac:dyDescent="0.25">
      <c r="A34" s="782"/>
      <c r="B34" s="717" t="s">
        <v>215</v>
      </c>
      <c r="C34" s="717" t="s">
        <v>221</v>
      </c>
      <c r="D34" s="717" t="s">
        <v>217</v>
      </c>
      <c r="E34" s="718">
        <v>10</v>
      </c>
      <c r="F34" s="718">
        <v>0</v>
      </c>
      <c r="G34" s="719">
        <v>35</v>
      </c>
    </row>
    <row r="35" spans="1:7" ht="12" customHeight="1" x14ac:dyDescent="0.25">
      <c r="A35" s="781" t="s">
        <v>232</v>
      </c>
      <c r="B35" s="597" t="s">
        <v>223</v>
      </c>
      <c r="C35" s="597" t="s">
        <v>233</v>
      </c>
      <c r="D35" s="597" t="s">
        <v>225</v>
      </c>
      <c r="E35" s="716">
        <v>8</v>
      </c>
      <c r="F35" s="716">
        <v>4</v>
      </c>
      <c r="G35" s="720">
        <v>5000</v>
      </c>
    </row>
    <row r="36" spans="1:7" ht="12" customHeight="1" x14ac:dyDescent="0.25">
      <c r="A36" s="783"/>
      <c r="B36" s="717" t="s">
        <v>234</v>
      </c>
      <c r="C36" s="717" t="s">
        <v>235</v>
      </c>
      <c r="D36" s="717" t="s">
        <v>236</v>
      </c>
      <c r="E36" s="718">
        <v>5</v>
      </c>
      <c r="F36" s="718">
        <v>4</v>
      </c>
      <c r="G36" s="719">
        <v>500</v>
      </c>
    </row>
    <row r="37" spans="1:7" ht="12" customHeight="1" x14ac:dyDescent="0.25">
      <c r="A37" s="781" t="s">
        <v>237</v>
      </c>
      <c r="B37" s="597" t="s">
        <v>215</v>
      </c>
      <c r="C37" s="597" t="s">
        <v>221</v>
      </c>
      <c r="D37" s="597" t="s">
        <v>217</v>
      </c>
      <c r="E37" s="716">
        <v>30</v>
      </c>
      <c r="F37" s="716">
        <v>0</v>
      </c>
      <c r="G37" s="715">
        <v>30</v>
      </c>
    </row>
    <row r="38" spans="1:7" ht="12" customHeight="1" x14ac:dyDescent="0.25">
      <c r="A38" s="783"/>
      <c r="B38" s="717" t="s">
        <v>215</v>
      </c>
      <c r="C38" s="717" t="s">
        <v>221</v>
      </c>
      <c r="D38" s="717" t="s">
        <v>217</v>
      </c>
      <c r="E38" s="718">
        <v>0</v>
      </c>
      <c r="F38" s="718">
        <v>70</v>
      </c>
      <c r="G38" s="719">
        <v>25</v>
      </c>
    </row>
    <row r="39" spans="1:7" ht="12" customHeight="1" x14ac:dyDescent="0.25">
      <c r="A39" s="781" t="s">
        <v>238</v>
      </c>
      <c r="B39" s="724" t="s">
        <v>215</v>
      </c>
      <c r="C39" s="724" t="s">
        <v>220</v>
      </c>
      <c r="D39" s="724" t="s">
        <v>218</v>
      </c>
      <c r="E39" s="725">
        <v>15</v>
      </c>
      <c r="F39" s="725">
        <v>0</v>
      </c>
      <c r="G39" s="726">
        <v>40</v>
      </c>
    </row>
    <row r="40" spans="1:7" ht="12" customHeight="1" x14ac:dyDescent="0.25">
      <c r="A40" s="783"/>
      <c r="B40" s="717" t="s">
        <v>215</v>
      </c>
      <c r="C40" s="717" t="s">
        <v>220</v>
      </c>
      <c r="D40" s="717" t="s">
        <v>218</v>
      </c>
      <c r="E40" s="718">
        <v>10</v>
      </c>
      <c r="F40" s="718">
        <v>0</v>
      </c>
      <c r="G40" s="719">
        <v>35</v>
      </c>
    </row>
    <row r="41" spans="1:7" ht="12" customHeight="1" x14ac:dyDescent="0.25">
      <c r="A41" s="781" t="s">
        <v>300</v>
      </c>
      <c r="B41" s="597" t="s">
        <v>223</v>
      </c>
      <c r="C41" s="597" t="s">
        <v>463</v>
      </c>
      <c r="D41" s="597" t="s">
        <v>225</v>
      </c>
      <c r="E41" s="716">
        <v>1</v>
      </c>
      <c r="F41" s="716">
        <v>0</v>
      </c>
      <c r="G41" s="720">
        <v>4000</v>
      </c>
    </row>
    <row r="42" spans="1:7" ht="12" customHeight="1" x14ac:dyDescent="0.25">
      <c r="A42" s="782"/>
      <c r="B42" s="597" t="s">
        <v>223</v>
      </c>
      <c r="C42" s="597" t="s">
        <v>464</v>
      </c>
      <c r="D42" s="597" t="s">
        <v>225</v>
      </c>
      <c r="E42" s="716">
        <v>1</v>
      </c>
      <c r="F42" s="716">
        <v>0</v>
      </c>
      <c r="G42" s="720">
        <v>4000</v>
      </c>
    </row>
    <row r="43" spans="1:7" ht="12" customHeight="1" x14ac:dyDescent="0.25">
      <c r="A43" s="783"/>
      <c r="B43" s="717" t="s">
        <v>223</v>
      </c>
      <c r="C43" s="717" t="s">
        <v>465</v>
      </c>
      <c r="D43" s="717" t="s">
        <v>225</v>
      </c>
      <c r="E43" s="718">
        <v>2</v>
      </c>
      <c r="F43" s="718">
        <v>0</v>
      </c>
      <c r="G43" s="719">
        <v>4500</v>
      </c>
    </row>
    <row r="44" spans="1:7" ht="12" customHeight="1" x14ac:dyDescent="0.25">
      <c r="A44" s="781" t="s">
        <v>239</v>
      </c>
      <c r="B44" s="597" t="s">
        <v>215</v>
      </c>
      <c r="C44" s="597" t="s">
        <v>216</v>
      </c>
      <c r="D44" s="597" t="s">
        <v>217</v>
      </c>
      <c r="E44" s="716">
        <v>25</v>
      </c>
      <c r="F44" s="716">
        <v>18</v>
      </c>
      <c r="G44" s="715">
        <v>45</v>
      </c>
    </row>
    <row r="45" spans="1:7" ht="12" customHeight="1" x14ac:dyDescent="0.25">
      <c r="A45" s="782"/>
      <c r="B45" s="597" t="s">
        <v>215</v>
      </c>
      <c r="C45" s="597" t="s">
        <v>219</v>
      </c>
      <c r="D45" s="597" t="s">
        <v>217</v>
      </c>
      <c r="E45" s="716">
        <v>4</v>
      </c>
      <c r="F45" s="716">
        <v>2</v>
      </c>
      <c r="G45" s="715">
        <v>45</v>
      </c>
    </row>
    <row r="46" spans="1:7" ht="12" customHeight="1" x14ac:dyDescent="0.25">
      <c r="A46" s="782"/>
      <c r="B46" s="597" t="s">
        <v>215</v>
      </c>
      <c r="C46" s="597" t="s">
        <v>240</v>
      </c>
      <c r="D46" s="597" t="s">
        <v>217</v>
      </c>
      <c r="E46" s="716">
        <v>60</v>
      </c>
      <c r="F46" s="716">
        <v>20</v>
      </c>
      <c r="G46" s="715">
        <v>45</v>
      </c>
    </row>
    <row r="47" spans="1:7" ht="12" customHeight="1" x14ac:dyDescent="0.25">
      <c r="A47" s="783"/>
      <c r="B47" s="717" t="s">
        <v>215</v>
      </c>
      <c r="C47" s="717" t="s">
        <v>221</v>
      </c>
      <c r="D47" s="717" t="s">
        <v>217</v>
      </c>
      <c r="E47" s="718">
        <v>8</v>
      </c>
      <c r="F47" s="718">
        <v>5</v>
      </c>
      <c r="G47" s="719">
        <v>45</v>
      </c>
    </row>
    <row r="48" spans="1:7" ht="12" customHeight="1" x14ac:dyDescent="0.25">
      <c r="A48" s="781" t="s">
        <v>241</v>
      </c>
      <c r="B48" s="597" t="s">
        <v>215</v>
      </c>
      <c r="C48" s="597" t="s">
        <v>242</v>
      </c>
      <c r="D48" s="597" t="s">
        <v>218</v>
      </c>
      <c r="E48" s="716">
        <v>5</v>
      </c>
      <c r="F48" s="716">
        <v>0</v>
      </c>
      <c r="G48" s="715">
        <v>30</v>
      </c>
    </row>
    <row r="49" spans="1:7" ht="12" customHeight="1" x14ac:dyDescent="0.25">
      <c r="A49" s="782"/>
      <c r="B49" s="597" t="s">
        <v>215</v>
      </c>
      <c r="C49" s="597" t="s">
        <v>229</v>
      </c>
      <c r="D49" s="597" t="s">
        <v>217</v>
      </c>
      <c r="E49" s="716">
        <v>14</v>
      </c>
      <c r="F49" s="716">
        <v>2</v>
      </c>
      <c r="G49" s="715">
        <v>30</v>
      </c>
    </row>
    <row r="50" spans="1:7" ht="12" customHeight="1" x14ac:dyDescent="0.25">
      <c r="A50" s="782"/>
      <c r="B50" s="597" t="s">
        <v>215</v>
      </c>
      <c r="C50" s="597" t="s">
        <v>221</v>
      </c>
      <c r="D50" s="597" t="s">
        <v>218</v>
      </c>
      <c r="E50" s="716">
        <v>35</v>
      </c>
      <c r="F50" s="716">
        <v>3</v>
      </c>
      <c r="G50" s="720">
        <v>30</v>
      </c>
    </row>
    <row r="51" spans="1:7" ht="12" customHeight="1" x14ac:dyDescent="0.25">
      <c r="A51" s="783"/>
      <c r="B51" s="717" t="s">
        <v>234</v>
      </c>
      <c r="C51" s="717" t="s">
        <v>243</v>
      </c>
      <c r="D51" s="717" t="s">
        <v>236</v>
      </c>
      <c r="E51" s="718">
        <v>9</v>
      </c>
      <c r="F51" s="718">
        <v>0</v>
      </c>
      <c r="G51" s="719">
        <v>300</v>
      </c>
    </row>
    <row r="52" spans="1:7" ht="9" customHeight="1" x14ac:dyDescent="0.3">
      <c r="A52" s="264" t="s">
        <v>244</v>
      </c>
      <c r="B52" s="265"/>
      <c r="C52" s="4"/>
      <c r="D52" s="4"/>
      <c r="E52" s="2"/>
      <c r="F52" s="4"/>
      <c r="G52" s="4"/>
    </row>
    <row r="53" spans="1:7" ht="9" customHeight="1" x14ac:dyDescent="0.3">
      <c r="A53" s="511" t="s">
        <v>67</v>
      </c>
      <c r="B53" s="265"/>
      <c r="C53" s="2"/>
      <c r="D53" s="2"/>
      <c r="E53" s="2"/>
      <c r="F53" s="2"/>
      <c r="G53" s="2"/>
    </row>
    <row r="54" spans="1:7" ht="9" customHeight="1" x14ac:dyDescent="0.15">
      <c r="A54" s="512" t="s">
        <v>68</v>
      </c>
    </row>
    <row r="55" spans="1:7" ht="9" customHeight="1" x14ac:dyDescent="0.25"/>
    <row r="56" spans="1:7" ht="13.2" x14ac:dyDescent="0.25"/>
    <row r="57" spans="1:7" ht="13.2" x14ac:dyDescent="0.25"/>
    <row r="58" spans="1:7" ht="13.2" x14ac:dyDescent="0.25"/>
    <row r="59" spans="1:7" ht="13.2" x14ac:dyDescent="0.25"/>
    <row r="60" spans="1:7" ht="13.2" x14ac:dyDescent="0.25"/>
    <row r="61" spans="1:7" ht="13.2" x14ac:dyDescent="0.25"/>
    <row r="62" spans="1:7" ht="13.2" x14ac:dyDescent="0.25"/>
    <row r="63" spans="1:7" ht="13.2" x14ac:dyDescent="0.25"/>
    <row r="64" spans="1:7" ht="13.2" x14ac:dyDescent="0.25"/>
    <row r="65" s="260" customFormat="1" ht="13.2" x14ac:dyDescent="0.25"/>
    <row r="66" s="260" customFormat="1" ht="13.2" x14ac:dyDescent="0.25"/>
    <row r="67" s="260" customFormat="1" ht="13.2" x14ac:dyDescent="0.25"/>
    <row r="68" s="260" customFormat="1" ht="13.2" x14ac:dyDescent="0.25"/>
    <row r="69" s="260" customFormat="1" ht="13.2" x14ac:dyDescent="0.25"/>
    <row r="70" s="260" customFormat="1" ht="13.2" x14ac:dyDescent="0.25"/>
    <row r="71" s="260" customFormat="1" ht="13.2" x14ac:dyDescent="0.25"/>
    <row r="72" s="260" customFormat="1" ht="13.2" x14ac:dyDescent="0.25"/>
    <row r="73" s="260" customFormat="1" ht="13.2" x14ac:dyDescent="0.25"/>
    <row r="74" s="260" customFormat="1" ht="13.2" x14ac:dyDescent="0.25"/>
    <row r="75" s="260" customFormat="1" ht="13.2" x14ac:dyDescent="0.25"/>
    <row r="76" s="260" customFormat="1" ht="13.2" x14ac:dyDescent="0.25"/>
    <row r="77" s="260" customFormat="1" ht="13.2" x14ac:dyDescent="0.25"/>
    <row r="78" s="260" customFormat="1" ht="13.2" x14ac:dyDescent="0.25"/>
    <row r="79" s="260" customFormat="1" ht="13.2" x14ac:dyDescent="0.25"/>
    <row r="80" s="260" customFormat="1" ht="13.2" x14ac:dyDescent="0.25"/>
    <row r="81" s="260" customFormat="1" ht="13.2" x14ac:dyDescent="0.25"/>
    <row r="82" s="260" customFormat="1" ht="13.2" x14ac:dyDescent="0.25"/>
    <row r="83" s="260" customFormat="1" ht="13.2" x14ac:dyDescent="0.25"/>
    <row r="84" s="260" customFormat="1" ht="13.2" x14ac:dyDescent="0.25"/>
    <row r="85" s="260" customFormat="1" ht="13.2" x14ac:dyDescent="0.25"/>
    <row r="86" s="260" customFormat="1" ht="13.2" x14ac:dyDescent="0.25"/>
    <row r="87" s="260" customFormat="1" ht="13.2" x14ac:dyDescent="0.25"/>
    <row r="88" s="260" customFormat="1" ht="13.2" x14ac:dyDescent="0.25"/>
    <row r="89" s="260" customFormat="1" ht="13.2" x14ac:dyDescent="0.25"/>
    <row r="90" s="260" customFormat="1" ht="13.2" x14ac:dyDescent="0.25"/>
    <row r="91" s="260" customFormat="1" ht="13.2" x14ac:dyDescent="0.25"/>
    <row r="92" s="260" customFormat="1" ht="13.2" x14ac:dyDescent="0.25"/>
    <row r="93" s="260" customFormat="1" ht="13.2" x14ac:dyDescent="0.25"/>
    <row r="94" s="260" customFormat="1" ht="13.2" x14ac:dyDescent="0.25"/>
    <row r="95" s="260" customFormat="1" ht="13.2" x14ac:dyDescent="0.25"/>
    <row r="96" s="260" customFormat="1" ht="13.2" x14ac:dyDescent="0.25"/>
    <row r="97" s="260" customFormat="1" ht="13.2" x14ac:dyDescent="0.25"/>
    <row r="98" s="260" customFormat="1" ht="13.2" x14ac:dyDescent="0.25"/>
    <row r="99" s="260" customFormat="1" ht="13.2" x14ac:dyDescent="0.25"/>
    <row r="100" s="260" customFormat="1" ht="13.2" x14ac:dyDescent="0.25"/>
    <row r="101" s="260" customFormat="1" ht="13.2" x14ac:dyDescent="0.25"/>
    <row r="102" s="260" customFormat="1" ht="13.2" x14ac:dyDescent="0.25"/>
    <row r="103" s="260" customFormat="1" ht="13.2" x14ac:dyDescent="0.25"/>
    <row r="104" s="260" customFormat="1" ht="13.2" x14ac:dyDescent="0.25"/>
    <row r="105" s="260" customFormat="1" ht="13.2" x14ac:dyDescent="0.25"/>
    <row r="106" s="260" customFormat="1" ht="13.2" x14ac:dyDescent="0.25"/>
    <row r="107" s="260" customFormat="1" ht="13.2" x14ac:dyDescent="0.25"/>
    <row r="108" s="260" customFormat="1" ht="13.2" x14ac:dyDescent="0.25"/>
    <row r="109" s="260" customFormat="1" ht="13.2" x14ac:dyDescent="0.25"/>
    <row r="110" s="260" customFormat="1" ht="13.2" x14ac:dyDescent="0.25"/>
    <row r="111" s="260" customFormat="1" ht="13.2" x14ac:dyDescent="0.25"/>
    <row r="112" s="260" customFormat="1" ht="13.2" x14ac:dyDescent="0.25"/>
    <row r="113" s="260" customFormat="1" ht="13.2" x14ac:dyDescent="0.25"/>
    <row r="114" s="260" customFormat="1" ht="13.2" x14ac:dyDescent="0.25"/>
    <row r="115" s="260" customFormat="1" ht="13.2" x14ac:dyDescent="0.25"/>
    <row r="116" s="260" customFormat="1" ht="13.2" x14ac:dyDescent="0.25"/>
    <row r="117" s="260" customFormat="1" ht="13.2" x14ac:dyDescent="0.25"/>
    <row r="118" s="260" customFormat="1" ht="13.2" x14ac:dyDescent="0.25"/>
    <row r="119" s="260" customFormat="1" ht="13.2" x14ac:dyDescent="0.25"/>
    <row r="120" s="260" customFormat="1" ht="13.2" x14ac:dyDescent="0.25"/>
    <row r="121" s="260" customFormat="1" ht="13.2" x14ac:dyDescent="0.25"/>
    <row r="122" s="260" customFormat="1" ht="13.2" x14ac:dyDescent="0.25"/>
    <row r="123" s="260" customFormat="1" ht="13.2" x14ac:dyDescent="0.25"/>
    <row r="124" s="260" customFormat="1" ht="13.2" x14ac:dyDescent="0.25"/>
    <row r="125" s="260" customFormat="1" ht="13.2" x14ac:dyDescent="0.25"/>
    <row r="126" s="260" customFormat="1" ht="13.2" x14ac:dyDescent="0.25"/>
    <row r="127" s="260" customFormat="1" ht="13.2" x14ac:dyDescent="0.25"/>
    <row r="128" s="260" customFormat="1" ht="13.2" x14ac:dyDescent="0.25"/>
    <row r="129" s="260" customFormat="1" ht="13.2" x14ac:dyDescent="0.25"/>
    <row r="130" s="260" customFormat="1" ht="13.2" x14ac:dyDescent="0.25"/>
    <row r="131" s="260" customFormat="1" ht="13.2" x14ac:dyDescent="0.25"/>
    <row r="132" s="260" customFormat="1" ht="13.2" x14ac:dyDescent="0.25"/>
    <row r="133" s="260" customFormat="1" ht="13.2" x14ac:dyDescent="0.25"/>
    <row r="134" s="260" customFormat="1" ht="13.2" x14ac:dyDescent="0.25"/>
    <row r="135" s="260" customFormat="1" ht="13.2" x14ac:dyDescent="0.25"/>
    <row r="136" s="260" customFormat="1" ht="13.2" x14ac:dyDescent="0.25"/>
    <row r="137" s="260" customFormat="1" ht="13.2" x14ac:dyDescent="0.25"/>
    <row r="138" s="260" customFormat="1" ht="13.2" x14ac:dyDescent="0.25"/>
    <row r="139" s="260" customFormat="1" ht="13.2" x14ac:dyDescent="0.25"/>
    <row r="140" s="260" customFormat="1" ht="13.2" x14ac:dyDescent="0.25"/>
    <row r="141" s="260" customFormat="1" ht="13.2" x14ac:dyDescent="0.25"/>
    <row r="142" s="260" customFormat="1" ht="13.2" x14ac:dyDescent="0.25"/>
    <row r="143" s="260" customFormat="1" ht="13.2" x14ac:dyDescent="0.25"/>
    <row r="144" s="260" customFormat="1" ht="13.2" x14ac:dyDescent="0.25"/>
    <row r="145" s="260" customFormat="1" ht="13.2" x14ac:dyDescent="0.25"/>
    <row r="146" s="260" customFormat="1" ht="13.2" x14ac:dyDescent="0.25"/>
    <row r="147" s="260" customFormat="1" ht="13.2" x14ac:dyDescent="0.25"/>
    <row r="148" s="260" customFormat="1" ht="13.2" x14ac:dyDescent="0.25"/>
    <row r="149" s="260" customFormat="1" ht="13.2" x14ac:dyDescent="0.25"/>
    <row r="150" s="260" customFormat="1" ht="13.2" x14ac:dyDescent="0.25"/>
    <row r="151" s="260" customFormat="1" ht="13.2" x14ac:dyDescent="0.25"/>
    <row r="152" s="260" customFormat="1" ht="13.2" x14ac:dyDescent="0.25"/>
    <row r="153" s="260" customFormat="1" ht="13.2" x14ac:dyDescent="0.25"/>
    <row r="154" s="260" customFormat="1" ht="13.2" x14ac:dyDescent="0.25"/>
    <row r="155" s="260" customFormat="1" ht="13.2" x14ac:dyDescent="0.25"/>
    <row r="156" s="260" customFormat="1" ht="13.2" x14ac:dyDescent="0.25"/>
    <row r="157" s="260" customFormat="1" ht="13.2" x14ac:dyDescent="0.25"/>
    <row r="158" s="260" customFormat="1" ht="13.2" x14ac:dyDescent="0.25"/>
    <row r="159" s="260" customFormat="1" ht="13.2" x14ac:dyDescent="0.25"/>
    <row r="160" s="260" customFormat="1" ht="13.2" x14ac:dyDescent="0.25"/>
    <row r="161" s="260" customFormat="1" ht="13.2" x14ac:dyDescent="0.25"/>
    <row r="162" s="260" customFormat="1" ht="13.2" x14ac:dyDescent="0.25"/>
    <row r="163" s="260" customFormat="1" ht="13.2" x14ac:dyDescent="0.25"/>
    <row r="164" s="260" customFormat="1" ht="13.2" x14ac:dyDescent="0.25"/>
    <row r="165" s="260" customFormat="1" ht="13.2" x14ac:dyDescent="0.25"/>
    <row r="166" s="260" customFormat="1" ht="13.2" x14ac:dyDescent="0.25"/>
    <row r="167" s="260" customFormat="1" ht="13.2" x14ac:dyDescent="0.25"/>
    <row r="168" s="260" customFormat="1" ht="13.2" x14ac:dyDescent="0.25"/>
    <row r="169" s="260" customFormat="1" ht="13.2" x14ac:dyDescent="0.25"/>
    <row r="170" s="260" customFormat="1" ht="13.2" x14ac:dyDescent="0.25"/>
    <row r="171" s="260" customFormat="1" ht="13.2" x14ac:dyDescent="0.25"/>
    <row r="172" s="260" customFormat="1" ht="13.2" x14ac:dyDescent="0.25"/>
    <row r="173" s="260" customFormat="1" ht="13.2" x14ac:dyDescent="0.25"/>
    <row r="174" s="260" customFormat="1" ht="13.2" x14ac:dyDescent="0.25"/>
    <row r="175" s="260" customFormat="1" ht="13.2" x14ac:dyDescent="0.25"/>
    <row r="176" s="260" customFormat="1" ht="13.2" x14ac:dyDescent="0.25"/>
    <row r="177" s="260" customFormat="1" ht="13.2" x14ac:dyDescent="0.25"/>
    <row r="178" s="260" customFormat="1" ht="13.2" x14ac:dyDescent="0.25"/>
    <row r="179" s="260" customFormat="1" ht="13.2" x14ac:dyDescent="0.25"/>
    <row r="180" s="260" customFormat="1" ht="13.2" x14ac:dyDescent="0.25"/>
    <row r="181" s="260" customFormat="1" ht="13.2" x14ac:dyDescent="0.25"/>
    <row r="182" s="260" customFormat="1" ht="13.2" x14ac:dyDescent="0.25"/>
    <row r="183" s="260" customFormat="1" ht="13.2" x14ac:dyDescent="0.25"/>
    <row r="184" s="260" customFormat="1" ht="13.2" x14ac:dyDescent="0.25"/>
    <row r="185" s="260" customFormat="1" ht="13.2" x14ac:dyDescent="0.25"/>
    <row r="186" s="260" customFormat="1" ht="13.2" x14ac:dyDescent="0.25"/>
    <row r="187" s="260" customFormat="1" ht="13.2" x14ac:dyDescent="0.25"/>
    <row r="188" s="260" customFormat="1" ht="13.2" x14ac:dyDescent="0.25"/>
    <row r="189" s="260" customFormat="1" ht="13.2" x14ac:dyDescent="0.25"/>
    <row r="190" s="260" customFormat="1" ht="13.2" x14ac:dyDescent="0.25"/>
    <row r="191" s="260" customFormat="1" ht="13.2" x14ac:dyDescent="0.25"/>
    <row r="192" s="260" customFormat="1" ht="13.2" x14ac:dyDescent="0.25"/>
    <row r="193" s="260" customFormat="1" ht="13.2" x14ac:dyDescent="0.25"/>
    <row r="194" s="260" customFormat="1" ht="13.2" x14ac:dyDescent="0.25"/>
    <row r="195" s="260" customFormat="1" ht="13.2" x14ac:dyDescent="0.25"/>
    <row r="196" s="260" customFormat="1" ht="13.2" x14ac:dyDescent="0.25"/>
    <row r="197" s="260" customFormat="1" ht="13.2" x14ac:dyDescent="0.25"/>
    <row r="198" s="260" customFormat="1" ht="13.2" x14ac:dyDescent="0.25"/>
    <row r="199" s="260" customFormat="1" ht="13.2" x14ac:dyDescent="0.25"/>
    <row r="200" s="260" customFormat="1" ht="13.2" x14ac:dyDescent="0.25"/>
    <row r="201" s="260" customFormat="1" ht="13.2" x14ac:dyDescent="0.25"/>
    <row r="202" s="260" customFormat="1" ht="13.2" x14ac:dyDescent="0.25"/>
    <row r="203" s="260" customFormat="1" ht="13.2" x14ac:dyDescent="0.25"/>
    <row r="204" s="260" customFormat="1" ht="13.2" x14ac:dyDescent="0.25"/>
    <row r="205" s="260" customFormat="1" ht="13.2" x14ac:dyDescent="0.25"/>
    <row r="206" s="260" customFormat="1" ht="13.2" x14ac:dyDescent="0.25"/>
    <row r="207" s="260" customFormat="1" ht="13.2" x14ac:dyDescent="0.25"/>
    <row r="208" s="260" customFormat="1" ht="13.2" x14ac:dyDescent="0.25"/>
    <row r="209" s="260" customFormat="1" ht="13.2" x14ac:dyDescent="0.25"/>
    <row r="210" s="260" customFormat="1" ht="13.2" x14ac:dyDescent="0.25"/>
    <row r="211" s="260" customFormat="1" ht="13.2" x14ac:dyDescent="0.25"/>
    <row r="212" s="260" customFormat="1" ht="13.2" x14ac:dyDescent="0.25"/>
    <row r="213" s="260" customFormat="1" ht="13.2" x14ac:dyDescent="0.25"/>
    <row r="214" s="260" customFormat="1" ht="13.2" x14ac:dyDescent="0.25"/>
    <row r="215" s="260" customFormat="1" ht="13.2" x14ac:dyDescent="0.25"/>
    <row r="216" s="260" customFormat="1" ht="13.2" x14ac:dyDescent="0.25"/>
    <row r="217" s="260" customFormat="1" ht="13.2" x14ac:dyDescent="0.25"/>
    <row r="218" s="260" customFormat="1" ht="13.2" x14ac:dyDescent="0.25"/>
    <row r="219" s="260" customFormat="1" ht="13.2" x14ac:dyDescent="0.25"/>
    <row r="220" s="260" customFormat="1" ht="13.2" x14ac:dyDescent="0.25"/>
    <row r="221" s="260" customFormat="1" ht="13.2" x14ac:dyDescent="0.25"/>
    <row r="222" s="260" customFormat="1" ht="13.2" x14ac:dyDescent="0.25"/>
    <row r="223" s="260" customFormat="1" ht="13.2" x14ac:dyDescent="0.25"/>
    <row r="224" s="260" customFormat="1" ht="13.2" x14ac:dyDescent="0.25"/>
    <row r="225" s="260" customFormat="1" ht="13.2" x14ac:dyDescent="0.25"/>
    <row r="226" s="260" customFormat="1" ht="13.2" x14ac:dyDescent="0.25"/>
    <row r="227" s="260" customFormat="1" ht="13.2" x14ac:dyDescent="0.25"/>
    <row r="228" s="260" customFormat="1" ht="13.2" x14ac:dyDescent="0.25"/>
    <row r="229" s="260" customFormat="1" ht="13.2" x14ac:dyDescent="0.25"/>
    <row r="230" s="260" customFormat="1" ht="13.2" x14ac:dyDescent="0.25"/>
    <row r="231" s="260" customFormat="1" ht="13.2" x14ac:dyDescent="0.25"/>
    <row r="232" s="260" customFormat="1" ht="13.2" x14ac:dyDescent="0.25"/>
    <row r="233" s="260" customFormat="1" ht="13.2" x14ac:dyDescent="0.25"/>
    <row r="234" s="260" customFormat="1" ht="13.2" x14ac:dyDescent="0.25"/>
    <row r="235" s="260" customFormat="1" ht="13.2" x14ac:dyDescent="0.25"/>
    <row r="236" s="260" customFormat="1" ht="13.2" x14ac:dyDescent="0.25"/>
    <row r="237" s="260" customFormat="1" ht="13.2" x14ac:dyDescent="0.25"/>
    <row r="238" s="260" customFormat="1" ht="13.2" x14ac:dyDescent="0.25"/>
    <row r="239" s="260" customFormat="1" ht="13.2" x14ac:dyDescent="0.25"/>
    <row r="240" s="260" customFormat="1" ht="13.2" x14ac:dyDescent="0.25"/>
    <row r="241" s="260" customFormat="1" ht="13.2" x14ac:dyDescent="0.25"/>
    <row r="242" s="260" customFormat="1" ht="13.2" x14ac:dyDescent="0.25"/>
    <row r="243" s="260" customFormat="1" ht="13.2" x14ac:dyDescent="0.25"/>
    <row r="244" s="260" customFormat="1" ht="13.2" x14ac:dyDescent="0.25"/>
    <row r="245" s="260" customFormat="1" ht="13.2" x14ac:dyDescent="0.25"/>
    <row r="246" s="260" customFormat="1" ht="13.2" x14ac:dyDescent="0.25"/>
    <row r="247" s="260" customFormat="1" ht="13.2" x14ac:dyDescent="0.25"/>
    <row r="248" s="260" customFormat="1" ht="13.2" x14ac:dyDescent="0.25"/>
    <row r="249" s="260" customFormat="1" ht="13.2" x14ac:dyDescent="0.25"/>
    <row r="250" s="260" customFormat="1" ht="13.2" x14ac:dyDescent="0.25"/>
    <row r="251" s="260" customFormat="1" ht="13.2" x14ac:dyDescent="0.25"/>
    <row r="252" s="260" customFormat="1" ht="13.2" x14ac:dyDescent="0.25"/>
    <row r="253" s="260" customFormat="1" ht="13.2" x14ac:dyDescent="0.25"/>
    <row r="254" s="260" customFormat="1" ht="13.2" x14ac:dyDescent="0.25"/>
    <row r="255" s="260" customFormat="1" ht="13.2" x14ac:dyDescent="0.25"/>
    <row r="256" s="260" customFormat="1" ht="13.2" x14ac:dyDescent="0.25"/>
    <row r="257" s="260" customFormat="1" ht="13.2" x14ac:dyDescent="0.25"/>
    <row r="258" s="260" customFormat="1" ht="13.2" x14ac:dyDescent="0.25"/>
    <row r="259" s="260" customFormat="1" ht="13.2" x14ac:dyDescent="0.25"/>
    <row r="260" s="260" customFormat="1" ht="13.2" x14ac:dyDescent="0.25"/>
    <row r="261" s="260" customFormat="1" ht="13.2" x14ac:dyDescent="0.25"/>
    <row r="262" s="260" customFormat="1" ht="13.2" x14ac:dyDescent="0.25"/>
    <row r="263" s="260" customFormat="1" ht="13.2" x14ac:dyDescent="0.25"/>
    <row r="264" s="260" customFormat="1" ht="13.2" x14ac:dyDescent="0.25"/>
    <row r="265" s="260" customFormat="1" ht="13.2" x14ac:dyDescent="0.25"/>
    <row r="266" s="260" customFormat="1" ht="13.2" x14ac:dyDescent="0.25"/>
    <row r="267" s="260" customFormat="1" ht="13.2" x14ac:dyDescent="0.25"/>
    <row r="268" s="260" customFormat="1" ht="13.2" x14ac:dyDescent="0.25"/>
    <row r="269" s="260" customFormat="1" ht="13.2" x14ac:dyDescent="0.25"/>
    <row r="270" s="260" customFormat="1" ht="13.2" x14ac:dyDescent="0.25"/>
    <row r="271" s="260" customFormat="1" ht="13.2" x14ac:dyDescent="0.25"/>
    <row r="272" s="260" customFormat="1" ht="13.2" x14ac:dyDescent="0.25"/>
    <row r="273" s="260" customFormat="1" ht="13.2" x14ac:dyDescent="0.25"/>
    <row r="274" s="260" customFormat="1" ht="13.2" x14ac:dyDescent="0.25"/>
    <row r="275" s="260" customFormat="1" ht="13.2" x14ac:dyDescent="0.25"/>
    <row r="276" s="260" customFormat="1" ht="13.2" x14ac:dyDescent="0.25"/>
    <row r="277" s="260" customFormat="1" ht="13.2" x14ac:dyDescent="0.25"/>
    <row r="278" s="260" customFormat="1" ht="13.2" x14ac:dyDescent="0.25"/>
    <row r="279" s="260" customFormat="1" ht="13.2" x14ac:dyDescent="0.25"/>
    <row r="280" s="260" customFormat="1" ht="13.2" x14ac:dyDescent="0.25"/>
    <row r="281" s="260" customFormat="1" ht="13.2" x14ac:dyDescent="0.25"/>
    <row r="282" s="260" customFormat="1" ht="13.2" x14ac:dyDescent="0.25"/>
    <row r="283" s="260" customFormat="1" ht="13.2" x14ac:dyDescent="0.25"/>
    <row r="284" s="260" customFormat="1" ht="13.2" x14ac:dyDescent="0.25"/>
    <row r="285" s="260" customFormat="1" ht="13.2" x14ac:dyDescent="0.25"/>
    <row r="286" s="260" customFormat="1" ht="13.2" x14ac:dyDescent="0.25"/>
    <row r="287" s="260" customFormat="1" ht="13.2" x14ac:dyDescent="0.25"/>
    <row r="288" s="260" customFormat="1" ht="13.2" x14ac:dyDescent="0.25"/>
    <row r="289" s="260" customFormat="1" ht="13.2" x14ac:dyDescent="0.25"/>
    <row r="290" s="260" customFormat="1" ht="13.2" x14ac:dyDescent="0.25"/>
    <row r="291" s="260" customFormat="1" ht="13.2" x14ac:dyDescent="0.25"/>
    <row r="292" s="260" customFormat="1" ht="13.2" x14ac:dyDescent="0.25"/>
    <row r="293" s="260" customFormat="1" ht="13.2" x14ac:dyDescent="0.25"/>
    <row r="294" s="260" customFormat="1" ht="13.2" x14ac:dyDescent="0.25"/>
    <row r="295" s="260" customFormat="1" ht="13.2" x14ac:dyDescent="0.25"/>
    <row r="296" s="260" customFormat="1" ht="13.2" x14ac:dyDescent="0.25"/>
    <row r="297" s="260" customFormat="1" ht="13.2" x14ac:dyDescent="0.25"/>
    <row r="298" s="260" customFormat="1" ht="13.2" x14ac:dyDescent="0.25"/>
    <row r="299" s="260" customFormat="1" ht="13.2" x14ac:dyDescent="0.25"/>
    <row r="300" s="260" customFormat="1" ht="13.2" x14ac:dyDescent="0.25"/>
    <row r="301" s="260" customFormat="1" ht="13.2" x14ac:dyDescent="0.25"/>
    <row r="302" s="260" customFormat="1" ht="13.2" x14ac:dyDescent="0.25"/>
    <row r="303" s="260" customFormat="1" ht="13.2" x14ac:dyDescent="0.25"/>
    <row r="304" s="260" customFormat="1" ht="13.2" x14ac:dyDescent="0.25"/>
    <row r="305" s="260" customFormat="1" ht="13.2" x14ac:dyDescent="0.25"/>
    <row r="306" s="260" customFormat="1" ht="13.2" x14ac:dyDescent="0.25"/>
    <row r="307" s="260" customFormat="1" ht="13.2" x14ac:dyDescent="0.25"/>
    <row r="308" s="260" customFormat="1" ht="13.2" x14ac:dyDescent="0.25"/>
    <row r="309" s="260" customFormat="1" ht="13.2" x14ac:dyDescent="0.25"/>
    <row r="310" s="260" customFormat="1" ht="13.2" x14ac:dyDescent="0.25"/>
    <row r="311" s="260" customFormat="1" ht="13.2" x14ac:dyDescent="0.25"/>
    <row r="312" s="260" customFormat="1" ht="13.2" x14ac:dyDescent="0.25"/>
    <row r="313" s="260" customFormat="1" ht="13.2" x14ac:dyDescent="0.25"/>
    <row r="314" s="260" customFormat="1" ht="13.2" x14ac:dyDescent="0.25"/>
    <row r="315" s="260" customFormat="1" ht="13.2" x14ac:dyDescent="0.25"/>
    <row r="316" s="260" customFormat="1" ht="13.2" x14ac:dyDescent="0.25"/>
    <row r="317" s="260" customFormat="1" ht="13.2" x14ac:dyDescent="0.25"/>
    <row r="318" s="260" customFormat="1" ht="13.2" x14ac:dyDescent="0.25"/>
    <row r="319" s="260" customFormat="1" ht="13.2" x14ac:dyDescent="0.25"/>
    <row r="320" s="260" customFormat="1" ht="13.2" x14ac:dyDescent="0.25"/>
    <row r="321" s="260" customFormat="1" ht="13.2" x14ac:dyDescent="0.25"/>
    <row r="322" s="260" customFormat="1" ht="13.2" x14ac:dyDescent="0.25"/>
    <row r="323" s="260" customFormat="1" ht="13.2" x14ac:dyDescent="0.25"/>
    <row r="324" s="260" customFormat="1" ht="13.2" x14ac:dyDescent="0.25"/>
    <row r="325" s="260" customFormat="1" ht="13.2" x14ac:dyDescent="0.25"/>
    <row r="326" s="260" customFormat="1" ht="13.2" x14ac:dyDescent="0.25"/>
    <row r="327" s="260" customFormat="1" ht="13.2" x14ac:dyDescent="0.25"/>
    <row r="328" s="260" customFormat="1" ht="13.2" x14ac:dyDescent="0.25"/>
    <row r="329" s="260" customFormat="1" ht="13.2" x14ac:dyDescent="0.25"/>
    <row r="330" s="260" customFormat="1" ht="13.2" x14ac:dyDescent="0.25"/>
    <row r="331" s="260" customFormat="1" ht="13.2" x14ac:dyDescent="0.25"/>
    <row r="332" s="260" customFormat="1" ht="13.2" x14ac:dyDescent="0.25"/>
    <row r="333" s="260" customFormat="1" ht="13.2" x14ac:dyDescent="0.25"/>
    <row r="334" s="260" customFormat="1" ht="13.2" x14ac:dyDescent="0.25"/>
    <row r="335" s="260" customFormat="1" ht="13.2" x14ac:dyDescent="0.25"/>
    <row r="336" s="260" customFormat="1" ht="13.2" x14ac:dyDescent="0.25"/>
    <row r="337" s="260" customFormat="1" ht="13.2" x14ac:dyDescent="0.25"/>
    <row r="338" s="260" customFormat="1" ht="13.2" x14ac:dyDescent="0.25"/>
    <row r="339" s="260" customFormat="1" ht="13.2" x14ac:dyDescent="0.25"/>
    <row r="340" s="260" customFormat="1" ht="13.2" x14ac:dyDescent="0.25"/>
    <row r="341" s="260" customFormat="1" ht="13.2" x14ac:dyDescent="0.25"/>
    <row r="342" s="260" customFormat="1" ht="13.2" x14ac:dyDescent="0.25"/>
    <row r="343" s="260" customFormat="1" ht="13.2" x14ac:dyDescent="0.25"/>
    <row r="344" s="260" customFormat="1" ht="13.2" x14ac:dyDescent="0.25"/>
    <row r="345" s="260" customFormat="1" ht="13.2" x14ac:dyDescent="0.25"/>
    <row r="346" s="260" customFormat="1" ht="13.2" x14ac:dyDescent="0.25"/>
    <row r="347" s="260" customFormat="1" ht="13.2" x14ac:dyDescent="0.25"/>
    <row r="348" s="260" customFormat="1" ht="13.2" x14ac:dyDescent="0.25"/>
    <row r="349" s="260" customFormat="1" ht="13.2" x14ac:dyDescent="0.25"/>
    <row r="350" s="260" customFormat="1" ht="13.2" x14ac:dyDescent="0.25"/>
    <row r="351" s="260" customFormat="1" ht="13.2" x14ac:dyDescent="0.25"/>
    <row r="352" s="260" customFormat="1" ht="13.2" x14ac:dyDescent="0.25"/>
    <row r="353" s="260" customFormat="1" ht="13.2" x14ac:dyDescent="0.25"/>
    <row r="354" s="260" customFormat="1" ht="13.2" x14ac:dyDescent="0.25"/>
    <row r="355" s="260" customFormat="1" ht="13.2" x14ac:dyDescent="0.25"/>
    <row r="356" s="260" customFormat="1" ht="13.2" x14ac:dyDescent="0.25"/>
    <row r="357" s="260" customFormat="1" ht="13.2" x14ac:dyDescent="0.25"/>
    <row r="358" s="260" customFormat="1" ht="13.2" x14ac:dyDescent="0.25"/>
    <row r="359" s="260" customFormat="1" ht="13.2" x14ac:dyDescent="0.25"/>
    <row r="360" s="260" customFormat="1" ht="13.2" x14ac:dyDescent="0.25"/>
    <row r="361" s="260" customFormat="1" ht="13.2" x14ac:dyDescent="0.25"/>
    <row r="362" s="260" customFormat="1" ht="13.2" x14ac:dyDescent="0.25"/>
    <row r="363" s="260" customFormat="1" ht="13.2" x14ac:dyDescent="0.25"/>
    <row r="364" s="260" customFormat="1" ht="13.2" x14ac:dyDescent="0.25"/>
    <row r="365" s="260" customFormat="1" ht="13.2" x14ac:dyDescent="0.25"/>
    <row r="366" s="260" customFormat="1" ht="13.2" x14ac:dyDescent="0.25"/>
    <row r="367" s="260" customFormat="1" ht="13.2" x14ac:dyDescent="0.25"/>
    <row r="368" s="260" customFormat="1" ht="13.2" x14ac:dyDescent="0.25"/>
    <row r="369" s="260" customFormat="1" ht="13.2" x14ac:dyDescent="0.25"/>
    <row r="370" s="260" customFormat="1" ht="13.2" x14ac:dyDescent="0.25"/>
    <row r="371" s="260" customFormat="1" ht="13.2" x14ac:dyDescent="0.25"/>
    <row r="372" s="260" customFormat="1" ht="13.2" x14ac:dyDescent="0.25"/>
    <row r="373" s="260" customFormat="1" ht="13.2" x14ac:dyDescent="0.25"/>
    <row r="374" s="260" customFormat="1" ht="13.2" x14ac:dyDescent="0.25"/>
    <row r="375" s="260" customFormat="1" ht="13.2" x14ac:dyDescent="0.25"/>
    <row r="376" s="260" customFormat="1" ht="13.2" x14ac:dyDescent="0.25"/>
    <row r="377" s="260" customFormat="1" ht="13.2" x14ac:dyDescent="0.25"/>
    <row r="378" s="260" customFormat="1" ht="13.2" x14ac:dyDescent="0.25"/>
    <row r="379" s="260" customFormat="1" ht="13.2" x14ac:dyDescent="0.25"/>
    <row r="380" s="260" customFormat="1" ht="13.2" x14ac:dyDescent="0.25"/>
    <row r="381" s="260" customFormat="1" ht="13.2" x14ac:dyDescent="0.25"/>
    <row r="382" s="260" customFormat="1" ht="13.2" x14ac:dyDescent="0.25"/>
    <row r="383" s="260" customFormat="1" ht="13.2" x14ac:dyDescent="0.25"/>
    <row r="384" s="260" customFormat="1" ht="13.2" x14ac:dyDescent="0.25"/>
    <row r="385" s="260" customFormat="1" ht="13.2" x14ac:dyDescent="0.25"/>
    <row r="386" s="260" customFormat="1" ht="13.2" x14ac:dyDescent="0.25"/>
    <row r="387" s="260" customFormat="1" ht="13.2" x14ac:dyDescent="0.25"/>
    <row r="388" s="260" customFormat="1" ht="13.2" x14ac:dyDescent="0.25"/>
    <row r="389" s="260" customFormat="1" ht="13.2" x14ac:dyDescent="0.25"/>
    <row r="390" s="260" customFormat="1" ht="13.2" x14ac:dyDescent="0.25"/>
    <row r="391" s="260" customFormat="1" ht="13.2" x14ac:dyDescent="0.25"/>
    <row r="392" s="260" customFormat="1" ht="13.2" x14ac:dyDescent="0.25"/>
    <row r="393" s="260" customFormat="1" ht="13.2" x14ac:dyDescent="0.25"/>
    <row r="394" s="260" customFormat="1" ht="13.2" x14ac:dyDescent="0.25"/>
    <row r="395" s="260" customFormat="1" ht="13.2" x14ac:dyDescent="0.25"/>
    <row r="396" s="260" customFormat="1" ht="13.2" x14ac:dyDescent="0.25"/>
    <row r="397" s="260" customFormat="1" ht="13.2" x14ac:dyDescent="0.25"/>
    <row r="398" s="260" customFormat="1" ht="13.2" x14ac:dyDescent="0.25"/>
    <row r="399" s="260" customFormat="1" ht="13.2" x14ac:dyDescent="0.25"/>
    <row r="400" s="260" customFormat="1" ht="13.2" x14ac:dyDescent="0.25"/>
    <row r="401" s="260" customFormat="1" ht="13.2" x14ac:dyDescent="0.25"/>
    <row r="402" s="260" customFormat="1" ht="13.2" x14ac:dyDescent="0.25"/>
    <row r="403" s="260" customFormat="1" ht="13.2" x14ac:dyDescent="0.25"/>
    <row r="404" s="260" customFormat="1" ht="13.2" x14ac:dyDescent="0.25"/>
    <row r="405" s="260" customFormat="1" ht="13.2" x14ac:dyDescent="0.25"/>
    <row r="406" s="260" customFormat="1" ht="13.2" x14ac:dyDescent="0.25"/>
    <row r="407" s="260" customFormat="1" ht="13.2" x14ac:dyDescent="0.25"/>
    <row r="408" s="260" customFormat="1" ht="13.2" x14ac:dyDescent="0.25"/>
    <row r="409" s="260" customFormat="1" ht="13.2" x14ac:dyDescent="0.25"/>
    <row r="410" s="260" customFormat="1" ht="13.2" x14ac:dyDescent="0.25"/>
    <row r="411" s="260" customFormat="1" ht="13.2" x14ac:dyDescent="0.25"/>
    <row r="412" s="260" customFormat="1" ht="13.2" x14ac:dyDescent="0.25"/>
    <row r="413" s="260" customFormat="1" ht="13.2" x14ac:dyDescent="0.25"/>
    <row r="414" s="260" customFormat="1" ht="13.2" x14ac:dyDescent="0.25"/>
    <row r="415" s="260" customFormat="1" ht="13.2" x14ac:dyDescent="0.25"/>
    <row r="416" s="260" customFormat="1" ht="13.2" x14ac:dyDescent="0.25"/>
    <row r="417" s="260" customFormat="1" ht="13.2" x14ac:dyDescent="0.25"/>
    <row r="418" s="260" customFormat="1" ht="13.2" x14ac:dyDescent="0.25"/>
    <row r="419" s="260" customFormat="1" ht="13.2" x14ac:dyDescent="0.25"/>
    <row r="420" s="260" customFormat="1" ht="13.2" x14ac:dyDescent="0.25"/>
    <row r="421" s="260" customFormat="1" ht="13.2" x14ac:dyDescent="0.25"/>
    <row r="422" s="260" customFormat="1" ht="13.2" x14ac:dyDescent="0.25"/>
    <row r="423" s="260" customFormat="1" ht="13.2" x14ac:dyDescent="0.25"/>
    <row r="424" s="260" customFormat="1" ht="13.2" x14ac:dyDescent="0.25"/>
    <row r="425" s="260" customFormat="1" ht="13.2" x14ac:dyDescent="0.25"/>
    <row r="426" s="260" customFormat="1" ht="13.2" x14ac:dyDescent="0.25"/>
    <row r="427" s="260" customFormat="1" ht="13.2" x14ac:dyDescent="0.25"/>
    <row r="428" s="260" customFormat="1" ht="13.2" x14ac:dyDescent="0.25"/>
    <row r="429" s="260" customFormat="1" ht="13.2" x14ac:dyDescent="0.25"/>
    <row r="430" s="260" customFormat="1" ht="13.2" x14ac:dyDescent="0.25"/>
    <row r="431" s="260" customFormat="1" ht="13.2" x14ac:dyDescent="0.25"/>
    <row r="432" s="260" customFormat="1" ht="13.2" x14ac:dyDescent="0.25"/>
    <row r="433" s="260" customFormat="1" ht="13.2" x14ac:dyDescent="0.25"/>
    <row r="434" s="260" customFormat="1" ht="13.2" x14ac:dyDescent="0.25"/>
    <row r="435" s="260" customFormat="1" ht="13.2" x14ac:dyDescent="0.25"/>
    <row r="436" s="260" customFormat="1" ht="13.2" x14ac:dyDescent="0.25"/>
    <row r="437" s="260" customFormat="1" ht="13.2" x14ac:dyDescent="0.25"/>
    <row r="438" s="260" customFormat="1" ht="13.2" x14ac:dyDescent="0.25"/>
    <row r="439" s="260" customFormat="1" ht="13.2" x14ac:dyDescent="0.25"/>
    <row r="440" s="260" customFormat="1" ht="13.2" x14ac:dyDescent="0.25"/>
    <row r="441" s="260" customFormat="1" ht="13.2" x14ac:dyDescent="0.25"/>
    <row r="442" s="260" customFormat="1" ht="13.2" x14ac:dyDescent="0.25"/>
    <row r="443" s="260" customFormat="1" ht="13.2" x14ac:dyDescent="0.25"/>
    <row r="444" s="260" customFormat="1" ht="13.2" x14ac:dyDescent="0.25"/>
    <row r="445" s="260" customFormat="1" ht="13.2" x14ac:dyDescent="0.25"/>
    <row r="446" s="260" customFormat="1" ht="13.2" x14ac:dyDescent="0.25"/>
    <row r="447" s="260" customFormat="1" ht="13.2" x14ac:dyDescent="0.25"/>
    <row r="448" s="260" customFormat="1" ht="13.2" x14ac:dyDescent="0.25"/>
    <row r="449" s="260" customFormat="1" ht="13.2" x14ac:dyDescent="0.25"/>
    <row r="450" s="260" customFormat="1" ht="13.2" x14ac:dyDescent="0.25"/>
    <row r="451" s="260" customFormat="1" ht="13.2" x14ac:dyDescent="0.25"/>
    <row r="452" s="260" customFormat="1" ht="13.2" x14ac:dyDescent="0.25"/>
    <row r="453" s="260" customFormat="1" ht="13.2" x14ac:dyDescent="0.25"/>
    <row r="454" s="260" customFormat="1" ht="13.2" x14ac:dyDescent="0.25"/>
    <row r="455" s="260" customFormat="1" ht="13.2" x14ac:dyDescent="0.25"/>
    <row r="456" s="260" customFormat="1" ht="13.2" x14ac:dyDescent="0.25"/>
    <row r="457" s="260" customFormat="1" ht="13.2" x14ac:dyDescent="0.25"/>
    <row r="458" s="260" customFormat="1" ht="13.2" x14ac:dyDescent="0.25"/>
    <row r="459" s="260" customFormat="1" ht="13.2" x14ac:dyDescent="0.25"/>
    <row r="460" s="260" customFormat="1" ht="13.2" x14ac:dyDescent="0.25"/>
    <row r="461" s="260" customFormat="1" ht="13.2" x14ac:dyDescent="0.25"/>
    <row r="462" s="260" customFormat="1" ht="13.2" x14ac:dyDescent="0.25"/>
    <row r="463" s="260" customFormat="1" ht="13.2" x14ac:dyDescent="0.25"/>
    <row r="464" s="260" customFormat="1" ht="13.2" x14ac:dyDescent="0.25"/>
    <row r="465" s="260" customFormat="1" ht="13.2" x14ac:dyDescent="0.25"/>
    <row r="466" s="260" customFormat="1" ht="13.2" x14ac:dyDescent="0.25"/>
    <row r="467" s="260" customFormat="1" ht="13.2" x14ac:dyDescent="0.25"/>
    <row r="468" s="260" customFormat="1" ht="13.2" x14ac:dyDescent="0.25"/>
    <row r="469" s="260" customFormat="1" ht="13.2" x14ac:dyDescent="0.25"/>
    <row r="470" s="260" customFormat="1" ht="13.2" x14ac:dyDescent="0.25"/>
    <row r="471" s="260" customFormat="1" ht="13.2" x14ac:dyDescent="0.25"/>
    <row r="472" s="260" customFormat="1" ht="13.2" x14ac:dyDescent="0.25"/>
    <row r="473" s="260" customFormat="1" ht="13.2" x14ac:dyDescent="0.25"/>
    <row r="474" s="260" customFormat="1" ht="13.2" x14ac:dyDescent="0.25"/>
    <row r="475" s="260" customFormat="1" ht="13.2" x14ac:dyDescent="0.25"/>
    <row r="476" s="260" customFormat="1" ht="13.2" x14ac:dyDescent="0.25"/>
    <row r="477" s="260" customFormat="1" ht="13.2" x14ac:dyDescent="0.25"/>
    <row r="478" s="260" customFormat="1" ht="13.2" x14ac:dyDescent="0.25"/>
    <row r="479" s="260" customFormat="1" ht="13.2" x14ac:dyDescent="0.25"/>
    <row r="480" s="260" customFormat="1" ht="13.2" x14ac:dyDescent="0.25"/>
    <row r="481" s="260" customFormat="1" ht="13.2" x14ac:dyDescent="0.25"/>
    <row r="482" s="260" customFormat="1" ht="13.2" x14ac:dyDescent="0.25"/>
    <row r="483" s="260" customFormat="1" ht="13.2" x14ac:dyDescent="0.25"/>
    <row r="484" s="260" customFormat="1" ht="13.2" x14ac:dyDescent="0.25"/>
    <row r="485" s="260" customFormat="1" ht="13.2" x14ac:dyDescent="0.25"/>
    <row r="486" s="260" customFormat="1" ht="13.2" x14ac:dyDescent="0.25"/>
    <row r="487" s="260" customFormat="1" ht="13.2" x14ac:dyDescent="0.25"/>
    <row r="488" s="260" customFormat="1" ht="13.2" x14ac:dyDescent="0.25"/>
    <row r="489" s="260" customFormat="1" ht="13.2" x14ac:dyDescent="0.25"/>
    <row r="490" s="260" customFormat="1" ht="13.2" x14ac:dyDescent="0.25"/>
    <row r="491" s="260" customFormat="1" ht="13.2" x14ac:dyDescent="0.25"/>
    <row r="492" s="260" customFormat="1" ht="13.2" x14ac:dyDescent="0.25"/>
    <row r="493" s="260" customFormat="1" ht="13.2" x14ac:dyDescent="0.25"/>
    <row r="494" s="260" customFormat="1" ht="13.2" x14ac:dyDescent="0.25"/>
    <row r="495" s="260" customFormat="1" ht="13.2" x14ac:dyDescent="0.25"/>
    <row r="496" s="260" customFormat="1" ht="13.2" x14ac:dyDescent="0.25"/>
    <row r="497" s="260" customFormat="1" ht="13.2" x14ac:dyDescent="0.25"/>
    <row r="498" s="260" customFormat="1" ht="13.2" x14ac:dyDescent="0.25"/>
    <row r="499" s="260" customFormat="1" ht="13.2" x14ac:dyDescent="0.25"/>
    <row r="500" s="260" customFormat="1" ht="13.2" x14ac:dyDescent="0.25"/>
    <row r="501" s="260" customFormat="1" ht="13.2" x14ac:dyDescent="0.25"/>
    <row r="502" s="260" customFormat="1" ht="13.2" x14ac:dyDescent="0.25"/>
    <row r="503" s="260" customFormat="1" ht="13.2" x14ac:dyDescent="0.25"/>
    <row r="504" s="260" customFormat="1" ht="13.2" x14ac:dyDescent="0.25"/>
    <row r="505" s="260" customFormat="1" ht="13.2" x14ac:dyDescent="0.25"/>
    <row r="506" s="260" customFormat="1" ht="13.2" x14ac:dyDescent="0.25"/>
    <row r="507" s="260" customFormat="1" ht="13.2" x14ac:dyDescent="0.25"/>
    <row r="508" s="260" customFormat="1" ht="13.2" x14ac:dyDescent="0.25"/>
    <row r="509" s="260" customFormat="1" ht="13.2" x14ac:dyDescent="0.25"/>
    <row r="510" s="260" customFormat="1" ht="13.2" x14ac:dyDescent="0.25"/>
    <row r="511" s="260" customFormat="1" ht="13.2" x14ac:dyDescent="0.25"/>
    <row r="512" s="260" customFormat="1" ht="13.2" x14ac:dyDescent="0.25"/>
    <row r="513" s="260" customFormat="1" ht="13.2" x14ac:dyDescent="0.25"/>
    <row r="514" s="260" customFormat="1" ht="13.2" x14ac:dyDescent="0.25"/>
    <row r="515" s="260" customFormat="1" ht="13.2" x14ac:dyDescent="0.25"/>
    <row r="516" s="260" customFormat="1" ht="13.2" x14ac:dyDescent="0.25"/>
    <row r="517" s="260" customFormat="1" ht="13.2" x14ac:dyDescent="0.25"/>
    <row r="518" s="260" customFormat="1" ht="13.2" x14ac:dyDescent="0.25"/>
    <row r="519" s="260" customFormat="1" ht="13.2" x14ac:dyDescent="0.25"/>
    <row r="520" s="260" customFormat="1" ht="13.2" x14ac:dyDescent="0.25"/>
    <row r="521" s="260" customFormat="1" ht="13.2" x14ac:dyDescent="0.25"/>
    <row r="522" s="260" customFormat="1" ht="13.2" x14ac:dyDescent="0.25"/>
    <row r="523" s="260" customFormat="1" ht="13.2" x14ac:dyDescent="0.25"/>
    <row r="524" s="260" customFormat="1" ht="13.2" x14ac:dyDescent="0.25"/>
    <row r="525" s="260" customFormat="1" ht="13.2" x14ac:dyDescent="0.25"/>
    <row r="526" s="260" customFormat="1" ht="13.2" x14ac:dyDescent="0.25"/>
    <row r="527" s="260" customFormat="1" ht="13.2" x14ac:dyDescent="0.25"/>
    <row r="528" s="260" customFormat="1" ht="13.2" x14ac:dyDescent="0.25"/>
    <row r="529" s="260" customFormat="1" ht="13.2" x14ac:dyDescent="0.25"/>
    <row r="530" s="260" customFormat="1" ht="13.2" x14ac:dyDescent="0.25"/>
    <row r="531" s="260" customFormat="1" ht="13.2" x14ac:dyDescent="0.25"/>
    <row r="532" s="260" customFormat="1" ht="13.2" x14ac:dyDescent="0.25"/>
    <row r="533" s="260" customFormat="1" ht="13.2" x14ac:dyDescent="0.25"/>
    <row r="534" s="260" customFormat="1" ht="13.2" x14ac:dyDescent="0.25"/>
    <row r="535" s="260" customFormat="1" ht="13.2" x14ac:dyDescent="0.25"/>
    <row r="536" s="260" customFormat="1" ht="13.2" x14ac:dyDescent="0.25"/>
    <row r="537" s="260" customFormat="1" ht="13.2" x14ac:dyDescent="0.25"/>
    <row r="538" s="260" customFormat="1" ht="13.2" x14ac:dyDescent="0.25"/>
    <row r="539" s="260" customFormat="1" ht="13.2" x14ac:dyDescent="0.25"/>
    <row r="540" s="260" customFormat="1" ht="13.2" x14ac:dyDescent="0.25"/>
    <row r="541" s="260" customFormat="1" ht="13.2" x14ac:dyDescent="0.25"/>
    <row r="542" s="260" customFormat="1" ht="13.2" x14ac:dyDescent="0.25"/>
    <row r="543" s="260" customFormat="1" ht="13.2" x14ac:dyDescent="0.25"/>
    <row r="544" s="260" customFormat="1" ht="13.2" x14ac:dyDescent="0.25"/>
    <row r="545" s="260" customFormat="1" ht="13.2" x14ac:dyDescent="0.25"/>
    <row r="546" s="260" customFormat="1" ht="13.2" x14ac:dyDescent="0.25"/>
    <row r="547" s="260" customFormat="1" ht="13.2" x14ac:dyDescent="0.25"/>
    <row r="548" s="260" customFormat="1" ht="13.2" x14ac:dyDescent="0.25"/>
    <row r="549" s="260" customFormat="1" ht="13.2" x14ac:dyDescent="0.25"/>
    <row r="550" s="260" customFormat="1" ht="13.2" x14ac:dyDescent="0.25"/>
    <row r="551" s="260" customFormat="1" ht="13.2" x14ac:dyDescent="0.25"/>
    <row r="552" s="260" customFormat="1" ht="13.2" x14ac:dyDescent="0.25"/>
    <row r="553" s="260" customFormat="1" ht="13.2" x14ac:dyDescent="0.25"/>
    <row r="554" s="260" customFormat="1" ht="13.2" x14ac:dyDescent="0.25"/>
    <row r="555" s="260" customFormat="1" ht="13.2" x14ac:dyDescent="0.25"/>
    <row r="556" s="260" customFormat="1" ht="13.2" x14ac:dyDescent="0.25"/>
    <row r="557" s="260" customFormat="1" ht="13.2" x14ac:dyDescent="0.25"/>
    <row r="558" s="260" customFormat="1" ht="13.2" x14ac:dyDescent="0.25"/>
    <row r="559" s="260" customFormat="1" ht="13.2" x14ac:dyDescent="0.25"/>
    <row r="560" s="260" customFormat="1" ht="13.2" x14ac:dyDescent="0.25"/>
    <row r="561" s="260" customFormat="1" ht="13.2" x14ac:dyDescent="0.25"/>
    <row r="562" s="260" customFormat="1" ht="13.2" x14ac:dyDescent="0.25"/>
    <row r="563" s="260" customFormat="1" ht="13.2" x14ac:dyDescent="0.25"/>
    <row r="564" s="260" customFormat="1" ht="13.2" x14ac:dyDescent="0.25"/>
    <row r="565" s="260" customFormat="1" ht="13.2" x14ac:dyDescent="0.25"/>
    <row r="566" s="260" customFormat="1" ht="13.2" x14ac:dyDescent="0.25"/>
    <row r="567" s="260" customFormat="1" ht="13.2" x14ac:dyDescent="0.25"/>
    <row r="568" s="260" customFormat="1" ht="13.2" x14ac:dyDescent="0.25"/>
    <row r="569" s="260" customFormat="1" ht="13.2" x14ac:dyDescent="0.25"/>
    <row r="570" s="260" customFormat="1" ht="13.2" x14ac:dyDescent="0.25"/>
    <row r="571" s="260" customFormat="1" ht="13.2" x14ac:dyDescent="0.25"/>
    <row r="572" s="260" customFormat="1" ht="13.2" x14ac:dyDescent="0.25"/>
    <row r="573" s="260" customFormat="1" ht="13.2" x14ac:dyDescent="0.25"/>
    <row r="574" s="260" customFormat="1" ht="13.2" x14ac:dyDescent="0.25"/>
    <row r="575" s="260" customFormat="1" ht="13.2" x14ac:dyDescent="0.25"/>
    <row r="576" s="260" customFormat="1" ht="13.2" x14ac:dyDescent="0.25"/>
    <row r="577" s="260" customFormat="1" ht="13.2" x14ac:dyDescent="0.25"/>
    <row r="578" s="260" customFormat="1" ht="13.2" x14ac:dyDescent="0.25"/>
    <row r="579" s="260" customFormat="1" ht="13.2" x14ac:dyDescent="0.25"/>
    <row r="580" s="260" customFormat="1" ht="13.2" x14ac:dyDescent="0.25"/>
    <row r="581" s="260" customFormat="1" ht="13.2" x14ac:dyDescent="0.25"/>
    <row r="582" s="260" customFormat="1" ht="13.2" x14ac:dyDescent="0.25"/>
    <row r="583" s="260" customFormat="1" ht="13.2" x14ac:dyDescent="0.25"/>
    <row r="584" s="260" customFormat="1" ht="13.2" x14ac:dyDescent="0.25"/>
    <row r="585" s="260" customFormat="1" ht="13.2" x14ac:dyDescent="0.25"/>
    <row r="586" s="260" customFormat="1" ht="13.2" x14ac:dyDescent="0.25"/>
    <row r="587" s="260" customFormat="1" ht="13.2" x14ac:dyDescent="0.25"/>
    <row r="588" s="260" customFormat="1" ht="13.2" x14ac:dyDescent="0.25"/>
    <row r="589" s="260" customFormat="1" ht="13.2" x14ac:dyDescent="0.25"/>
    <row r="590" s="260" customFormat="1" ht="13.2" x14ac:dyDescent="0.25"/>
    <row r="591" s="260" customFormat="1" ht="13.2" x14ac:dyDescent="0.25"/>
    <row r="592" s="260" customFormat="1" ht="13.2" x14ac:dyDescent="0.25"/>
    <row r="593" s="260" customFormat="1" ht="13.2" x14ac:dyDescent="0.25"/>
    <row r="594" s="260" customFormat="1" ht="13.2" x14ac:dyDescent="0.25"/>
    <row r="595" s="260" customFormat="1" ht="13.2" x14ac:dyDescent="0.25"/>
    <row r="596" s="260" customFormat="1" ht="13.2" x14ac:dyDescent="0.25"/>
    <row r="597" s="260" customFormat="1" ht="13.2" x14ac:dyDescent="0.25"/>
    <row r="598" s="260" customFormat="1" ht="13.2" x14ac:dyDescent="0.25"/>
    <row r="599" s="260" customFormat="1" ht="13.2" x14ac:dyDescent="0.25"/>
    <row r="600" s="260" customFormat="1" ht="13.2" x14ac:dyDescent="0.25"/>
    <row r="601" s="260" customFormat="1" ht="13.2" x14ac:dyDescent="0.25"/>
    <row r="602" s="260" customFormat="1" ht="13.2" x14ac:dyDescent="0.25"/>
    <row r="603" s="260" customFormat="1" ht="13.2" x14ac:dyDescent="0.25"/>
    <row r="604" s="260" customFormat="1" ht="13.2" x14ac:dyDescent="0.25"/>
  </sheetData>
  <mergeCells count="13">
    <mergeCell ref="A41:A43"/>
    <mergeCell ref="A44:A47"/>
    <mergeCell ref="A48:A51"/>
    <mergeCell ref="A2:G2"/>
    <mergeCell ref="A39:A40"/>
    <mergeCell ref="A6:A13"/>
    <mergeCell ref="A14:A21"/>
    <mergeCell ref="A22:A24"/>
    <mergeCell ref="A25:A27"/>
    <mergeCell ref="A29:A31"/>
    <mergeCell ref="A32:A34"/>
    <mergeCell ref="A35:A36"/>
    <mergeCell ref="A37:A38"/>
  </mergeCells>
  <pageMargins left="0.27559055118110237" right="0.27559055118110237" top="0.39370078740157483" bottom="0.3937007874015748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5</vt:i4>
      </vt:variant>
    </vt:vector>
  </HeadingPairs>
  <TitlesOfParts>
    <vt:vector size="27" baseType="lpstr">
      <vt:lpstr>Indice</vt:lpstr>
      <vt:lpstr>C.90</vt:lpstr>
      <vt:lpstr>C.91</vt:lpstr>
      <vt:lpstr>C.92</vt:lpstr>
      <vt:lpstr>C.93</vt:lpstr>
      <vt:lpstr>C.94</vt:lpstr>
      <vt:lpstr>C.95</vt:lpstr>
      <vt:lpstr>C.96</vt:lpstr>
      <vt:lpstr>C.97</vt:lpstr>
      <vt:lpstr>C.98</vt:lpstr>
      <vt:lpstr>C.99</vt:lpstr>
      <vt:lpstr>C.100</vt:lpstr>
      <vt:lpstr>C.101</vt:lpstr>
      <vt:lpstr>C.102</vt:lpstr>
      <vt:lpstr>C.103</vt:lpstr>
      <vt:lpstr>C.104</vt:lpstr>
      <vt:lpstr>C.105</vt:lpstr>
      <vt:lpstr>C.106</vt:lpstr>
      <vt:lpstr>C.107</vt:lpstr>
      <vt:lpstr>C.108</vt:lpstr>
      <vt:lpstr>C.109</vt:lpstr>
      <vt:lpstr>C.110</vt:lpstr>
      <vt:lpstr>C.102!Área_de_impresión</vt:lpstr>
      <vt:lpstr>C.103!Área_de_impresión</vt:lpstr>
      <vt:lpstr>C.104!Área_de_impresión</vt:lpstr>
      <vt:lpstr>C.106!Área_de_impresión</vt:lpstr>
      <vt:lpstr>C.90!Área_de_impresión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Raul Andrade</dc:creator>
  <cp:keywords/>
  <dc:description/>
  <cp:lastModifiedBy>User</cp:lastModifiedBy>
  <cp:lastPrinted>2025-10-15T16:17:23Z</cp:lastPrinted>
  <dcterms:created xsi:type="dcterms:W3CDTF">2002-01-07T15:01:08Z</dcterms:created>
  <dcterms:modified xsi:type="dcterms:W3CDTF">2025-10-31T17:23:30Z</dcterms:modified>
  <cp:category/>
</cp:coreProperties>
</file>