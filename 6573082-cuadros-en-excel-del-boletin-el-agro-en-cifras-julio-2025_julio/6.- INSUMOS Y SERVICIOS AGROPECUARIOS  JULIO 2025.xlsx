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8_{B7A140CC-47A9-4E8A-B8B7-F89392FABB18}" xr6:coauthVersionLast="47" xr6:coauthVersionMax="47" xr10:uidLastSave="{00000000-0000-0000-0000-000000000000}"/>
  <bookViews>
    <workbookView xWindow="-120" yWindow="-120" windowWidth="29040" windowHeight="15720" tabRatio="890" activeTab="8" xr2:uid="{00000000-000D-0000-FFFF-FFFF00000000}"/>
  </bookViews>
  <sheets>
    <sheet name="Indice" sheetId="91" r:id="rId1"/>
    <sheet name="C.90" sheetId="86" r:id="rId2"/>
    <sheet name="C.91" sheetId="87" r:id="rId3"/>
    <sheet name="C.92" sheetId="106" r:id="rId4"/>
    <sheet name="C.93" sheetId="98" r:id="rId5"/>
    <sheet name="C.94" sheetId="97" r:id="rId6"/>
    <sheet name="C.95" sheetId="96" r:id="rId7"/>
    <sheet name="C.96" sheetId="105" r:id="rId8"/>
    <sheet name="C.97" sheetId="104" r:id="rId9"/>
    <sheet name="C.98" sheetId="103" r:id="rId10"/>
    <sheet name="C.99" sheetId="102" r:id="rId11"/>
    <sheet name="C.100" sheetId="101" r:id="rId12"/>
    <sheet name="C.101" sheetId="100" r:id="rId13"/>
    <sheet name="C.102" sheetId="83" r:id="rId14"/>
    <sheet name="C.103" sheetId="84" r:id="rId15"/>
    <sheet name="C.104" sheetId="88" r:id="rId16"/>
    <sheet name="C.105" sheetId="89" r:id="rId17"/>
    <sheet name="C.106" sheetId="90" r:id="rId18"/>
    <sheet name="C.107" sheetId="95" r:id="rId19"/>
    <sheet name="C.108" sheetId="94" r:id="rId20"/>
    <sheet name="C.109" sheetId="93" r:id="rId21"/>
    <sheet name="C.110" sheetId="92" r:id="rId22"/>
  </sheets>
  <externalReferences>
    <externalReference r:id="rId23"/>
  </externalReferences>
  <definedNames>
    <definedName name="_1990" localSheetId="11">'[1]C-4-5-6'!#REF!</definedName>
    <definedName name="_1990" localSheetId="12">'[1]C-4-5-6'!#REF!</definedName>
    <definedName name="_1990" localSheetId="18">'[1]C-4-5-6'!#REF!</definedName>
    <definedName name="_1990" localSheetId="19">'[1]C-4-5-6'!#REF!</definedName>
    <definedName name="_1990" localSheetId="20">'[1]C-4-5-6'!#REF!</definedName>
    <definedName name="_1990" localSheetId="21">'[1]C-4-5-6'!#REF!</definedName>
    <definedName name="_1990" localSheetId="1">'[1]C-4-5-6'!#REF!</definedName>
    <definedName name="_1990" localSheetId="3">'[1]C-4-5-6'!#REF!</definedName>
    <definedName name="_1990" localSheetId="4">'[1]C-4-5-6'!#REF!</definedName>
    <definedName name="_1990" localSheetId="5">'[1]C-4-5-6'!#REF!</definedName>
    <definedName name="_1990" localSheetId="6">'[1]C-4-5-6'!#REF!</definedName>
    <definedName name="_1990" localSheetId="7">'[1]C-4-5-6'!#REF!</definedName>
    <definedName name="_1990" localSheetId="8">'[1]C-4-5-6'!#REF!</definedName>
    <definedName name="_1990" localSheetId="9">'[1]C-4-5-6'!#REF!</definedName>
    <definedName name="_1990" localSheetId="10">'[1]C-4-5-6'!#REF!</definedName>
    <definedName name="_1990" localSheetId="0">'[1]C-4-5-6'!#REF!</definedName>
    <definedName name="_1990">'[1]C-4-5-6'!#REF!</definedName>
    <definedName name="_Key1" localSheetId="11">#REF!</definedName>
    <definedName name="_Key1" localSheetId="12">#REF!</definedName>
    <definedName name="_Key1" localSheetId="18">#REF!</definedName>
    <definedName name="_Key1" localSheetId="19">#REF!</definedName>
    <definedName name="_Key1" localSheetId="20">#REF!</definedName>
    <definedName name="_Key1" localSheetId="21">#REF!</definedName>
    <definedName name="_Key1" localSheetId="1">#REF!</definedName>
    <definedName name="_Key1" localSheetId="3">#REF!</definedName>
    <definedName name="_Key1" localSheetId="4">#REF!</definedName>
    <definedName name="_Key1" localSheetId="5">#REF!</definedName>
    <definedName name="_Key1" localSheetId="6">#REF!</definedName>
    <definedName name="_Key1" localSheetId="7">#REF!</definedName>
    <definedName name="_Key1" localSheetId="8">#REF!</definedName>
    <definedName name="_Key1" localSheetId="9">#REF!</definedName>
    <definedName name="_Key1" localSheetId="10">#REF!</definedName>
    <definedName name="_Key1" localSheetId="0">#REF!</definedName>
    <definedName name="_Key1">#REF!</definedName>
    <definedName name="_Order1">255</definedName>
    <definedName name="_Sort" localSheetId="11">#REF!</definedName>
    <definedName name="_Sort" localSheetId="12">#REF!</definedName>
    <definedName name="_Sort" localSheetId="18">#REF!</definedName>
    <definedName name="_Sort" localSheetId="19">#REF!</definedName>
    <definedName name="_Sort" localSheetId="20">#REF!</definedName>
    <definedName name="_Sort" localSheetId="21">#REF!</definedName>
    <definedName name="_Sort" localSheetId="1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 localSheetId="8">#REF!</definedName>
    <definedName name="_Sort" localSheetId="9">#REF!</definedName>
    <definedName name="_Sort" localSheetId="10">#REF!</definedName>
    <definedName name="_Sort" localSheetId="0">#REF!</definedName>
    <definedName name="_Sort">#REF!</definedName>
    <definedName name="A_IMPRESION_IM" localSheetId="11">#REF!</definedName>
    <definedName name="A_IMPRESION_IM" localSheetId="12">#REF!</definedName>
    <definedName name="A_IMPRESION_IM" localSheetId="18">#REF!</definedName>
    <definedName name="A_IMPRESION_IM" localSheetId="19">#REF!</definedName>
    <definedName name="A_IMPRESION_IM" localSheetId="20">#REF!</definedName>
    <definedName name="A_IMPRESION_IM" localSheetId="21">#REF!</definedName>
    <definedName name="A_IMPRESION_IM" localSheetId="1">#REF!</definedName>
    <definedName name="A_IMPRESION_IM" localSheetId="3">#REF!</definedName>
    <definedName name="A_IMPRESION_IM" localSheetId="4">#REF!</definedName>
    <definedName name="A_IMPRESION_IM" localSheetId="5">#REF!</definedName>
    <definedName name="A_IMPRESION_IM" localSheetId="6">#REF!</definedName>
    <definedName name="A_IMPRESION_IM" localSheetId="7">#REF!</definedName>
    <definedName name="A_IMPRESION_IM" localSheetId="8">#REF!</definedName>
    <definedName name="A_IMPRESION_IM" localSheetId="9">#REF!</definedName>
    <definedName name="A_IMPRESION_IM" localSheetId="10">#REF!</definedName>
    <definedName name="A_IMPRESION_IM" localSheetId="0">#REF!</definedName>
    <definedName name="A_IMPRESION_IM">#REF!</definedName>
    <definedName name="A_IMPRESIÓN_IM" localSheetId="11">#REF!</definedName>
    <definedName name="A_IMPRESIÓN_IM" localSheetId="12">#REF!</definedName>
    <definedName name="A_IMPRESIÓN_IM" localSheetId="18">#REF!</definedName>
    <definedName name="A_IMPRESIÓN_IM" localSheetId="19">#REF!</definedName>
    <definedName name="A_IMPRESIÓN_IM" localSheetId="20">#REF!</definedName>
    <definedName name="A_IMPRESIÓN_IM" localSheetId="21">#REF!</definedName>
    <definedName name="A_IMPRESIÓN_IM" localSheetId="1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0">#REF!</definedName>
    <definedName name="A_IMPRESIÓN_IM">#REF!</definedName>
    <definedName name="AGO" localSheetId="11">#REF!</definedName>
    <definedName name="AGO" localSheetId="12">#REF!</definedName>
    <definedName name="AGO" localSheetId="18">#REF!</definedName>
    <definedName name="AGO" localSheetId="19">#REF!</definedName>
    <definedName name="AGO" localSheetId="20">#REF!</definedName>
    <definedName name="AGO" localSheetId="21">#REF!</definedName>
    <definedName name="AGO" localSheetId="1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9">#REF!</definedName>
    <definedName name="AGO" localSheetId="10">#REF!</definedName>
    <definedName name="AGO" localSheetId="0">#REF!</definedName>
    <definedName name="AGO">#REF!</definedName>
    <definedName name="agueda" localSheetId="11">'[1]C-2-3'!#REF!</definedName>
    <definedName name="agueda" localSheetId="12">'[1]C-2-3'!#REF!</definedName>
    <definedName name="agueda" localSheetId="18">'[1]C-2-3'!#REF!</definedName>
    <definedName name="agueda" localSheetId="19">'[1]C-2-3'!#REF!</definedName>
    <definedName name="agueda" localSheetId="20">'[1]C-2-3'!#REF!</definedName>
    <definedName name="agueda" localSheetId="21">'[1]C-2-3'!#REF!</definedName>
    <definedName name="agueda" localSheetId="1">'[1]C-2-3'!#REF!</definedName>
    <definedName name="agueda" localSheetId="3">'[1]C-2-3'!#REF!</definedName>
    <definedName name="agueda" localSheetId="4">'[1]C-2-3'!#REF!</definedName>
    <definedName name="agueda" localSheetId="5">'[1]C-2-3'!#REF!</definedName>
    <definedName name="agueda" localSheetId="6">'[1]C-2-3'!#REF!</definedName>
    <definedName name="agueda" localSheetId="7">'[1]C-2-3'!#REF!</definedName>
    <definedName name="agueda" localSheetId="8">'[1]C-2-3'!#REF!</definedName>
    <definedName name="agueda" localSheetId="9">'[1]C-2-3'!#REF!</definedName>
    <definedName name="agueda" localSheetId="10">'[1]C-2-3'!#REF!</definedName>
    <definedName name="agueda" localSheetId="0">'[1]C-2-3'!#REF!</definedName>
    <definedName name="agueda">'[1]C-2-3'!#REF!</definedName>
    <definedName name="_xlnm.Print_Area" localSheetId="13">'C.102'!$A$1:$O$203</definedName>
    <definedName name="_xlnm.Print_Area" localSheetId="14">'C.103'!$A$1:$N$72</definedName>
    <definedName name="_xlnm.Print_Area" localSheetId="15">'C.104'!$A$1:$N$203</definedName>
    <definedName name="_xlnm.Print_Area" localSheetId="17">'C.106'!$A$2:$G$132</definedName>
    <definedName name="_xlnm.Print_Area" localSheetId="18">'C.107'!#REF!</definedName>
    <definedName name="_xlnm.Print_Area" localSheetId="19">'C.108'!#REF!</definedName>
    <definedName name="_xlnm.Print_Area" localSheetId="20">'C.109'!#REF!</definedName>
    <definedName name="_xlnm.Print_Area" localSheetId="21">'C.110'!#REF!</definedName>
    <definedName name="_xlnm.Print_Area" localSheetId="1">'C.90'!$A$1:$O$111</definedName>
    <definedName name="_xlnm.Print_Area" localSheetId="3">'C.92'!#REF!</definedName>
    <definedName name="_xlnm.Print_Area" localSheetId="4">'C.93'!#REF!</definedName>
    <definedName name="_xlnm.Print_Area" localSheetId="5">'C.94'!#REF!</definedName>
    <definedName name="_xlnm.Print_Area" localSheetId="6">'C.95'!#REF!</definedName>
    <definedName name="asihuas" localSheetId="11">#REF!</definedName>
    <definedName name="asihuas" localSheetId="12">#REF!</definedName>
    <definedName name="asihuas" localSheetId="18">#REF!</definedName>
    <definedName name="asihuas" localSheetId="19">#REF!</definedName>
    <definedName name="asihuas" localSheetId="20">#REF!</definedName>
    <definedName name="asihuas" localSheetId="21">#REF!</definedName>
    <definedName name="asihuas" localSheetId="1">#REF!</definedName>
    <definedName name="asihuas" localSheetId="3">#REF!</definedName>
    <definedName name="asihuas" localSheetId="4">#REF!</definedName>
    <definedName name="asihuas" localSheetId="5">#REF!</definedName>
    <definedName name="asihuas" localSheetId="6">#REF!</definedName>
    <definedName name="asihuas" localSheetId="7">#REF!</definedName>
    <definedName name="asihuas" localSheetId="8">#REF!</definedName>
    <definedName name="asihuas" localSheetId="9">#REF!</definedName>
    <definedName name="asihuas" localSheetId="10">#REF!</definedName>
    <definedName name="asihuas" localSheetId="0">#REF!</definedName>
    <definedName name="asihuas">#REF!</definedName>
    <definedName name="fedfs" localSheetId="11">#REF!</definedName>
    <definedName name="fedfs" localSheetId="12">#REF!</definedName>
    <definedName name="fedfs" localSheetId="1">#REF!</definedName>
    <definedName name="fedfs" localSheetId="3">#REF!</definedName>
    <definedName name="fedfs" localSheetId="7">#REF!</definedName>
    <definedName name="fedfs" localSheetId="8">#REF!</definedName>
    <definedName name="fedfs" localSheetId="9">#REF!</definedName>
    <definedName name="fedfs" localSheetId="10">#REF!</definedName>
    <definedName name="fedfs" localSheetId="0">#REF!</definedName>
    <definedName name="fedfs">#REF!</definedName>
    <definedName name="fg" localSheetId="11">#REF!</definedName>
    <definedName name="fg" localSheetId="12">#REF!</definedName>
    <definedName name="fg" localSheetId="18">#REF!</definedName>
    <definedName name="fg" localSheetId="19">#REF!</definedName>
    <definedName name="fg" localSheetId="20">#REF!</definedName>
    <definedName name="fg" localSheetId="21">#REF!</definedName>
    <definedName name="fg" localSheetId="1">#REF!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0">#REF!</definedName>
    <definedName name="fg">#REF!</definedName>
    <definedName name="fsfdfds" localSheetId="11">'[1]C-4-5-6'!#REF!</definedName>
    <definedName name="fsfdfds" localSheetId="12">'[1]C-4-5-6'!#REF!</definedName>
    <definedName name="fsfdfds" localSheetId="18">'[1]C-4-5-6'!#REF!</definedName>
    <definedName name="fsfdfds" localSheetId="19">'[1]C-4-5-6'!#REF!</definedName>
    <definedName name="fsfdfds" localSheetId="20">'[1]C-4-5-6'!#REF!</definedName>
    <definedName name="fsfdfds" localSheetId="21">'[1]C-4-5-6'!#REF!</definedName>
    <definedName name="fsfdfds" localSheetId="1">'[1]C-4-5-6'!#REF!</definedName>
    <definedName name="fsfdfds" localSheetId="3">'[1]C-4-5-6'!#REF!</definedName>
    <definedName name="fsfdfds" localSheetId="4">'[1]C-4-5-6'!#REF!</definedName>
    <definedName name="fsfdfds" localSheetId="5">'[1]C-4-5-6'!#REF!</definedName>
    <definedName name="fsfdfds" localSheetId="6">'[1]C-4-5-6'!#REF!</definedName>
    <definedName name="fsfdfds" localSheetId="7">'[1]C-4-5-6'!#REF!</definedName>
    <definedName name="fsfdfds" localSheetId="8">'[1]C-4-5-6'!#REF!</definedName>
    <definedName name="fsfdfds" localSheetId="9">'[1]C-4-5-6'!#REF!</definedName>
    <definedName name="fsfdfds" localSheetId="10">'[1]C-4-5-6'!#REF!</definedName>
    <definedName name="fsfdfds" localSheetId="0">'[1]C-4-5-6'!#REF!</definedName>
    <definedName name="fsfdfds">'[1]C-4-5-6'!#REF!</definedName>
    <definedName name="gggg" localSheetId="11">#REF!</definedName>
    <definedName name="gggg" localSheetId="12">#REF!</definedName>
    <definedName name="gggg" localSheetId="18">#REF!</definedName>
    <definedName name="gggg" localSheetId="19">#REF!</definedName>
    <definedName name="gggg" localSheetId="20">#REF!</definedName>
    <definedName name="gggg" localSheetId="21">#REF!</definedName>
    <definedName name="gggg" localSheetId="1">#REF!</definedName>
    <definedName name="gggg" localSheetId="3">#REF!</definedName>
    <definedName name="gggg" localSheetId="4">#REF!</definedName>
    <definedName name="gggg" localSheetId="5">#REF!</definedName>
    <definedName name="gggg" localSheetId="6">#REF!</definedName>
    <definedName name="gggg" localSheetId="7">#REF!</definedName>
    <definedName name="gggg" localSheetId="8">#REF!</definedName>
    <definedName name="gggg" localSheetId="9">#REF!</definedName>
    <definedName name="gggg" localSheetId="10">#REF!</definedName>
    <definedName name="gggg" localSheetId="0">#REF!</definedName>
    <definedName name="gggg">#REF!</definedName>
    <definedName name="imprimir" localSheetId="11">#REF!</definedName>
    <definedName name="imprimir" localSheetId="12">#REF!</definedName>
    <definedName name="imprimir" localSheetId="18">#REF!</definedName>
    <definedName name="imprimir" localSheetId="19">#REF!</definedName>
    <definedName name="imprimir" localSheetId="20">#REF!</definedName>
    <definedName name="imprimir" localSheetId="21">#REF!</definedName>
    <definedName name="imprimir" localSheetId="1">#REF!</definedName>
    <definedName name="imprimir" localSheetId="3">#REF!</definedName>
    <definedName name="imprimir" localSheetId="4">#REF!</definedName>
    <definedName name="imprimir" localSheetId="5">#REF!</definedName>
    <definedName name="imprimir" localSheetId="6">#REF!</definedName>
    <definedName name="imprimir" localSheetId="7">#REF!</definedName>
    <definedName name="imprimir" localSheetId="8">#REF!</definedName>
    <definedName name="imprimir" localSheetId="9">#REF!</definedName>
    <definedName name="imprimir" localSheetId="10">#REF!</definedName>
    <definedName name="imprimir" localSheetId="0">#REF!</definedName>
    <definedName name="imprimir">#REF!</definedName>
    <definedName name="insum9os" localSheetId="11">#REF!</definedName>
    <definedName name="insum9os" localSheetId="12">#REF!</definedName>
    <definedName name="insum9os" localSheetId="18">#REF!</definedName>
    <definedName name="insum9os" localSheetId="19">#REF!</definedName>
    <definedName name="insum9os" localSheetId="20">#REF!</definedName>
    <definedName name="insum9os" localSheetId="21">#REF!</definedName>
    <definedName name="insum9os" localSheetId="1">#REF!</definedName>
    <definedName name="insum9os" localSheetId="3">#REF!</definedName>
    <definedName name="insum9os" localSheetId="4">#REF!</definedName>
    <definedName name="insum9os" localSheetId="5">#REF!</definedName>
    <definedName name="insum9os" localSheetId="6">#REF!</definedName>
    <definedName name="insum9os" localSheetId="7">#REF!</definedName>
    <definedName name="insum9os" localSheetId="8">#REF!</definedName>
    <definedName name="insum9os" localSheetId="9">#REF!</definedName>
    <definedName name="insum9os" localSheetId="10">#REF!</definedName>
    <definedName name="insum9os" localSheetId="0">#REF!</definedName>
    <definedName name="insum9os">#REF!</definedName>
    <definedName name="INSUMOS" localSheetId="11">'[1]C-4-5-6'!#REF!</definedName>
    <definedName name="INSUMOS" localSheetId="12">'[1]C-4-5-6'!#REF!</definedName>
    <definedName name="INSUMOS" localSheetId="18">'[1]C-4-5-6'!#REF!</definedName>
    <definedName name="INSUMOS" localSheetId="19">'[1]C-4-5-6'!#REF!</definedName>
    <definedName name="INSUMOS" localSheetId="20">'[1]C-4-5-6'!#REF!</definedName>
    <definedName name="INSUMOS" localSheetId="21">'[1]C-4-5-6'!#REF!</definedName>
    <definedName name="INSUMOS" localSheetId="1">'[1]C-4-5-6'!#REF!</definedName>
    <definedName name="INSUMOS" localSheetId="3">'[1]C-4-5-6'!#REF!</definedName>
    <definedName name="INSUMOS" localSheetId="4">'[1]C-4-5-6'!#REF!</definedName>
    <definedName name="INSUMOS" localSheetId="5">'[1]C-4-5-6'!#REF!</definedName>
    <definedName name="INSUMOS" localSheetId="6">'[1]C-4-5-6'!#REF!</definedName>
    <definedName name="INSUMOS" localSheetId="7">'[1]C-4-5-6'!#REF!</definedName>
    <definedName name="INSUMOS" localSheetId="8">'[1]C-4-5-6'!#REF!</definedName>
    <definedName name="INSUMOS" localSheetId="9">'[1]C-4-5-6'!#REF!</definedName>
    <definedName name="INSUMOS" localSheetId="10">'[1]C-4-5-6'!#REF!</definedName>
    <definedName name="INSUMOS" localSheetId="0">'[1]C-4-5-6'!#REF!</definedName>
    <definedName name="INSUMOS">'[1]C-4-5-6'!#REF!</definedName>
    <definedName name="sacszsc" localSheetId="11">#REF!</definedName>
    <definedName name="sacszsc" localSheetId="12">#REF!</definedName>
    <definedName name="sacszsc" localSheetId="18">#REF!</definedName>
    <definedName name="sacszsc" localSheetId="19">#REF!</definedName>
    <definedName name="sacszsc" localSheetId="20">#REF!</definedName>
    <definedName name="sacszsc" localSheetId="21">#REF!</definedName>
    <definedName name="sacszsc" localSheetId="1">#REF!</definedName>
    <definedName name="sacszsc" localSheetId="3">#REF!</definedName>
    <definedName name="sacszsc" localSheetId="4">#REF!</definedName>
    <definedName name="sacszsc" localSheetId="5">#REF!</definedName>
    <definedName name="sacszsc" localSheetId="6">#REF!</definedName>
    <definedName name="sacszsc" localSheetId="7">#REF!</definedName>
    <definedName name="sacszsc" localSheetId="8">#REF!</definedName>
    <definedName name="sacszsc" localSheetId="9">#REF!</definedName>
    <definedName name="sacszsc" localSheetId="10">#REF!</definedName>
    <definedName name="sacszsc" localSheetId="0">#REF!</definedName>
    <definedName name="sacszsc">#REF!</definedName>
    <definedName name="set" localSheetId="11">#REF!</definedName>
    <definedName name="set" localSheetId="12">#REF!</definedName>
    <definedName name="set" localSheetId="18">#REF!</definedName>
    <definedName name="set" localSheetId="19">#REF!</definedName>
    <definedName name="set" localSheetId="20">#REF!</definedName>
    <definedName name="set" localSheetId="21">#REF!</definedName>
    <definedName name="set" localSheetId="1">#REF!</definedName>
    <definedName name="set" localSheetId="3">#REF!</definedName>
    <definedName name="set" localSheetId="4">#REF!</definedName>
    <definedName name="set" localSheetId="5">#REF!</definedName>
    <definedName name="set" localSheetId="6">#REF!</definedName>
    <definedName name="set" localSheetId="7">#REF!</definedName>
    <definedName name="set" localSheetId="8">#REF!</definedName>
    <definedName name="set" localSheetId="9">#REF!</definedName>
    <definedName name="set" localSheetId="10">#REF!</definedName>
    <definedName name="set" localSheetId="0">#REF!</definedName>
    <definedName name="set">#REF!</definedName>
    <definedName name="SIHUAS" localSheetId="11">#REF!</definedName>
    <definedName name="SIHUAS" localSheetId="12">#REF!</definedName>
    <definedName name="SIHUAS" localSheetId="18">#REF!</definedName>
    <definedName name="SIHUAS" localSheetId="19">#REF!</definedName>
    <definedName name="SIHUAS" localSheetId="20">#REF!</definedName>
    <definedName name="SIHUAS" localSheetId="21">#REF!</definedName>
    <definedName name="SIHUAS" localSheetId="1">#REF!</definedName>
    <definedName name="SIHUAS" localSheetId="3">#REF!</definedName>
    <definedName name="SIHUAS" localSheetId="4">#REF!</definedName>
    <definedName name="SIHUAS" localSheetId="5">#REF!</definedName>
    <definedName name="SIHUAS" localSheetId="6">#REF!</definedName>
    <definedName name="SIHUAS" localSheetId="7">#REF!</definedName>
    <definedName name="SIHUAS" localSheetId="8">#REF!</definedName>
    <definedName name="SIHUAS" localSheetId="9">#REF!</definedName>
    <definedName name="SIHUAS" localSheetId="10">#REF!</definedName>
    <definedName name="SIHUAS" localSheetId="0">#REF!</definedName>
    <definedName name="SIHUAS">#REF!</definedName>
    <definedName name="sihuas6666" localSheetId="11">'[1]C-4-5-6'!#REF!</definedName>
    <definedName name="sihuas6666" localSheetId="12">'[1]C-4-5-6'!#REF!</definedName>
    <definedName name="sihuas6666" localSheetId="18">'[1]C-4-5-6'!#REF!</definedName>
    <definedName name="sihuas6666" localSheetId="19">'[1]C-4-5-6'!#REF!</definedName>
    <definedName name="sihuas6666" localSheetId="20">'[1]C-4-5-6'!#REF!</definedName>
    <definedName name="sihuas6666" localSheetId="21">'[1]C-4-5-6'!#REF!</definedName>
    <definedName name="sihuas6666" localSheetId="1">'[1]C-4-5-6'!#REF!</definedName>
    <definedName name="sihuas6666" localSheetId="3">'[1]C-4-5-6'!#REF!</definedName>
    <definedName name="sihuas6666" localSheetId="4">'[1]C-4-5-6'!#REF!</definedName>
    <definedName name="sihuas6666" localSheetId="5">'[1]C-4-5-6'!#REF!</definedName>
    <definedName name="sihuas6666" localSheetId="6">'[1]C-4-5-6'!#REF!</definedName>
    <definedName name="sihuas6666" localSheetId="7">'[1]C-4-5-6'!#REF!</definedName>
    <definedName name="sihuas6666" localSheetId="8">'[1]C-4-5-6'!#REF!</definedName>
    <definedName name="sihuas6666" localSheetId="9">'[1]C-4-5-6'!#REF!</definedName>
    <definedName name="sihuas6666" localSheetId="10">'[1]C-4-5-6'!#REF!</definedName>
    <definedName name="sihuas6666" localSheetId="0">'[1]C-4-5-6'!#REF!</definedName>
    <definedName name="sihuas6666">'[1]C-4-5-6'!#REF!</definedName>
    <definedName name="sihuas66666" localSheetId="11">#REF!</definedName>
    <definedName name="sihuas66666" localSheetId="12">#REF!</definedName>
    <definedName name="sihuas66666" localSheetId="18">#REF!</definedName>
    <definedName name="sihuas66666" localSheetId="19">#REF!</definedName>
    <definedName name="sihuas66666" localSheetId="20">#REF!</definedName>
    <definedName name="sihuas66666" localSheetId="21">#REF!</definedName>
    <definedName name="sihuas66666" localSheetId="1">#REF!</definedName>
    <definedName name="sihuas66666" localSheetId="3">#REF!</definedName>
    <definedName name="sihuas66666" localSheetId="4">#REF!</definedName>
    <definedName name="sihuas66666" localSheetId="5">#REF!</definedName>
    <definedName name="sihuas66666" localSheetId="6">#REF!</definedName>
    <definedName name="sihuas66666" localSheetId="7">#REF!</definedName>
    <definedName name="sihuas66666" localSheetId="8">#REF!</definedName>
    <definedName name="sihuas66666" localSheetId="9">#REF!</definedName>
    <definedName name="sihuas66666" localSheetId="10">#REF!</definedName>
    <definedName name="sihuas66666" localSheetId="0">#REF!</definedName>
    <definedName name="sihuas6666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86" l="1"/>
  <c r="C4" i="86"/>
  <c r="C25" i="86"/>
  <c r="J14" i="86"/>
  <c r="B16" i="87"/>
  <c r="B95" i="100" l="1"/>
  <c r="C93" i="100"/>
  <c r="B93" i="100"/>
  <c r="E90" i="100"/>
  <c r="B90" i="100"/>
  <c r="B88" i="100"/>
  <c r="B83" i="100"/>
  <c r="E78" i="100"/>
  <c r="D78" i="100"/>
  <c r="C78" i="100"/>
  <c r="B78" i="100"/>
  <c r="E75" i="100"/>
  <c r="D75" i="100"/>
  <c r="B75" i="100"/>
  <c r="C73" i="100"/>
  <c r="B73" i="100"/>
  <c r="D69" i="100"/>
  <c r="C69" i="100"/>
  <c r="B69" i="100"/>
  <c r="E59" i="100"/>
  <c r="D59" i="100"/>
  <c r="C59" i="100"/>
  <c r="B59" i="100"/>
  <c r="E57" i="100"/>
  <c r="B57" i="100"/>
  <c r="D54" i="100"/>
  <c r="B54" i="100"/>
  <c r="D42" i="100"/>
  <c r="C42" i="100"/>
  <c r="B42" i="100"/>
  <c r="C39" i="100"/>
  <c r="B39" i="100"/>
  <c r="E35" i="100"/>
  <c r="D35" i="100"/>
  <c r="C35" i="100"/>
  <c r="B35" i="100"/>
  <c r="D27" i="100"/>
  <c r="C27" i="100"/>
  <c r="B27" i="100"/>
  <c r="E22" i="100"/>
  <c r="D22" i="100"/>
  <c r="C22" i="100"/>
  <c r="B22" i="100"/>
  <c r="D18" i="100"/>
  <c r="C18" i="100"/>
  <c r="B18" i="100"/>
  <c r="C12" i="100"/>
  <c r="B12" i="100"/>
  <c r="D7" i="100"/>
  <c r="C7" i="100"/>
  <c r="B7" i="100"/>
  <c r="D113" i="101"/>
  <c r="D109" i="101"/>
  <c r="C109" i="101"/>
  <c r="B109" i="101"/>
  <c r="E106" i="101"/>
  <c r="D106" i="101"/>
  <c r="C103" i="101"/>
  <c r="B103" i="101"/>
  <c r="E97" i="101"/>
  <c r="C97" i="101"/>
  <c r="B97" i="101"/>
  <c r="E91" i="101"/>
  <c r="D91" i="101"/>
  <c r="C91" i="101"/>
  <c r="B91" i="101"/>
  <c r="E87" i="101"/>
  <c r="D87" i="101"/>
  <c r="B87" i="101"/>
  <c r="E80" i="101"/>
  <c r="D80" i="101"/>
  <c r="B80" i="101"/>
  <c r="E68" i="101"/>
  <c r="D68" i="101"/>
  <c r="C68" i="101"/>
  <c r="B68" i="101"/>
  <c r="E63" i="101"/>
  <c r="D63" i="101"/>
  <c r="E50" i="101"/>
  <c r="D50" i="101"/>
  <c r="C50" i="101"/>
  <c r="B50" i="101"/>
  <c r="D44" i="101"/>
  <c r="C44" i="101"/>
  <c r="B44" i="101"/>
  <c r="E40" i="101"/>
  <c r="D40" i="101"/>
  <c r="C40" i="101"/>
  <c r="B40" i="101"/>
  <c r="D31" i="101"/>
  <c r="C31" i="101"/>
  <c r="B31" i="101"/>
  <c r="E23" i="101"/>
  <c r="D23" i="101"/>
  <c r="C23" i="101"/>
  <c r="B23" i="101"/>
  <c r="E18" i="101"/>
  <c r="D18" i="101"/>
  <c r="C18" i="101"/>
  <c r="B18" i="101"/>
  <c r="E12" i="101"/>
  <c r="C12" i="101"/>
  <c r="B12" i="101"/>
  <c r="E7" i="101"/>
  <c r="D7" i="101"/>
  <c r="C7" i="101"/>
  <c r="B7" i="101"/>
  <c r="D20" i="102"/>
  <c r="D69" i="102"/>
  <c r="C69" i="102"/>
  <c r="B69" i="102"/>
  <c r="D65" i="102"/>
  <c r="B65" i="102"/>
  <c r="D62" i="102"/>
  <c r="C62" i="102"/>
  <c r="D58" i="102"/>
  <c r="B58" i="102"/>
  <c r="D54" i="102"/>
  <c r="C54" i="102"/>
  <c r="B54" i="102"/>
  <c r="D49" i="102"/>
  <c r="B49" i="102"/>
  <c r="D41" i="102"/>
  <c r="C41" i="102"/>
  <c r="B41" i="102"/>
  <c r="D36" i="102"/>
  <c r="C36" i="102"/>
  <c r="B36" i="102"/>
  <c r="D31" i="102"/>
  <c r="C31" i="102"/>
  <c r="B31" i="102"/>
  <c r="D25" i="102"/>
  <c r="B25" i="102"/>
  <c r="C20" i="102"/>
  <c r="B20" i="102"/>
  <c r="D16" i="102"/>
  <c r="C16" i="102"/>
  <c r="B16" i="102"/>
  <c r="D11" i="102"/>
  <c r="B11" i="102"/>
  <c r="D6" i="102"/>
  <c r="C6" i="102"/>
  <c r="B6" i="102"/>
  <c r="D35" i="103"/>
  <c r="D37" i="103"/>
  <c r="B86" i="103"/>
  <c r="B80" i="103"/>
  <c r="D78" i="103"/>
  <c r="B78" i="103"/>
  <c r="C75" i="103"/>
  <c r="B75" i="103"/>
  <c r="D72" i="103"/>
  <c r="B72" i="103"/>
  <c r="D70" i="103"/>
  <c r="C70" i="103"/>
  <c r="B70" i="103"/>
  <c r="D66" i="103"/>
  <c r="B66" i="103"/>
  <c r="D55" i="103"/>
  <c r="B55" i="103"/>
  <c r="D50" i="103"/>
  <c r="B50" i="103"/>
  <c r="B37" i="103"/>
  <c r="D30" i="103"/>
  <c r="C30" i="103"/>
  <c r="B30" i="103"/>
  <c r="D25" i="103"/>
  <c r="B25" i="103"/>
  <c r="D18" i="103"/>
  <c r="C18" i="103"/>
  <c r="B18" i="103"/>
  <c r="D14" i="103"/>
  <c r="B14" i="103"/>
  <c r="D11" i="103"/>
  <c r="B11" i="103"/>
  <c r="B7" i="103"/>
  <c r="C87" i="104"/>
  <c r="D93" i="104"/>
  <c r="B91" i="104"/>
  <c r="E89" i="104"/>
  <c r="D89" i="104"/>
  <c r="E87" i="104"/>
  <c r="D87" i="104"/>
  <c r="E82" i="104"/>
  <c r="D82" i="104"/>
  <c r="C82" i="104"/>
  <c r="E78" i="104"/>
  <c r="D78" i="104"/>
  <c r="C78" i="104"/>
  <c r="B78" i="104"/>
  <c r="E76" i="104"/>
  <c r="D76" i="104"/>
  <c r="C76" i="104"/>
  <c r="B76" i="104"/>
  <c r="D70" i="104"/>
  <c r="C70" i="104"/>
  <c r="E58" i="104"/>
  <c r="D58" i="104"/>
  <c r="C58" i="104"/>
  <c r="B58" i="104"/>
  <c r="E53" i="104"/>
  <c r="D53" i="104"/>
  <c r="E40" i="104"/>
  <c r="D40" i="104"/>
  <c r="E35" i="104"/>
  <c r="D35" i="104"/>
  <c r="E30" i="104"/>
  <c r="D30" i="104"/>
  <c r="E25" i="104"/>
  <c r="D25" i="104"/>
  <c r="E19" i="104"/>
  <c r="D19" i="104"/>
  <c r="E16" i="104"/>
  <c r="D16" i="104"/>
  <c r="C16" i="104"/>
  <c r="B16" i="104"/>
  <c r="E10" i="104"/>
  <c r="D10" i="104"/>
  <c r="B10" i="104"/>
  <c r="E6" i="104"/>
  <c r="D6" i="104"/>
  <c r="D5" i="105"/>
  <c r="H43" i="105" l="1"/>
  <c r="I43" i="105"/>
  <c r="I47" i="105"/>
  <c r="H47" i="105"/>
  <c r="J39" i="105"/>
  <c r="I39" i="105"/>
  <c r="H39" i="105"/>
  <c r="I34" i="105"/>
  <c r="H34" i="105"/>
  <c r="K29" i="105"/>
  <c r="J29" i="105"/>
  <c r="I29" i="105"/>
  <c r="H29" i="105"/>
  <c r="I26" i="105"/>
  <c r="H26" i="105"/>
  <c r="J20" i="105"/>
  <c r="I20" i="105"/>
  <c r="H20" i="105"/>
  <c r="K7" i="105"/>
  <c r="J7" i="105"/>
  <c r="I7" i="105"/>
  <c r="H7" i="105"/>
  <c r="E49" i="105"/>
  <c r="D49" i="105"/>
  <c r="C49" i="105"/>
  <c r="B49" i="105"/>
  <c r="C40" i="105"/>
  <c r="B40" i="105"/>
  <c r="C36" i="105"/>
  <c r="B36" i="105"/>
  <c r="D33" i="105"/>
  <c r="C33" i="105"/>
  <c r="B33" i="105"/>
  <c r="C27" i="105"/>
  <c r="B27" i="105"/>
  <c r="D20" i="105"/>
  <c r="C20" i="105"/>
  <c r="B20" i="105"/>
  <c r="E17" i="105"/>
  <c r="C17" i="105"/>
  <c r="B17" i="105"/>
  <c r="E10" i="105"/>
  <c r="B10" i="105"/>
  <c r="C5" i="105"/>
  <c r="B5" i="105"/>
  <c r="D113" i="106"/>
  <c r="H112" i="106"/>
  <c r="E112" i="106"/>
  <c r="C112" i="106"/>
  <c r="D112" i="106" s="1"/>
  <c r="B112" i="106"/>
  <c r="J111" i="106"/>
  <c r="G111" i="106"/>
  <c r="D111" i="106"/>
  <c r="J110" i="106"/>
  <c r="G110" i="106"/>
  <c r="D110" i="106"/>
  <c r="J109" i="106"/>
  <c r="D109" i="106"/>
  <c r="I108" i="106"/>
  <c r="H108" i="106"/>
  <c r="F108" i="106"/>
  <c r="E108" i="106"/>
  <c r="C108" i="106"/>
  <c r="B108" i="106"/>
  <c r="H104" i="106"/>
  <c r="F104" i="106"/>
  <c r="C104" i="106"/>
  <c r="D103" i="106"/>
  <c r="C102" i="106"/>
  <c r="B102" i="106"/>
  <c r="I96" i="106"/>
  <c r="F96" i="106"/>
  <c r="C96" i="106"/>
  <c r="G95" i="106"/>
  <c r="D95" i="106"/>
  <c r="D94" i="106"/>
  <c r="F93" i="106"/>
  <c r="E93" i="106"/>
  <c r="C93" i="106"/>
  <c r="B93" i="106"/>
  <c r="J92" i="106"/>
  <c r="G92" i="106"/>
  <c r="D92" i="106"/>
  <c r="D91" i="106"/>
  <c r="J90" i="106"/>
  <c r="G90" i="106"/>
  <c r="D90" i="106"/>
  <c r="I89" i="106"/>
  <c r="H89" i="106"/>
  <c r="F89" i="106"/>
  <c r="E89" i="106"/>
  <c r="C89" i="106"/>
  <c r="B89" i="106"/>
  <c r="G88" i="106"/>
  <c r="D88" i="106"/>
  <c r="J87" i="106"/>
  <c r="G87" i="106"/>
  <c r="D87" i="106"/>
  <c r="I86" i="106"/>
  <c r="H86" i="106"/>
  <c r="F86" i="106"/>
  <c r="E86" i="106"/>
  <c r="C86" i="106"/>
  <c r="B86" i="106"/>
  <c r="G85" i="106"/>
  <c r="D85" i="106"/>
  <c r="J84" i="106"/>
  <c r="G84" i="106"/>
  <c r="D84" i="106"/>
  <c r="J83" i="106"/>
  <c r="G83" i="106"/>
  <c r="D83" i="106"/>
  <c r="J82" i="106"/>
  <c r="G82" i="106"/>
  <c r="D82" i="106"/>
  <c r="I81" i="106"/>
  <c r="H81" i="106"/>
  <c r="F81" i="106"/>
  <c r="E81" i="106"/>
  <c r="C81" i="106"/>
  <c r="B81" i="106"/>
  <c r="J80" i="106"/>
  <c r="G80" i="106"/>
  <c r="D80" i="106"/>
  <c r="J79" i="106"/>
  <c r="G79" i="106"/>
  <c r="D79" i="106"/>
  <c r="D78" i="106"/>
  <c r="J77" i="106"/>
  <c r="D77" i="106"/>
  <c r="J76" i="106"/>
  <c r="G76" i="106"/>
  <c r="D76" i="106"/>
  <c r="J75" i="106"/>
  <c r="G75" i="106"/>
  <c r="D75" i="106"/>
  <c r="J74" i="106"/>
  <c r="G74" i="106"/>
  <c r="D74" i="106"/>
  <c r="J73" i="106"/>
  <c r="D73" i="106"/>
  <c r="J72" i="106"/>
  <c r="G72" i="106"/>
  <c r="D72" i="106"/>
  <c r="J71" i="106"/>
  <c r="G71" i="106"/>
  <c r="D71" i="106"/>
  <c r="D70" i="106"/>
  <c r="J69" i="106"/>
  <c r="G69" i="106"/>
  <c r="D69" i="106"/>
  <c r="I68" i="106"/>
  <c r="H68" i="106"/>
  <c r="F68" i="106"/>
  <c r="E68" i="106"/>
  <c r="C68" i="106"/>
  <c r="B68" i="106"/>
  <c r="G67" i="106"/>
  <c r="D67" i="106"/>
  <c r="G66" i="106"/>
  <c r="D66" i="106"/>
  <c r="F65" i="106"/>
  <c r="E65" i="106"/>
  <c r="C65" i="106"/>
  <c r="B65" i="106"/>
  <c r="J64" i="106"/>
  <c r="G64" i="106"/>
  <c r="D64" i="106"/>
  <c r="J63" i="106"/>
  <c r="G63" i="106"/>
  <c r="D63" i="106"/>
  <c r="I62" i="106"/>
  <c r="H62" i="106"/>
  <c r="F62" i="106"/>
  <c r="E62" i="106"/>
  <c r="C62" i="106"/>
  <c r="B62" i="106"/>
  <c r="D56" i="106"/>
  <c r="G55" i="106"/>
  <c r="D55" i="106"/>
  <c r="D54" i="106"/>
  <c r="G53" i="106"/>
  <c r="D53" i="106"/>
  <c r="G52" i="106"/>
  <c r="D52" i="106"/>
  <c r="G51" i="106"/>
  <c r="D51" i="106"/>
  <c r="G50" i="106"/>
  <c r="D50" i="106"/>
  <c r="F49" i="106"/>
  <c r="E49" i="106"/>
  <c r="C49" i="106"/>
  <c r="B49" i="106"/>
  <c r="G48" i="106"/>
  <c r="D48" i="106"/>
  <c r="G47" i="106"/>
  <c r="D47" i="106"/>
  <c r="F46" i="106"/>
  <c r="E46" i="106"/>
  <c r="C46" i="106"/>
  <c r="B46" i="106"/>
  <c r="G42" i="106"/>
  <c r="D42" i="106"/>
  <c r="F41" i="106"/>
  <c r="E41" i="106"/>
  <c r="C41" i="106"/>
  <c r="B41" i="106"/>
  <c r="G39" i="106"/>
  <c r="D39" i="106"/>
  <c r="D37" i="106"/>
  <c r="D36" i="106"/>
  <c r="G35" i="106"/>
  <c r="D35" i="106"/>
  <c r="G34" i="106"/>
  <c r="D34" i="106"/>
  <c r="G33" i="106"/>
  <c r="D33" i="106"/>
  <c r="G32" i="106"/>
  <c r="D32" i="106"/>
  <c r="F31" i="106"/>
  <c r="E31" i="106"/>
  <c r="C31" i="106"/>
  <c r="B31" i="106"/>
  <c r="G30" i="106"/>
  <c r="D30" i="106"/>
  <c r="G29" i="106"/>
  <c r="D29" i="106"/>
  <c r="D28" i="106"/>
  <c r="G27" i="106"/>
  <c r="D27" i="106"/>
  <c r="G26" i="106"/>
  <c r="D26" i="106"/>
  <c r="F25" i="106"/>
  <c r="E25" i="106"/>
  <c r="C25" i="106"/>
  <c r="B25" i="106"/>
  <c r="J23" i="106"/>
  <c r="G23" i="106"/>
  <c r="D23" i="106"/>
  <c r="G21" i="106"/>
  <c r="D21" i="106"/>
  <c r="J20" i="106"/>
  <c r="G20" i="106"/>
  <c r="D20" i="106"/>
  <c r="I19" i="106"/>
  <c r="H19" i="106"/>
  <c r="F19" i="106"/>
  <c r="E19" i="106"/>
  <c r="C19" i="106"/>
  <c r="B19" i="106"/>
  <c r="I12" i="106"/>
  <c r="F12" i="106"/>
  <c r="C12" i="106"/>
  <c r="D11" i="106"/>
  <c r="D9" i="106"/>
  <c r="I8" i="106"/>
  <c r="C8" i="106"/>
  <c r="B8" i="106"/>
  <c r="D40" i="98"/>
  <c r="C88" i="98"/>
  <c r="B88" i="98"/>
  <c r="J107" i="98"/>
  <c r="D107" i="98"/>
  <c r="I106" i="98"/>
  <c r="H106" i="98"/>
  <c r="E106" i="98"/>
  <c r="C106" i="98"/>
  <c r="B106" i="98"/>
  <c r="D105" i="98"/>
  <c r="D104" i="98"/>
  <c r="D103" i="98"/>
  <c r="F102" i="98"/>
  <c r="C102" i="98"/>
  <c r="B102" i="98"/>
  <c r="D100" i="98"/>
  <c r="F98" i="98"/>
  <c r="C98" i="98"/>
  <c r="B98" i="98"/>
  <c r="D97" i="98"/>
  <c r="D96" i="98"/>
  <c r="I95" i="98"/>
  <c r="C95" i="98"/>
  <c r="B95" i="98"/>
  <c r="I91" i="98"/>
  <c r="F91" i="98"/>
  <c r="C91" i="98"/>
  <c r="D90" i="98"/>
  <c r="D89" i="98"/>
  <c r="G87" i="98"/>
  <c r="D87" i="98"/>
  <c r="G86" i="98"/>
  <c r="D86" i="98"/>
  <c r="J85" i="98"/>
  <c r="G85" i="98"/>
  <c r="D85" i="98"/>
  <c r="I84" i="98"/>
  <c r="H84" i="98"/>
  <c r="F84" i="98"/>
  <c r="E84" i="98"/>
  <c r="C84" i="98"/>
  <c r="B84" i="98"/>
  <c r="D83" i="98"/>
  <c r="D82" i="98"/>
  <c r="I81" i="98"/>
  <c r="F81" i="98"/>
  <c r="E81" i="98"/>
  <c r="C81" i="98"/>
  <c r="B81" i="98"/>
  <c r="J80" i="98"/>
  <c r="G80" i="98"/>
  <c r="D80" i="98"/>
  <c r="G79" i="98"/>
  <c r="D79" i="98"/>
  <c r="G78" i="98"/>
  <c r="D78" i="98"/>
  <c r="G77" i="98"/>
  <c r="D77" i="98"/>
  <c r="F76" i="98"/>
  <c r="E76" i="98"/>
  <c r="C76" i="98"/>
  <c r="B76" i="98"/>
  <c r="D75" i="98"/>
  <c r="J74" i="98"/>
  <c r="D74" i="98"/>
  <c r="D73" i="98"/>
  <c r="D72" i="98"/>
  <c r="D71" i="98"/>
  <c r="D70" i="98"/>
  <c r="D69" i="98"/>
  <c r="D68" i="98"/>
  <c r="D67" i="98"/>
  <c r="D66" i="98"/>
  <c r="D65" i="98"/>
  <c r="D64" i="98"/>
  <c r="I63" i="98"/>
  <c r="H63" i="98"/>
  <c r="F63" i="98"/>
  <c r="C63" i="98"/>
  <c r="B63" i="98"/>
  <c r="D62" i="98"/>
  <c r="J61" i="98"/>
  <c r="I60" i="98"/>
  <c r="H60" i="98"/>
  <c r="F60" i="98"/>
  <c r="C60" i="98"/>
  <c r="B60" i="98"/>
  <c r="D54" i="98"/>
  <c r="D53" i="98"/>
  <c r="C52" i="98"/>
  <c r="B52" i="98"/>
  <c r="D51" i="98"/>
  <c r="G50" i="98"/>
  <c r="D49" i="98"/>
  <c r="J48" i="98"/>
  <c r="G48" i="98"/>
  <c r="D48" i="98"/>
  <c r="D47" i="98"/>
  <c r="G46" i="98"/>
  <c r="D46" i="98"/>
  <c r="J45" i="98"/>
  <c r="G45" i="98"/>
  <c r="D45" i="98"/>
  <c r="G44" i="98"/>
  <c r="D44" i="98"/>
  <c r="I43" i="98"/>
  <c r="H43" i="98"/>
  <c r="F43" i="98"/>
  <c r="E43" i="98"/>
  <c r="C43" i="98"/>
  <c r="B43" i="98"/>
  <c r="D42" i="98"/>
  <c r="D41" i="98"/>
  <c r="I39" i="98"/>
  <c r="F39" i="98"/>
  <c r="C39" i="98"/>
  <c r="B39" i="98"/>
  <c r="I36" i="98"/>
  <c r="F36" i="98"/>
  <c r="C36" i="98"/>
  <c r="D35" i="98"/>
  <c r="D33" i="98"/>
  <c r="D32" i="98"/>
  <c r="J31" i="98"/>
  <c r="G31" i="98"/>
  <c r="D31" i="98"/>
  <c r="D30" i="98"/>
  <c r="D29" i="98"/>
  <c r="I28" i="98"/>
  <c r="H28" i="98"/>
  <c r="F28" i="98"/>
  <c r="E28" i="98"/>
  <c r="C28" i="98"/>
  <c r="B28" i="98"/>
  <c r="D27" i="98"/>
  <c r="D26" i="98"/>
  <c r="D25" i="98"/>
  <c r="D24" i="98"/>
  <c r="C23" i="98"/>
  <c r="B23" i="98"/>
  <c r="D21" i="98"/>
  <c r="J19" i="98"/>
  <c r="G19" i="98"/>
  <c r="D19" i="98"/>
  <c r="I18" i="98"/>
  <c r="H18" i="98"/>
  <c r="F18" i="98"/>
  <c r="E18" i="98"/>
  <c r="C18" i="98"/>
  <c r="B18" i="98"/>
  <c r="F12" i="98"/>
  <c r="C12" i="98"/>
  <c r="J11" i="98"/>
  <c r="D11" i="98"/>
  <c r="J10" i="98"/>
  <c r="D10" i="98"/>
  <c r="D9" i="98"/>
  <c r="I8" i="98"/>
  <c r="H8" i="98"/>
  <c r="F8" i="98"/>
  <c r="C8" i="98"/>
  <c r="B8" i="98"/>
  <c r="G100" i="97"/>
  <c r="D100" i="97"/>
  <c r="F99" i="97"/>
  <c r="E99" i="97"/>
  <c r="C99" i="97"/>
  <c r="B99" i="97"/>
  <c r="J98" i="97"/>
  <c r="G98" i="97"/>
  <c r="D98" i="97"/>
  <c r="J97" i="97"/>
  <c r="G97" i="97"/>
  <c r="D97" i="97"/>
  <c r="J96" i="97"/>
  <c r="I95" i="97"/>
  <c r="H95" i="97"/>
  <c r="F95" i="97"/>
  <c r="E95" i="97"/>
  <c r="C95" i="97"/>
  <c r="B95" i="97"/>
  <c r="G93" i="97"/>
  <c r="D93" i="97"/>
  <c r="I92" i="97"/>
  <c r="H92" i="97"/>
  <c r="F92" i="97"/>
  <c r="E92" i="97"/>
  <c r="C92" i="97"/>
  <c r="B92" i="97"/>
  <c r="J91" i="97"/>
  <c r="G91" i="97"/>
  <c r="D91" i="97"/>
  <c r="D90" i="97"/>
  <c r="I89" i="97"/>
  <c r="H89" i="97"/>
  <c r="F89" i="97"/>
  <c r="E89" i="97"/>
  <c r="C89" i="97"/>
  <c r="B89" i="97"/>
  <c r="C85" i="97"/>
  <c r="J84" i="97"/>
  <c r="G84" i="97"/>
  <c r="D84" i="97"/>
  <c r="D83" i="97"/>
  <c r="I82" i="97"/>
  <c r="H82" i="97"/>
  <c r="F82" i="97"/>
  <c r="E82" i="97"/>
  <c r="C82" i="97"/>
  <c r="B82" i="97"/>
  <c r="J81" i="97"/>
  <c r="G81" i="97"/>
  <c r="D81" i="97"/>
  <c r="J80" i="97"/>
  <c r="G80" i="97"/>
  <c r="D80" i="97"/>
  <c r="D79" i="97"/>
  <c r="I78" i="97"/>
  <c r="H78" i="97"/>
  <c r="F78" i="97"/>
  <c r="E78" i="97"/>
  <c r="C78" i="97"/>
  <c r="B78" i="97"/>
  <c r="J76" i="97"/>
  <c r="G76" i="97"/>
  <c r="D76" i="97"/>
  <c r="I75" i="97"/>
  <c r="H75" i="97"/>
  <c r="F75" i="97"/>
  <c r="E75" i="97"/>
  <c r="C75" i="97"/>
  <c r="B75" i="97"/>
  <c r="J74" i="97"/>
  <c r="G74" i="97"/>
  <c r="D74" i="97"/>
  <c r="J73" i="97"/>
  <c r="G73" i="97"/>
  <c r="D73" i="97"/>
  <c r="J72" i="97"/>
  <c r="G72" i="97"/>
  <c r="D72" i="97"/>
  <c r="J71" i="97"/>
  <c r="G71" i="97"/>
  <c r="D71" i="97"/>
  <c r="I70" i="97"/>
  <c r="H70" i="97"/>
  <c r="F70" i="97"/>
  <c r="E70" i="97"/>
  <c r="C70" i="97"/>
  <c r="B70" i="97"/>
  <c r="G69" i="97"/>
  <c r="D69" i="97"/>
  <c r="J68" i="97"/>
  <c r="G68" i="97"/>
  <c r="D68" i="97"/>
  <c r="D67" i="97"/>
  <c r="D66" i="97"/>
  <c r="J65" i="97"/>
  <c r="D65" i="97"/>
  <c r="J64" i="97"/>
  <c r="G64" i="97"/>
  <c r="D63" i="97"/>
  <c r="D62" i="97"/>
  <c r="J61" i="97"/>
  <c r="G61" i="97"/>
  <c r="D61" i="97"/>
  <c r="J60" i="97"/>
  <c r="G60" i="97"/>
  <c r="D60" i="97"/>
  <c r="D59" i="97"/>
  <c r="G58" i="97"/>
  <c r="D58" i="97"/>
  <c r="I57" i="97"/>
  <c r="H57" i="97"/>
  <c r="F57" i="97"/>
  <c r="E57" i="97"/>
  <c r="C57" i="97"/>
  <c r="B57" i="97"/>
  <c r="D51" i="97"/>
  <c r="D50" i="97"/>
  <c r="H49" i="97"/>
  <c r="E49" i="97"/>
  <c r="C49" i="97"/>
  <c r="B49" i="97"/>
  <c r="J48" i="97"/>
  <c r="G48" i="97"/>
  <c r="D48" i="97"/>
  <c r="J47" i="97"/>
  <c r="G47" i="97"/>
  <c r="D47" i="97"/>
  <c r="I46" i="97"/>
  <c r="H46" i="97"/>
  <c r="F46" i="97"/>
  <c r="E46" i="97"/>
  <c r="C46" i="97"/>
  <c r="B46" i="97"/>
  <c r="G45" i="97"/>
  <c r="D45" i="97"/>
  <c r="D44" i="97"/>
  <c r="J43" i="97"/>
  <c r="G43" i="97"/>
  <c r="D43" i="97"/>
  <c r="J42" i="97"/>
  <c r="G42" i="97"/>
  <c r="D42" i="97"/>
  <c r="J41" i="97"/>
  <c r="D41" i="97"/>
  <c r="D40" i="97"/>
  <c r="J39" i="97"/>
  <c r="G39" i="97"/>
  <c r="D39" i="97"/>
  <c r="I38" i="97"/>
  <c r="H38" i="97"/>
  <c r="F38" i="97"/>
  <c r="E38" i="97"/>
  <c r="C38" i="97"/>
  <c r="B38" i="97"/>
  <c r="D37" i="97"/>
  <c r="D36" i="97"/>
  <c r="I34" i="97"/>
  <c r="C34" i="97"/>
  <c r="B34" i="97"/>
  <c r="I31" i="97"/>
  <c r="F31" i="97"/>
  <c r="C31" i="97"/>
  <c r="D30" i="97"/>
  <c r="D29" i="97"/>
  <c r="G28" i="97"/>
  <c r="D28" i="97"/>
  <c r="J27" i="97"/>
  <c r="G27" i="97"/>
  <c r="D27" i="97"/>
  <c r="D26" i="97"/>
  <c r="I25" i="97"/>
  <c r="H25" i="97"/>
  <c r="F25" i="97"/>
  <c r="E25" i="97"/>
  <c r="C25" i="97"/>
  <c r="B25" i="97"/>
  <c r="G24" i="97"/>
  <c r="D24" i="97"/>
  <c r="G22" i="97"/>
  <c r="D22" i="97"/>
  <c r="J21" i="97"/>
  <c r="G21" i="97"/>
  <c r="D21" i="97"/>
  <c r="I20" i="97"/>
  <c r="H20" i="97"/>
  <c r="F20" i="97"/>
  <c r="E20" i="97"/>
  <c r="C20" i="97"/>
  <c r="B20" i="97"/>
  <c r="D19" i="97"/>
  <c r="J18" i="97"/>
  <c r="G18" i="97"/>
  <c r="D18" i="97"/>
  <c r="J17" i="97"/>
  <c r="G17" i="97"/>
  <c r="D17" i="97"/>
  <c r="I16" i="97"/>
  <c r="H16" i="97"/>
  <c r="F16" i="97"/>
  <c r="E16" i="97"/>
  <c r="C16" i="97"/>
  <c r="B16" i="97"/>
  <c r="I11" i="97"/>
  <c r="C11" i="97"/>
  <c r="J10" i="97"/>
  <c r="G10" i="97"/>
  <c r="D10" i="97"/>
  <c r="G8" i="97"/>
  <c r="D8" i="97"/>
  <c r="I7" i="97"/>
  <c r="H7" i="97"/>
  <c r="F7" i="97"/>
  <c r="E7" i="97"/>
  <c r="C7" i="97"/>
  <c r="B7" i="97"/>
  <c r="D67" i="96"/>
  <c r="C66" i="96"/>
  <c r="B66" i="96"/>
  <c r="C29" i="96"/>
  <c r="D70" i="96"/>
  <c r="C69" i="96"/>
  <c r="B69" i="96"/>
  <c r="D68" i="96"/>
  <c r="I64" i="96"/>
  <c r="C64" i="96"/>
  <c r="I61" i="96"/>
  <c r="C61" i="96"/>
  <c r="G60" i="96"/>
  <c r="G59" i="96"/>
  <c r="D59" i="96"/>
  <c r="F57" i="96"/>
  <c r="E57" i="96"/>
  <c r="C57" i="96"/>
  <c r="B57" i="96"/>
  <c r="J55" i="96"/>
  <c r="I54" i="96"/>
  <c r="H54" i="96"/>
  <c r="C54" i="96"/>
  <c r="J53" i="96"/>
  <c r="G52" i="96"/>
  <c r="J51" i="96"/>
  <c r="G51" i="96"/>
  <c r="G50" i="96"/>
  <c r="G49" i="96"/>
  <c r="G48" i="96"/>
  <c r="D48" i="96"/>
  <c r="G47" i="96"/>
  <c r="J46" i="96"/>
  <c r="G46" i="96"/>
  <c r="J45" i="96"/>
  <c r="G45" i="96"/>
  <c r="G44" i="96"/>
  <c r="I43" i="96"/>
  <c r="H43" i="96"/>
  <c r="F43" i="96"/>
  <c r="E43" i="96"/>
  <c r="C43" i="96"/>
  <c r="B43" i="96"/>
  <c r="D42" i="96"/>
  <c r="C41" i="96"/>
  <c r="B41" i="96"/>
  <c r="J40" i="96"/>
  <c r="D40" i="96"/>
  <c r="D39" i="96"/>
  <c r="I38" i="96"/>
  <c r="H38" i="96"/>
  <c r="C38" i="96"/>
  <c r="B38" i="96"/>
  <c r="G36" i="96"/>
  <c r="I34" i="96"/>
  <c r="H34" i="96"/>
  <c r="F34" i="96"/>
  <c r="E34" i="96"/>
  <c r="C34" i="96"/>
  <c r="B34" i="96"/>
  <c r="D33" i="96"/>
  <c r="C32" i="96"/>
  <c r="B32" i="96"/>
  <c r="F29" i="96"/>
  <c r="G28" i="96"/>
  <c r="D28" i="96"/>
  <c r="D27" i="96"/>
  <c r="D25" i="96"/>
  <c r="D24" i="96"/>
  <c r="D23" i="96"/>
  <c r="F21" i="96"/>
  <c r="E21" i="96"/>
  <c r="C21" i="96"/>
  <c r="B21" i="96"/>
  <c r="J19" i="96"/>
  <c r="D19" i="96"/>
  <c r="I18" i="96"/>
  <c r="H18" i="96"/>
  <c r="F18" i="96"/>
  <c r="C18" i="96"/>
  <c r="B18" i="96"/>
  <c r="G16" i="96"/>
  <c r="D16" i="96"/>
  <c r="D15" i="96"/>
  <c r="J14" i="96"/>
  <c r="G14" i="96"/>
  <c r="D14" i="96"/>
  <c r="I13" i="96"/>
  <c r="H13" i="96"/>
  <c r="F13" i="96"/>
  <c r="E13" i="96"/>
  <c r="C13" i="96"/>
  <c r="B13" i="96"/>
  <c r="I11" i="96"/>
  <c r="F11" i="96"/>
  <c r="C11" i="96"/>
  <c r="D10" i="96"/>
  <c r="G9" i="96"/>
  <c r="D9" i="96"/>
  <c r="J8" i="96"/>
  <c r="I7" i="96"/>
  <c r="H7" i="96"/>
  <c r="F7" i="96"/>
  <c r="E7" i="96"/>
  <c r="C7" i="96"/>
  <c r="B7" i="96"/>
  <c r="D27" i="94"/>
  <c r="D26" i="94"/>
  <c r="D23" i="94"/>
  <c r="D20" i="94"/>
  <c r="D19" i="94"/>
  <c r="D18" i="94"/>
  <c r="D17" i="94"/>
  <c r="D14" i="94"/>
  <c r="D13" i="94"/>
  <c r="D12" i="94"/>
  <c r="D11" i="94"/>
  <c r="D10" i="94"/>
  <c r="D9" i="94"/>
  <c r="D8" i="94"/>
  <c r="D7" i="94"/>
  <c r="G102" i="90"/>
  <c r="D102" i="90"/>
  <c r="N39" i="84"/>
  <c r="N38" i="84"/>
  <c r="N22" i="84"/>
  <c r="N14" i="84"/>
  <c r="D17" i="84"/>
  <c r="D118" i="90"/>
  <c r="D117" i="90"/>
  <c r="D47" i="90"/>
  <c r="D41" i="90"/>
  <c r="G42" i="90"/>
  <c r="D42" i="90"/>
  <c r="G32" i="90"/>
  <c r="D32" i="90"/>
  <c r="D26" i="90"/>
  <c r="G11" i="90"/>
  <c r="G10" i="90"/>
  <c r="D10" i="90"/>
  <c r="D66" i="96" l="1"/>
  <c r="G25" i="106"/>
  <c r="G93" i="106"/>
  <c r="D68" i="106"/>
  <c r="J89" i="106"/>
  <c r="D41" i="106"/>
  <c r="D8" i="106"/>
  <c r="J19" i="106"/>
  <c r="D46" i="106"/>
  <c r="D49" i="106"/>
  <c r="G19" i="106"/>
  <c r="D86" i="106"/>
  <c r="J86" i="106"/>
  <c r="D19" i="106"/>
  <c r="G41" i="106"/>
  <c r="G62" i="106"/>
  <c r="G65" i="106"/>
  <c r="G89" i="106"/>
  <c r="D25" i="106"/>
  <c r="G31" i="106"/>
  <c r="G68" i="106"/>
  <c r="G81" i="106"/>
  <c r="D93" i="106"/>
  <c r="D65" i="106"/>
  <c r="D102" i="106"/>
  <c r="D108" i="106"/>
  <c r="J108" i="106"/>
  <c r="G46" i="106"/>
  <c r="D62" i="106"/>
  <c r="J62" i="106"/>
  <c r="G86" i="106"/>
  <c r="D31" i="106"/>
  <c r="G49" i="106"/>
  <c r="J68" i="106"/>
  <c r="D81" i="106"/>
  <c r="J81" i="106"/>
  <c r="D89" i="106"/>
  <c r="G108" i="106"/>
  <c r="G84" i="98"/>
  <c r="G28" i="98"/>
  <c r="D18" i="98"/>
  <c r="J43" i="98"/>
  <c r="J28" i="98"/>
  <c r="D63" i="98"/>
  <c r="D98" i="98"/>
  <c r="J18" i="98"/>
  <c r="D76" i="98"/>
  <c r="D84" i="98"/>
  <c r="D8" i="98"/>
  <c r="D39" i="98"/>
  <c r="G43" i="98"/>
  <c r="D60" i="98"/>
  <c r="D81" i="98"/>
  <c r="D88" i="98"/>
  <c r="G76" i="98"/>
  <c r="D23" i="98"/>
  <c r="D52" i="98"/>
  <c r="D95" i="98"/>
  <c r="D102" i="98"/>
  <c r="D106" i="98"/>
  <c r="D28" i="98"/>
  <c r="D43" i="98"/>
  <c r="J60" i="98"/>
  <c r="J63" i="98"/>
  <c r="J106" i="98"/>
  <c r="J8" i="98"/>
  <c r="G18" i="98"/>
  <c r="J84" i="98"/>
  <c r="G99" i="97"/>
  <c r="G78" i="97"/>
  <c r="D16" i="97"/>
  <c r="J16" i="97"/>
  <c r="J46" i="97"/>
  <c r="G57" i="97"/>
  <c r="G70" i="97"/>
  <c r="D75" i="97"/>
  <c r="J75" i="97"/>
  <c r="D95" i="97"/>
  <c r="J95" i="97"/>
  <c r="D7" i="97"/>
  <c r="G38" i="97"/>
  <c r="G82" i="97"/>
  <c r="G16" i="97"/>
  <c r="D25" i="97"/>
  <c r="J25" i="97"/>
  <c r="D34" i="97"/>
  <c r="G46" i="97"/>
  <c r="D57" i="97"/>
  <c r="J57" i="97"/>
  <c r="D70" i="97"/>
  <c r="G75" i="97"/>
  <c r="D89" i="97"/>
  <c r="J89" i="97"/>
  <c r="G92" i="97"/>
  <c r="G95" i="97"/>
  <c r="J38" i="97"/>
  <c r="D82" i="97"/>
  <c r="J82" i="97"/>
  <c r="D92" i="97"/>
  <c r="J78" i="97"/>
  <c r="J7" i="97"/>
  <c r="G20" i="97"/>
  <c r="D38" i="97"/>
  <c r="G25" i="97"/>
  <c r="D46" i="97"/>
  <c r="D99" i="97"/>
  <c r="G7" i="97"/>
  <c r="D20" i="97"/>
  <c r="J20" i="97"/>
  <c r="D49" i="97"/>
  <c r="J70" i="97"/>
  <c r="D78" i="97"/>
  <c r="G89" i="97"/>
  <c r="J43" i="96"/>
  <c r="D57" i="96"/>
  <c r="J7" i="96"/>
  <c r="D7" i="96"/>
  <c r="G13" i="96"/>
  <c r="D34" i="96"/>
  <c r="J54" i="96"/>
  <c r="D69" i="96"/>
  <c r="J38" i="96"/>
  <c r="G43" i="96"/>
  <c r="G57" i="96"/>
  <c r="J18" i="96"/>
  <c r="D32" i="96"/>
  <c r="G21" i="96"/>
  <c r="D13" i="96"/>
  <c r="D18" i="96"/>
  <c r="G34" i="96"/>
  <c r="G7" i="96"/>
  <c r="D21" i="96"/>
  <c r="D38" i="96"/>
  <c r="D43" i="96"/>
  <c r="J13" i="96"/>
  <c r="N42" i="84"/>
  <c r="I32" i="84"/>
  <c r="I8" i="84"/>
  <c r="D45" i="84"/>
  <c r="D13" i="84"/>
  <c r="D11" i="84"/>
  <c r="C80" i="86" l="1"/>
  <c r="C56" i="86"/>
  <c r="C21" i="86"/>
  <c r="C107" i="86"/>
  <c r="C106" i="86"/>
  <c r="C105" i="86"/>
  <c r="C104" i="86"/>
  <c r="C103" i="86"/>
  <c r="C102" i="86"/>
  <c r="C101" i="86"/>
  <c r="C100" i="86"/>
  <c r="C99" i="86"/>
  <c r="C98" i="86"/>
  <c r="C97" i="86"/>
  <c r="C96" i="86"/>
  <c r="C95" i="86"/>
  <c r="C94" i="86"/>
  <c r="C93" i="86"/>
  <c r="C92" i="86"/>
  <c r="C91" i="86"/>
  <c r="C90" i="86"/>
  <c r="C89" i="86"/>
  <c r="C88" i="86"/>
  <c r="C87" i="86"/>
  <c r="C86" i="86"/>
  <c r="C85" i="86"/>
  <c r="C84" i="86"/>
  <c r="C83" i="86"/>
  <c r="C82" i="86"/>
  <c r="C81" i="86"/>
  <c r="C79" i="86"/>
  <c r="C78" i="86"/>
  <c r="C77" i="86"/>
  <c r="C76" i="86"/>
  <c r="C75" i="86"/>
  <c r="C74" i="86"/>
  <c r="C73" i="86"/>
  <c r="C72" i="86"/>
  <c r="C71" i="86"/>
  <c r="C70" i="86"/>
  <c r="C69" i="86"/>
  <c r="C68" i="86"/>
  <c r="C67" i="86"/>
  <c r="C66" i="86"/>
  <c r="C65" i="86"/>
  <c r="C64" i="86"/>
  <c r="C58" i="86"/>
  <c r="C57" i="86"/>
  <c r="C55" i="86"/>
  <c r="C54" i="86"/>
  <c r="C53" i="86"/>
  <c r="C52" i="86"/>
  <c r="C51" i="86"/>
  <c r="C50" i="86"/>
  <c r="C49" i="86"/>
  <c r="C48" i="86"/>
  <c r="C47" i="86"/>
  <c r="C46" i="86"/>
  <c r="C45" i="86"/>
  <c r="C44" i="86"/>
  <c r="C43" i="86"/>
  <c r="C42" i="86"/>
  <c r="C41" i="86"/>
  <c r="C40" i="86"/>
  <c r="C39" i="86"/>
  <c r="C38" i="86"/>
  <c r="C37" i="86"/>
  <c r="C36" i="86"/>
  <c r="C35" i="86"/>
  <c r="C34" i="86"/>
  <c r="C33" i="86"/>
  <c r="C32" i="86"/>
  <c r="C31" i="86"/>
  <c r="C30" i="86"/>
  <c r="C29" i="86"/>
  <c r="C28" i="86"/>
  <c r="C27" i="86"/>
  <c r="C26" i="86"/>
  <c r="C24" i="86"/>
  <c r="C23" i="86"/>
  <c r="C22" i="86"/>
  <c r="C20" i="86"/>
  <c r="C19" i="86"/>
  <c r="C17" i="86"/>
  <c r="C16" i="86"/>
  <c r="C15" i="86"/>
  <c r="G96" i="90"/>
  <c r="G62" i="90"/>
  <c r="G43" i="90"/>
  <c r="D43" i="90"/>
  <c r="G13" i="90"/>
  <c r="D13" i="90"/>
  <c r="D12" i="90"/>
  <c r="D11" i="90"/>
  <c r="D9" i="90"/>
  <c r="D8" i="90"/>
  <c r="D116" i="90" l="1"/>
  <c r="D91" i="90"/>
  <c r="G48" i="90"/>
  <c r="D48" i="90"/>
  <c r="G38" i="90"/>
  <c r="D38" i="90"/>
  <c r="G12" i="90"/>
  <c r="G9" i="90"/>
  <c r="G8" i="90"/>
  <c r="N9" i="84"/>
  <c r="D46" i="84"/>
  <c r="D10" i="84"/>
  <c r="N37" i="84" l="1"/>
  <c r="I11" i="84"/>
  <c r="D41" i="84"/>
  <c r="D32" i="84"/>
  <c r="D8" i="84"/>
  <c r="D9" i="84"/>
  <c r="D14" i="84"/>
  <c r="D12" i="84"/>
  <c r="B6" i="87" l="1"/>
  <c r="I14" i="86"/>
  <c r="D14" i="86" l="1"/>
  <c r="H14" i="86" l="1"/>
  <c r="B15" i="87" l="1"/>
  <c r="G94" i="90" l="1"/>
  <c r="G46" i="90"/>
  <c r="D34" i="90"/>
  <c r="G18" i="90"/>
  <c r="D49" i="90" l="1"/>
  <c r="D33" i="90"/>
  <c r="N43" i="84" l="1"/>
  <c r="I48" i="84"/>
  <c r="I38" i="84" l="1"/>
  <c r="I37" i="84"/>
  <c r="G100" i="90" l="1"/>
  <c r="D96" i="90"/>
  <c r="G29" i="90"/>
  <c r="G27" i="90"/>
  <c r="D18" i="90"/>
  <c r="D94" i="90" l="1"/>
  <c r="D62" i="90"/>
  <c r="D46" i="90"/>
  <c r="G37" i="90"/>
  <c r="D37" i="90"/>
  <c r="G36" i="90"/>
  <c r="D36" i="90"/>
  <c r="D27" i="90"/>
  <c r="D25" i="90"/>
  <c r="D24" i="90"/>
  <c r="D19" i="84"/>
  <c r="N12" i="84" l="1"/>
  <c r="B14" i="87" l="1"/>
  <c r="B9" i="87"/>
  <c r="B8" i="87"/>
  <c r="B7" i="87"/>
  <c r="G14" i="86"/>
  <c r="I41" i="84" l="1"/>
  <c r="I24" i="84"/>
  <c r="D16" i="84" l="1"/>
  <c r="N47" i="84"/>
  <c r="N46" i="84"/>
  <c r="N40" i="84"/>
  <c r="N36" i="84"/>
  <c r="N21" i="84"/>
  <c r="I15" i="84"/>
  <c r="I14" i="84"/>
  <c r="I12" i="84"/>
  <c r="I10" i="84"/>
  <c r="D29" i="84"/>
  <c r="D28" i="84"/>
  <c r="D27" i="84"/>
  <c r="D26" i="84"/>
  <c r="D25" i="84"/>
  <c r="D24" i="84"/>
  <c r="F14" i="86"/>
  <c r="D115" i="90"/>
  <c r="G72" i="90"/>
  <c r="G59" i="90"/>
  <c r="D61" i="90" l="1"/>
  <c r="G60" i="90"/>
  <c r="D60" i="90"/>
  <c r="D58" i="90"/>
  <c r="G57" i="90"/>
  <c r="D57" i="90"/>
  <c r="G56" i="90"/>
  <c r="D56" i="90"/>
  <c r="G55" i="90"/>
  <c r="D55" i="90"/>
  <c r="G54" i="90"/>
  <c r="G53" i="90"/>
  <c r="D53" i="90"/>
  <c r="G52" i="90"/>
  <c r="D52" i="90"/>
  <c r="G50" i="90"/>
  <c r="D50" i="90"/>
  <c r="I27" i="84" l="1"/>
  <c r="I26" i="84"/>
  <c r="D119" i="90" l="1"/>
  <c r="G103" i="90"/>
  <c r="D103" i="90"/>
  <c r="G44" i="90"/>
  <c r="G16" i="90"/>
  <c r="D16" i="90"/>
  <c r="D128" i="90"/>
  <c r="G41" i="90"/>
  <c r="G34" i="90"/>
  <c r="N49" i="84"/>
  <c r="N45" i="84"/>
  <c r="N17" i="84"/>
  <c r="N16" i="84"/>
  <c r="N18" i="84"/>
  <c r="N20" i="84"/>
  <c r="I40" i="84"/>
  <c r="I36" i="84"/>
  <c r="I35" i="84"/>
  <c r="I34" i="84"/>
  <c r="I31" i="84"/>
  <c r="I29" i="84"/>
  <c r="I22" i="84"/>
  <c r="I21" i="84"/>
  <c r="I20" i="84"/>
  <c r="I19" i="84"/>
  <c r="I18" i="84"/>
  <c r="I17" i="84"/>
  <c r="I16" i="84"/>
  <c r="D47" i="84"/>
  <c r="D42" i="84"/>
  <c r="D40" i="84"/>
  <c r="D39" i="84"/>
  <c r="D38" i="84"/>
  <c r="D37" i="84"/>
  <c r="D36" i="84"/>
  <c r="D35" i="84"/>
  <c r="D34" i="84"/>
  <c r="D33" i="84"/>
  <c r="D44" i="84"/>
  <c r="E14" i="86" l="1"/>
  <c r="D13" i="86"/>
  <c r="G83" i="90"/>
  <c r="G82" i="90"/>
  <c r="G81" i="90"/>
  <c r="G80" i="90"/>
  <c r="G79" i="90"/>
  <c r="G78" i="90"/>
  <c r="G77" i="90"/>
  <c r="D83" i="90"/>
  <c r="D82" i="90"/>
  <c r="D81" i="90"/>
  <c r="D80" i="90"/>
  <c r="D79" i="90"/>
  <c r="D78" i="90"/>
  <c r="D77" i="90"/>
  <c r="D76" i="90"/>
  <c r="D74" i="90"/>
  <c r="D72" i="90"/>
  <c r="D31" i="90"/>
  <c r="D29" i="90"/>
  <c r="D23" i="90"/>
  <c r="D124" i="90" l="1"/>
  <c r="G126" i="90"/>
  <c r="D126" i="90"/>
  <c r="D125" i="90"/>
  <c r="D100" i="90"/>
  <c r="D99" i="90"/>
  <c r="D98" i="90"/>
  <c r="G89" i="90"/>
  <c r="D89" i="90"/>
  <c r="G88" i="90"/>
  <c r="D88" i="90"/>
  <c r="G87" i="90"/>
  <c r="D87" i="90"/>
  <c r="G84" i="90"/>
  <c r="D84" i="90"/>
  <c r="G74" i="90"/>
  <c r="G70" i="90"/>
  <c r="D70" i="90"/>
  <c r="G69" i="90"/>
  <c r="D69" i="90"/>
  <c r="D44" i="90"/>
  <c r="G39" i="90"/>
  <c r="D39" i="90"/>
  <c r="G35" i="90"/>
  <c r="D35" i="90"/>
  <c r="D28" i="90"/>
  <c r="G15" i="90"/>
  <c r="D15" i="90"/>
  <c r="M13" i="87" l="1"/>
  <c r="L13" i="87"/>
  <c r="J13" i="87"/>
  <c r="I13" i="87"/>
  <c r="H13" i="87"/>
  <c r="G13" i="87"/>
  <c r="I12" i="87"/>
  <c r="H12" i="87"/>
  <c r="E12" i="87"/>
  <c r="D12" i="87"/>
  <c r="M11" i="87"/>
  <c r="L11" i="87"/>
  <c r="K11" i="87"/>
  <c r="J11" i="87"/>
  <c r="I11" i="87"/>
  <c r="G11" i="87"/>
  <c r="E11" i="87"/>
  <c r="I10" i="87"/>
  <c r="B10" i="87" s="1"/>
  <c r="B13" i="87" l="1"/>
  <c r="B12" i="87"/>
  <c r="B11" i="87"/>
  <c r="E13" i="86"/>
  <c r="F13" i="86"/>
  <c r="G13" i="86"/>
  <c r="H13" i="86"/>
  <c r="I13" i="86"/>
  <c r="J13" i="86"/>
  <c r="K13" i="86"/>
  <c r="L13" i="86"/>
  <c r="M13" i="86"/>
  <c r="N13" i="86"/>
  <c r="O13" i="86"/>
  <c r="C13" i="86" l="1"/>
  <c r="O12" i="86"/>
  <c r="O11" i="86"/>
  <c r="O10" i="86"/>
  <c r="O9" i="86"/>
  <c r="O8" i="86"/>
  <c r="O7" i="86"/>
  <c r="O6" i="86"/>
  <c r="O5" i="86"/>
  <c r="O4" i="86"/>
  <c r="N12" i="86" l="1"/>
  <c r="M12" i="86"/>
  <c r="L12" i="86"/>
  <c r="K12" i="86"/>
  <c r="J12" i="86"/>
  <c r="I12" i="86"/>
  <c r="H12" i="86"/>
  <c r="G12" i="86"/>
  <c r="F12" i="86"/>
  <c r="E12" i="86"/>
  <c r="D12" i="86"/>
  <c r="C12" i="86" s="1"/>
  <c r="N11" i="86"/>
  <c r="M11" i="86"/>
  <c r="L11" i="86"/>
  <c r="K11" i="86"/>
  <c r="J11" i="86"/>
  <c r="I11" i="86"/>
  <c r="H11" i="86"/>
  <c r="G11" i="86"/>
  <c r="F11" i="86"/>
  <c r="E11" i="86"/>
  <c r="D11" i="86"/>
  <c r="N10" i="86"/>
  <c r="M10" i="86"/>
  <c r="L10" i="86"/>
  <c r="K10" i="86"/>
  <c r="J10" i="86"/>
  <c r="I10" i="86"/>
  <c r="H10" i="86"/>
  <c r="G10" i="86"/>
  <c r="F10" i="86"/>
  <c r="E10" i="86"/>
  <c r="D10" i="86"/>
  <c r="N9" i="86"/>
  <c r="M9" i="86"/>
  <c r="L9" i="86"/>
  <c r="K9" i="86"/>
  <c r="J9" i="86"/>
  <c r="I9" i="86"/>
  <c r="H9" i="86"/>
  <c r="G9" i="86"/>
  <c r="F9" i="86"/>
  <c r="E9" i="86"/>
  <c r="D9" i="86"/>
  <c r="C9" i="86" s="1"/>
  <c r="N8" i="86"/>
  <c r="M8" i="86"/>
  <c r="L8" i="86"/>
  <c r="K8" i="86"/>
  <c r="J8" i="86"/>
  <c r="I8" i="86"/>
  <c r="H8" i="86"/>
  <c r="G8" i="86"/>
  <c r="F8" i="86"/>
  <c r="E8" i="86"/>
  <c r="D8" i="86"/>
  <c r="C8" i="86" s="1"/>
  <c r="N7" i="86"/>
  <c r="M7" i="86"/>
  <c r="L7" i="86"/>
  <c r="K7" i="86"/>
  <c r="J7" i="86"/>
  <c r="I7" i="86"/>
  <c r="H7" i="86"/>
  <c r="G7" i="86"/>
  <c r="F7" i="86"/>
  <c r="E7" i="86"/>
  <c r="D7" i="86"/>
  <c r="N6" i="86"/>
  <c r="M6" i="86"/>
  <c r="L6" i="86"/>
  <c r="K6" i="86"/>
  <c r="J6" i="86"/>
  <c r="I6" i="86"/>
  <c r="H6" i="86"/>
  <c r="G6" i="86"/>
  <c r="F6" i="86"/>
  <c r="E6" i="86"/>
  <c r="D6" i="86"/>
  <c r="C6" i="86" s="1"/>
  <c r="N5" i="86"/>
  <c r="M5" i="86"/>
  <c r="L5" i="86"/>
  <c r="K5" i="86"/>
  <c r="J5" i="86"/>
  <c r="I5" i="86"/>
  <c r="H5" i="86"/>
  <c r="G5" i="86"/>
  <c r="F5" i="86"/>
  <c r="E5" i="86"/>
  <c r="D5" i="86"/>
  <c r="C5" i="86" s="1"/>
  <c r="N4" i="86"/>
  <c r="M4" i="86"/>
  <c r="L4" i="86"/>
  <c r="K4" i="86"/>
  <c r="J4" i="86"/>
  <c r="I4" i="86"/>
  <c r="H4" i="86"/>
  <c r="G4" i="86"/>
  <c r="F4" i="86"/>
  <c r="E4" i="86"/>
  <c r="D4" i="86"/>
  <c r="C11" i="86" l="1"/>
  <c r="C7" i="86"/>
  <c r="C10" i="86"/>
  <c r="I46" i="84"/>
  <c r="I45" i="84"/>
  <c r="I44" i="84"/>
  <c r="D30" i="84"/>
  <c r="I9" i="84"/>
</calcChain>
</file>

<file path=xl/sharedStrings.xml><?xml version="1.0" encoding="utf-8"?>
<sst xmlns="http://schemas.openxmlformats.org/spreadsheetml/2006/main" count="5552" uniqueCount="612">
  <si>
    <t>Departamento/Provincia</t>
  </si>
  <si>
    <t>Var. %</t>
  </si>
  <si>
    <t>AREQUIPA</t>
  </si>
  <si>
    <t xml:space="preserve"> -      </t>
  </si>
  <si>
    <t>-</t>
  </si>
  <si>
    <t>Arequipa</t>
  </si>
  <si>
    <t>AYACUCHO</t>
  </si>
  <si>
    <t>Cangallo</t>
  </si>
  <si>
    <t>Huamanga</t>
  </si>
  <si>
    <t>Huanta</t>
  </si>
  <si>
    <t>La Mar</t>
  </si>
  <si>
    <t>Lucanas</t>
  </si>
  <si>
    <t>Parinacochas</t>
  </si>
  <si>
    <t>Paucar del Sara Sara</t>
  </si>
  <si>
    <t>Sucre</t>
  </si>
  <si>
    <t>CAJAMARCA</t>
  </si>
  <si>
    <t>HUANCAVELICA</t>
  </si>
  <si>
    <t>Huancavelica</t>
  </si>
  <si>
    <t>HUÁNUCO</t>
  </si>
  <si>
    <t>Ambo</t>
  </si>
  <si>
    <t>Dos de Mayo</t>
  </si>
  <si>
    <t>Huánuco</t>
  </si>
  <si>
    <t>Leoncio Prado</t>
  </si>
  <si>
    <t>Marañón</t>
  </si>
  <si>
    <t>Pachitea</t>
  </si>
  <si>
    <t>ICA</t>
  </si>
  <si>
    <t>sigue…</t>
  </si>
  <si>
    <t>Junín</t>
  </si>
  <si>
    <t>Ascope</t>
  </si>
  <si>
    <t>Chepén</t>
  </si>
  <si>
    <t>Gran Chimú</t>
  </si>
  <si>
    <t>Otuzco</t>
  </si>
  <si>
    <t>Sánchez Carrión</t>
  </si>
  <si>
    <t>Santiago de Chuco</t>
  </si>
  <si>
    <t>Trujillo</t>
  </si>
  <si>
    <t>LAMBAYEQUE</t>
  </si>
  <si>
    <t>Chiclayo</t>
  </si>
  <si>
    <t>Ferreñafe</t>
  </si>
  <si>
    <t>Lambayeque</t>
  </si>
  <si>
    <t>PASCO</t>
  </si>
  <si>
    <t>Oxapampa</t>
  </si>
  <si>
    <t>Pasco</t>
  </si>
  <si>
    <t>PIURA</t>
  </si>
  <si>
    <t>Ayabaca</t>
  </si>
  <si>
    <t>Huancabamba</t>
  </si>
  <si>
    <t>Piura</t>
  </si>
  <si>
    <t>UCAYALI</t>
  </si>
  <si>
    <t>Coronel Portillo</t>
  </si>
  <si>
    <t>Fosfato Diamónico</t>
  </si>
  <si>
    <t xml:space="preserve"> -     </t>
  </si>
  <si>
    <t>Cloruro de Potasio</t>
  </si>
  <si>
    <t>Sulfato de Potasio</t>
  </si>
  <si>
    <t>Amazonas</t>
  </si>
  <si>
    <t>Ica</t>
  </si>
  <si>
    <t>Pacasmayo</t>
  </si>
  <si>
    <t>San Martín</t>
  </si>
  <si>
    <t>Producto</t>
  </si>
  <si>
    <t>Chulucanas</t>
  </si>
  <si>
    <t>Palpa</t>
  </si>
  <si>
    <t>Huallaga</t>
  </si>
  <si>
    <t>Picota</t>
  </si>
  <si>
    <t>Caylloma</t>
  </si>
  <si>
    <t>Huacaybamba</t>
  </si>
  <si>
    <t>Yarowilca</t>
  </si>
  <si>
    <t>Julcán</t>
  </si>
  <si>
    <t>Puno</t>
  </si>
  <si>
    <t>Virú</t>
  </si>
  <si>
    <t xml:space="preserve">Elaboración: Ministerio de Desarrollo Agrario y Riego - MIDAGRI </t>
  </si>
  <si>
    <t>Dirección General de Estadística, Seguimiento y Evaluación de Políticas - DEIA</t>
  </si>
  <si>
    <t>Santa Cruz</t>
  </si>
  <si>
    <t>Hualgayoc</t>
  </si>
  <si>
    <t>TUMBES</t>
  </si>
  <si>
    <t>Tumbes</t>
  </si>
  <si>
    <t>Zarumilla</t>
  </si>
  <si>
    <t>Contralmirante Villar</t>
  </si>
  <si>
    <t>LORETO</t>
  </si>
  <si>
    <t>Ucayali</t>
  </si>
  <si>
    <t>APURÍMAC</t>
  </si>
  <si>
    <t>Camaná</t>
  </si>
  <si>
    <t>Víctor Fajardo</t>
  </si>
  <si>
    <t>Huamalíes</t>
  </si>
  <si>
    <t>JUNÍN</t>
  </si>
  <si>
    <t>Bolívar</t>
  </si>
  <si>
    <t>Patáz</t>
  </si>
  <si>
    <t>SAN MARTÍN</t>
  </si>
  <si>
    <t>Castilla</t>
  </si>
  <si>
    <t>LA LIBERTAD</t>
  </si>
  <si>
    <t>Fuente: Gerencias y Direcciones Regionales de Agricultura</t>
  </si>
  <si>
    <t>Chupaca</t>
  </si>
  <si>
    <t>TACNA</t>
  </si>
  <si>
    <t>Tacna</t>
  </si>
  <si>
    <t>Apurímac</t>
  </si>
  <si>
    <t>Vilcas Huamán</t>
  </si>
  <si>
    <t>Daniel Alcides Carrión</t>
  </si>
  <si>
    <t xml:space="preserve">            (Soles por día)</t>
  </si>
  <si>
    <t>Región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</si>
  <si>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</si>
  <si>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</si>
  <si>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</si>
  <si>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</si>
  <si>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</si>
  <si>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</si>
  <si>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</si>
  <si>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</si>
  <si>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</si>
  <si>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</si>
  <si>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</si>
  <si>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</si>
  <si>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</si>
  <si>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Arequipa </t>
  </si>
  <si>
    <t>Ayacucho</t>
  </si>
  <si>
    <t>Cajamarca</t>
  </si>
  <si>
    <t>Cusco</t>
  </si>
  <si>
    <t>continúa C.102</t>
  </si>
  <si>
    <t>La Libertad</t>
  </si>
  <si>
    <t>Lima Metropolitana</t>
  </si>
  <si>
    <t xml:space="preserve">Lima </t>
  </si>
  <si>
    <t>52.50</t>
  </si>
  <si>
    <t>Loreto</t>
  </si>
  <si>
    <t>Madre de Dios</t>
  </si>
  <si>
    <t>Moquegua</t>
  </si>
  <si>
    <t>Nota: A partir del mes de Octubre 2024, el dato corresponde a un promedio simple obtenido del sistema SISISA.</t>
  </si>
  <si>
    <t xml:space="preserve">           (Soles por día)</t>
  </si>
  <si>
    <t>Departamento/    Provincia</t>
  </si>
  <si>
    <t xml:space="preserve">       …</t>
  </si>
  <si>
    <t>Lauricocha</t>
  </si>
  <si>
    <t>Puerto Inca</t>
  </si>
  <si>
    <t>Huanca Sancos</t>
  </si>
  <si>
    <t>La Unión</t>
  </si>
  <si>
    <t>FERTILIZANTES QUÍMICOS</t>
  </si>
  <si>
    <t>Úrea para uso agrícola</t>
  </si>
  <si>
    <t>Nitrato de Amónio</t>
  </si>
  <si>
    <t>Sulfato de Amónio</t>
  </si>
  <si>
    <t>continúa C.90</t>
  </si>
  <si>
    <t>Superfosfatos</t>
  </si>
  <si>
    <t xml:space="preserve">Sulfato de Magnesio y Potasio </t>
  </si>
  <si>
    <t>Fuente: Superintendencia Nacional de Administración Tributaria - SUNAT</t>
  </si>
  <si>
    <t xml:space="preserve">          (Tonelada)</t>
  </si>
  <si>
    <t>Total</t>
  </si>
  <si>
    <t xml:space="preserve">Fuente:  AGRORURAL  </t>
  </si>
  <si>
    <t xml:space="preserve">             (Soles por hora)</t>
  </si>
  <si>
    <t>Año</t>
    <phoneticPr fontId="19" type="noConversion"/>
  </si>
  <si>
    <t xml:space="preserve">    -</t>
  </si>
  <si>
    <t xml:space="preserve">Cusco </t>
  </si>
  <si>
    <t>continúa C.104</t>
  </si>
  <si>
    <t>Lima</t>
  </si>
  <si>
    <t>Metropolitana</t>
  </si>
  <si>
    <t xml:space="preserve">     -      </t>
  </si>
  <si>
    <t>continúa C.105</t>
  </si>
  <si>
    <t xml:space="preserve">Lima Metropolitana </t>
  </si>
  <si>
    <t>110.00</t>
  </si>
  <si>
    <t xml:space="preserve">C.106  PERÚ: PRECIO DE ALQUILER DE TRACTOR Y YUNTA POR DEPARTAMENTO Y PROVINCIA, </t>
  </si>
  <si>
    <t>Tractor (s/*hora)</t>
  </si>
  <si>
    <t>Yunta (s/*día)</t>
  </si>
  <si>
    <t>2024</t>
  </si>
  <si>
    <t>Abancay</t>
  </si>
  <si>
    <t>Antabamba</t>
  </si>
  <si>
    <t xml:space="preserve">     -</t>
  </si>
  <si>
    <t>Cotabambas</t>
  </si>
  <si>
    <t>Curahuasi</t>
  </si>
  <si>
    <t xml:space="preserve">…     </t>
  </si>
  <si>
    <t>Grau</t>
  </si>
  <si>
    <t>2025</t>
  </si>
  <si>
    <t xml:space="preserve">Insumos y Servicios Agropecuarios </t>
  </si>
  <si>
    <t>Cuadro</t>
  </si>
  <si>
    <t xml:space="preserve">Descripción </t>
  </si>
  <si>
    <t xml:space="preserve">C.90 </t>
  </si>
  <si>
    <t>C.91</t>
  </si>
  <si>
    <t>C.92</t>
  </si>
  <si>
    <t>C.93</t>
  </si>
  <si>
    <t>C.94</t>
  </si>
  <si>
    <t>C.95</t>
  </si>
  <si>
    <t>C.96</t>
  </si>
  <si>
    <t>C.97</t>
  </si>
  <si>
    <t>C.98</t>
  </si>
  <si>
    <t>C.99</t>
  </si>
  <si>
    <t>C.100</t>
  </si>
  <si>
    <t>C.101</t>
  </si>
  <si>
    <t>C.102</t>
  </si>
  <si>
    <t>C.103</t>
  </si>
  <si>
    <t>C.104</t>
  </si>
  <si>
    <t>C.105</t>
  </si>
  <si>
    <t>C.106</t>
  </si>
  <si>
    <t>C.107</t>
  </si>
  <si>
    <t>C.108</t>
  </si>
  <si>
    <t>C.109</t>
  </si>
  <si>
    <t>C.110</t>
  </si>
  <si>
    <t>Lima Provincias</t>
  </si>
  <si>
    <t>Challhuahuacho</t>
  </si>
  <si>
    <t>LIMA METROPOLITANA</t>
  </si>
  <si>
    <t>Islay</t>
  </si>
  <si>
    <t>Chota</t>
  </si>
  <si>
    <t>Tayacaja</t>
  </si>
  <si>
    <t>Nota. En el mes de enero y febrero no se realizó ninguna actividad de recolección de guano de isla. El plan de manejo 2025 se aprobó en marzo</t>
  </si>
  <si>
    <t>MOQUEGUA</t>
  </si>
  <si>
    <t>Carumas</t>
  </si>
  <si>
    <t>General Sánchez Cerro</t>
  </si>
  <si>
    <t>Mariscal Nieto</t>
  </si>
  <si>
    <t>PUNO</t>
  </si>
  <si>
    <t>Yunguyo</t>
  </si>
  <si>
    <t>Chucuito</t>
  </si>
  <si>
    <t>San Román</t>
  </si>
  <si>
    <t>Lampa</t>
  </si>
  <si>
    <t>Huancané</t>
  </si>
  <si>
    <t>Moho</t>
  </si>
  <si>
    <t>Melgar</t>
  </si>
  <si>
    <t>Carabaya</t>
  </si>
  <si>
    <t>Sandía</t>
  </si>
  <si>
    <t>LIMA METROPOLITANA*</t>
  </si>
  <si>
    <t>Ichuña</t>
  </si>
  <si>
    <t>Estación Experimental Agraria</t>
  </si>
  <si>
    <t>Especie</t>
  </si>
  <si>
    <t>Raza</t>
  </si>
  <si>
    <t>Categoría</t>
  </si>
  <si>
    <t>Cantidad   Macho</t>
  </si>
  <si>
    <t>Cantidad  Hembra</t>
  </si>
  <si>
    <t>S/</t>
  </si>
  <si>
    <t>Cuy</t>
  </si>
  <si>
    <t>Andina</t>
  </si>
  <si>
    <t>Recría</t>
  </si>
  <si>
    <t>Reproductores</t>
  </si>
  <si>
    <t>Inti</t>
  </si>
  <si>
    <t>Kuri</t>
  </si>
  <si>
    <t>Perú</t>
  </si>
  <si>
    <t>Andenes / Cusco</t>
  </si>
  <si>
    <t>Bovino</t>
  </si>
  <si>
    <t>Girolando</t>
  </si>
  <si>
    <t>Torete / Vaquilla</t>
  </si>
  <si>
    <t>Canaán / Ayacucho</t>
  </si>
  <si>
    <t>Canchán / Huánuco</t>
  </si>
  <si>
    <t>La Molina / Lima Metropolitana</t>
  </si>
  <si>
    <t>Mejorados</t>
  </si>
  <si>
    <t>Chumbibamba / Apurímac</t>
  </si>
  <si>
    <t>Donoso / Lima</t>
  </si>
  <si>
    <t>El Porvenir / San Martín</t>
  </si>
  <si>
    <t>Brown Swiss x Gyr Lechero</t>
  </si>
  <si>
    <t>Ovino</t>
  </si>
  <si>
    <t>Dorper x Pelibuey</t>
  </si>
  <si>
    <t>Carnerillo / Borreguilla</t>
  </si>
  <si>
    <t>Illpa / Puno</t>
  </si>
  <si>
    <t>Moquegua / Moquegua</t>
  </si>
  <si>
    <t>Santa Ana / Junín</t>
  </si>
  <si>
    <t>Línea Saños</t>
  </si>
  <si>
    <t>Vista Florida / Lambayeque</t>
  </si>
  <si>
    <t>Inka</t>
  </si>
  <si>
    <t>Blackbelly</t>
  </si>
  <si>
    <t>Fuente:  INIA, Estaciones Experimentales Agrarias.</t>
  </si>
  <si>
    <t>Plantón</t>
  </si>
  <si>
    <t>Cultivar</t>
  </si>
  <si>
    <t>Cantidad</t>
  </si>
  <si>
    <t>Lúcumo</t>
  </si>
  <si>
    <t>Seda</t>
  </si>
  <si>
    <t>Injerto</t>
  </si>
  <si>
    <t>Hass</t>
  </si>
  <si>
    <t>Palto</t>
  </si>
  <si>
    <t>Fuerte</t>
  </si>
  <si>
    <t>Chirimoyo</t>
  </si>
  <si>
    <t>Cumbe</t>
  </si>
  <si>
    <t>Maracuyá</t>
  </si>
  <si>
    <t>Amarrillo</t>
  </si>
  <si>
    <t>Patrón</t>
  </si>
  <si>
    <t>Chincha / Ica</t>
  </si>
  <si>
    <t>Vid</t>
  </si>
  <si>
    <t>Torontel</t>
  </si>
  <si>
    <t>Borgoña Blanca</t>
  </si>
  <si>
    <t>Quebranta</t>
  </si>
  <si>
    <t>Thompsom</t>
  </si>
  <si>
    <t>Borgoña Negra</t>
  </si>
  <si>
    <t>Red Globe</t>
  </si>
  <si>
    <t>Cabernet Sauvignon</t>
  </si>
  <si>
    <t>Malbec</t>
  </si>
  <si>
    <t>Tempranillo</t>
  </si>
  <si>
    <t>Italia Blanca</t>
  </si>
  <si>
    <t>Tannat</t>
  </si>
  <si>
    <t>Merlot</t>
  </si>
  <si>
    <t>Donoso - Lima</t>
  </si>
  <si>
    <t>Beltrán</t>
  </si>
  <si>
    <t>Mandarina</t>
  </si>
  <si>
    <t>Cleopatra</t>
  </si>
  <si>
    <t>Pitahaya</t>
  </si>
  <si>
    <t>Amarrilla</t>
  </si>
  <si>
    <t>Esqueje</t>
  </si>
  <si>
    <t>Fucsia</t>
  </si>
  <si>
    <t>El Chira / Piura</t>
  </si>
  <si>
    <t>Mango</t>
  </si>
  <si>
    <t>Kent / Cambodiano</t>
  </si>
  <si>
    <t>Kent / Chulucanas</t>
  </si>
  <si>
    <t>Cambodiano</t>
  </si>
  <si>
    <t>Ataulfo / Cambodiano</t>
  </si>
  <si>
    <t>Kent / Saigon</t>
  </si>
  <si>
    <t>Saigon</t>
  </si>
  <si>
    <t>Los Cedros / Tumbes</t>
  </si>
  <si>
    <t>Limonero</t>
  </si>
  <si>
    <t>Limón Sutil</t>
  </si>
  <si>
    <t>Granado</t>
  </si>
  <si>
    <t>Wonderfull</t>
  </si>
  <si>
    <t>sigue</t>
  </si>
  <si>
    <t>Cacao</t>
  </si>
  <si>
    <t>Pichanaki / Junín</t>
  </si>
  <si>
    <t>Naranja</t>
  </si>
  <si>
    <t>Tangelo Miniola</t>
  </si>
  <si>
    <t>Fresa</t>
  </si>
  <si>
    <t>San Andreas</t>
  </si>
  <si>
    <t>Manzano</t>
  </si>
  <si>
    <t>California</t>
  </si>
  <si>
    <t>Pucallpa / Ucayali</t>
  </si>
  <si>
    <t>Boiaina</t>
  </si>
  <si>
    <t>Guaba</t>
  </si>
  <si>
    <t>Rugoso</t>
  </si>
  <si>
    <t>Tahití</t>
  </si>
  <si>
    <t>Sutíl</t>
  </si>
  <si>
    <t>Río de Oro</t>
  </si>
  <si>
    <t>Zill</t>
  </si>
  <si>
    <t>Chico Rico</t>
  </si>
  <si>
    <t>Kent</t>
  </si>
  <si>
    <t>Haden</t>
  </si>
  <si>
    <t>Durazno</t>
  </si>
  <si>
    <t>Valencia</t>
  </si>
  <si>
    <t>Tangelo</t>
  </si>
  <si>
    <t>Undatus</t>
  </si>
  <si>
    <t>Tumbo</t>
  </si>
  <si>
    <t>Zapote</t>
  </si>
  <si>
    <t>San Roque / Loreto</t>
  </si>
  <si>
    <t>Camu Camu</t>
  </si>
  <si>
    <t>Inia 395 Vitahuayo</t>
  </si>
  <si>
    <t>Común</t>
  </si>
  <si>
    <t>Disponibilidad                   (kg)</t>
  </si>
  <si>
    <t>Densidad de siembra (kg/ha)</t>
  </si>
  <si>
    <t>Cobertura                           (ha)</t>
  </si>
  <si>
    <t>Cereales</t>
  </si>
  <si>
    <t>Trigo</t>
  </si>
  <si>
    <t>Maíz Amarillo Duro</t>
  </si>
  <si>
    <t>Maíz Amiláceo</t>
  </si>
  <si>
    <t>Arroz</t>
  </si>
  <si>
    <t>Cebada</t>
  </si>
  <si>
    <t>Avena</t>
  </si>
  <si>
    <t>Quinua</t>
  </si>
  <si>
    <t>Legumbres</t>
  </si>
  <si>
    <t>Haba</t>
  </si>
  <si>
    <t>Lenteja</t>
  </si>
  <si>
    <t>Tarwi</t>
  </si>
  <si>
    <t>Productos de forraje, fibras</t>
  </si>
  <si>
    <t>Maíz Forrajero</t>
  </si>
  <si>
    <t>Triticale</t>
  </si>
  <si>
    <r>
      <t>Fuente</t>
    </r>
    <r>
      <rPr>
        <sz val="6"/>
        <color indexed="8"/>
        <rFont val="Arial Narrow"/>
        <family val="2"/>
      </rPr>
      <t>:  INIA, Estaciones Experimentales Agrarias.</t>
    </r>
  </si>
  <si>
    <t xml:space="preserve"> </t>
  </si>
  <si>
    <t>Cultivo</t>
  </si>
  <si>
    <t>Clase</t>
  </si>
  <si>
    <t>kg</t>
  </si>
  <si>
    <t>S/ x kg</t>
  </si>
  <si>
    <t>Amazonas / Amazonas</t>
  </si>
  <si>
    <t>Avena Forrajera</t>
  </si>
  <si>
    <t>INIA 901 Mantaro 15</t>
  </si>
  <si>
    <t>Certificada</t>
  </si>
  <si>
    <t>Registrada</t>
  </si>
  <si>
    <t>INIA 903 Tayko Andenes</t>
  </si>
  <si>
    <t>Básica</t>
  </si>
  <si>
    <t>INIA 904 Vilcanota</t>
  </si>
  <si>
    <t>INIA 908 Mellicera</t>
  </si>
  <si>
    <t>Grignon</t>
  </si>
  <si>
    <t>INIA 618 Blanco Quispicanchi</t>
  </si>
  <si>
    <t>INIA 617 Chuska</t>
  </si>
  <si>
    <t>Autorizada</t>
  </si>
  <si>
    <t>INIA 405 San Isidro</t>
  </si>
  <si>
    <t>INIA 906 Salka</t>
  </si>
  <si>
    <t>INIA 515 La Capoteña</t>
  </si>
  <si>
    <t>Baños del Inca / Cajamarca</t>
  </si>
  <si>
    <t>INIA 905 La Cajamarquina</t>
  </si>
  <si>
    <t>INIA 402</t>
  </si>
  <si>
    <t>INIA 434 Espiga Misha</t>
  </si>
  <si>
    <t>INIA 620 Wari</t>
  </si>
  <si>
    <t>Marginal 28 Tropical</t>
  </si>
  <si>
    <t>La Molina / Lima</t>
  </si>
  <si>
    <t>Frijol</t>
  </si>
  <si>
    <t>Canario 2000</t>
  </si>
  <si>
    <t>PMV - 560 Blanco Urubamba</t>
  </si>
  <si>
    <t>INIA 418 El Nazareno</t>
  </si>
  <si>
    <t>Chira / Piura</t>
  </si>
  <si>
    <t>Capirona INIA</t>
  </si>
  <si>
    <t>INIA 509 La Esperanza</t>
  </si>
  <si>
    <t>INIA 512 Santa Clara</t>
  </si>
  <si>
    <t>Vaina Blanca - INIA</t>
  </si>
  <si>
    <t>INIA 439 Costacen</t>
  </si>
  <si>
    <t>Caupí</t>
  </si>
  <si>
    <t>Ojo Negro Regional</t>
  </si>
  <si>
    <t>Ucayalino</t>
  </si>
  <si>
    <t>INIA 612 Maselba</t>
  </si>
  <si>
    <t>INIA 433 - Santa Ana/AIQ/FAO</t>
  </si>
  <si>
    <t>INIA 438 - Acollina</t>
  </si>
  <si>
    <t>Andenes 90</t>
  </si>
  <si>
    <t>INIA 445 Masacanchino</t>
  </si>
  <si>
    <t>INIA 433 - Antapampino</t>
  </si>
  <si>
    <t>INIA 502 - Pítipo</t>
  </si>
  <si>
    <t>INIA 508 - Tinajones</t>
  </si>
  <si>
    <t>INIA 509 - La Esperanza</t>
  </si>
  <si>
    <t>INIA 513 - La Puntilla</t>
  </si>
  <si>
    <t>INIA 515 - Capoteña</t>
  </si>
  <si>
    <t>IR - 43</t>
  </si>
  <si>
    <t>INIA 432 - Vaina Verde</t>
  </si>
  <si>
    <t>Parental CML - 287</t>
  </si>
  <si>
    <t>Parental CML - 451</t>
  </si>
  <si>
    <t>Genética</t>
  </si>
  <si>
    <t>INIA 411 San Cristóbal</t>
  </si>
  <si>
    <t>INIA 619 Megahíbrido</t>
  </si>
  <si>
    <t>INIA 510 - Mallares</t>
  </si>
  <si>
    <t xml:space="preserve">          (Soles por tonelada)</t>
  </si>
  <si>
    <t>Guano de Isla</t>
  </si>
  <si>
    <t>Gallinaza</t>
  </si>
  <si>
    <t>Humus de Lombríz</t>
  </si>
  <si>
    <t xml:space="preserve">   ...</t>
  </si>
  <si>
    <t xml:space="preserve">-      </t>
  </si>
  <si>
    <t>Cotabamba</t>
  </si>
  <si>
    <t>Vilcashuamán</t>
  </si>
  <si>
    <t xml:space="preserve">Chupaca </t>
  </si>
  <si>
    <t xml:space="preserve">LA LIBERTAD </t>
  </si>
  <si>
    <t>Daniel A. Carrión</t>
  </si>
  <si>
    <t>Morropón</t>
  </si>
  <si>
    <t>…</t>
  </si>
  <si>
    <t>Caravelí</t>
  </si>
  <si>
    <t>Huaycabamba</t>
  </si>
  <si>
    <t>C.94  PERÚ: PRECIO DE VENTA MINORISTA DE FERTILIZANTES POTÁSICOS POR DEPARTAMENTO Y PROVINCIA,</t>
  </si>
  <si>
    <t>Sulfato de Magnesio y Potasio</t>
  </si>
  <si>
    <t xml:space="preserve"> ...    </t>
  </si>
  <si>
    <t>...</t>
  </si>
  <si>
    <t>Chanchamayo</t>
  </si>
  <si>
    <t>continúa C.94</t>
  </si>
  <si>
    <t xml:space="preserve"> -</t>
  </si>
  <si>
    <t>Sullana</t>
  </si>
  <si>
    <t>Superfosfato de Calcio Triple</t>
  </si>
  <si>
    <t>Roca Fosfórica</t>
  </si>
  <si>
    <t>C.93  PERÚ: PRECIO DE VENTA MINORISTA DE FERTILIZANTES FOSFATADOS POR DEPARTAMENTO Y PROVINCIA,</t>
  </si>
  <si>
    <t>C.92   PERÚ: PRECIO DE VENTA MINORISTA DE FERTILIZANTES NITROGENADOS, POR DEPARTAMENTO Y PROVINCIA,</t>
  </si>
  <si>
    <t>Úrea Agrícola</t>
  </si>
  <si>
    <t>Nitrato de Amonio</t>
  </si>
  <si>
    <t>Sulfato de Amonio</t>
  </si>
  <si>
    <t>continúa C.92</t>
  </si>
  <si>
    <t xml:space="preserve">C.101  PERÚ: PRECIO MINORISTA DE REGULADORES DE CRECIMIENTO POR DEPARTAMENTO </t>
  </si>
  <si>
    <t xml:space="preserve">            (Soles por unidad de medida)</t>
  </si>
  <si>
    <t>Activol                      (Pastilla)</t>
  </si>
  <si>
    <t>Aminofol                          (200 ml)</t>
  </si>
  <si>
    <t>Ergostín 
(200 ml)</t>
  </si>
  <si>
    <t>ANCASH</t>
  </si>
  <si>
    <t>Asunción</t>
  </si>
  <si>
    <t>Huaylas</t>
  </si>
  <si>
    <t>Ocros</t>
  </si>
  <si>
    <t>Marañon</t>
  </si>
  <si>
    <t>Pataz</t>
  </si>
  <si>
    <t>San Roman</t>
  </si>
  <si>
    <t xml:space="preserve">C.100  PERÚ: PRECIO MINORISTA DE NUTRIENTES FOLIARES POR DEPARTAMENTO Y PROVINCIA </t>
  </si>
  <si>
    <t xml:space="preserve">           (Soles por unidad de medida)</t>
  </si>
  <si>
    <t>Abonofol 20-20-20            (kg)</t>
  </si>
  <si>
    <t>Abonofol 30-30-30           (kg)</t>
  </si>
  <si>
    <t xml:space="preserve">Fetrilón combi                 (250 gr) </t>
  </si>
  <si>
    <t>Multifrut                           (kg)</t>
  </si>
  <si>
    <t xml:space="preserve"> ...</t>
  </si>
  <si>
    <t xml:space="preserve">          (Soles por unidad de medida)</t>
  </si>
  <si>
    <t xml:space="preserve">          (Soles por litro)</t>
  </si>
  <si>
    <t xml:space="preserve">C.98   PERÚ: PRECIO MINORISTA DE HERBICIDAS POR DEPARTAMENTO Y PROVINCIA  </t>
  </si>
  <si>
    <t>Goal 2 EC (250 ml)</t>
  </si>
  <si>
    <t xml:space="preserve">C.97  PERÚ: PRECIO MINORISTA DE FUNGICIDAS POR DEPARTAMENTO Y PROVINCIA SEGÚN PRODUCTO, </t>
  </si>
  <si>
    <t>Benzomil  500</t>
  </si>
  <si>
    <t>Cupravit</t>
  </si>
  <si>
    <t>Fitoraz  76% PM</t>
  </si>
  <si>
    <t>Bolivar</t>
  </si>
  <si>
    <t>..</t>
  </si>
  <si>
    <t>Yungay</t>
  </si>
  <si>
    <t>Candarave</t>
  </si>
  <si>
    <t xml:space="preserve">  ...        </t>
  </si>
  <si>
    <t xml:space="preserve">Contralmirante Villar </t>
  </si>
  <si>
    <t xml:space="preserve">       ...</t>
  </si>
  <si>
    <t>Blanco Urubamba (PMV560)</t>
  </si>
  <si>
    <t>INIA 613 Amarrillo Oro</t>
  </si>
  <si>
    <t>INIA 615 Negro Canaan</t>
  </si>
  <si>
    <t>Pasco / Pasco</t>
  </si>
  <si>
    <t>Papa</t>
  </si>
  <si>
    <t>Maíz Morado</t>
  </si>
  <si>
    <t>Tubérculos</t>
  </si>
  <si>
    <t>Blanca</t>
  </si>
  <si>
    <t>Negra</t>
  </si>
  <si>
    <t>Caimito</t>
  </si>
  <si>
    <t>Andino</t>
  </si>
  <si>
    <t>F1 (Brahman x Braunvieh)</t>
  </si>
  <si>
    <t>F1 (Gir lechero x Braunvieh)</t>
  </si>
  <si>
    <t>Gir Lechero</t>
  </si>
  <si>
    <t>Kúmulos  DF</t>
  </si>
  <si>
    <t>Huancasancos</t>
  </si>
  <si>
    <t>Candrave</t>
  </si>
  <si>
    <t>Putumayo</t>
  </si>
  <si>
    <t xml:space="preserve">Huanta </t>
  </si>
  <si>
    <t>Angaráes</t>
  </si>
  <si>
    <t>AMAZONAS</t>
  </si>
  <si>
    <t>Chachapoyas</t>
  </si>
  <si>
    <t>Luya</t>
  </si>
  <si>
    <t>Utcubamba</t>
  </si>
  <si>
    <t xml:space="preserve">...      </t>
  </si>
  <si>
    <t>Bagua</t>
  </si>
  <si>
    <t xml:space="preserve">        ...</t>
  </si>
  <si>
    <t>Churcampa</t>
  </si>
  <si>
    <t>continúa C.93</t>
  </si>
  <si>
    <t>Bellavista</t>
  </si>
  <si>
    <t>APURIMAC</t>
  </si>
  <si>
    <t>JUNIN</t>
  </si>
  <si>
    <t xml:space="preserve"> -       </t>
  </si>
  <si>
    <t>Corrales</t>
  </si>
  <si>
    <t>Coronel Portilla</t>
  </si>
  <si>
    <t>Bongará</t>
  </si>
  <si>
    <t>San Antonio de Putina</t>
  </si>
  <si>
    <t>Continúa C.106</t>
  </si>
  <si>
    <t>Chinca / Ica</t>
  </si>
  <si>
    <t>INIA 610 NUTRI Maíz</t>
  </si>
  <si>
    <t>Única</t>
  </si>
  <si>
    <t>INIA 616 - Ucayali</t>
  </si>
  <si>
    <t>Limón</t>
  </si>
  <si>
    <t>Dulce</t>
  </si>
  <si>
    <t xml:space="preserve">Perú: Importación de fertilizantes químicos por producto según mes, Enero 2015 - Julio 2025 (Tonelada) </t>
  </si>
  <si>
    <t>Perú: Producción de guano de isla según mes,  Enero 2015 - Julio 2025 (Tonelada)</t>
  </si>
  <si>
    <t>Perú: Precio de venta minorista de fertilizantes nitrogenados por departamento y provincia, según producto Julio 2024 - 2025 (Soles por tonelada)</t>
  </si>
  <si>
    <t>Perú: Precio de venta minorista de fertilizantes fosfatados por departamento y provincia según producto, Julio 2024 - 2025 (Soles por tonelada)</t>
  </si>
  <si>
    <t>Perú: Precio de venta minorista de fertilizantes potásicos por departamento y provincia, según producto, Julio 2024 - 2025 (Soles por tonelada)</t>
  </si>
  <si>
    <t>Perú: Precio de venta minorista de abono orgánico por departamento y provincia, según producto, Julio 2024 - 2025 (Soles por tonelada)</t>
  </si>
  <si>
    <t>Perú: Precio minorista de insecticidas por departamento y provincia, según producto, Julio 2025 (Soles por unidad de medida)</t>
  </si>
  <si>
    <t>Perú: Precio minorista de fungicidas por departamento y provincia, según producto, Julio 2025 (Soles por kilogramo)</t>
  </si>
  <si>
    <t>Perú: Precio minorista de herbicidas por departamento y provincia, según producto, Julio 2025 (Soles por unidad de medida)</t>
  </si>
  <si>
    <t>Perú: Precio minorista de adherente por departamento y provincia, según producto, Julio 2025 (Soles por litro)</t>
  </si>
  <si>
    <t>Perú: Precio minorista de nutrientes foliares por departamento y provincia, según producto, Julio 2025 (Soles por unidad de medida)</t>
  </si>
  <si>
    <t>Perú: Precio minorista de reguladores de crecimiento por departamento y provincia, según producto, Julio 2025 (Soles por unidad de medida)</t>
  </si>
  <si>
    <t>Perú: Valor del jornal agrícola por región, según mes, Enero 2018 - Julio 2025 (Soles por día)</t>
  </si>
  <si>
    <t>Perú: Valor del jornal agrícola por departamento y provincia, Julio 2024 - 2025 (Soles por día)</t>
  </si>
  <si>
    <t>Perú: Precio de alquiler de tractor agrícola por región, según mes, Enero 2018 - Julio 2025 (Soles por hora)</t>
  </si>
  <si>
    <t>Perú: Precio de alquiler de yunta por región, según mes, Enero 2018 - Julio 2025 (Soles por día)</t>
  </si>
  <si>
    <t>Perú: Precio de alquiler de tractor y yunta por departamento y provincia, Julio 2024 - 2025</t>
  </si>
  <si>
    <t xml:space="preserve">Perú: Disponibilidad y precio de venta de semilla mejorada en estaciomes experimentales agrarias, por región según categoria, 31 de Julio 2025  </t>
  </si>
  <si>
    <t>Perú: Disponibilidad de semilla mejorada en estaciones experimentales agrarias por producto, 31 de Julio 2025</t>
  </si>
  <si>
    <t xml:space="preserve">Perú: Disponibilidad y precio de venta de plantones en estaciones experimentales agrarias por región, según especie, 31 de Julio 2025  </t>
  </si>
  <si>
    <t xml:space="preserve">Perú: Disponibilidad y precio de venta de reproductores en estaciones experimentales agrarias por región, según raza o línea, 31 de Julio 2025   </t>
  </si>
  <si>
    <t>Ene-Jul</t>
  </si>
  <si>
    <t>La información del mes de Julio, es preliminar</t>
  </si>
  <si>
    <t>C.91  PERÚ: PRODUCCIÓN DE GUANO DE ISLA SEGÚN MES, ENERO 2015 - JULIO 2025</t>
  </si>
  <si>
    <t>C.102  PERÚ: VALOR DEL JORNAL AGRÍCOLA POR REGIÓN SEGÚN MES, ENERO 2018 - JULIO 2025</t>
  </si>
  <si>
    <t>C.103  PERÚ: VALOR DEL JORNAL AGRÍCOLA POR DEPARTAMENTO Y PROVINCIA, JULIO 2024-2025</t>
  </si>
  <si>
    <t>Julio</t>
  </si>
  <si>
    <t>Condorcanqui</t>
  </si>
  <si>
    <t>Rodríguez de Mendoza</t>
  </si>
  <si>
    <t>Cutervo</t>
  </si>
  <si>
    <t>Acobamba</t>
  </si>
  <si>
    <t>Moyobamba</t>
  </si>
  <si>
    <t>Tarata</t>
  </si>
  <si>
    <t>C.104  PERÚ: PRECIO ALQUILER DE TRACTOR AGRÍCOLA, POR REGIÓN, SEGÚN MES, ENERO 2018 - JULIO 2025</t>
  </si>
  <si>
    <t>Nota: A partir del mes de Octubre 2024, el dato corresponde a un promedio simple obtenido del sistema SISISA</t>
  </si>
  <si>
    <t>C.105  PERÚ: PRECIO ALQUILER DE YUNTA POR REGIÓN SEGÚN MES, ENERO 2018 - JULIO 2025</t>
  </si>
  <si>
    <t xml:space="preserve">            JULIO 2024-2025</t>
  </si>
  <si>
    <t xml:space="preserve">            POR REGIÓN SEGÚN CATEGORÍA, 31 DE JULIO 2025</t>
  </si>
  <si>
    <t>INIA444 Siwina</t>
  </si>
  <si>
    <t>INIA 302 Amarilis</t>
  </si>
  <si>
    <t>INIA 443 Antapampino</t>
  </si>
  <si>
    <t>INIA 627 Patapo</t>
  </si>
  <si>
    <t>Genetica</t>
  </si>
  <si>
    <t>INIA 303 Canchán</t>
  </si>
  <si>
    <t>Blanca de Junín</t>
  </si>
  <si>
    <t xml:space="preserve">            POR PRODUCTO, 31 DE JULIO 2025</t>
  </si>
  <si>
    <t>Frijol  Caupí</t>
  </si>
  <si>
    <t xml:space="preserve">            SEGÚN ESPECIE, 31 DE JULIO 2025</t>
  </si>
  <si>
    <t>Duke</t>
  </si>
  <si>
    <t>Guanabana</t>
  </si>
  <si>
    <t xml:space="preserve">            SEGÚN RAZA O LÍNEA, 31 DE JULIO 2025</t>
  </si>
  <si>
    <t xml:space="preserve">          SEGÚN PRODUCTO, JULIO 2024-2025</t>
  </si>
  <si>
    <t>Andahuaylas</t>
  </si>
  <si>
    <t>San Pablo</t>
  </si>
  <si>
    <t xml:space="preserve">Coronel Portillo </t>
  </si>
  <si>
    <t>Elaboración: Ministerio de Desarrollo Agrario y Riego - MIDAGRI</t>
  </si>
  <si>
    <t>Aymaráes</t>
  </si>
  <si>
    <t>Hualygayoc</t>
  </si>
  <si>
    <t>Mariscal Luzuriaga</t>
  </si>
  <si>
    <t xml:space="preserve">Castilla </t>
  </si>
  <si>
    <t xml:space="preserve">          SEGÚN PRODUCTO JULIO 2024-2025</t>
  </si>
  <si>
    <t>Carlos Fermin Fitzcarrald</t>
  </si>
  <si>
    <t xml:space="preserve"> - </t>
  </si>
  <si>
    <t xml:space="preserve"> -   </t>
  </si>
  <si>
    <t>Carlos Fermín Fitzcarrald</t>
  </si>
  <si>
    <t>continúa C.96</t>
  </si>
  <si>
    <t>continúa C.97</t>
  </si>
  <si>
    <t>Lurín</t>
  </si>
  <si>
    <t>Embate 480 SL (Lt)</t>
  </si>
  <si>
    <t xml:space="preserve">Sencor 480  SC (Lt)  </t>
  </si>
  <si>
    <t>continúa C.98</t>
  </si>
  <si>
    <t xml:space="preserve">          SEGÚN PRODUCTO, JULIO 2025</t>
  </si>
  <si>
    <t>.</t>
  </si>
  <si>
    <t>Daniel Alcides Carrion</t>
  </si>
  <si>
    <t xml:space="preserve">           SEGÚN PRODUCTO, JULIO 2025</t>
  </si>
  <si>
    <t xml:space="preserve">continúa C.100 </t>
  </si>
  <si>
    <t xml:space="preserve">            Y PROVINCIA SEGÚN PRODUCTO, JULIO 2025</t>
  </si>
  <si>
    <t>Pix                    
(Ll)</t>
  </si>
  <si>
    <t>continúa C.101</t>
  </si>
  <si>
    <t>C.107  PERÚ: DISPONIBILIDAD Y PRECIO DE VENTA DE SEMILLA MEJORADA EN ESTACIONES EXPERIMENTALES AGRARIAS,</t>
  </si>
  <si>
    <t>C.108  PERÚ: DISPONIBILIDAD DE SEMILLA MEJORADA EN ESTACIONES EXPERIMENTALES AGRARIAS</t>
  </si>
  <si>
    <t xml:space="preserve">C.109  PERÚ: DISPONIBILIDAD Y PRECIO DE VENTA DE PLANTON EN ESTACIONES EXPERIMENTALES AGRARIAS POR REGIÓN </t>
  </si>
  <si>
    <t>C.110  PERÚ: DISPONIBILIDAD Y PRECIO DE VENTA DE REPRODUCTORES EN ESTACIONES EXPERIMENTALES AGRARIAS POR REGIONES,</t>
  </si>
  <si>
    <t xml:space="preserve">  </t>
  </si>
  <si>
    <t>C.90  PERÚ: IMPORTACIÓN DE FERTILIZANTES QUÍMICOS POR PRODUCTO SEGÚN MES, ENERO 2015 - JULIO 2025  (Tonelada)</t>
  </si>
  <si>
    <t>C.95  PERÚ: PRECIO DE VENTA MINORISTA DE ABONO ORGÁNICO POR DEPARTAMENTO Y PROVINCIA, SEGÚN PRODUCTO, JULIO 2024-2025</t>
  </si>
  <si>
    <t xml:space="preserve">C.96  PERÚ: PRECIO MINORISTA DE INSECTICIDAS POR DEPARTAMENTO Y PROVINCIA, SEGÚN PRODUCTO, JULIO 2025  </t>
  </si>
  <si>
    <t>Departamento/  Provincia</t>
  </si>
  <si>
    <t>Campal 250 EC (S/x l)</t>
  </si>
  <si>
    <t>Cipermex Súper (S/x l)</t>
  </si>
  <si>
    <t>Magistral 50 EC (S/x l)</t>
  </si>
  <si>
    <t>Tifon 4E (S/x l)</t>
  </si>
  <si>
    <t>C.99  PERÚ: PRECIO MINORISTA DE ADHERENTE POR DEPARTAMENTO Y PROVINCIA SEGÚN PRODUCTO,  JULIO 2025</t>
  </si>
  <si>
    <t xml:space="preserve">   Agridex           
(S/xl) </t>
  </si>
  <si>
    <t>Agrotín
(S/xl)</t>
  </si>
  <si>
    <t xml:space="preserve"> Citowet 
(S/xl)</t>
  </si>
  <si>
    <t>continúa C.107</t>
  </si>
  <si>
    <t xml:space="preserve">          Julio 2025.  (Soles por kilogramo)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</si>
</sst>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"/>
    <numFmt numFmtId="166" formatCode="0.0"/>
    <numFmt numFmtId="167" formatCode="#\ ##0"/>
    <numFmt numFmtId="168" formatCode="0_)"/>
    <numFmt numFmtId="169" formatCode="#,##0.00__"/>
    <numFmt numFmtId="170" formatCode="#,##0____"/>
    <numFmt numFmtId="171" formatCode="#,##0.0____"/>
    <numFmt numFmtId="172" formatCode="#,##0.00____"/>
    <numFmt numFmtId="173" formatCode="#,##0.0______"/>
    <numFmt numFmtId="174" formatCode="_ * #,##0.00_ ;_ * \-#,##0.00_ ;_ * &quot;-&quot;??_ ;_ @_ "/>
    <numFmt numFmtId="175" formatCode="0.0______"/>
    <numFmt numFmtId="176" formatCode="0.00__"/>
    <numFmt numFmtId="177" formatCode="General_)"/>
    <numFmt numFmtId="178" formatCode="#,##0__"/>
    <numFmt numFmtId="179" formatCode="#\ ##,000"/>
    <numFmt numFmtId="180" formatCode="#,##0&quot;Pts&quot;_);\(#,##0&quot;Pts&quot;\)"/>
    <numFmt numFmtId="181" formatCode="#,##0______"/>
    <numFmt numFmtId="182" formatCode="#,##0.00______"/>
    <numFmt numFmtId="183" formatCode="#,##0__________"/>
    <numFmt numFmtId="184" formatCode="#,##0________________"/>
    <numFmt numFmtId="185" formatCode="#\ ##0.00"/>
    <numFmt numFmtId="186" formatCode="0.0____"/>
    <numFmt numFmtId="187" formatCode="#,##0.0__"/>
    <numFmt numFmtId="188" formatCode="#\ ##0.00__"/>
    <numFmt numFmtId="189" formatCode="0.00____"/>
    <numFmt numFmtId="190" formatCode="0.00______"/>
    <numFmt numFmtId="191" formatCode="#,##0________"/>
  </numFmts>
  <fonts count="6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6"/>
      <color theme="1"/>
      <name val="Arial Narrow"/>
      <family val="2"/>
    </font>
    <font>
      <b/>
      <sz val="8"/>
      <color rgb="FF000000"/>
      <name val="Arial Narrow"/>
      <family val="2"/>
    </font>
    <font>
      <sz val="7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8"/>
      <name val="Helvetica"/>
      <family val="2"/>
    </font>
    <font>
      <sz val="10"/>
      <name val="Arial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  <scheme val="minor"/>
    </font>
    <font>
      <sz val="6"/>
      <name val="Arial Narrow"/>
      <family val="2"/>
    </font>
    <font>
      <sz val="8"/>
      <name val="Times New Roman"/>
      <family val="1"/>
      <charset val="204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0"/>
      <name val="Times"/>
      <family val="1"/>
    </font>
    <font>
      <b/>
      <sz val="7"/>
      <name val="Arial Narrow"/>
      <family val="2"/>
    </font>
    <font>
      <sz val="7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color indexed="8"/>
      <name val="Arial Narrow"/>
      <family val="2"/>
    </font>
    <font>
      <b/>
      <sz val="9"/>
      <color indexed="10"/>
      <name val="Arial Narrow"/>
      <family val="2"/>
    </font>
    <font>
      <b/>
      <sz val="9"/>
      <color rgb="FFFF0000"/>
      <name val="Arial Narrow"/>
      <family val="2"/>
    </font>
    <font>
      <b/>
      <sz val="8"/>
      <color rgb="FFFF0000"/>
      <name val="Arial Narrow"/>
      <family val="2"/>
    </font>
    <font>
      <sz val="6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8"/>
      </patternFill>
    </fill>
    <fill>
      <patternFill patternType="solid">
        <fgColor rgb="FFDEDFF5"/>
        <bgColor indexed="64"/>
      </patternFill>
    </fill>
    <fill>
      <patternFill patternType="solid">
        <fgColor rgb="FFFEF5C2"/>
        <bgColor indexed="64"/>
      </patternFill>
    </fill>
    <fill>
      <patternFill patternType="solid">
        <fgColor rgb="FFF1EFDC"/>
        <bgColor indexed="64"/>
      </patternFill>
    </fill>
    <fill>
      <patternFill patternType="solid">
        <fgColor rgb="FFFEF5C2"/>
        <bgColor rgb="FF83B88C"/>
      </patternFill>
    </fill>
    <fill>
      <patternFill patternType="solid">
        <fgColor rgb="FFF1EFDC"/>
        <bgColor rgb="FFB4DCB6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EF5C2"/>
        <bgColor rgb="FFFEF5C2"/>
      </patternFill>
    </fill>
    <fill>
      <patternFill patternType="solid">
        <fgColor rgb="FFFBFDFF"/>
        <bgColor rgb="FFFBFD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67">
    <xf numFmtId="0" fontId="0" fillId="0" borderId="0"/>
    <xf numFmtId="168" fontId="23" fillId="0" borderId="3"/>
    <xf numFmtId="0" fontId="24" fillId="0" borderId="3"/>
    <xf numFmtId="174" fontId="24" fillId="0" borderId="3" applyFont="0" applyFill="0" applyBorder="0" applyAlignment="0" applyProtection="0"/>
    <xf numFmtId="0" fontId="24" fillId="0" borderId="3"/>
    <xf numFmtId="0" fontId="29" fillId="0" borderId="3"/>
    <xf numFmtId="0" fontId="10" fillId="0" borderId="3"/>
    <xf numFmtId="0" fontId="31" fillId="0" borderId="7" applyNumberFormat="0" applyFill="0" applyAlignment="0" applyProtection="0"/>
    <xf numFmtId="0" fontId="32" fillId="0" borderId="8" applyNumberFormat="0" applyFill="0" applyAlignment="0" applyProtection="0"/>
    <xf numFmtId="0" fontId="33" fillId="0" borderId="9" applyNumberFormat="0" applyFill="0" applyAlignment="0" applyProtection="0"/>
    <xf numFmtId="0" fontId="37" fillId="8" borderId="10" applyNumberFormat="0" applyAlignment="0" applyProtection="0"/>
    <xf numFmtId="0" fontId="38" fillId="9" borderId="11" applyNumberFormat="0" applyAlignment="0" applyProtection="0"/>
    <xf numFmtId="0" fontId="39" fillId="9" borderId="10" applyNumberFormat="0" applyAlignment="0" applyProtection="0"/>
    <xf numFmtId="0" fontId="40" fillId="0" borderId="12" applyNumberFormat="0" applyFill="0" applyAlignment="0" applyProtection="0"/>
    <xf numFmtId="0" fontId="41" fillId="10" borderId="13" applyNumberFormat="0" applyAlignment="0" applyProtection="0"/>
    <xf numFmtId="0" fontId="44" fillId="0" borderId="15" applyNumberFormat="0" applyFill="0" applyAlignment="0" applyProtection="0"/>
    <xf numFmtId="0" fontId="46" fillId="0" borderId="3"/>
    <xf numFmtId="0" fontId="30" fillId="0" borderId="3" applyNumberFormat="0" applyFill="0" applyBorder="0" applyAlignment="0" applyProtection="0"/>
    <xf numFmtId="0" fontId="33" fillId="0" borderId="3" applyNumberFormat="0" applyFill="0" applyBorder="0" applyAlignment="0" applyProtection="0"/>
    <xf numFmtId="0" fontId="34" fillId="5" borderId="3" applyNumberFormat="0" applyBorder="0" applyAlignment="0" applyProtection="0"/>
    <xf numFmtId="0" fontId="35" fillId="6" borderId="3" applyNumberFormat="0" applyBorder="0" applyAlignment="0" applyProtection="0"/>
    <xf numFmtId="0" fontId="36" fillId="7" borderId="3" applyNumberFormat="0" applyBorder="0" applyAlignment="0" applyProtection="0"/>
    <xf numFmtId="0" fontId="42" fillId="0" borderId="3" applyNumberFormat="0" applyFill="0" applyBorder="0" applyAlignment="0" applyProtection="0"/>
    <xf numFmtId="0" fontId="43" fillId="0" borderId="3" applyNumberFormat="0" applyFill="0" applyBorder="0" applyAlignment="0" applyProtection="0"/>
    <xf numFmtId="0" fontId="45" fillId="12" borderId="3" applyNumberFormat="0" applyBorder="0" applyAlignment="0" applyProtection="0"/>
    <xf numFmtId="0" fontId="9" fillId="13" borderId="3" applyNumberFormat="0" applyBorder="0" applyAlignment="0" applyProtection="0"/>
    <xf numFmtId="0" fontId="9" fillId="14" borderId="3" applyNumberFormat="0" applyBorder="0" applyAlignment="0" applyProtection="0"/>
    <xf numFmtId="0" fontId="9" fillId="15" borderId="3" applyNumberFormat="0" applyBorder="0" applyAlignment="0" applyProtection="0"/>
    <xf numFmtId="0" fontId="45" fillId="16" borderId="3" applyNumberFormat="0" applyBorder="0" applyAlignment="0" applyProtection="0"/>
    <xf numFmtId="0" fontId="9" fillId="17" borderId="3" applyNumberFormat="0" applyBorder="0" applyAlignment="0" applyProtection="0"/>
    <xf numFmtId="0" fontId="9" fillId="18" borderId="3" applyNumberFormat="0" applyBorder="0" applyAlignment="0" applyProtection="0"/>
    <xf numFmtId="0" fontId="9" fillId="19" borderId="3" applyNumberFormat="0" applyBorder="0" applyAlignment="0" applyProtection="0"/>
    <xf numFmtId="0" fontId="45" fillId="20" borderId="3" applyNumberFormat="0" applyBorder="0" applyAlignment="0" applyProtection="0"/>
    <xf numFmtId="0" fontId="9" fillId="21" borderId="3" applyNumberFormat="0" applyBorder="0" applyAlignment="0" applyProtection="0"/>
    <xf numFmtId="0" fontId="9" fillId="22" borderId="3" applyNumberFormat="0" applyBorder="0" applyAlignment="0" applyProtection="0"/>
    <xf numFmtId="0" fontId="9" fillId="23" borderId="3" applyNumberFormat="0" applyBorder="0" applyAlignment="0" applyProtection="0"/>
    <xf numFmtId="0" fontId="45" fillId="24" borderId="3" applyNumberFormat="0" applyBorder="0" applyAlignment="0" applyProtection="0"/>
    <xf numFmtId="0" fontId="9" fillId="25" borderId="3" applyNumberFormat="0" applyBorder="0" applyAlignment="0" applyProtection="0"/>
    <xf numFmtId="0" fontId="9" fillId="26" borderId="3" applyNumberFormat="0" applyBorder="0" applyAlignment="0" applyProtection="0"/>
    <xf numFmtId="0" fontId="9" fillId="27" borderId="3" applyNumberFormat="0" applyBorder="0" applyAlignment="0" applyProtection="0"/>
    <xf numFmtId="0" fontId="45" fillId="28" borderId="3" applyNumberFormat="0" applyBorder="0" applyAlignment="0" applyProtection="0"/>
    <xf numFmtId="0" fontId="9" fillId="29" borderId="3" applyNumberFormat="0" applyBorder="0" applyAlignment="0" applyProtection="0"/>
    <xf numFmtId="0" fontId="9" fillId="30" borderId="3" applyNumberFormat="0" applyBorder="0" applyAlignment="0" applyProtection="0"/>
    <xf numFmtId="0" fontId="9" fillId="31" borderId="3" applyNumberFormat="0" applyBorder="0" applyAlignment="0" applyProtection="0"/>
    <xf numFmtId="0" fontId="45" fillId="32" borderId="3" applyNumberFormat="0" applyBorder="0" applyAlignment="0" applyProtection="0"/>
    <xf numFmtId="0" fontId="9" fillId="33" borderId="3" applyNumberFormat="0" applyBorder="0" applyAlignment="0" applyProtection="0"/>
    <xf numFmtId="0" fontId="9" fillId="34" borderId="3" applyNumberFormat="0" applyBorder="0" applyAlignment="0" applyProtection="0"/>
    <xf numFmtId="0" fontId="9" fillId="35" borderId="3" applyNumberFormat="0" applyBorder="0" applyAlignment="0" applyProtection="0"/>
    <xf numFmtId="0" fontId="9" fillId="0" borderId="3"/>
    <xf numFmtId="0" fontId="9" fillId="11" borderId="14" applyNumberFormat="0" applyFont="0" applyAlignment="0" applyProtection="0"/>
    <xf numFmtId="0" fontId="8" fillId="0" borderId="3"/>
    <xf numFmtId="0" fontId="47" fillId="0" borderId="3"/>
    <xf numFmtId="0" fontId="7" fillId="0" borderId="3"/>
    <xf numFmtId="43" fontId="27" fillId="0" borderId="3" applyFont="0" applyFill="0" applyBorder="0" applyAlignment="0" applyProtection="0"/>
    <xf numFmtId="164" fontId="27" fillId="0" borderId="3" applyFont="0" applyFill="0" applyBorder="0" applyAlignment="0" applyProtection="0"/>
    <xf numFmtId="0" fontId="27" fillId="0" borderId="3"/>
    <xf numFmtId="0" fontId="6" fillId="0" borderId="3"/>
    <xf numFmtId="0" fontId="5" fillId="0" borderId="3"/>
    <xf numFmtId="37" fontId="51" fillId="0" borderId="3"/>
    <xf numFmtId="0" fontId="4" fillId="0" borderId="3"/>
    <xf numFmtId="0" fontId="50" fillId="0" borderId="3"/>
    <xf numFmtId="0" fontId="3" fillId="0" borderId="3"/>
    <xf numFmtId="0" fontId="56" fillId="0" borderId="3"/>
    <xf numFmtId="0" fontId="2" fillId="0" borderId="3"/>
    <xf numFmtId="0" fontId="1" fillId="0" borderId="3"/>
    <xf numFmtId="0" fontId="57" fillId="0" borderId="3"/>
    <xf numFmtId="0" fontId="27" fillId="0" borderId="3"/>
  </cellStyleXfs>
  <cellXfs count="738">
    <xf numFmtId="0" fontId="0" fillId="0" borderId="0" xfId="0"/>
    <xf numFmtId="171" fontId="19" fillId="4" borderId="3" xfId="3" applyNumberFormat="1" applyFont="1" applyFill="1" applyBorder="1" applyAlignment="1">
      <alignment horizontal="right" vertical="center"/>
    </xf>
    <xf numFmtId="0" fontId="26" fillId="0" borderId="3" xfId="55" applyFont="1"/>
    <xf numFmtId="3" fontId="12" fillId="0" borderId="3" xfId="55" applyNumberFormat="1" applyFont="1" applyAlignment="1">
      <alignment vertical="center"/>
    </xf>
    <xf numFmtId="0" fontId="26" fillId="0" borderId="16" xfId="55" applyFont="1" applyBorder="1"/>
    <xf numFmtId="169" fontId="19" fillId="4" borderId="3" xfId="55" applyNumberFormat="1" applyFont="1" applyFill="1" applyAlignment="1">
      <alignment horizontal="center" vertical="center"/>
    </xf>
    <xf numFmtId="165" fontId="16" fillId="0" borderId="16" xfId="55" applyNumberFormat="1" applyFont="1" applyBorder="1" applyAlignment="1">
      <alignment horizontal="right" vertical="center"/>
    </xf>
    <xf numFmtId="172" fontId="12" fillId="4" borderId="3" xfId="55" applyNumberFormat="1" applyFont="1" applyFill="1" applyAlignment="1">
      <alignment horizontal="center" vertical="center"/>
    </xf>
    <xf numFmtId="0" fontId="26" fillId="4" borderId="3" xfId="55" applyFont="1" applyFill="1"/>
    <xf numFmtId="0" fontId="14" fillId="0" borderId="3" xfId="55" applyFont="1" applyAlignment="1">
      <alignment horizontal="center" vertical="center"/>
    </xf>
    <xf numFmtId="0" fontId="28" fillId="4" borderId="0" xfId="0" applyFont="1" applyFill="1" applyAlignment="1">
      <alignment vertical="center"/>
    </xf>
    <xf numFmtId="1" fontId="12" fillId="4" borderId="3" xfId="55" applyNumberFormat="1" applyFont="1" applyFill="1" applyAlignment="1">
      <alignment horizontal="center" vertical="center"/>
    </xf>
    <xf numFmtId="0" fontId="20" fillId="4" borderId="3" xfId="55" applyFont="1" applyFill="1"/>
    <xf numFmtId="2" fontId="12" fillId="4" borderId="3" xfId="55" applyNumberFormat="1" applyFont="1" applyFill="1" applyAlignment="1">
      <alignment horizontal="center" vertical="center"/>
    </xf>
    <xf numFmtId="0" fontId="12" fillId="4" borderId="3" xfId="55" applyFont="1" applyFill="1"/>
    <xf numFmtId="0" fontId="15" fillId="4" borderId="3" xfId="55" applyFont="1" applyFill="1" applyAlignment="1">
      <alignment horizontal="left"/>
    </xf>
    <xf numFmtId="0" fontId="13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 vertical="center"/>
    </xf>
    <xf numFmtId="0" fontId="14" fillId="4" borderId="3" xfId="55" applyFont="1" applyFill="1" applyAlignment="1">
      <alignment horizontal="left"/>
    </xf>
    <xf numFmtId="0" fontId="12" fillId="4" borderId="3" xfId="55" applyFont="1" applyFill="1" applyAlignment="1">
      <alignment horizontal="left"/>
    </xf>
    <xf numFmtId="0" fontId="22" fillId="4" borderId="3" xfId="55" applyFont="1" applyFill="1" applyAlignment="1">
      <alignment horizontal="left"/>
    </xf>
    <xf numFmtId="1" fontId="19" fillId="4" borderId="3" xfId="55" applyNumberFormat="1" applyFont="1" applyFill="1" applyAlignment="1">
      <alignment horizontal="center" vertical="center"/>
    </xf>
    <xf numFmtId="4" fontId="19" fillId="4" borderId="3" xfId="55" applyNumberFormat="1" applyFont="1" applyFill="1" applyAlignment="1">
      <alignment horizontal="center" vertical="center"/>
    </xf>
    <xf numFmtId="4" fontId="12" fillId="4" borderId="3" xfId="55" applyNumberFormat="1" applyFont="1" applyFill="1" applyAlignment="1">
      <alignment horizontal="center" vertical="center"/>
    </xf>
    <xf numFmtId="0" fontId="22" fillId="4" borderId="6" xfId="55" applyFont="1" applyFill="1" applyBorder="1" applyAlignment="1">
      <alignment horizontal="left"/>
    </xf>
    <xf numFmtId="1" fontId="19" fillId="4" borderId="6" xfId="55" applyNumberFormat="1" applyFont="1" applyFill="1" applyBorder="1" applyAlignment="1">
      <alignment horizontal="center" vertical="center"/>
    </xf>
    <xf numFmtId="4" fontId="19" fillId="4" borderId="6" xfId="55" applyNumberFormat="1" applyFont="1" applyFill="1" applyBorder="1" applyAlignment="1">
      <alignment horizontal="center" vertical="center"/>
    </xf>
    <xf numFmtId="0" fontId="22" fillId="37" borderId="16" xfId="55" applyFont="1" applyFill="1" applyBorder="1" applyAlignment="1">
      <alignment horizontal="left"/>
    </xf>
    <xf numFmtId="1" fontId="19" fillId="4" borderId="16" xfId="55" applyNumberFormat="1" applyFont="1" applyFill="1" applyBorder="1" applyAlignment="1">
      <alignment horizontal="center" vertical="center"/>
    </xf>
    <xf numFmtId="4" fontId="19" fillId="4" borderId="16" xfId="55" applyNumberFormat="1" applyFont="1" applyFill="1" applyBorder="1" applyAlignment="1">
      <alignment horizontal="center" vertical="center"/>
    </xf>
    <xf numFmtId="4" fontId="12" fillId="4" borderId="16" xfId="55" applyNumberFormat="1" applyFont="1" applyFill="1" applyBorder="1" applyAlignment="1">
      <alignment horizontal="center" vertical="center"/>
    </xf>
    <xf numFmtId="0" fontId="22" fillId="37" borderId="3" xfId="55" applyFont="1" applyFill="1" applyAlignment="1">
      <alignment horizontal="left"/>
    </xf>
    <xf numFmtId="0" fontId="22" fillId="37" borderId="6" xfId="55" applyFont="1" applyFill="1" applyBorder="1" applyAlignment="1">
      <alignment horizontal="left"/>
    </xf>
    <xf numFmtId="0" fontId="22" fillId="37" borderId="3" xfId="55" applyFont="1" applyFill="1" applyAlignment="1">
      <alignment horizontal="left" vertical="center"/>
    </xf>
    <xf numFmtId="0" fontId="22" fillId="4" borderId="16" xfId="55" applyFont="1" applyFill="1" applyBorder="1" applyAlignment="1">
      <alignment horizontal="left"/>
    </xf>
    <xf numFmtId="49" fontId="19" fillId="4" borderId="16" xfId="55" applyNumberFormat="1" applyFont="1" applyFill="1" applyBorder="1" applyAlignment="1">
      <alignment horizontal="center" vertical="center"/>
    </xf>
    <xf numFmtId="0" fontId="19" fillId="4" borderId="16" xfId="55" applyFont="1" applyFill="1" applyBorder="1" applyAlignment="1">
      <alignment vertical="center" wrapText="1"/>
    </xf>
    <xf numFmtId="170" fontId="19" fillId="4" borderId="16" xfId="55" applyNumberFormat="1" applyFont="1" applyFill="1" applyBorder="1" applyAlignment="1">
      <alignment horizontal="right" vertical="center"/>
    </xf>
    <xf numFmtId="170" fontId="12" fillId="4" borderId="16" xfId="55" applyNumberFormat="1" applyFont="1" applyFill="1" applyBorder="1" applyAlignment="1">
      <alignment horizontal="right" vertical="center"/>
    </xf>
    <xf numFmtId="165" fontId="16" fillId="4" borderId="16" xfId="55" applyNumberFormat="1" applyFont="1" applyFill="1" applyBorder="1" applyAlignment="1">
      <alignment horizontal="right" vertical="center"/>
    </xf>
    <xf numFmtId="170" fontId="12" fillId="4" borderId="3" xfId="55" applyNumberFormat="1" applyFont="1" applyFill="1" applyAlignment="1">
      <alignment horizontal="right" vertical="center"/>
    </xf>
    <xf numFmtId="171" fontId="19" fillId="4" borderId="3" xfId="55" applyNumberFormat="1" applyFont="1" applyFill="1"/>
    <xf numFmtId="0" fontId="19" fillId="4" borderId="3" xfId="55" applyFont="1" applyFill="1" applyAlignment="1">
      <alignment horizontal="left"/>
    </xf>
    <xf numFmtId="0" fontId="19" fillId="4" borderId="6" xfId="55" applyFont="1" applyFill="1" applyBorder="1" applyAlignment="1">
      <alignment horizontal="left"/>
    </xf>
    <xf numFmtId="0" fontId="28" fillId="4" borderId="16" xfId="55" applyFont="1" applyFill="1" applyBorder="1"/>
    <xf numFmtId="0" fontId="12" fillId="4" borderId="16" xfId="55" applyFont="1" applyFill="1" applyBorder="1"/>
    <xf numFmtId="0" fontId="19" fillId="4" borderId="16" xfId="55" applyFont="1" applyFill="1" applyBorder="1"/>
    <xf numFmtId="0" fontId="28" fillId="4" borderId="3" xfId="56" applyFont="1" applyFill="1" applyAlignment="1">
      <alignment vertical="center"/>
    </xf>
    <xf numFmtId="0" fontId="19" fillId="4" borderId="3" xfId="55" applyFont="1" applyFill="1"/>
    <xf numFmtId="0" fontId="28" fillId="4" borderId="3" xfId="56" applyFont="1" applyFill="1"/>
    <xf numFmtId="0" fontId="15" fillId="4" borderId="3" xfId="55" applyFont="1" applyFill="1"/>
    <xf numFmtId="0" fontId="14" fillId="4" borderId="3" xfId="55" applyFont="1" applyFill="1"/>
    <xf numFmtId="0" fontId="15" fillId="4" borderId="3" xfId="55" applyFont="1" applyFill="1" applyAlignment="1">
      <alignment vertical="top"/>
    </xf>
    <xf numFmtId="0" fontId="12" fillId="4" borderId="3" xfId="55" applyFont="1" applyFill="1" applyAlignment="1">
      <alignment vertical="center"/>
    </xf>
    <xf numFmtId="2" fontId="14" fillId="4" borderId="3" xfId="55" applyNumberFormat="1" applyFont="1" applyFill="1" applyAlignment="1">
      <alignment vertical="center"/>
    </xf>
    <xf numFmtId="0" fontId="26" fillId="4" borderId="3" xfId="55" applyFont="1" applyFill="1" applyAlignment="1">
      <alignment vertical="center"/>
    </xf>
    <xf numFmtId="2" fontId="12" fillId="4" borderId="3" xfId="55" applyNumberFormat="1" applyFont="1" applyFill="1" applyAlignment="1">
      <alignment vertical="center"/>
    </xf>
    <xf numFmtId="165" fontId="19" fillId="4" borderId="3" xfId="3" applyNumberFormat="1" applyFont="1" applyFill="1" applyBorder="1" applyAlignment="1">
      <alignment horizontal="center" vertical="center"/>
    </xf>
    <xf numFmtId="2" fontId="12" fillId="4" borderId="6" xfId="55" applyNumberFormat="1" applyFont="1" applyFill="1" applyBorder="1" applyAlignment="1">
      <alignment vertical="center"/>
    </xf>
    <xf numFmtId="2" fontId="14" fillId="4" borderId="16" xfId="55" applyNumberFormat="1" applyFont="1" applyFill="1" applyBorder="1" applyAlignment="1">
      <alignment vertical="center"/>
    </xf>
    <xf numFmtId="165" fontId="19" fillId="4" borderId="16" xfId="3" applyNumberFormat="1" applyFont="1" applyFill="1" applyBorder="1" applyAlignment="1">
      <alignment horizontal="center" vertical="center"/>
    </xf>
    <xf numFmtId="4" fontId="19" fillId="4" borderId="0" xfId="0" applyNumberFormat="1" applyFont="1" applyFill="1" applyAlignment="1">
      <alignment vertical="center"/>
    </xf>
    <xf numFmtId="2" fontId="48" fillId="4" borderId="3" xfId="55" applyNumberFormat="1" applyFont="1" applyFill="1" applyAlignment="1">
      <alignment vertical="center"/>
    </xf>
    <xf numFmtId="4" fontId="19" fillId="4" borderId="3" xfId="0" applyNumberFormat="1" applyFont="1" applyFill="1" applyBorder="1" applyAlignment="1">
      <alignment vertical="center"/>
    </xf>
    <xf numFmtId="165" fontId="16" fillId="4" borderId="3" xfId="55" applyNumberFormat="1" applyFont="1" applyFill="1" applyAlignment="1">
      <alignment horizontal="right" vertical="center"/>
    </xf>
    <xf numFmtId="2" fontId="12" fillId="4" borderId="3" xfId="55" applyNumberFormat="1" applyFont="1" applyFill="1" applyAlignment="1">
      <alignment horizontal="right" vertical="center"/>
    </xf>
    <xf numFmtId="2" fontId="12" fillId="4" borderId="6" xfId="55" applyNumberFormat="1" applyFont="1" applyFill="1" applyBorder="1" applyAlignment="1">
      <alignment horizontal="right" vertical="center"/>
    </xf>
    <xf numFmtId="2" fontId="14" fillId="4" borderId="16" xfId="55" applyNumberFormat="1" applyFont="1" applyFill="1" applyBorder="1" applyAlignment="1">
      <alignment horizontal="right" vertical="center"/>
    </xf>
    <xf numFmtId="0" fontId="12" fillId="4" borderId="3" xfId="55" applyFont="1" applyFill="1" applyAlignment="1">
      <alignment horizontal="left" vertical="center"/>
    </xf>
    <xf numFmtId="0" fontId="12" fillId="4" borderId="6" xfId="55" applyFont="1" applyFill="1" applyBorder="1" applyAlignment="1">
      <alignment horizontal="left" vertical="center"/>
    </xf>
    <xf numFmtId="0" fontId="28" fillId="4" borderId="3" xfId="56" applyFont="1" applyFill="1" applyAlignment="1">
      <alignment vertical="top"/>
    </xf>
    <xf numFmtId="0" fontId="48" fillId="4" borderId="3" xfId="55" applyFont="1" applyFill="1" applyAlignment="1">
      <alignment horizontal="left" vertical="center"/>
    </xf>
    <xf numFmtId="0" fontId="14" fillId="4" borderId="3" xfId="55" applyFont="1" applyFill="1" applyAlignment="1">
      <alignment horizontal="left" vertical="center"/>
    </xf>
    <xf numFmtId="0" fontId="12" fillId="0" borderId="3" xfId="55" applyFont="1" applyAlignment="1">
      <alignment horizontal="left" vertical="center"/>
    </xf>
    <xf numFmtId="4" fontId="19" fillId="4" borderId="6" xfId="0" applyNumberFormat="1" applyFont="1" applyFill="1" applyBorder="1" applyAlignment="1">
      <alignment vertical="center"/>
    </xf>
    <xf numFmtId="0" fontId="48" fillId="4" borderId="6" xfId="55" applyFont="1" applyFill="1" applyBorder="1" applyAlignment="1">
      <alignment horizontal="left" vertical="center"/>
    </xf>
    <xf numFmtId="2" fontId="48" fillId="4" borderId="6" xfId="55" applyNumberFormat="1" applyFont="1" applyFill="1" applyBorder="1" applyAlignment="1">
      <alignment vertical="center"/>
    </xf>
    <xf numFmtId="37" fontId="25" fillId="3" borderId="3" xfId="58" applyFont="1" applyFill="1"/>
    <xf numFmtId="37" fontId="15" fillId="3" borderId="3" xfId="58" applyFont="1" applyFill="1" applyAlignment="1">
      <alignment vertical="center"/>
    </xf>
    <xf numFmtId="3" fontId="13" fillId="0" borderId="3" xfId="55" applyNumberFormat="1" applyFont="1" applyAlignment="1">
      <alignment horizontal="right" vertical="center"/>
    </xf>
    <xf numFmtId="37" fontId="15" fillId="3" borderId="3" xfId="58" applyFont="1" applyFill="1"/>
    <xf numFmtId="0" fontId="12" fillId="0" borderId="16" xfId="55" applyFont="1" applyBorder="1" applyAlignment="1">
      <alignment horizontal="center" vertical="center"/>
    </xf>
    <xf numFmtId="3" fontId="12" fillId="0" borderId="16" xfId="55" applyNumberFormat="1" applyFont="1" applyBorder="1" applyAlignment="1">
      <alignment horizontal="right" vertical="center"/>
    </xf>
    <xf numFmtId="3" fontId="12" fillId="0" borderId="16" xfId="55" quotePrefix="1" applyNumberFormat="1" applyFont="1" applyBorder="1" applyAlignment="1">
      <alignment horizontal="right" vertical="center"/>
    </xf>
    <xf numFmtId="0" fontId="12" fillId="0" borderId="3" xfId="55" applyFont="1" applyAlignment="1">
      <alignment horizontal="center" vertical="center"/>
    </xf>
    <xf numFmtId="3" fontId="12" fillId="0" borderId="3" xfId="55" applyNumberFormat="1" applyFont="1" applyAlignment="1">
      <alignment horizontal="right" vertical="center"/>
    </xf>
    <xf numFmtId="3" fontId="12" fillId="0" borderId="3" xfId="55" quotePrefix="1" applyNumberFormat="1" applyFont="1" applyAlignment="1">
      <alignment horizontal="right" vertical="center"/>
    </xf>
    <xf numFmtId="3" fontId="12" fillId="0" borderId="6" xfId="55" applyNumberFormat="1" applyFont="1" applyBorder="1" applyAlignment="1">
      <alignment horizontal="right" vertical="center"/>
    </xf>
    <xf numFmtId="3" fontId="19" fillId="0" borderId="3" xfId="55" applyNumberFormat="1" applyFont="1" applyAlignment="1">
      <alignment horizontal="right" vertical="center"/>
    </xf>
    <xf numFmtId="3" fontId="19" fillId="0" borderId="3" xfId="55" applyNumberFormat="1" applyFont="1" applyAlignment="1">
      <alignment vertical="center"/>
    </xf>
    <xf numFmtId="0" fontId="12" fillId="0" borderId="6" xfId="55" applyFont="1" applyBorder="1" applyAlignment="1">
      <alignment horizontal="center" vertical="center"/>
    </xf>
    <xf numFmtId="3" fontId="19" fillId="0" borderId="6" xfId="55" applyNumberFormat="1" applyFont="1" applyBorder="1" applyAlignment="1">
      <alignment horizontal="right" vertical="center"/>
    </xf>
    <xf numFmtId="0" fontId="52" fillId="0" borderId="16" xfId="55" applyFont="1" applyBorder="1" applyAlignment="1">
      <alignment horizontal="left" vertical="center" wrapText="1"/>
    </xf>
    <xf numFmtId="3" fontId="52" fillId="0" borderId="3" xfId="55" applyNumberFormat="1" applyFont="1" applyAlignment="1">
      <alignment vertical="center"/>
    </xf>
    <xf numFmtId="3" fontId="53" fillId="0" borderId="16" xfId="55" applyNumberFormat="1" applyFont="1" applyBorder="1" applyAlignment="1">
      <alignment horizontal="right" vertical="center"/>
    </xf>
    <xf numFmtId="3" fontId="53" fillId="0" borderId="16" xfId="55" applyNumberFormat="1" applyFont="1" applyBorder="1" applyAlignment="1">
      <alignment vertical="center"/>
    </xf>
    <xf numFmtId="0" fontId="17" fillId="0" borderId="3" xfId="55" applyFont="1" applyAlignment="1">
      <alignment horizontal="left" vertical="center"/>
    </xf>
    <xf numFmtId="0" fontId="18" fillId="0" borderId="3" xfId="55" applyFont="1" applyAlignment="1">
      <alignment horizontal="center" vertical="center"/>
    </xf>
    <xf numFmtId="3" fontId="18" fillId="0" borderId="3" xfId="55" applyNumberFormat="1" applyFont="1" applyAlignment="1">
      <alignment horizontal="right" vertical="center"/>
    </xf>
    <xf numFmtId="3" fontId="53" fillId="0" borderId="3" xfId="55" applyNumberFormat="1" applyFont="1" applyAlignment="1">
      <alignment horizontal="right" vertical="center"/>
    </xf>
    <xf numFmtId="3" fontId="53" fillId="0" borderId="3" xfId="55" applyNumberFormat="1" applyFont="1" applyAlignment="1">
      <alignment vertical="center"/>
    </xf>
    <xf numFmtId="177" fontId="14" fillId="0" borderId="16" xfId="55" applyNumberFormat="1" applyFont="1" applyBorder="1" applyAlignment="1">
      <alignment horizontal="center" vertical="center"/>
    </xf>
    <xf numFmtId="177" fontId="22" fillId="38" borderId="16" xfId="55" applyNumberFormat="1" applyFont="1" applyFill="1" applyBorder="1" applyAlignment="1">
      <alignment horizontal="center" vertical="center"/>
    </xf>
    <xf numFmtId="0" fontId="12" fillId="0" borderId="3" xfId="55" applyFont="1" applyAlignment="1">
      <alignment vertical="center"/>
    </xf>
    <xf numFmtId="1" fontId="12" fillId="0" borderId="3" xfId="55" applyNumberFormat="1" applyFont="1" applyAlignment="1">
      <alignment vertical="center"/>
    </xf>
    <xf numFmtId="166" fontId="12" fillId="0" borderId="3" xfId="55" applyNumberFormat="1" applyFont="1" applyAlignment="1">
      <alignment vertical="center"/>
    </xf>
    <xf numFmtId="1" fontId="12" fillId="0" borderId="3" xfId="55" quotePrefix="1" applyNumberFormat="1" applyFont="1" applyAlignment="1">
      <alignment horizontal="right" vertical="center"/>
    </xf>
    <xf numFmtId="3" fontId="12" fillId="0" borderId="6" xfId="55" quotePrefix="1" applyNumberFormat="1" applyFont="1" applyBorder="1" applyAlignment="1">
      <alignment horizontal="right" vertical="center"/>
    </xf>
    <xf numFmtId="0" fontId="12" fillId="3" borderId="3" xfId="55" applyFont="1" applyFill="1" applyAlignment="1">
      <alignment horizontal="center"/>
    </xf>
    <xf numFmtId="167" fontId="12" fillId="3" borderId="3" xfId="55" applyNumberFormat="1" applyFont="1" applyFill="1"/>
    <xf numFmtId="3" fontId="12" fillId="3" borderId="3" xfId="55" applyNumberFormat="1" applyFont="1" applyFill="1" applyAlignment="1">
      <alignment horizontal="right"/>
    </xf>
    <xf numFmtId="3" fontId="12" fillId="3" borderId="3" xfId="55" quotePrefix="1" applyNumberFormat="1" applyFont="1" applyFill="1" applyAlignment="1">
      <alignment horizontal="right"/>
    </xf>
    <xf numFmtId="3" fontId="12" fillId="3" borderId="3" xfId="55" applyNumberFormat="1" applyFont="1" applyFill="1" applyAlignment="1">
      <alignment horizontal="right" vertical="center"/>
    </xf>
    <xf numFmtId="3" fontId="12" fillId="3" borderId="3" xfId="55" quotePrefix="1" applyNumberFormat="1" applyFont="1" applyFill="1" applyAlignment="1">
      <alignment horizontal="right" vertical="center"/>
    </xf>
    <xf numFmtId="0" fontId="28" fillId="0" borderId="3" xfId="59" applyFont="1" applyAlignment="1">
      <alignment vertical="center"/>
    </xf>
    <xf numFmtId="168" fontId="12" fillId="0" borderId="3" xfId="1" applyFont="1" applyAlignment="1">
      <alignment horizontal="left"/>
    </xf>
    <xf numFmtId="0" fontId="12" fillId="0" borderId="3" xfId="55" applyFont="1"/>
    <xf numFmtId="0" fontId="28" fillId="0" borderId="3" xfId="59" applyFont="1"/>
    <xf numFmtId="0" fontId="17" fillId="2" borderId="0" xfId="0" applyFont="1" applyFill="1" applyAlignment="1">
      <alignment vertical="center"/>
    </xf>
    <xf numFmtId="37" fontId="14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78" fontId="12" fillId="4" borderId="3" xfId="0" applyNumberFormat="1" applyFont="1" applyFill="1" applyBorder="1" applyAlignment="1">
      <alignment horizontal="right" vertical="center"/>
    </xf>
    <xf numFmtId="178" fontId="12" fillId="4" borderId="3" xfId="4" applyNumberFormat="1" applyFont="1" applyFill="1" applyAlignment="1">
      <alignment horizontal="right" vertical="center"/>
    </xf>
    <xf numFmtId="178" fontId="12" fillId="4" borderId="3" xfId="4" applyNumberFormat="1" applyFont="1" applyFill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178" fontId="12" fillId="36" borderId="2" xfId="0" applyNumberFormat="1" applyFont="1" applyFill="1" applyBorder="1" applyAlignment="1">
      <alignment horizontal="right" vertical="center"/>
    </xf>
    <xf numFmtId="178" fontId="12" fillId="4" borderId="2" xfId="0" applyNumberFormat="1" applyFont="1" applyFill="1" applyBorder="1" applyAlignment="1">
      <alignment horizontal="right" vertical="center"/>
    </xf>
    <xf numFmtId="178" fontId="12" fillId="36" borderId="3" xfId="0" applyNumberFormat="1" applyFont="1" applyFill="1" applyBorder="1" applyAlignment="1">
      <alignment horizontal="right" vertical="center"/>
    </xf>
    <xf numFmtId="178" fontId="12" fillId="4" borderId="3" xfId="0" applyNumberFormat="1" applyFont="1" applyFill="1" applyBorder="1" applyAlignment="1">
      <alignment vertical="center"/>
    </xf>
    <xf numFmtId="178" fontId="12" fillId="4" borderId="23" xfId="0" applyNumberFormat="1" applyFont="1" applyFill="1" applyBorder="1" applyAlignment="1">
      <alignment horizontal="right" vertical="center"/>
    </xf>
    <xf numFmtId="178" fontId="12" fillId="4" borderId="23" xfId="0" applyNumberFormat="1" applyFont="1" applyFill="1" applyBorder="1" applyAlignment="1">
      <alignment vertical="center"/>
    </xf>
    <xf numFmtId="178" fontId="12" fillId="36" borderId="23" xfId="0" applyNumberFormat="1" applyFont="1" applyFill="1" applyBorder="1" applyAlignment="1">
      <alignment horizontal="right" vertical="center"/>
    </xf>
    <xf numFmtId="0" fontId="16" fillId="36" borderId="0" xfId="0" applyFont="1" applyFill="1" applyAlignment="1">
      <alignment vertical="center"/>
    </xf>
    <xf numFmtId="37" fontId="16" fillId="36" borderId="0" xfId="0" applyNumberFormat="1" applyFont="1" applyFill="1" applyAlignment="1">
      <alignment vertical="center"/>
    </xf>
    <xf numFmtId="0" fontId="28" fillId="4" borderId="3" xfId="59" applyFont="1" applyFill="1" applyAlignment="1">
      <alignment vertical="center"/>
    </xf>
    <xf numFmtId="0" fontId="16" fillId="4" borderId="0" xfId="0" applyFont="1" applyFill="1"/>
    <xf numFmtId="0" fontId="28" fillId="4" borderId="3" xfId="59" applyFont="1" applyFill="1"/>
    <xf numFmtId="0" fontId="26" fillId="4" borderId="0" xfId="0" applyFont="1" applyFill="1"/>
    <xf numFmtId="0" fontId="16" fillId="36" borderId="0" xfId="0" applyFont="1" applyFill="1"/>
    <xf numFmtId="176" fontId="19" fillId="4" borderId="3" xfId="55" applyNumberFormat="1" applyFont="1" applyFill="1" applyAlignment="1">
      <alignment horizontal="right" vertical="center"/>
    </xf>
    <xf numFmtId="176" fontId="19" fillId="37" borderId="3" xfId="55" applyNumberFormat="1" applyFont="1" applyFill="1" applyAlignment="1">
      <alignment horizontal="right" vertical="center"/>
    </xf>
    <xf numFmtId="176" fontId="12" fillId="37" borderId="3" xfId="55" applyNumberFormat="1" applyFont="1" applyFill="1" applyAlignment="1">
      <alignment horizontal="right" vertical="center"/>
    </xf>
    <xf numFmtId="176" fontId="19" fillId="37" borderId="6" xfId="55" applyNumberFormat="1" applyFont="1" applyFill="1" applyBorder="1" applyAlignment="1">
      <alignment horizontal="right" vertical="center"/>
    </xf>
    <xf numFmtId="176" fontId="19" fillId="4" borderId="3" xfId="55" applyNumberFormat="1" applyFont="1" applyFill="1" applyAlignment="1">
      <alignment vertical="center"/>
    </xf>
    <xf numFmtId="176" fontId="12" fillId="4" borderId="3" xfId="55" applyNumberFormat="1" applyFont="1" applyFill="1" applyAlignment="1">
      <alignment horizontal="right" vertical="center"/>
    </xf>
    <xf numFmtId="176" fontId="12" fillId="37" borderId="3" xfId="55" applyNumberFormat="1" applyFont="1" applyFill="1" applyAlignment="1">
      <alignment vertical="center"/>
    </xf>
    <xf numFmtId="176" fontId="19" fillId="4" borderId="3" xfId="55" applyNumberFormat="1" applyFont="1" applyFill="1" applyAlignment="1">
      <alignment horizontal="center" vertical="center"/>
    </xf>
    <xf numFmtId="176" fontId="12" fillId="37" borderId="3" xfId="55" applyNumberFormat="1" applyFont="1" applyFill="1" applyAlignment="1">
      <alignment horizontal="center" vertical="center"/>
    </xf>
    <xf numFmtId="0" fontId="14" fillId="4" borderId="6" xfId="55" applyFont="1" applyFill="1" applyBorder="1" applyAlignment="1">
      <alignment horizontal="left"/>
    </xf>
    <xf numFmtId="1" fontId="12" fillId="4" borderId="6" xfId="55" applyNumberFormat="1" applyFont="1" applyFill="1" applyBorder="1" applyAlignment="1">
      <alignment horizontal="center" vertical="center"/>
    </xf>
    <xf numFmtId="176" fontId="12" fillId="37" borderId="6" xfId="55" applyNumberFormat="1" applyFont="1" applyFill="1" applyBorder="1" applyAlignment="1">
      <alignment vertical="center"/>
    </xf>
    <xf numFmtId="176" fontId="19" fillId="37" borderId="6" xfId="55" applyNumberFormat="1" applyFont="1" applyFill="1" applyBorder="1" applyAlignment="1">
      <alignment horizontal="center" vertical="center"/>
    </xf>
    <xf numFmtId="176" fontId="12" fillId="37" borderId="6" xfId="55" applyNumberFormat="1" applyFont="1" applyFill="1" applyBorder="1" applyAlignment="1">
      <alignment horizontal="right" vertical="center"/>
    </xf>
    <xf numFmtId="176" fontId="19" fillId="4" borderId="6" xfId="55" applyNumberFormat="1" applyFont="1" applyFill="1" applyBorder="1" applyAlignment="1">
      <alignment horizontal="right" vertical="center"/>
    </xf>
    <xf numFmtId="0" fontId="14" fillId="37" borderId="3" xfId="55" applyFont="1" applyFill="1" applyAlignment="1">
      <alignment horizontal="left"/>
    </xf>
    <xf numFmtId="176" fontId="12" fillId="4" borderId="3" xfId="55" applyNumberFormat="1" applyFont="1" applyFill="1" applyAlignment="1">
      <alignment horizontal="center" vertical="center"/>
    </xf>
    <xf numFmtId="0" fontId="14" fillId="37" borderId="6" xfId="55" applyFont="1" applyFill="1" applyBorder="1" applyAlignment="1">
      <alignment horizontal="left"/>
    </xf>
    <xf numFmtId="176" fontId="19" fillId="4" borderId="6" xfId="55" applyNumberFormat="1" applyFont="1" applyFill="1" applyBorder="1" applyAlignment="1">
      <alignment vertical="center"/>
    </xf>
    <xf numFmtId="176" fontId="12" fillId="4" borderId="6" xfId="55" applyNumberFormat="1" applyFont="1" applyFill="1" applyBorder="1" applyAlignment="1">
      <alignment horizontal="right" vertical="center"/>
    </xf>
    <xf numFmtId="176" fontId="19" fillId="37" borderId="3" xfId="55" applyNumberFormat="1" applyFont="1" applyFill="1" applyAlignment="1">
      <alignment horizontal="center" vertical="center"/>
    </xf>
    <xf numFmtId="176" fontId="12" fillId="37" borderId="6" xfId="55" applyNumberFormat="1" applyFont="1" applyFill="1" applyBorder="1" applyAlignment="1">
      <alignment horizontal="center" vertical="center"/>
    </xf>
    <xf numFmtId="170" fontId="19" fillId="4" borderId="3" xfId="55" applyNumberFormat="1" applyFont="1" applyFill="1" applyAlignment="1">
      <alignment horizontal="right" vertical="center"/>
    </xf>
    <xf numFmtId="171" fontId="12" fillId="4" borderId="3" xfId="55" applyNumberFormat="1" applyFont="1" applyFill="1"/>
    <xf numFmtId="176" fontId="12" fillId="4" borderId="3" xfId="55" applyNumberFormat="1" applyFont="1" applyFill="1" applyAlignment="1">
      <alignment vertical="center"/>
    </xf>
    <xf numFmtId="0" fontId="12" fillId="4" borderId="6" xfId="55" applyFont="1" applyFill="1" applyBorder="1" applyAlignment="1">
      <alignment horizontal="left"/>
    </xf>
    <xf numFmtId="176" fontId="19" fillId="4" borderId="6" xfId="55" applyNumberFormat="1" applyFont="1" applyFill="1" applyBorder="1" applyAlignment="1">
      <alignment horizontal="center" vertical="center"/>
    </xf>
    <xf numFmtId="4" fontId="12" fillId="4" borderId="6" xfId="55" applyNumberFormat="1" applyFont="1" applyFill="1" applyBorder="1" applyAlignment="1">
      <alignment horizontal="center" vertical="center"/>
    </xf>
    <xf numFmtId="176" fontId="19" fillId="37" borderId="3" xfId="55" applyNumberFormat="1" applyFont="1" applyFill="1" applyAlignment="1">
      <alignment vertical="center"/>
    </xf>
    <xf numFmtId="2" fontId="19" fillId="4" borderId="3" xfId="55" applyNumberFormat="1" applyFont="1" applyFill="1" applyAlignment="1">
      <alignment horizontal="center" vertical="center"/>
    </xf>
    <xf numFmtId="0" fontId="28" fillId="4" borderId="3" xfId="55" applyFont="1" applyFill="1"/>
    <xf numFmtId="169" fontId="19" fillId="4" borderId="3" xfId="55" applyNumberFormat="1" applyFont="1" applyFill="1"/>
    <xf numFmtId="169" fontId="12" fillId="4" borderId="3" xfId="55" applyNumberFormat="1" applyFont="1" applyFill="1"/>
    <xf numFmtId="168" fontId="28" fillId="4" borderId="3" xfId="1" applyFont="1" applyFill="1" applyAlignment="1">
      <alignment horizontal="left" vertical="center"/>
    </xf>
    <xf numFmtId="169" fontId="19" fillId="4" borderId="3" xfId="1" applyNumberFormat="1" applyFont="1" applyFill="1" applyAlignment="1">
      <alignment horizontal="left" vertical="center"/>
    </xf>
    <xf numFmtId="169" fontId="12" fillId="4" borderId="3" xfId="1" applyNumberFormat="1" applyFont="1" applyFill="1" applyAlignment="1">
      <alignment horizontal="left" vertical="center"/>
    </xf>
    <xf numFmtId="0" fontId="11" fillId="4" borderId="3" xfId="55" applyFont="1" applyFill="1"/>
    <xf numFmtId="0" fontId="14" fillId="37" borderId="6" xfId="55" applyFont="1" applyFill="1" applyBorder="1" applyAlignment="1">
      <alignment horizontal="left" vertical="center"/>
    </xf>
    <xf numFmtId="0" fontId="14" fillId="37" borderId="3" xfId="55" applyFont="1" applyFill="1" applyAlignment="1">
      <alignment horizontal="left" vertical="center"/>
    </xf>
    <xf numFmtId="49" fontId="12" fillId="4" borderId="3" xfId="55" applyNumberFormat="1" applyFont="1" applyFill="1" applyAlignment="1">
      <alignment horizontal="center" vertical="center"/>
    </xf>
    <xf numFmtId="0" fontId="12" fillId="4" borderId="3" xfId="55" applyFont="1" applyFill="1" applyAlignment="1">
      <alignment vertical="center" wrapText="1"/>
    </xf>
    <xf numFmtId="169" fontId="19" fillId="4" borderId="3" xfId="55" applyNumberFormat="1" applyFont="1" applyFill="1" applyAlignment="1">
      <alignment horizontal="right" vertical="center"/>
    </xf>
    <xf numFmtId="169" fontId="12" fillId="4" borderId="3" xfId="55" applyNumberFormat="1" applyFont="1" applyFill="1" applyAlignment="1">
      <alignment horizontal="right" vertical="center"/>
    </xf>
    <xf numFmtId="169" fontId="12" fillId="4" borderId="3" xfId="55" applyNumberFormat="1" applyFont="1" applyFill="1" applyAlignment="1">
      <alignment horizontal="center" vertical="center"/>
    </xf>
    <xf numFmtId="169" fontId="12" fillId="4" borderId="6" xfId="55" applyNumberFormat="1" applyFont="1" applyFill="1" applyBorder="1" applyAlignment="1">
      <alignment horizontal="right" vertical="center"/>
    </xf>
    <xf numFmtId="169" fontId="19" fillId="4" borderId="6" xfId="55" applyNumberFormat="1" applyFont="1" applyFill="1" applyBorder="1" applyAlignment="1">
      <alignment horizontal="center" vertical="center"/>
    </xf>
    <xf numFmtId="169" fontId="19" fillId="4" borderId="6" xfId="55" applyNumberFormat="1" applyFont="1" applyFill="1" applyBorder="1" applyAlignment="1">
      <alignment horizontal="right" vertical="center"/>
    </xf>
    <xf numFmtId="169" fontId="12" fillId="37" borderId="3" xfId="55" applyNumberFormat="1" applyFont="1" applyFill="1" applyAlignment="1">
      <alignment horizontal="right" vertical="center"/>
    </xf>
    <xf numFmtId="169" fontId="19" fillId="37" borderId="3" xfId="55" applyNumberFormat="1" applyFont="1" applyFill="1" applyAlignment="1">
      <alignment horizontal="right" vertical="center"/>
    </xf>
    <xf numFmtId="169" fontId="19" fillId="37" borderId="3" xfId="55" applyNumberFormat="1" applyFont="1" applyFill="1" applyAlignment="1">
      <alignment horizontal="center" vertical="center"/>
    </xf>
    <xf numFmtId="169" fontId="19" fillId="37" borderId="6" xfId="55" applyNumberFormat="1" applyFont="1" applyFill="1" applyBorder="1" applyAlignment="1">
      <alignment horizontal="right" vertical="center"/>
    </xf>
    <xf numFmtId="0" fontId="16" fillId="4" borderId="3" xfId="55" applyFont="1" applyFill="1"/>
    <xf numFmtId="169" fontId="16" fillId="4" borderId="3" xfId="55" applyNumberFormat="1" applyFont="1" applyFill="1"/>
    <xf numFmtId="168" fontId="16" fillId="4" borderId="3" xfId="1" applyFont="1" applyFill="1" applyAlignment="1">
      <alignment horizontal="left" vertical="center"/>
    </xf>
    <xf numFmtId="169" fontId="16" fillId="4" borderId="3" xfId="1" applyNumberFormat="1" applyFont="1" applyFill="1" applyAlignment="1">
      <alignment horizontal="left" vertical="center"/>
    </xf>
    <xf numFmtId="167" fontId="20" fillId="4" borderId="3" xfId="55" applyNumberFormat="1" applyFont="1" applyFill="1"/>
    <xf numFmtId="0" fontId="14" fillId="4" borderId="6" xfId="55" applyFont="1" applyFill="1" applyBorder="1" applyAlignment="1">
      <alignment horizontal="left" vertical="center"/>
    </xf>
    <xf numFmtId="165" fontId="12" fillId="4" borderId="3" xfId="55" applyNumberFormat="1" applyFont="1" applyFill="1" applyAlignment="1">
      <alignment horizontal="right" vertical="center"/>
    </xf>
    <xf numFmtId="169" fontId="49" fillId="4" borderId="3" xfId="55" applyNumberFormat="1" applyFont="1" applyFill="1" applyAlignment="1">
      <alignment horizontal="center" vertical="center"/>
    </xf>
    <xf numFmtId="167" fontId="14" fillId="4" borderId="3" xfId="55" applyNumberFormat="1" applyFont="1" applyFill="1" applyAlignment="1">
      <alignment vertical="center"/>
    </xf>
    <xf numFmtId="172" fontId="19" fillId="4" borderId="16" xfId="55" applyNumberFormat="1" applyFont="1" applyFill="1" applyBorder="1" applyAlignment="1">
      <alignment horizontal="right" vertical="center"/>
    </xf>
    <xf numFmtId="175" fontId="12" fillId="4" borderId="3" xfId="3" applyNumberFormat="1" applyFont="1" applyFill="1" applyBorder="1" applyAlignment="1">
      <alignment horizontal="center" vertical="center"/>
    </xf>
    <xf numFmtId="172" fontId="19" fillId="4" borderId="3" xfId="55" applyNumberFormat="1" applyFont="1" applyFill="1" applyAlignment="1">
      <alignment horizontal="right" vertical="center" wrapText="1"/>
    </xf>
    <xf numFmtId="172" fontId="19" fillId="4" borderId="3" xfId="55" applyNumberFormat="1" applyFont="1" applyFill="1" applyAlignment="1">
      <alignment horizontal="center" vertical="center"/>
    </xf>
    <xf numFmtId="165" fontId="19" fillId="4" borderId="3" xfId="3" applyNumberFormat="1" applyFont="1" applyFill="1" applyBorder="1" applyAlignment="1">
      <alignment horizontal="right" vertical="center"/>
    </xf>
    <xf numFmtId="165" fontId="19" fillId="4" borderId="6" xfId="3" applyNumberFormat="1" applyFont="1" applyFill="1" applyBorder="1" applyAlignment="1">
      <alignment horizontal="right" vertical="center"/>
    </xf>
    <xf numFmtId="0" fontId="20" fillId="0" borderId="3" xfId="60" applyFont="1"/>
    <xf numFmtId="0" fontId="19" fillId="0" borderId="3" xfId="60" applyFont="1"/>
    <xf numFmtId="0" fontId="24" fillId="0" borderId="3" xfId="60" applyFont="1"/>
    <xf numFmtId="0" fontId="50" fillId="0" borderId="3" xfId="60"/>
    <xf numFmtId="0" fontId="21" fillId="0" borderId="3" xfId="60" applyFont="1"/>
    <xf numFmtId="0" fontId="22" fillId="0" borderId="3" xfId="60" applyFont="1" applyAlignment="1">
      <alignment horizontal="center"/>
    </xf>
    <xf numFmtId="0" fontId="19" fillId="0" borderId="25" xfId="60" applyFont="1" applyBorder="1"/>
    <xf numFmtId="0" fontId="19" fillId="0" borderId="6" xfId="60" applyFont="1" applyBorder="1" applyAlignment="1">
      <alignment horizontal="center" wrapText="1"/>
    </xf>
    <xf numFmtId="0" fontId="19" fillId="0" borderId="25" xfId="60" applyFont="1" applyBorder="1" applyAlignment="1">
      <alignment horizontal="center" wrapText="1"/>
    </xf>
    <xf numFmtId="0" fontId="19" fillId="0" borderId="26" xfId="60" applyFont="1" applyBorder="1"/>
    <xf numFmtId="0" fontId="19" fillId="0" borderId="3" xfId="60" applyFont="1" applyAlignment="1">
      <alignment vertical="center"/>
    </xf>
    <xf numFmtId="0" fontId="48" fillId="0" borderId="3" xfId="60" applyFont="1" applyAlignment="1">
      <alignment vertical="center"/>
    </xf>
    <xf numFmtId="0" fontId="55" fillId="0" borderId="3" xfId="60" applyFont="1"/>
    <xf numFmtId="0" fontId="26" fillId="0" borderId="3" xfId="60" applyFont="1"/>
    <xf numFmtId="0" fontId="48" fillId="0" borderId="3" xfId="60" applyFont="1"/>
    <xf numFmtId="0" fontId="16" fillId="3" borderId="3" xfId="55" applyFont="1" applyFill="1" applyAlignment="1">
      <alignment horizontal="left" vertical="center"/>
    </xf>
    <xf numFmtId="0" fontId="26" fillId="4" borderId="6" xfId="0" applyFont="1" applyFill="1" applyBorder="1"/>
    <xf numFmtId="0" fontId="26" fillId="4" borderId="3" xfId="0" applyFont="1" applyFill="1" applyBorder="1"/>
    <xf numFmtId="0" fontId="26" fillId="0" borderId="0" xfId="0" applyFont="1"/>
    <xf numFmtId="177" fontId="14" fillId="39" borderId="17" xfId="55" applyNumberFormat="1" applyFont="1" applyFill="1" applyBorder="1" applyAlignment="1">
      <alignment horizontal="center" vertical="center"/>
    </xf>
    <xf numFmtId="177" fontId="14" fillId="39" borderId="21" xfId="55" applyNumberFormat="1" applyFont="1" applyFill="1" applyBorder="1" applyAlignment="1">
      <alignment horizontal="center" vertical="center"/>
    </xf>
    <xf numFmtId="177" fontId="14" fillId="39" borderId="5" xfId="55" applyNumberFormat="1" applyFont="1" applyFill="1" applyBorder="1" applyAlignment="1">
      <alignment horizontal="center" vertical="center"/>
    </xf>
    <xf numFmtId="177" fontId="14" fillId="39" borderId="22" xfId="55" applyNumberFormat="1" applyFont="1" applyFill="1" applyBorder="1" applyAlignment="1">
      <alignment horizontal="center" vertical="center"/>
    </xf>
    <xf numFmtId="0" fontId="14" fillId="40" borderId="16" xfId="55" applyFont="1" applyFill="1" applyBorder="1" applyAlignment="1">
      <alignment horizontal="center" vertical="center"/>
    </xf>
    <xf numFmtId="3" fontId="14" fillId="40" borderId="3" xfId="55" applyNumberFormat="1" applyFont="1" applyFill="1" applyAlignment="1">
      <alignment vertical="center"/>
    </xf>
    <xf numFmtId="3" fontId="14" fillId="40" borderId="16" xfId="55" applyNumberFormat="1" applyFont="1" applyFill="1" applyBorder="1" applyAlignment="1">
      <alignment vertical="center"/>
    </xf>
    <xf numFmtId="0" fontId="14" fillId="40" borderId="3" xfId="55" applyFont="1" applyFill="1" applyAlignment="1">
      <alignment horizontal="center" vertical="center"/>
    </xf>
    <xf numFmtId="3" fontId="14" fillId="40" borderId="6" xfId="55" applyNumberFormat="1" applyFont="1" applyFill="1" applyBorder="1" applyAlignment="1">
      <alignment vertical="center"/>
    </xf>
    <xf numFmtId="3" fontId="22" fillId="40" borderId="3" xfId="55" applyNumberFormat="1" applyFont="1" applyFill="1" applyAlignment="1">
      <alignment vertical="center"/>
    </xf>
    <xf numFmtId="0" fontId="14" fillId="41" borderId="1" xfId="0" applyFont="1" applyFill="1" applyBorder="1" applyAlignment="1">
      <alignment horizontal="center" vertical="center"/>
    </xf>
    <xf numFmtId="177" fontId="14" fillId="41" borderId="1" xfId="0" applyNumberFormat="1" applyFont="1" applyFill="1" applyBorder="1" applyAlignment="1">
      <alignment horizontal="center" vertical="center"/>
    </xf>
    <xf numFmtId="178" fontId="14" fillId="42" borderId="3" xfId="0" applyNumberFormat="1" applyFont="1" applyFill="1" applyBorder="1" applyAlignment="1">
      <alignment vertical="center"/>
    </xf>
    <xf numFmtId="178" fontId="14" fillId="42" borderId="23" xfId="0" applyNumberFormat="1" applyFont="1" applyFill="1" applyBorder="1" applyAlignment="1">
      <alignment vertical="center"/>
    </xf>
    <xf numFmtId="0" fontId="14" fillId="39" borderId="5" xfId="55" applyFont="1" applyFill="1" applyBorder="1" applyAlignment="1">
      <alignment horizontal="center" vertical="center"/>
    </xf>
    <xf numFmtId="0" fontId="22" fillId="39" borderId="5" xfId="55" applyFont="1" applyFill="1" applyBorder="1" applyAlignment="1">
      <alignment horizontal="center" vertical="center"/>
    </xf>
    <xf numFmtId="0" fontId="22" fillId="0" borderId="3" xfId="55" applyFont="1" applyAlignment="1">
      <alignment horizontal="center" vertical="center"/>
    </xf>
    <xf numFmtId="0" fontId="12" fillId="4" borderId="16" xfId="55" applyFont="1" applyFill="1" applyBorder="1" applyAlignment="1">
      <alignment vertical="center"/>
    </xf>
    <xf numFmtId="0" fontId="48" fillId="4" borderId="3" xfId="55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28" fillId="4" borderId="0" xfId="0" applyFont="1" applyFill="1"/>
    <xf numFmtId="0" fontId="14" fillId="40" borderId="3" xfId="55" applyFont="1" applyFill="1" applyAlignment="1">
      <alignment horizontal="left" vertical="center"/>
    </xf>
    <xf numFmtId="0" fontId="14" fillId="40" borderId="16" xfId="55" applyFont="1" applyFill="1" applyBorder="1" applyAlignment="1">
      <alignment horizontal="left" vertical="center"/>
    </xf>
    <xf numFmtId="165" fontId="16" fillId="4" borderId="3" xfId="55" applyNumberFormat="1" applyFont="1" applyFill="1" applyAlignment="1">
      <alignment horizontal="right" vertical="top"/>
    </xf>
    <xf numFmtId="49" fontId="14" fillId="39" borderId="5" xfId="55" applyNumberFormat="1" applyFont="1" applyFill="1" applyBorder="1" applyAlignment="1">
      <alignment horizontal="center" vertical="center"/>
    </xf>
    <xf numFmtId="167" fontId="14" fillId="39" borderId="5" xfId="55" applyNumberFormat="1" applyFont="1" applyFill="1" applyBorder="1" applyAlignment="1">
      <alignment horizontal="center" vertical="center"/>
    </xf>
    <xf numFmtId="167" fontId="14" fillId="0" borderId="3" xfId="55" applyNumberFormat="1" applyFont="1" applyAlignment="1">
      <alignment horizontal="center" vertical="center" wrapText="1"/>
    </xf>
    <xf numFmtId="49" fontId="14" fillId="0" borderId="3" xfId="55" applyNumberFormat="1" applyFont="1" applyAlignment="1">
      <alignment horizontal="center" vertical="center"/>
    </xf>
    <xf numFmtId="167" fontId="14" fillId="0" borderId="3" xfId="55" applyNumberFormat="1" applyFont="1" applyAlignment="1">
      <alignment horizontal="center" vertical="center"/>
    </xf>
    <xf numFmtId="0" fontId="28" fillId="4" borderId="16" xfId="55" applyFont="1" applyFill="1" applyBorder="1" applyAlignment="1">
      <alignment horizontal="right" vertical="top"/>
    </xf>
    <xf numFmtId="179" fontId="14" fillId="4" borderId="3" xfId="55" applyNumberFormat="1" applyFont="1" applyFill="1" applyAlignment="1">
      <alignment horizontal="left"/>
    </xf>
    <xf numFmtId="167" fontId="15" fillId="4" borderId="3" xfId="55" applyNumberFormat="1" applyFont="1" applyFill="1" applyAlignment="1">
      <alignment vertical="center"/>
    </xf>
    <xf numFmtId="167" fontId="12" fillId="4" borderId="3" xfId="55" applyNumberFormat="1" applyFont="1" applyFill="1" applyAlignment="1">
      <alignment vertical="center"/>
    </xf>
    <xf numFmtId="171" fontId="19" fillId="4" borderId="3" xfId="3" applyNumberFormat="1" applyFont="1" applyFill="1" applyBorder="1" applyAlignment="1">
      <alignment horizontal="center" vertical="center"/>
    </xf>
    <xf numFmtId="2" fontId="14" fillId="4" borderId="3" xfId="55" applyNumberFormat="1" applyFont="1" applyFill="1" applyAlignment="1">
      <alignment horizontal="center" vertical="center"/>
    </xf>
    <xf numFmtId="2" fontId="14" fillId="4" borderId="3" xfId="55" applyNumberFormat="1" applyFont="1" applyFill="1" applyAlignment="1">
      <alignment horizontal="right" vertical="center"/>
    </xf>
    <xf numFmtId="0" fontId="14" fillId="4" borderId="16" xfId="55" applyFont="1" applyFill="1" applyBorder="1" applyAlignment="1">
      <alignment vertical="center"/>
    </xf>
    <xf numFmtId="0" fontId="19" fillId="4" borderId="16" xfId="55" applyFont="1" applyFill="1" applyBorder="1" applyAlignment="1">
      <alignment vertical="center"/>
    </xf>
    <xf numFmtId="0" fontId="19" fillId="4" borderId="3" xfId="55" applyFont="1" applyFill="1" applyAlignment="1">
      <alignment vertical="center"/>
    </xf>
    <xf numFmtId="171" fontId="19" fillId="4" borderId="6" xfId="3" applyNumberFormat="1" applyFont="1" applyFill="1" applyBorder="1" applyAlignment="1">
      <alignment horizontal="center" vertical="center"/>
    </xf>
    <xf numFmtId="172" fontId="12" fillId="4" borderId="3" xfId="55" applyNumberFormat="1" applyFont="1" applyFill="1" applyAlignment="1">
      <alignment vertical="center"/>
    </xf>
    <xf numFmtId="172" fontId="12" fillId="4" borderId="6" xfId="55" applyNumberFormat="1" applyFont="1" applyFill="1" applyBorder="1" applyAlignment="1">
      <alignment vertical="center"/>
    </xf>
    <xf numFmtId="173" fontId="19" fillId="4" borderId="0" xfId="0" applyNumberFormat="1" applyFont="1" applyFill="1" applyAlignment="1">
      <alignment horizontal="right" vertical="center"/>
    </xf>
    <xf numFmtId="173" fontId="19" fillId="4" borderId="3" xfId="0" applyNumberFormat="1" applyFont="1" applyFill="1" applyBorder="1" applyAlignment="1">
      <alignment horizontal="right" vertical="center"/>
    </xf>
    <xf numFmtId="173" fontId="19" fillId="4" borderId="3" xfId="3" applyNumberFormat="1" applyFont="1" applyFill="1" applyBorder="1" applyAlignment="1">
      <alignment horizontal="right" vertical="center"/>
    </xf>
    <xf numFmtId="173" fontId="19" fillId="4" borderId="6" xfId="0" applyNumberFormat="1" applyFont="1" applyFill="1" applyBorder="1" applyAlignment="1">
      <alignment horizontal="right" vertical="center"/>
    </xf>
    <xf numFmtId="2" fontId="19" fillId="4" borderId="3" xfId="55" applyNumberFormat="1" applyFont="1" applyFill="1" applyAlignment="1">
      <alignment vertical="center"/>
    </xf>
    <xf numFmtId="0" fontId="12" fillId="4" borderId="3" xfId="55" applyFont="1" applyFill="1" applyAlignment="1">
      <alignment horizontal="left" vertical="center" indent="1"/>
    </xf>
    <xf numFmtId="0" fontId="19" fillId="4" borderId="3" xfId="2" applyFont="1" applyFill="1" applyAlignment="1">
      <alignment horizontal="left" vertical="center" indent="1"/>
    </xf>
    <xf numFmtId="0" fontId="12" fillId="4" borderId="6" xfId="55" applyFont="1" applyFill="1" applyBorder="1" applyAlignment="1">
      <alignment horizontal="left" vertical="center" indent="1"/>
    </xf>
    <xf numFmtId="172" fontId="19" fillId="4" borderId="3" xfId="55" applyNumberFormat="1" applyFont="1" applyFill="1" applyAlignment="1">
      <alignment vertical="center"/>
    </xf>
    <xf numFmtId="2" fontId="19" fillId="4" borderId="6" xfId="55" applyNumberFormat="1" applyFont="1" applyFill="1" applyBorder="1" applyAlignment="1">
      <alignment vertical="center"/>
    </xf>
    <xf numFmtId="0" fontId="26" fillId="4" borderId="16" xfId="0" applyFont="1" applyFill="1" applyBorder="1"/>
    <xf numFmtId="0" fontId="26" fillId="4" borderId="3" xfId="0" applyFont="1" applyFill="1" applyBorder="1" applyAlignment="1">
      <alignment vertical="center"/>
    </xf>
    <xf numFmtId="0" fontId="26" fillId="4" borderId="16" xfId="55" applyFont="1" applyFill="1" applyBorder="1" applyAlignment="1">
      <alignment vertical="center"/>
    </xf>
    <xf numFmtId="180" fontId="25" fillId="0" borderId="3" xfId="4" applyNumberFormat="1" applyFont="1"/>
    <xf numFmtId="180" fontId="25" fillId="0" borderId="3" xfId="4" applyNumberFormat="1" applyFont="1" applyAlignment="1">
      <alignment vertical="center"/>
    </xf>
    <xf numFmtId="0" fontId="21" fillId="0" borderId="3" xfId="4" applyFont="1" applyAlignment="1">
      <alignment vertical="center"/>
    </xf>
    <xf numFmtId="180" fontId="25" fillId="0" borderId="3" xfId="4" applyNumberFormat="1" applyFont="1" applyAlignment="1">
      <alignment horizontal="left" vertical="center" wrapText="1"/>
    </xf>
    <xf numFmtId="0" fontId="14" fillId="39" borderId="5" xfId="55" applyFont="1" applyFill="1" applyBorder="1" applyAlignment="1">
      <alignment horizontal="center" vertical="center" wrapText="1"/>
    </xf>
    <xf numFmtId="2" fontId="14" fillId="39" borderId="5" xfId="55" applyNumberFormat="1" applyFont="1" applyFill="1" applyBorder="1" applyAlignment="1">
      <alignment horizontal="center" vertical="center"/>
    </xf>
    <xf numFmtId="0" fontId="19" fillId="0" borderId="3" xfId="4" applyFont="1" applyAlignment="1">
      <alignment vertical="center"/>
    </xf>
    <xf numFmtId="0" fontId="13" fillId="0" borderId="3" xfId="55" applyFont="1" applyAlignment="1">
      <alignment vertical="center"/>
    </xf>
    <xf numFmtId="0" fontId="13" fillId="0" borderId="6" xfId="55" applyFont="1" applyBorder="1" applyAlignment="1">
      <alignment vertical="center"/>
    </xf>
    <xf numFmtId="0" fontId="15" fillId="0" borderId="4" xfId="55" applyFont="1" applyBorder="1" applyAlignment="1">
      <alignment vertical="center"/>
    </xf>
    <xf numFmtId="0" fontId="13" fillId="0" borderId="4" xfId="55" applyFont="1" applyBorder="1" applyAlignment="1">
      <alignment vertical="center"/>
    </xf>
    <xf numFmtId="0" fontId="15" fillId="0" borderId="3" xfId="55" applyFont="1" applyAlignment="1">
      <alignment vertical="center"/>
    </xf>
    <xf numFmtId="0" fontId="13" fillId="0" borderId="16" xfId="55" applyFont="1" applyBorder="1" applyAlignment="1">
      <alignment vertical="center"/>
    </xf>
    <xf numFmtId="0" fontId="28" fillId="0" borderId="16" xfId="55" applyFont="1" applyBorder="1"/>
    <xf numFmtId="0" fontId="28" fillId="0" borderId="3" xfId="55" applyFont="1"/>
    <xf numFmtId="0" fontId="28" fillId="0" borderId="16" xfId="55" applyFont="1" applyBorder="1" applyAlignment="1">
      <alignment vertical="center"/>
    </xf>
    <xf numFmtId="0" fontId="25" fillId="0" borderId="3" xfId="4" applyFont="1"/>
    <xf numFmtId="3" fontId="21" fillId="0" borderId="3" xfId="4" applyNumberFormat="1" applyFont="1" applyAlignment="1">
      <alignment vertical="center"/>
    </xf>
    <xf numFmtId="4" fontId="21" fillId="0" borderId="3" xfId="4" applyNumberFormat="1" applyFont="1" applyAlignment="1">
      <alignment vertical="center"/>
    </xf>
    <xf numFmtId="0" fontId="26" fillId="0" borderId="3" xfId="55" applyFont="1" applyAlignment="1">
      <alignment vertical="center"/>
    </xf>
    <xf numFmtId="0" fontId="22" fillId="39" borderId="5" xfId="4" applyFont="1" applyFill="1" applyBorder="1" applyAlignment="1">
      <alignment horizontal="center" vertical="center" wrapText="1"/>
    </xf>
    <xf numFmtId="0" fontId="22" fillId="39" borderId="5" xfId="4" applyFont="1" applyFill="1" applyBorder="1" applyAlignment="1">
      <alignment horizontal="center" vertical="center"/>
    </xf>
    <xf numFmtId="3" fontId="22" fillId="39" borderId="5" xfId="4" applyNumberFormat="1" applyFont="1" applyFill="1" applyBorder="1" applyAlignment="1">
      <alignment horizontal="center" vertical="center" wrapText="1"/>
    </xf>
    <xf numFmtId="0" fontId="26" fillId="0" borderId="16" xfId="55" applyFont="1" applyBorder="1" applyAlignment="1">
      <alignment vertical="center"/>
    </xf>
    <xf numFmtId="0" fontId="28" fillId="0" borderId="3" xfId="55" applyFont="1" applyAlignment="1">
      <alignment vertical="center"/>
    </xf>
    <xf numFmtId="0" fontId="25" fillId="0" borderId="3" xfId="4" applyFont="1" applyAlignment="1">
      <alignment vertical="center"/>
    </xf>
    <xf numFmtId="0" fontId="25" fillId="0" borderId="3" xfId="4" applyFont="1" applyAlignment="1">
      <alignment horizontal="center" vertical="center"/>
    </xf>
    <xf numFmtId="0" fontId="14" fillId="0" borderId="3" xfId="55" applyFont="1" applyAlignment="1">
      <alignment horizontal="right" vertical="center" wrapText="1"/>
    </xf>
    <xf numFmtId="183" fontId="12" fillId="0" borderId="3" xfId="55" applyNumberFormat="1" applyFont="1" applyAlignment="1">
      <alignment horizontal="right"/>
    </xf>
    <xf numFmtId="184" fontId="12" fillId="0" borderId="3" xfId="55" applyNumberFormat="1" applyFont="1" applyAlignment="1">
      <alignment horizontal="right"/>
    </xf>
    <xf numFmtId="184" fontId="12" fillId="0" borderId="3" xfId="55" applyNumberFormat="1" applyFont="1"/>
    <xf numFmtId="3" fontId="12" fillId="0" borderId="3" xfId="55" applyNumberFormat="1" applyFont="1" applyAlignment="1">
      <alignment horizontal="left" vertical="center"/>
    </xf>
    <xf numFmtId="3" fontId="14" fillId="40" borderId="3" xfId="55" applyNumberFormat="1" applyFont="1" applyFill="1" applyAlignment="1">
      <alignment horizontal="left" vertical="center"/>
    </xf>
    <xf numFmtId="184" fontId="12" fillId="2" borderId="3" xfId="55" applyNumberFormat="1" applyFont="1" applyFill="1" applyAlignment="1">
      <alignment horizontal="right"/>
    </xf>
    <xf numFmtId="184" fontId="12" fillId="2" borderId="3" xfId="55" applyNumberFormat="1" applyFont="1" applyFill="1"/>
    <xf numFmtId="3" fontId="12" fillId="0" borderId="6" xfId="55" applyNumberFormat="1" applyFont="1" applyBorder="1" applyAlignment="1">
      <alignment vertical="center"/>
    </xf>
    <xf numFmtId="183" fontId="12" fillId="0" borderId="6" xfId="55" applyNumberFormat="1" applyFont="1" applyBorder="1" applyAlignment="1">
      <alignment horizontal="right"/>
    </xf>
    <xf numFmtId="184" fontId="12" fillId="2" borderId="6" xfId="55" applyNumberFormat="1" applyFont="1" applyFill="1" applyBorder="1" applyAlignment="1">
      <alignment horizontal="right"/>
    </xf>
    <xf numFmtId="184" fontId="12" fillId="0" borderId="6" xfId="55" applyNumberFormat="1" applyFont="1" applyBorder="1"/>
    <xf numFmtId="3" fontId="28" fillId="3" borderId="3" xfId="4" applyNumberFormat="1" applyFont="1" applyFill="1" applyAlignment="1">
      <alignment vertical="center"/>
    </xf>
    <xf numFmtId="168" fontId="28" fillId="0" borderId="3" xfId="1" applyFont="1" applyAlignment="1">
      <alignment horizontal="left" vertical="center"/>
    </xf>
    <xf numFmtId="0" fontId="59" fillId="0" borderId="3" xfId="4" applyFont="1"/>
    <xf numFmtId="0" fontId="60" fillId="0" borderId="3" xfId="4" applyFont="1"/>
    <xf numFmtId="1" fontId="59" fillId="0" borderId="3" xfId="4" applyNumberFormat="1" applyFont="1"/>
    <xf numFmtId="0" fontId="59" fillId="0" borderId="3" xfId="4" applyFont="1" applyAlignment="1">
      <alignment wrapText="1"/>
    </xf>
    <xf numFmtId="0" fontId="60" fillId="0" borderId="3" xfId="4" applyFont="1" applyAlignment="1">
      <alignment wrapText="1"/>
    </xf>
    <xf numFmtId="1" fontId="59" fillId="0" borderId="3" xfId="4" applyNumberFormat="1" applyFont="1" applyAlignment="1">
      <alignment wrapText="1"/>
    </xf>
    <xf numFmtId="1" fontId="25" fillId="0" borderId="3" xfId="4" applyNumberFormat="1" applyFont="1"/>
    <xf numFmtId="167" fontId="14" fillId="39" borderId="5" xfId="55" applyNumberFormat="1" applyFont="1" applyFill="1" applyBorder="1" applyAlignment="1">
      <alignment horizontal="center" vertical="center" wrapText="1"/>
    </xf>
    <xf numFmtId="0" fontId="12" fillId="0" borderId="3" xfId="55" applyFont="1" applyAlignment="1">
      <alignment vertical="center" wrapText="1"/>
    </xf>
    <xf numFmtId="0" fontId="12" fillId="0" borderId="3" xfId="55" applyFont="1" applyAlignment="1">
      <alignment horizontal="center" vertical="center" wrapText="1"/>
    </xf>
    <xf numFmtId="0" fontId="12" fillId="0" borderId="3" xfId="55" applyFont="1" applyAlignment="1">
      <alignment horizontal="left" vertical="center" wrapText="1"/>
    </xf>
    <xf numFmtId="3" fontId="12" fillId="0" borderId="3" xfId="53" applyNumberFormat="1" applyFont="1" applyAlignment="1">
      <alignment horizontal="right" vertical="center" wrapText="1"/>
    </xf>
    <xf numFmtId="4" fontId="12" fillId="0" borderId="3" xfId="55" applyNumberFormat="1" applyFont="1" applyAlignment="1">
      <alignment horizontal="right" vertical="center" wrapText="1"/>
    </xf>
    <xf numFmtId="0" fontId="12" fillId="0" borderId="6" xfId="55" applyFont="1" applyBorder="1" applyAlignment="1">
      <alignment vertical="center" wrapText="1"/>
    </xf>
    <xf numFmtId="0" fontId="12" fillId="0" borderId="6" xfId="55" applyFont="1" applyBorder="1" applyAlignment="1">
      <alignment horizontal="center" vertical="center" wrapText="1"/>
    </xf>
    <xf numFmtId="0" fontId="12" fillId="0" borderId="6" xfId="55" applyFont="1" applyBorder="1" applyAlignment="1">
      <alignment horizontal="left" vertical="center" wrapText="1"/>
    </xf>
    <xf numFmtId="3" fontId="12" fillId="0" borderId="6" xfId="53" applyNumberFormat="1" applyFont="1" applyBorder="1" applyAlignment="1">
      <alignment horizontal="right" vertical="center" wrapText="1"/>
    </xf>
    <xf numFmtId="4" fontId="12" fillId="0" borderId="6" xfId="55" applyNumberFormat="1" applyFont="1" applyBorder="1" applyAlignment="1">
      <alignment horizontal="right" vertical="center" wrapText="1"/>
    </xf>
    <xf numFmtId="3" fontId="12" fillId="0" borderId="3" xfId="53" applyNumberFormat="1" applyFont="1" applyBorder="1" applyAlignment="1">
      <alignment horizontal="right" vertical="center" wrapText="1"/>
    </xf>
    <xf numFmtId="0" fontId="12" fillId="0" borderId="4" xfId="55" applyFont="1" applyBorder="1" applyAlignment="1">
      <alignment vertical="center" wrapText="1"/>
    </xf>
    <xf numFmtId="0" fontId="12" fillId="0" borderId="4" xfId="55" applyFont="1" applyBorder="1" applyAlignment="1">
      <alignment horizontal="center" vertical="center" wrapText="1"/>
    </xf>
    <xf numFmtId="0" fontId="12" fillId="0" borderId="4" xfId="55" applyFont="1" applyBorder="1" applyAlignment="1">
      <alignment horizontal="left" vertical="center" wrapText="1"/>
    </xf>
    <xf numFmtId="3" fontId="12" fillId="0" borderId="4" xfId="53" applyNumberFormat="1" applyFont="1" applyBorder="1" applyAlignment="1">
      <alignment horizontal="right" vertical="center" wrapText="1"/>
    </xf>
    <xf numFmtId="4" fontId="12" fillId="0" borderId="16" xfId="55" applyNumberFormat="1" applyFont="1" applyBorder="1" applyAlignment="1">
      <alignment horizontal="right" vertical="center" wrapText="1"/>
    </xf>
    <xf numFmtId="0" fontId="12" fillId="0" borderId="16" xfId="55" applyFont="1" applyBorder="1" applyAlignment="1">
      <alignment vertical="center" wrapText="1"/>
    </xf>
    <xf numFmtId="0" fontId="12" fillId="0" borderId="16" xfId="55" applyFont="1" applyBorder="1" applyAlignment="1">
      <alignment horizontal="center" vertical="center" wrapText="1"/>
    </xf>
    <xf numFmtId="0" fontId="12" fillId="0" borderId="16" xfId="55" applyFont="1" applyBorder="1" applyAlignment="1">
      <alignment horizontal="left" vertical="center" wrapText="1"/>
    </xf>
    <xf numFmtId="3" fontId="12" fillId="0" borderId="16" xfId="53" applyNumberFormat="1" applyFont="1" applyBorder="1" applyAlignment="1">
      <alignment horizontal="right" vertical="center" wrapText="1"/>
    </xf>
    <xf numFmtId="4" fontId="12" fillId="0" borderId="4" xfId="55" applyNumberFormat="1" applyFont="1" applyBorder="1" applyAlignment="1">
      <alignment horizontal="right" vertical="center" wrapText="1"/>
    </xf>
    <xf numFmtId="0" fontId="14" fillId="4" borderId="16" xfId="55" applyFont="1" applyFill="1" applyBorder="1" applyAlignment="1">
      <alignment horizontal="center" vertical="center" wrapText="1"/>
    </xf>
    <xf numFmtId="0" fontId="12" fillId="2" borderId="16" xfId="55" applyFont="1" applyFill="1" applyBorder="1" applyAlignment="1">
      <alignment vertical="center"/>
    </xf>
    <xf numFmtId="0" fontId="12" fillId="2" borderId="16" xfId="55" applyFont="1" applyFill="1" applyBorder="1" applyAlignment="1">
      <alignment horizontal="left" vertical="center"/>
    </xf>
    <xf numFmtId="181" fontId="12" fillId="2" borderId="16" xfId="55" applyNumberFormat="1" applyFont="1" applyFill="1" applyBorder="1" applyAlignment="1">
      <alignment vertical="center"/>
    </xf>
    <xf numFmtId="182" fontId="18" fillId="2" borderId="16" xfId="55" applyNumberFormat="1" applyFont="1" applyFill="1" applyBorder="1" applyAlignment="1">
      <alignment horizontal="right" vertical="top"/>
    </xf>
    <xf numFmtId="0" fontId="17" fillId="4" borderId="6" xfId="55" applyFont="1" applyFill="1" applyBorder="1" applyAlignment="1">
      <alignment horizontal="left"/>
    </xf>
    <xf numFmtId="0" fontId="26" fillId="0" borderId="6" xfId="55" applyFont="1" applyBorder="1"/>
    <xf numFmtId="43" fontId="12" fillId="0" borderId="6" xfId="53" applyFont="1" applyBorder="1" applyAlignment="1">
      <alignment wrapText="1"/>
    </xf>
    <xf numFmtId="0" fontId="15" fillId="2" borderId="3" xfId="55" applyFont="1" applyFill="1"/>
    <xf numFmtId="0" fontId="13" fillId="2" borderId="3" xfId="55" applyFont="1" applyFill="1" applyAlignment="1">
      <alignment horizontal="center"/>
    </xf>
    <xf numFmtId="0" fontId="11" fillId="2" borderId="3" xfId="55" applyFont="1" applyFill="1"/>
    <xf numFmtId="0" fontId="15" fillId="2" borderId="3" xfId="55" applyFont="1" applyFill="1" applyAlignment="1">
      <alignment vertical="center"/>
    </xf>
    <xf numFmtId="0" fontId="11" fillId="2" borderId="3" xfId="55" applyFont="1" applyFill="1" applyAlignment="1">
      <alignment horizontal="center"/>
    </xf>
    <xf numFmtId="0" fontId="14" fillId="41" borderId="1" xfId="55" applyFont="1" applyFill="1" applyBorder="1" applyAlignment="1">
      <alignment horizontal="center" vertical="center"/>
    </xf>
    <xf numFmtId="169" fontId="14" fillId="0" borderId="3" xfId="55" applyNumberFormat="1" applyFont="1" applyAlignment="1">
      <alignment horizontal="right" vertical="center"/>
    </xf>
    <xf numFmtId="0" fontId="14" fillId="0" borderId="3" xfId="55" applyFont="1" applyAlignment="1">
      <alignment horizontal="right" vertical="center"/>
    </xf>
    <xf numFmtId="0" fontId="22" fillId="43" borderId="3" xfId="55" applyFont="1" applyFill="1" applyAlignment="1">
      <alignment vertical="center"/>
    </xf>
    <xf numFmtId="169" fontId="22" fillId="3" borderId="3" xfId="55" applyNumberFormat="1" applyFont="1" applyFill="1" applyAlignment="1">
      <alignment vertical="center"/>
    </xf>
    <xf numFmtId="171" fontId="22" fillId="3" borderId="3" xfId="3" applyNumberFormat="1" applyFont="1" applyFill="1" applyBorder="1" applyAlignment="1">
      <alignment horizontal="right" vertical="center"/>
    </xf>
    <xf numFmtId="171" fontId="22" fillId="4" borderId="3" xfId="3" applyNumberFormat="1" applyFont="1" applyFill="1" applyBorder="1" applyAlignment="1">
      <alignment horizontal="right" vertical="center"/>
    </xf>
    <xf numFmtId="0" fontId="19" fillId="3" borderId="3" xfId="55" applyFont="1" applyFill="1" applyAlignment="1">
      <alignment horizontal="left" vertical="center" indent="1"/>
    </xf>
    <xf numFmtId="185" fontId="19" fillId="3" borderId="3" xfId="55" applyNumberFormat="1" applyFont="1" applyFill="1" applyAlignment="1">
      <alignment horizontal="center" vertical="center"/>
    </xf>
    <xf numFmtId="169" fontId="19" fillId="3" borderId="3" xfId="55" applyNumberFormat="1" applyFont="1" applyFill="1" applyAlignment="1">
      <alignment vertical="center"/>
    </xf>
    <xf numFmtId="186" fontId="19" fillId="3" borderId="3" xfId="3" applyNumberFormat="1" applyFont="1" applyFill="1" applyBorder="1" applyAlignment="1">
      <alignment horizontal="right" vertical="center"/>
    </xf>
    <xf numFmtId="185" fontId="22" fillId="3" borderId="3" xfId="55" applyNumberFormat="1" applyFont="1" applyFill="1" applyAlignment="1">
      <alignment horizontal="center" vertical="center"/>
    </xf>
    <xf numFmtId="171" fontId="12" fillId="4" borderId="3" xfId="3" applyNumberFormat="1" applyFont="1" applyFill="1" applyBorder="1" applyAlignment="1">
      <alignment horizontal="right" vertical="center"/>
    </xf>
    <xf numFmtId="186" fontId="22" fillId="3" borderId="3" xfId="3" applyNumberFormat="1" applyFont="1" applyFill="1" applyBorder="1" applyAlignment="1">
      <alignment horizontal="right" vertical="center"/>
    </xf>
    <xf numFmtId="171" fontId="14" fillId="4" borderId="3" xfId="3" applyNumberFormat="1" applyFont="1" applyFill="1" applyBorder="1" applyAlignment="1">
      <alignment horizontal="right" vertical="center"/>
    </xf>
    <xf numFmtId="0" fontId="12" fillId="3" borderId="3" xfId="55" applyFont="1" applyFill="1" applyAlignment="1">
      <alignment horizontal="left" vertical="center" indent="1"/>
    </xf>
    <xf numFmtId="171" fontId="19" fillId="4" borderId="3" xfId="3" applyNumberFormat="1" applyFont="1" applyFill="1" applyBorder="1" applyAlignment="1">
      <alignment horizontal="right"/>
    </xf>
    <xf numFmtId="171" fontId="22" fillId="4" borderId="3" xfId="3" applyNumberFormat="1" applyFont="1" applyFill="1" applyBorder="1" applyAlignment="1">
      <alignment horizontal="right"/>
    </xf>
    <xf numFmtId="167" fontId="12" fillId="45" borderId="3" xfId="55" applyNumberFormat="1" applyFont="1" applyFill="1"/>
    <xf numFmtId="0" fontId="25" fillId="2" borderId="3" xfId="55" applyFont="1" applyFill="1"/>
    <xf numFmtId="0" fontId="13" fillId="2" borderId="3" xfId="55" applyFont="1" applyFill="1"/>
    <xf numFmtId="0" fontId="11" fillId="2" borderId="3" xfId="55" applyFont="1" applyFill="1" applyAlignment="1">
      <alignment horizontal="center" vertical="center"/>
    </xf>
    <xf numFmtId="0" fontId="25" fillId="2" borderId="3" xfId="55" applyFont="1" applyFill="1" applyAlignment="1">
      <alignment vertical="center"/>
    </xf>
    <xf numFmtId="0" fontId="25" fillId="2" borderId="3" xfId="55" applyFont="1" applyFill="1" applyAlignment="1">
      <alignment vertical="top"/>
    </xf>
    <xf numFmtId="169" fontId="14" fillId="3" borderId="3" xfId="55" applyNumberFormat="1" applyFont="1" applyFill="1" applyAlignment="1">
      <alignment horizontal="center" vertical="center" wrapText="1"/>
    </xf>
    <xf numFmtId="169" fontId="12" fillId="3" borderId="3" xfId="55" applyNumberFormat="1" applyFont="1" applyFill="1" applyAlignment="1">
      <alignment horizontal="center" vertical="center"/>
    </xf>
    <xf numFmtId="169" fontId="14" fillId="3" borderId="3" xfId="55" applyNumberFormat="1" applyFont="1" applyFill="1" applyAlignment="1">
      <alignment horizontal="center" vertical="center"/>
    </xf>
    <xf numFmtId="185" fontId="12" fillId="3" borderId="3" xfId="55" applyNumberFormat="1" applyFont="1" applyFill="1" applyAlignment="1">
      <alignment horizontal="center" vertical="center"/>
    </xf>
    <xf numFmtId="169" fontId="12" fillId="3" borderId="3" xfId="55" applyNumberFormat="1" applyFont="1" applyFill="1" applyAlignment="1">
      <alignment horizontal="center" vertical="center" wrapText="1"/>
    </xf>
    <xf numFmtId="186" fontId="14" fillId="3" borderId="3" xfId="3" applyNumberFormat="1" applyFont="1" applyFill="1" applyBorder="1" applyAlignment="1">
      <alignment horizontal="right" vertical="center"/>
    </xf>
    <xf numFmtId="4" fontId="14" fillId="3" borderId="3" xfId="55" applyNumberFormat="1" applyFont="1" applyFill="1" applyAlignment="1">
      <alignment horizontal="center" vertical="center"/>
    </xf>
    <xf numFmtId="186" fontId="12" fillId="3" borderId="3" xfId="3" applyNumberFormat="1" applyFont="1" applyFill="1" applyBorder="1" applyAlignment="1">
      <alignment horizontal="right" vertical="center"/>
    </xf>
    <xf numFmtId="4" fontId="12" fillId="3" borderId="3" xfId="55" applyNumberFormat="1" applyFont="1" applyFill="1" applyAlignment="1">
      <alignment horizontal="center" vertical="center"/>
    </xf>
    <xf numFmtId="49" fontId="12" fillId="0" borderId="16" xfId="55" applyNumberFormat="1" applyFont="1" applyBorder="1" applyAlignment="1">
      <alignment horizontal="center" vertical="center"/>
    </xf>
    <xf numFmtId="170" fontId="12" fillId="0" borderId="16" xfId="55" applyNumberFormat="1" applyFont="1" applyBorder="1" applyAlignment="1">
      <alignment horizontal="right" vertical="center"/>
    </xf>
    <xf numFmtId="165" fontId="16" fillId="0" borderId="16" xfId="55" applyNumberFormat="1" applyFont="1" applyBorder="1" applyAlignment="1">
      <alignment horizontal="right" vertical="top"/>
    </xf>
    <xf numFmtId="170" fontId="12" fillId="0" borderId="3" xfId="55" applyNumberFormat="1" applyFont="1" applyAlignment="1">
      <alignment horizontal="right" vertical="center"/>
    </xf>
    <xf numFmtId="171" fontId="12" fillId="0" borderId="3" xfId="55" applyNumberFormat="1" applyFont="1"/>
    <xf numFmtId="185" fontId="12" fillId="4" borderId="3" xfId="55" applyNumberFormat="1" applyFont="1" applyFill="1" applyAlignment="1">
      <alignment horizontal="center" vertical="center"/>
    </xf>
    <xf numFmtId="185" fontId="14" fillId="4" borderId="3" xfId="55" applyNumberFormat="1" applyFont="1" applyFill="1" applyAlignment="1">
      <alignment horizontal="center" vertical="center"/>
    </xf>
    <xf numFmtId="186" fontId="14" fillId="3" borderId="3" xfId="3" applyNumberFormat="1" applyFont="1" applyFill="1" applyBorder="1" applyAlignment="1">
      <alignment horizontal="right"/>
    </xf>
    <xf numFmtId="0" fontId="26" fillId="0" borderId="3" xfId="55" applyFont="1" applyAlignment="1">
      <alignment horizontal="center"/>
    </xf>
    <xf numFmtId="0" fontId="15" fillId="2" borderId="3" xfId="55" applyFont="1" applyFill="1" applyAlignment="1">
      <alignment vertical="top"/>
    </xf>
    <xf numFmtId="186" fontId="14" fillId="2" borderId="3" xfId="55" applyNumberFormat="1" applyFont="1" applyFill="1" applyAlignment="1">
      <alignment horizontal="right"/>
    </xf>
    <xf numFmtId="169" fontId="22" fillId="3" borderId="3" xfId="55" applyNumberFormat="1" applyFont="1" applyFill="1" applyAlignment="1">
      <alignment horizontal="right" vertical="center"/>
    </xf>
    <xf numFmtId="188" fontId="22" fillId="3" borderId="3" xfId="55" applyNumberFormat="1" applyFont="1" applyFill="1" applyAlignment="1">
      <alignment horizontal="right" vertical="center"/>
    </xf>
    <xf numFmtId="171" fontId="19" fillId="4" borderId="3" xfId="55" applyNumberFormat="1" applyFont="1" applyFill="1" applyAlignment="1">
      <alignment horizontal="right" vertical="center"/>
    </xf>
    <xf numFmtId="171" fontId="12" fillId="0" borderId="3" xfId="55" applyNumberFormat="1" applyFont="1" applyAlignment="1">
      <alignment horizontal="center"/>
    </xf>
    <xf numFmtId="167" fontId="22" fillId="44" borderId="3" xfId="55" applyNumberFormat="1" applyFont="1" applyFill="1" applyAlignment="1">
      <alignment vertical="center"/>
    </xf>
    <xf numFmtId="167" fontId="19" fillId="3" borderId="3" xfId="55" applyNumberFormat="1" applyFont="1" applyFill="1" applyAlignment="1">
      <alignment horizontal="left" vertical="center" indent="1"/>
    </xf>
    <xf numFmtId="187" fontId="19" fillId="3" borderId="3" xfId="55" applyNumberFormat="1" applyFont="1" applyFill="1" applyAlignment="1">
      <alignment horizontal="right" vertical="center"/>
    </xf>
    <xf numFmtId="0" fontId="13" fillId="2" borderId="3" xfId="55" applyFont="1" applyFill="1" applyAlignment="1">
      <alignment horizontal="center" vertical="center"/>
    </xf>
    <xf numFmtId="0" fontId="25" fillId="0" borderId="3" xfId="55" applyFont="1" applyAlignment="1">
      <alignment vertical="center"/>
    </xf>
    <xf numFmtId="0" fontId="25" fillId="0" borderId="3" xfId="55" applyFont="1" applyAlignment="1">
      <alignment vertical="top"/>
    </xf>
    <xf numFmtId="172" fontId="14" fillId="3" borderId="3" xfId="55" applyNumberFormat="1" applyFont="1" applyFill="1" applyAlignment="1">
      <alignment horizontal="right" vertical="center"/>
    </xf>
    <xf numFmtId="185" fontId="14" fillId="3" borderId="3" xfId="55" applyNumberFormat="1" applyFont="1" applyFill="1" applyAlignment="1">
      <alignment horizontal="center" vertical="center"/>
    </xf>
    <xf numFmtId="172" fontId="12" fillId="3" borderId="3" xfId="55" applyNumberFormat="1" applyFont="1" applyFill="1" applyAlignment="1">
      <alignment horizontal="right" vertical="center"/>
    </xf>
    <xf numFmtId="172" fontId="14" fillId="4" borderId="3" xfId="55" applyNumberFormat="1" applyFont="1" applyFill="1" applyAlignment="1">
      <alignment horizontal="right" vertical="center"/>
    </xf>
    <xf numFmtId="167" fontId="14" fillId="43" borderId="3" xfId="4" applyNumberFormat="1" applyFont="1" applyFill="1" applyAlignment="1">
      <alignment vertical="center"/>
    </xf>
    <xf numFmtId="185" fontId="19" fillId="4" borderId="3" xfId="55" applyNumberFormat="1" applyFont="1" applyFill="1" applyAlignment="1">
      <alignment horizontal="center" vertical="center"/>
    </xf>
    <xf numFmtId="167" fontId="14" fillId="44" borderId="3" xfId="4" applyNumberFormat="1" applyFont="1" applyFill="1" applyAlignment="1">
      <alignment vertical="center"/>
    </xf>
    <xf numFmtId="0" fontId="15" fillId="45" borderId="3" xfId="55" applyFont="1" applyFill="1"/>
    <xf numFmtId="0" fontId="11" fillId="0" borderId="3" xfId="55" applyFont="1"/>
    <xf numFmtId="0" fontId="15" fillId="0" borderId="3" xfId="55" applyFont="1" applyAlignment="1">
      <alignment vertical="top"/>
    </xf>
    <xf numFmtId="0" fontId="15" fillId="0" borderId="3" xfId="55" applyFont="1" applyAlignment="1">
      <alignment horizontal="center" vertical="center"/>
    </xf>
    <xf numFmtId="1" fontId="13" fillId="0" borderId="3" xfId="55" applyNumberFormat="1" applyFont="1" applyAlignment="1">
      <alignment horizontal="center" vertical="center"/>
    </xf>
    <xf numFmtId="166" fontId="13" fillId="0" borderId="3" xfId="55" applyNumberFormat="1" applyFont="1" applyAlignment="1">
      <alignment horizontal="center" vertical="center"/>
    </xf>
    <xf numFmtId="1" fontId="15" fillId="0" borderId="3" xfId="55" applyNumberFormat="1" applyFont="1" applyAlignment="1">
      <alignment horizontal="center" vertical="center"/>
    </xf>
    <xf numFmtId="3" fontId="13" fillId="0" borderId="3" xfId="55" applyNumberFormat="1" applyFont="1" applyAlignment="1">
      <alignment horizontal="center" vertical="center"/>
    </xf>
    <xf numFmtId="37" fontId="19" fillId="3" borderId="3" xfId="58" applyFont="1" applyFill="1" applyAlignment="1">
      <alignment vertical="center"/>
    </xf>
    <xf numFmtId="187" fontId="14" fillId="3" borderId="0" xfId="0" applyNumberFormat="1" applyFont="1" applyFill="1" applyAlignment="1">
      <alignment horizontal="center" vertical="center"/>
    </xf>
    <xf numFmtId="187" fontId="12" fillId="3" borderId="0" xfId="0" applyNumberFormat="1" applyFont="1" applyFill="1" applyAlignment="1">
      <alignment horizontal="center" vertical="center"/>
    </xf>
    <xf numFmtId="185" fontId="12" fillId="4" borderId="0" xfId="0" applyNumberFormat="1" applyFont="1" applyFill="1" applyAlignment="1">
      <alignment horizontal="center" vertical="center"/>
    </xf>
    <xf numFmtId="169" fontId="14" fillId="3" borderId="0" xfId="0" applyNumberFormat="1" applyFont="1" applyFill="1" applyAlignment="1">
      <alignment horizontal="right" vertical="center"/>
    </xf>
    <xf numFmtId="169" fontId="12" fillId="3" borderId="0" xfId="0" applyNumberFormat="1" applyFont="1" applyFill="1" applyAlignment="1">
      <alignment horizontal="right" vertical="center"/>
    </xf>
    <xf numFmtId="185" fontId="12" fillId="3" borderId="0" xfId="0" applyNumberFormat="1" applyFont="1" applyFill="1" applyAlignment="1">
      <alignment horizontal="center" vertical="center"/>
    </xf>
    <xf numFmtId="169" fontId="12" fillId="3" borderId="0" xfId="0" applyNumberFormat="1" applyFont="1" applyFill="1" applyAlignment="1">
      <alignment horizontal="center" vertical="center"/>
    </xf>
    <xf numFmtId="187" fontId="12" fillId="3" borderId="0" xfId="0" applyNumberFormat="1" applyFont="1" applyFill="1" applyAlignment="1">
      <alignment horizontal="right" vertical="center"/>
    </xf>
    <xf numFmtId="4" fontId="12" fillId="2" borderId="3" xfId="0" applyNumberFormat="1" applyFont="1" applyFill="1" applyBorder="1" applyAlignment="1">
      <alignment horizontal="center" vertical="center"/>
    </xf>
    <xf numFmtId="167" fontId="14" fillId="43" borderId="0" xfId="0" applyNumberFormat="1" applyFont="1" applyFill="1" applyAlignment="1">
      <alignment vertical="center"/>
    </xf>
    <xf numFmtId="185" fontId="14" fillId="3" borderId="0" xfId="0" applyNumberFormat="1" applyFont="1" applyFill="1" applyAlignment="1">
      <alignment horizontal="center" vertical="center"/>
    </xf>
    <xf numFmtId="0" fontId="14" fillId="44" borderId="0" xfId="0" applyFont="1" applyFill="1" applyAlignment="1">
      <alignment vertical="center"/>
    </xf>
    <xf numFmtId="186" fontId="14" fillId="3" borderId="0" xfId="0" applyNumberFormat="1" applyFont="1" applyFill="1" applyAlignment="1">
      <alignment horizontal="right" vertical="center"/>
    </xf>
    <xf numFmtId="186" fontId="12" fillId="3" borderId="0" xfId="0" applyNumberFormat="1" applyFont="1" applyFill="1" applyAlignment="1">
      <alignment horizontal="right" vertical="center"/>
    </xf>
    <xf numFmtId="169" fontId="14" fillId="3" borderId="0" xfId="0" applyNumberFormat="1" applyFont="1" applyFill="1" applyAlignment="1">
      <alignment horizontal="center" vertical="center"/>
    </xf>
    <xf numFmtId="171" fontId="12" fillId="3" borderId="0" xfId="0" applyNumberFormat="1" applyFont="1" applyFill="1" applyAlignment="1">
      <alignment horizontal="right" vertical="center"/>
    </xf>
    <xf numFmtId="186" fontId="12" fillId="3" borderId="3" xfId="3" applyNumberFormat="1" applyFont="1" applyFill="1" applyBorder="1" applyAlignment="1">
      <alignment horizontal="right"/>
    </xf>
    <xf numFmtId="172" fontId="14" fillId="3" borderId="0" xfId="0" applyNumberFormat="1" applyFont="1" applyFill="1" applyAlignment="1">
      <alignment horizontal="right" vertical="center"/>
    </xf>
    <xf numFmtId="172" fontId="12" fillId="3" borderId="0" xfId="0" applyNumberFormat="1" applyFont="1" applyFill="1" applyAlignment="1">
      <alignment horizontal="right" vertical="center"/>
    </xf>
    <xf numFmtId="0" fontId="14" fillId="43" borderId="0" xfId="0" applyFont="1" applyFill="1" applyAlignment="1">
      <alignment vertical="center"/>
    </xf>
    <xf numFmtId="187" fontId="14" fillId="3" borderId="0" xfId="0" applyNumberFormat="1" applyFont="1" applyFill="1" applyAlignment="1">
      <alignment horizontal="right" vertical="center"/>
    </xf>
    <xf numFmtId="0" fontId="19" fillId="0" borderId="3" xfId="55" applyFont="1" applyAlignment="1">
      <alignment vertical="center" wrapText="1"/>
    </xf>
    <xf numFmtId="0" fontId="14" fillId="46" borderId="1" xfId="0" applyFont="1" applyFill="1" applyBorder="1" applyAlignment="1">
      <alignment horizontal="center" vertical="center"/>
    </xf>
    <xf numFmtId="0" fontId="14" fillId="46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45" borderId="0" xfId="0" applyFont="1" applyFill="1"/>
    <xf numFmtId="176" fontId="14" fillId="45" borderId="0" xfId="0" applyNumberFormat="1" applyFont="1" applyFill="1" applyAlignment="1">
      <alignment horizontal="center" vertical="center"/>
    </xf>
    <xf numFmtId="0" fontId="12" fillId="45" borderId="0" xfId="0" applyFont="1" applyFill="1"/>
    <xf numFmtId="176" fontId="12" fillId="45" borderId="0" xfId="0" applyNumberFormat="1" applyFont="1" applyFill="1" applyAlignment="1">
      <alignment horizontal="center" vertical="center"/>
    </xf>
    <xf numFmtId="176" fontId="12" fillId="45" borderId="3" xfId="0" applyNumberFormat="1" applyFont="1" applyFill="1" applyBorder="1" applyAlignment="1">
      <alignment horizontal="center" vertical="center"/>
    </xf>
    <xf numFmtId="0" fontId="12" fillId="45" borderId="0" xfId="0" applyFont="1" applyFill="1" applyAlignment="1">
      <alignment horizontal="left" vertical="center"/>
    </xf>
    <xf numFmtId="0" fontId="14" fillId="45" borderId="0" xfId="0" applyFont="1" applyFill="1" applyAlignment="1">
      <alignment horizontal="left" vertical="center"/>
    </xf>
    <xf numFmtId="167" fontId="12" fillId="45" borderId="0" xfId="0" applyNumberFormat="1" applyFont="1" applyFill="1" applyAlignment="1">
      <alignment horizontal="left" vertical="center"/>
    </xf>
    <xf numFmtId="4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65" fontId="16" fillId="0" borderId="2" xfId="0" applyNumberFormat="1" applyFont="1" applyBorder="1" applyAlignment="1">
      <alignment horizontal="right" vertical="top"/>
    </xf>
    <xf numFmtId="0" fontId="14" fillId="0" borderId="0" xfId="0" applyFont="1"/>
    <xf numFmtId="176" fontId="12" fillId="0" borderId="0" xfId="0" applyNumberFormat="1" applyFont="1" applyAlignment="1">
      <alignment horizontal="center" vertical="center"/>
    </xf>
    <xf numFmtId="171" fontId="14" fillId="45" borderId="0" xfId="0" applyNumberFormat="1" applyFont="1" applyFill="1" applyAlignment="1">
      <alignment horizontal="center" vertical="center"/>
    </xf>
    <xf numFmtId="0" fontId="12" fillId="45" borderId="23" xfId="0" applyFont="1" applyFill="1" applyBorder="1" applyAlignment="1">
      <alignment horizontal="left" vertical="center"/>
    </xf>
    <xf numFmtId="176" fontId="12" fillId="45" borderId="23" xfId="0" applyNumberFormat="1" applyFont="1" applyFill="1" applyBorder="1" applyAlignment="1">
      <alignment horizontal="center" vertical="center"/>
    </xf>
    <xf numFmtId="4" fontId="14" fillId="45" borderId="0" xfId="0" applyNumberFormat="1" applyFont="1" applyFill="1" applyAlignment="1">
      <alignment horizontal="center" vertical="center"/>
    </xf>
    <xf numFmtId="4" fontId="12" fillId="45" borderId="0" xfId="0" applyNumberFormat="1" applyFont="1" applyFill="1" applyAlignment="1">
      <alignment horizontal="center" vertical="center"/>
    </xf>
    <xf numFmtId="4" fontId="14" fillId="45" borderId="3" xfId="0" applyNumberFormat="1" applyFont="1" applyFill="1" applyBorder="1" applyAlignment="1">
      <alignment horizontal="center" vertical="center"/>
    </xf>
    <xf numFmtId="4" fontId="12" fillId="45" borderId="3" xfId="0" applyNumberFormat="1" applyFont="1" applyFill="1" applyBorder="1" applyAlignment="1">
      <alignment horizontal="center" vertical="center"/>
    </xf>
    <xf numFmtId="0" fontId="12" fillId="45" borderId="0" xfId="0" applyFont="1" applyFill="1" applyAlignment="1">
      <alignment vertical="center"/>
    </xf>
    <xf numFmtId="0" fontId="14" fillId="45" borderId="0" xfId="0" applyFont="1" applyFill="1" applyAlignment="1">
      <alignment vertical="center"/>
    </xf>
    <xf numFmtId="0" fontId="12" fillId="45" borderId="0" xfId="0" applyFont="1" applyFill="1" applyAlignment="1">
      <alignment horizontal="left"/>
    </xf>
    <xf numFmtId="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8" fillId="45" borderId="0" xfId="0" applyFont="1" applyFill="1" applyAlignment="1">
      <alignment vertical="center"/>
    </xf>
    <xf numFmtId="4" fontId="48" fillId="45" borderId="0" xfId="0" applyNumberFormat="1" applyFont="1" applyFill="1" applyAlignment="1">
      <alignment horizontal="center" vertical="center"/>
    </xf>
    <xf numFmtId="0" fontId="14" fillId="46" borderId="30" xfId="0" applyFont="1" applyFill="1" applyBorder="1" applyAlignment="1">
      <alignment horizontal="center" vertical="center" wrapText="1"/>
    </xf>
    <xf numFmtId="0" fontId="14" fillId="46" borderId="31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14" fillId="45" borderId="0" xfId="0" applyFont="1" applyFill="1" applyAlignment="1">
      <alignment horizontal="left"/>
    </xf>
    <xf numFmtId="0" fontId="12" fillId="45" borderId="23" xfId="0" applyFont="1" applyFill="1" applyBorder="1" applyAlignment="1">
      <alignment vertical="center"/>
    </xf>
    <xf numFmtId="4" fontId="12" fillId="45" borderId="23" xfId="0" applyNumberFormat="1" applyFont="1" applyFill="1" applyBorder="1" applyAlignment="1">
      <alignment horizontal="center" vertical="center"/>
    </xf>
    <xf numFmtId="0" fontId="14" fillId="46" borderId="29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2" fillId="0" borderId="2" xfId="0" applyFont="1" applyBorder="1" applyAlignment="1">
      <alignment horizontal="left"/>
    </xf>
    <xf numFmtId="4" fontId="12" fillId="0" borderId="2" xfId="0" applyNumberFormat="1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right" vertical="top"/>
    </xf>
    <xf numFmtId="0" fontId="14" fillId="0" borderId="0" xfId="0" applyFont="1" applyAlignment="1">
      <alignment horizontal="left"/>
    </xf>
    <xf numFmtId="0" fontId="11" fillId="0" borderId="0" xfId="0" applyFont="1"/>
    <xf numFmtId="171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right"/>
    </xf>
    <xf numFmtId="0" fontId="11" fillId="45" borderId="0" xfId="0" applyFont="1" applyFill="1"/>
    <xf numFmtId="189" fontId="12" fillId="0" borderId="0" xfId="0" applyNumberFormat="1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0" fontId="17" fillId="45" borderId="0" xfId="0" applyFont="1" applyFill="1" applyAlignment="1">
      <alignment horizontal="left" vertical="center"/>
    </xf>
    <xf numFmtId="4" fontId="17" fillId="45" borderId="0" xfId="0" applyNumberFormat="1" applyFont="1" applyFill="1" applyAlignment="1">
      <alignment horizontal="center" vertical="center"/>
    </xf>
    <xf numFmtId="0" fontId="48" fillId="45" borderId="0" xfId="0" applyFont="1" applyFill="1" applyAlignment="1">
      <alignment horizontal="left" vertical="center"/>
    </xf>
    <xf numFmtId="0" fontId="14" fillId="0" borderId="16" xfId="55" applyFont="1" applyBorder="1" applyAlignment="1">
      <alignment vertical="center" wrapText="1"/>
    </xf>
    <xf numFmtId="3" fontId="14" fillId="40" borderId="33" xfId="55" applyNumberFormat="1" applyFont="1" applyFill="1" applyBorder="1" applyAlignment="1">
      <alignment vertical="center"/>
    </xf>
    <xf numFmtId="3" fontId="14" fillId="40" borderId="34" xfId="55" applyNumberFormat="1" applyFont="1" applyFill="1" applyBorder="1" applyAlignment="1">
      <alignment vertical="center"/>
    </xf>
    <xf numFmtId="0" fontId="19" fillId="0" borderId="26" xfId="60" applyFont="1" applyBorder="1" applyAlignment="1">
      <alignment vertical="center"/>
    </xf>
    <xf numFmtId="172" fontId="12" fillId="3" borderId="0" xfId="0" applyNumberFormat="1" applyFont="1" applyFill="1" applyAlignment="1">
      <alignment horizontal="center" vertical="center"/>
    </xf>
    <xf numFmtId="185" fontId="14" fillId="4" borderId="0" xfId="0" applyNumberFormat="1" applyFont="1" applyFill="1" applyAlignment="1">
      <alignment horizontal="center" vertical="center"/>
    </xf>
    <xf numFmtId="172" fontId="14" fillId="3" borderId="0" xfId="0" applyNumberFormat="1" applyFont="1" applyFill="1" applyAlignment="1">
      <alignment horizontal="center" vertical="center"/>
    </xf>
    <xf numFmtId="169" fontId="22" fillId="3" borderId="0" xfId="0" applyNumberFormat="1" applyFont="1" applyFill="1" applyAlignment="1">
      <alignment horizontal="center" vertical="center"/>
    </xf>
    <xf numFmtId="169" fontId="19" fillId="3" borderId="6" xfId="0" applyNumberFormat="1" applyFont="1" applyFill="1" applyBorder="1" applyAlignment="1">
      <alignment horizontal="center" vertical="center"/>
    </xf>
    <xf numFmtId="185" fontId="12" fillId="3" borderId="0" xfId="0" applyNumberFormat="1" applyFont="1" applyFill="1" applyAlignment="1">
      <alignment horizontal="right" vertical="center"/>
    </xf>
    <xf numFmtId="169" fontId="19" fillId="3" borderId="3" xfId="55" applyNumberFormat="1" applyFont="1" applyFill="1" applyAlignment="1">
      <alignment horizontal="right" vertical="center"/>
    </xf>
    <xf numFmtId="185" fontId="14" fillId="3" borderId="0" xfId="0" applyNumberFormat="1" applyFont="1" applyFill="1" applyAlignment="1">
      <alignment horizontal="right" vertical="center"/>
    </xf>
    <xf numFmtId="169" fontId="19" fillId="3" borderId="0" xfId="0" applyNumberFormat="1" applyFont="1" applyFill="1" applyAlignment="1">
      <alignment horizontal="right" vertical="center"/>
    </xf>
    <xf numFmtId="169" fontId="12" fillId="3" borderId="0" xfId="0" applyNumberFormat="1" applyFont="1" applyFill="1" applyAlignment="1">
      <alignment vertical="center"/>
    </xf>
    <xf numFmtId="185" fontId="19" fillId="3" borderId="0" xfId="0" applyNumberFormat="1" applyFont="1" applyFill="1" applyAlignment="1">
      <alignment horizontal="center" vertical="center"/>
    </xf>
    <xf numFmtId="169" fontId="22" fillId="3" borderId="0" xfId="0" applyNumberFormat="1" applyFont="1" applyFill="1" applyAlignment="1">
      <alignment horizontal="right" vertical="center"/>
    </xf>
    <xf numFmtId="169" fontId="14" fillId="3" borderId="0" xfId="0" applyNumberFormat="1" applyFont="1" applyFill="1" applyAlignment="1">
      <alignment vertical="center"/>
    </xf>
    <xf numFmtId="169" fontId="19" fillId="3" borderId="0" xfId="0" applyNumberFormat="1" applyFont="1" applyFill="1" applyAlignment="1">
      <alignment vertical="center"/>
    </xf>
    <xf numFmtId="170" fontId="12" fillId="0" borderId="16" xfId="55" applyNumberFormat="1" applyFont="1" applyBorder="1" applyAlignment="1">
      <alignment horizontal="center" vertical="center"/>
    </xf>
    <xf numFmtId="169" fontId="12" fillId="3" borderId="0" xfId="0" applyNumberFormat="1" applyFont="1" applyFill="1" applyAlignment="1">
      <alignment horizontal="right"/>
    </xf>
    <xf numFmtId="169" fontId="12" fillId="3" borderId="0" xfId="0" applyNumberFormat="1" applyFont="1" applyFill="1" applyAlignment="1">
      <alignment horizontal="center"/>
    </xf>
    <xf numFmtId="0" fontId="19" fillId="3" borderId="6" xfId="0" applyFont="1" applyFill="1" applyBorder="1" applyAlignment="1">
      <alignment horizontal="left" vertical="center" indent="1"/>
    </xf>
    <xf numFmtId="169" fontId="12" fillId="3" borderId="0" xfId="0" applyNumberFormat="1" applyFont="1" applyFill="1" applyAlignment="1">
      <alignment horizontal="center" vertical="center" wrapText="1"/>
    </xf>
    <xf numFmtId="172" fontId="12" fillId="4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14" fillId="43" borderId="0" xfId="0" applyFont="1" applyFill="1"/>
    <xf numFmtId="0" fontId="26" fillId="0" borderId="16" xfId="55" applyFont="1" applyBorder="1" applyAlignment="1">
      <alignment horizontal="center"/>
    </xf>
    <xf numFmtId="185" fontId="22" fillId="3" borderId="0" xfId="0" applyNumberFormat="1" applyFont="1" applyFill="1" applyAlignment="1">
      <alignment horizontal="center" vertical="center"/>
    </xf>
    <xf numFmtId="0" fontId="11" fillId="45" borderId="3" xfId="55" applyFont="1" applyFill="1"/>
    <xf numFmtId="4" fontId="48" fillId="2" borderId="3" xfId="0" applyNumberFormat="1" applyFont="1" applyFill="1" applyBorder="1" applyAlignment="1">
      <alignment horizontal="center"/>
    </xf>
    <xf numFmtId="4" fontId="12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/>
    <xf numFmtId="4" fontId="26" fillId="0" borderId="0" xfId="0" applyNumberFormat="1" applyFont="1" applyAlignment="1">
      <alignment horizontal="center"/>
    </xf>
    <xf numFmtId="2" fontId="12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3" xfId="65" applyFont="1" applyAlignment="1">
      <alignment vertical="top"/>
    </xf>
    <xf numFmtId="189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vertical="center"/>
    </xf>
    <xf numFmtId="0" fontId="15" fillId="0" borderId="3" xfId="65" applyFont="1" applyAlignment="1">
      <alignment vertical="center"/>
    </xf>
    <xf numFmtId="0" fontId="18" fillId="0" borderId="2" xfId="0" applyFont="1" applyBorder="1" applyAlignment="1">
      <alignment horizontal="center"/>
    </xf>
    <xf numFmtId="169" fontId="12" fillId="0" borderId="2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12" fillId="0" borderId="0" xfId="0" applyFont="1"/>
    <xf numFmtId="0" fontId="28" fillId="0" borderId="3" xfId="63" applyFont="1" applyAlignment="1">
      <alignment vertical="center"/>
    </xf>
    <xf numFmtId="0" fontId="28" fillId="0" borderId="3" xfId="63" applyFont="1"/>
    <xf numFmtId="3" fontId="12" fillId="0" borderId="35" xfId="55" applyNumberFormat="1" applyFont="1" applyBorder="1" applyAlignment="1">
      <alignment horizontal="right" vertical="center"/>
    </xf>
    <xf numFmtId="3" fontId="12" fillId="0" borderId="35" xfId="55" quotePrefix="1" applyNumberFormat="1" applyFont="1" applyBorder="1" applyAlignment="1">
      <alignment horizontal="right" vertical="center"/>
    </xf>
    <xf numFmtId="0" fontId="12" fillId="0" borderId="6" xfId="55" applyFont="1" applyBorder="1" applyAlignment="1">
      <alignment horizontal="left" vertical="center"/>
    </xf>
    <xf numFmtId="0" fontId="14" fillId="0" borderId="3" xfId="55" applyFont="1" applyAlignment="1">
      <alignment horizontal="left" vertical="center" wrapText="1"/>
    </xf>
    <xf numFmtId="0" fontId="14" fillId="0" borderId="6" xfId="55" applyFont="1" applyBorder="1" applyAlignment="1">
      <alignment horizontal="left" vertical="center" wrapText="1"/>
    </xf>
    <xf numFmtId="0" fontId="28" fillId="0" borderId="3" xfId="4" applyFont="1"/>
    <xf numFmtId="3" fontId="28" fillId="3" borderId="3" xfId="4" applyNumberFormat="1" applyFont="1" applyFill="1" applyAlignment="1">
      <alignment horizontal="right" vertical="center"/>
    </xf>
    <xf numFmtId="0" fontId="25" fillId="0" borderId="3" xfId="4" applyFont="1" applyAlignment="1">
      <alignment vertical="center" wrapText="1"/>
    </xf>
    <xf numFmtId="0" fontId="22" fillId="43" borderId="0" xfId="0" applyFont="1" applyFill="1" applyAlignment="1">
      <alignment vertical="center"/>
    </xf>
    <xf numFmtId="0" fontId="19" fillId="3" borderId="0" xfId="0" applyFont="1" applyFill="1" applyAlignment="1">
      <alignment horizontal="left" vertical="center" indent="1"/>
    </xf>
    <xf numFmtId="171" fontId="19" fillId="3" borderId="3" xfId="3" applyNumberFormat="1" applyFont="1" applyFill="1" applyBorder="1" applyAlignment="1">
      <alignment horizontal="right" vertical="center"/>
    </xf>
    <xf numFmtId="0" fontId="22" fillId="44" borderId="0" xfId="0" applyFont="1" applyFill="1" applyAlignment="1">
      <alignment vertical="center"/>
    </xf>
    <xf numFmtId="175" fontId="19" fillId="3" borderId="0" xfId="0" applyNumberFormat="1" applyFont="1" applyFill="1" applyAlignment="1">
      <alignment horizontal="right" vertical="center"/>
    </xf>
    <xf numFmtId="167" fontId="22" fillId="43" borderId="0" xfId="0" applyNumberFormat="1" applyFont="1" applyFill="1" applyAlignment="1">
      <alignment vertical="center"/>
    </xf>
    <xf numFmtId="169" fontId="22" fillId="3" borderId="0" xfId="0" applyNumberFormat="1" applyFont="1" applyFill="1" applyAlignment="1">
      <alignment vertical="center"/>
    </xf>
    <xf numFmtId="49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170" fontId="12" fillId="0" borderId="16" xfId="0" applyNumberFormat="1" applyFont="1" applyBorder="1" applyAlignment="1">
      <alignment horizontal="right" vertical="center"/>
    </xf>
    <xf numFmtId="165" fontId="16" fillId="0" borderId="16" xfId="0" applyNumberFormat="1" applyFont="1" applyBorder="1" applyAlignment="1">
      <alignment horizontal="right" vertical="center"/>
    </xf>
    <xf numFmtId="171" fontId="22" fillId="3" borderId="0" xfId="0" applyNumberFormat="1" applyFont="1" applyFill="1" applyAlignment="1">
      <alignment horizontal="right" vertical="center"/>
    </xf>
    <xf numFmtId="171" fontId="19" fillId="3" borderId="0" xfId="0" applyNumberFormat="1" applyFont="1" applyFill="1" applyAlignment="1">
      <alignment horizontal="right" vertical="center"/>
    </xf>
    <xf numFmtId="0" fontId="22" fillId="44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indent="1"/>
    </xf>
    <xf numFmtId="186" fontId="19" fillId="3" borderId="0" xfId="0" applyNumberFormat="1" applyFont="1" applyFill="1" applyAlignment="1">
      <alignment horizontal="right" vertical="center"/>
    </xf>
    <xf numFmtId="188" fontId="19" fillId="3" borderId="0" xfId="0" applyNumberFormat="1" applyFont="1" applyFill="1" applyAlignment="1">
      <alignment vertical="center"/>
    </xf>
    <xf numFmtId="169" fontId="19" fillId="3" borderId="6" xfId="0" applyNumberFormat="1" applyFont="1" applyFill="1" applyBorder="1" applyAlignment="1">
      <alignment vertical="center"/>
    </xf>
    <xf numFmtId="185" fontId="19" fillId="3" borderId="6" xfId="0" applyNumberFormat="1" applyFont="1" applyFill="1" applyBorder="1" applyAlignment="1">
      <alignment horizontal="center" vertical="center"/>
    </xf>
    <xf numFmtId="171" fontId="19" fillId="4" borderId="6" xfId="3" applyNumberFormat="1" applyFont="1" applyFill="1" applyBorder="1" applyAlignment="1">
      <alignment horizontal="right" vertical="center"/>
    </xf>
    <xf numFmtId="0" fontId="58" fillId="0" borderId="0" xfId="0" applyFont="1"/>
    <xf numFmtId="177" fontId="58" fillId="0" borderId="0" xfId="0" applyNumberFormat="1" applyFont="1" applyAlignment="1">
      <alignment horizontal="left"/>
    </xf>
    <xf numFmtId="175" fontId="22" fillId="3" borderId="0" xfId="0" applyNumberFormat="1" applyFont="1" applyFill="1" applyAlignment="1">
      <alignment horizontal="right" vertical="center"/>
    </xf>
    <xf numFmtId="169" fontId="14" fillId="3" borderId="0" xfId="0" applyNumberFormat="1" applyFont="1" applyFill="1" applyAlignment="1">
      <alignment horizontal="center" vertical="center" wrapText="1"/>
    </xf>
    <xf numFmtId="4" fontId="14" fillId="3" borderId="0" xfId="0" applyNumberFormat="1" applyFont="1" applyFill="1" applyAlignment="1">
      <alignment horizontal="center" vertical="center"/>
    </xf>
    <xf numFmtId="4" fontId="12" fillId="3" borderId="0" xfId="0" applyNumberFormat="1" applyFont="1" applyFill="1" applyAlignment="1">
      <alignment horizontal="center" vertical="center"/>
    </xf>
    <xf numFmtId="169" fontId="19" fillId="4" borderId="0" xfId="0" applyNumberFormat="1" applyFont="1" applyFill="1" applyAlignment="1">
      <alignment horizontal="center" vertical="center"/>
    </xf>
    <xf numFmtId="169" fontId="19" fillId="3" borderId="0" xfId="0" applyNumberFormat="1" applyFont="1" applyFill="1" applyAlignment="1">
      <alignment horizontal="center" vertical="center"/>
    </xf>
    <xf numFmtId="187" fontId="19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right" vertical="center"/>
    </xf>
    <xf numFmtId="0" fontId="12" fillId="3" borderId="6" xfId="0" applyFont="1" applyFill="1" applyBorder="1" applyAlignment="1">
      <alignment horizontal="left" vertical="center" indent="1"/>
    </xf>
    <xf numFmtId="169" fontId="12" fillId="3" borderId="6" xfId="0" applyNumberFormat="1" applyFont="1" applyFill="1" applyBorder="1" applyAlignment="1">
      <alignment horizontal="center" vertical="center"/>
    </xf>
    <xf numFmtId="188" fontId="22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5" fontId="19" fillId="3" borderId="0" xfId="0" applyNumberFormat="1" applyFont="1" applyFill="1" applyAlignment="1">
      <alignment vertical="center"/>
    </xf>
    <xf numFmtId="186" fontId="22" fillId="3" borderId="0" xfId="0" applyNumberFormat="1" applyFont="1" applyFill="1" applyAlignment="1">
      <alignment horizontal="right" vertical="center"/>
    </xf>
    <xf numFmtId="186" fontId="22" fillId="4" borderId="0" xfId="0" applyNumberFormat="1" applyFont="1" applyFill="1" applyAlignment="1">
      <alignment horizontal="right" vertical="center"/>
    </xf>
    <xf numFmtId="171" fontId="19" fillId="4" borderId="0" xfId="0" applyNumberFormat="1" applyFont="1" applyFill="1" applyAlignment="1">
      <alignment horizontal="right" vertical="center"/>
    </xf>
    <xf numFmtId="167" fontId="22" fillId="44" borderId="0" xfId="0" applyNumberFormat="1" applyFont="1" applyFill="1" applyAlignment="1">
      <alignment vertical="center"/>
    </xf>
    <xf numFmtId="167" fontId="19" fillId="3" borderId="0" xfId="0" applyNumberFormat="1" applyFont="1" applyFill="1" applyAlignment="1">
      <alignment horizontal="left" vertical="center" indent="1"/>
    </xf>
    <xf numFmtId="187" fontId="19" fillId="3" borderId="0" xfId="0" applyNumberFormat="1" applyFont="1" applyFill="1" applyAlignment="1">
      <alignment horizontal="right" vertical="center"/>
    </xf>
    <xf numFmtId="172" fontId="22" fillId="3" borderId="0" xfId="0" applyNumberFormat="1" applyFont="1" applyFill="1" applyAlignment="1">
      <alignment vertical="center"/>
    </xf>
    <xf numFmtId="186" fontId="19" fillId="3" borderId="6" xfId="3" applyNumberFormat="1" applyFont="1" applyFill="1" applyBorder="1" applyAlignment="1">
      <alignment horizontal="right" vertical="center"/>
    </xf>
    <xf numFmtId="186" fontId="19" fillId="3" borderId="6" xfId="0" applyNumberFormat="1" applyFont="1" applyFill="1" applyBorder="1" applyAlignment="1">
      <alignment horizontal="right" vertical="center"/>
    </xf>
    <xf numFmtId="0" fontId="58" fillId="0" borderId="3" xfId="0" applyFont="1" applyBorder="1"/>
    <xf numFmtId="169" fontId="22" fillId="4" borderId="0" xfId="0" applyNumberFormat="1" applyFont="1" applyFill="1" applyAlignment="1">
      <alignment horizontal="center" vertical="center"/>
    </xf>
    <xf numFmtId="187" fontId="22" fillId="3" borderId="0" xfId="0" applyNumberFormat="1" applyFont="1" applyFill="1" applyAlignment="1">
      <alignment horizontal="right" vertical="center"/>
    </xf>
    <xf numFmtId="172" fontId="14" fillId="4" borderId="0" xfId="0" applyNumberFormat="1" applyFont="1" applyFill="1" applyAlignment="1">
      <alignment horizontal="right" vertical="center"/>
    </xf>
    <xf numFmtId="187" fontId="22" fillId="3" borderId="0" xfId="0" applyNumberFormat="1" applyFont="1" applyFill="1" applyAlignment="1">
      <alignment horizontal="center" vertical="center"/>
    </xf>
    <xf numFmtId="171" fontId="12" fillId="3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185" fontId="22" fillId="4" borderId="3" xfId="55" applyNumberFormat="1" applyFont="1" applyFill="1" applyAlignment="1">
      <alignment horizontal="center" vertical="center"/>
    </xf>
    <xf numFmtId="172" fontId="12" fillId="3" borderId="6" xfId="0" applyNumberFormat="1" applyFont="1" applyFill="1" applyBorder="1" applyAlignment="1">
      <alignment horizontal="right" vertical="center"/>
    </xf>
    <xf numFmtId="0" fontId="14" fillId="46" borderId="36" xfId="0" applyFont="1" applyFill="1" applyBorder="1" applyAlignment="1">
      <alignment horizontal="center" vertical="center" wrapText="1"/>
    </xf>
    <xf numFmtId="2" fontId="19" fillId="4" borderId="3" xfId="55" applyNumberFormat="1" applyFont="1" applyFill="1" applyAlignment="1">
      <alignment horizontal="right" vertical="center"/>
    </xf>
    <xf numFmtId="2" fontId="19" fillId="4" borderId="6" xfId="55" applyNumberFormat="1" applyFont="1" applyFill="1" applyBorder="1" applyAlignment="1">
      <alignment horizontal="right" vertical="center"/>
    </xf>
    <xf numFmtId="0" fontId="19" fillId="4" borderId="3" xfId="55" applyFont="1" applyFill="1" applyAlignment="1">
      <alignment horizontal="left" vertical="center"/>
    </xf>
    <xf numFmtId="0" fontId="19" fillId="4" borderId="6" xfId="55" applyFont="1" applyFill="1" applyBorder="1" applyAlignment="1">
      <alignment vertical="center"/>
    </xf>
    <xf numFmtId="3" fontId="63" fillId="47" borderId="3" xfId="0" applyNumberFormat="1" applyFont="1" applyFill="1" applyBorder="1"/>
    <xf numFmtId="3" fontId="64" fillId="47" borderId="0" xfId="0" applyNumberFormat="1" applyFont="1" applyFill="1" applyAlignment="1">
      <alignment horizontal="right"/>
    </xf>
    <xf numFmtId="0" fontId="12" fillId="0" borderId="6" xfId="55" applyFont="1" applyBorder="1"/>
    <xf numFmtId="0" fontId="14" fillId="0" borderId="6" xfId="55" applyFont="1" applyBorder="1" applyAlignment="1">
      <alignment horizontal="left" vertical="center"/>
    </xf>
    <xf numFmtId="0" fontId="12" fillId="0" borderId="16" xfId="55" applyFont="1" applyBorder="1"/>
    <xf numFmtId="0" fontId="14" fillId="0" borderId="4" xfId="55" applyFont="1" applyBorder="1" applyAlignment="1">
      <alignment vertical="center"/>
    </xf>
    <xf numFmtId="0" fontId="12" fillId="0" borderId="4" xfId="55" applyFont="1" applyBorder="1"/>
    <xf numFmtId="1" fontId="12" fillId="0" borderId="6" xfId="55" applyNumberFormat="1" applyFont="1" applyBorder="1"/>
    <xf numFmtId="1" fontId="12" fillId="0" borderId="3" xfId="55" applyNumberFormat="1" applyFont="1"/>
    <xf numFmtId="1" fontId="12" fillId="0" borderId="16" xfId="55" applyNumberFormat="1" applyFont="1" applyBorder="1"/>
    <xf numFmtId="1" fontId="12" fillId="0" borderId="4" xfId="55" applyNumberFormat="1" applyFont="1" applyBorder="1"/>
    <xf numFmtId="0" fontId="15" fillId="45" borderId="3" xfId="65" applyFont="1" applyFill="1"/>
    <xf numFmtId="0" fontId="11" fillId="0" borderId="3" xfId="65" applyFont="1"/>
    <xf numFmtId="0" fontId="26" fillId="0" borderId="3" xfId="65" applyFont="1"/>
    <xf numFmtId="0" fontId="13" fillId="0" borderId="3" xfId="65" applyFont="1"/>
    <xf numFmtId="0" fontId="13" fillId="0" borderId="23" xfId="65" applyFont="1" applyBorder="1"/>
    <xf numFmtId="171" fontId="14" fillId="3" borderId="3" xfId="3" applyNumberFormat="1" applyFont="1" applyFill="1" applyBorder="1" applyAlignment="1">
      <alignment horizontal="right" vertical="center"/>
    </xf>
    <xf numFmtId="171" fontId="12" fillId="3" borderId="3" xfId="3" applyNumberFormat="1" applyFont="1" applyFill="1" applyBorder="1" applyAlignment="1">
      <alignment horizontal="right" vertical="center"/>
    </xf>
    <xf numFmtId="171" fontId="19" fillId="3" borderId="3" xfId="55" applyNumberFormat="1" applyFont="1" applyFill="1" applyAlignment="1">
      <alignment horizontal="right" vertical="center"/>
    </xf>
    <xf numFmtId="171" fontId="14" fillId="3" borderId="0" xfId="0" applyNumberFormat="1" applyFont="1" applyFill="1" applyAlignment="1">
      <alignment horizontal="right" vertical="center"/>
    </xf>
    <xf numFmtId="171" fontId="26" fillId="0" borderId="3" xfId="55" applyNumberFormat="1" applyFont="1"/>
    <xf numFmtId="171" fontId="14" fillId="3" borderId="0" xfId="0" applyNumberFormat="1" applyFont="1" applyFill="1" applyAlignment="1">
      <alignment horizontal="center" vertical="center"/>
    </xf>
    <xf numFmtId="169" fontId="14" fillId="4" borderId="3" xfId="55" applyNumberFormat="1" applyFont="1" applyFill="1" applyAlignment="1">
      <alignment horizontal="center" vertical="center"/>
    </xf>
    <xf numFmtId="169" fontId="12" fillId="2" borderId="3" xfId="0" applyNumberFormat="1" applyFont="1" applyFill="1" applyBorder="1" applyAlignment="1">
      <alignment horizontal="center" vertical="center"/>
    </xf>
    <xf numFmtId="0" fontId="62" fillId="0" borderId="0" xfId="0" applyFont="1"/>
    <xf numFmtId="0" fontId="16" fillId="0" borderId="0" xfId="0" applyFont="1" applyAlignment="1">
      <alignment vertical="top"/>
    </xf>
    <xf numFmtId="0" fontId="12" fillId="0" borderId="16" xfId="0" applyFont="1" applyBorder="1" applyAlignment="1">
      <alignment horizontal="left"/>
    </xf>
    <xf numFmtId="189" fontId="12" fillId="0" borderId="16" xfId="0" applyNumberFormat="1" applyFont="1" applyBorder="1" applyAlignment="1">
      <alignment horizontal="center" vertical="center"/>
    </xf>
    <xf numFmtId="189" fontId="12" fillId="0" borderId="16" xfId="0" applyNumberFormat="1" applyFont="1" applyBorder="1" applyAlignment="1">
      <alignment horizontal="center"/>
    </xf>
    <xf numFmtId="0" fontId="12" fillId="45" borderId="3" xfId="0" applyFont="1" applyFill="1" applyBorder="1" applyAlignment="1">
      <alignment horizontal="left" vertical="center"/>
    </xf>
    <xf numFmtId="0" fontId="11" fillId="0" borderId="3" xfId="0" applyFont="1" applyBorder="1"/>
    <xf numFmtId="0" fontId="14" fillId="45" borderId="3" xfId="0" applyFont="1" applyFill="1" applyBorder="1" applyAlignment="1">
      <alignment vertical="center"/>
    </xf>
    <xf numFmtId="0" fontId="11" fillId="45" borderId="3" xfId="0" applyFont="1" applyFill="1" applyBorder="1"/>
    <xf numFmtId="0" fontId="12" fillId="0" borderId="3" xfId="55" applyFont="1" applyAlignment="1">
      <alignment horizontal="left" vertical="center" indent="1"/>
    </xf>
    <xf numFmtId="190" fontId="12" fillId="0" borderId="3" xfId="55" applyNumberFormat="1" applyFont="1"/>
    <xf numFmtId="190" fontId="12" fillId="0" borderId="6" xfId="55" applyNumberFormat="1" applyFont="1" applyBorder="1"/>
    <xf numFmtId="190" fontId="12" fillId="0" borderId="4" xfId="55" applyNumberFormat="1" applyFont="1" applyBorder="1"/>
    <xf numFmtId="191" fontId="12" fillId="0" borderId="3" xfId="55" applyNumberFormat="1" applyFont="1"/>
    <xf numFmtId="191" fontId="12" fillId="0" borderId="6" xfId="55" applyNumberFormat="1" applyFont="1" applyBorder="1"/>
    <xf numFmtId="191" fontId="12" fillId="0" borderId="4" xfId="55" applyNumberFormat="1" applyFont="1" applyBorder="1"/>
    <xf numFmtId="181" fontId="21" fillId="0" borderId="3" xfId="4" applyNumberFormat="1" applyFont="1" applyAlignment="1">
      <alignment vertical="center"/>
    </xf>
    <xf numFmtId="181" fontId="13" fillId="0" borderId="3" xfId="55" applyNumberFormat="1" applyFont="1" applyAlignment="1">
      <alignment vertical="center"/>
    </xf>
    <xf numFmtId="181" fontId="13" fillId="0" borderId="6" xfId="55" applyNumberFormat="1" applyFont="1" applyBorder="1" applyAlignment="1">
      <alignment vertical="center"/>
    </xf>
    <xf numFmtId="181" fontId="13" fillId="0" borderId="4" xfId="55" applyNumberFormat="1" applyFont="1" applyBorder="1" applyAlignment="1">
      <alignment vertical="center"/>
    </xf>
    <xf numFmtId="181" fontId="13" fillId="0" borderId="16" xfId="55" applyNumberFormat="1" applyFont="1" applyBorder="1" applyAlignment="1">
      <alignment vertical="center"/>
    </xf>
    <xf numFmtId="172" fontId="13" fillId="0" borderId="3" xfId="53" applyNumberFormat="1" applyFont="1" applyAlignment="1">
      <alignment vertical="center"/>
    </xf>
    <xf numFmtId="172" fontId="13" fillId="0" borderId="6" xfId="53" applyNumberFormat="1" applyFont="1" applyBorder="1" applyAlignment="1">
      <alignment vertical="center"/>
    </xf>
    <xf numFmtId="172" fontId="13" fillId="0" borderId="3" xfId="53" applyNumberFormat="1" applyFont="1" applyBorder="1" applyAlignment="1">
      <alignment vertical="center"/>
    </xf>
    <xf numFmtId="172" fontId="13" fillId="0" borderId="4" xfId="53" applyNumberFormat="1" applyFont="1" applyBorder="1" applyAlignment="1">
      <alignment vertical="center"/>
    </xf>
    <xf numFmtId="172" fontId="13" fillId="0" borderId="16" xfId="53" applyNumberFormat="1" applyFont="1" applyBorder="1" applyAlignment="1">
      <alignment vertical="center"/>
    </xf>
    <xf numFmtId="0" fontId="19" fillId="0" borderId="26" xfId="60" applyFont="1" applyBorder="1" applyAlignment="1">
      <alignment vertical="center" wrapText="1"/>
    </xf>
    <xf numFmtId="0" fontId="19" fillId="0" borderId="27" xfId="60" applyFont="1" applyBorder="1" applyAlignment="1">
      <alignment horizontal="left" vertical="center" wrapText="1"/>
    </xf>
    <xf numFmtId="0" fontId="19" fillId="0" borderId="3" xfId="60" applyFont="1" applyAlignment="1">
      <alignment horizontal="left" vertical="center" wrapText="1"/>
    </xf>
    <xf numFmtId="0" fontId="48" fillId="0" borderId="3" xfId="60" applyFont="1" applyAlignment="1">
      <alignment horizontal="left" vertical="center" wrapText="1"/>
    </xf>
    <xf numFmtId="0" fontId="48" fillId="0" borderId="27" xfId="60" applyFont="1" applyBorder="1" applyAlignment="1">
      <alignment horizontal="left" vertical="center" wrapText="1"/>
    </xf>
    <xf numFmtId="0" fontId="22" fillId="0" borderId="16" xfId="55" applyFont="1" applyBorder="1" applyAlignment="1">
      <alignment horizontal="left" vertical="center" wrapText="1"/>
    </xf>
    <xf numFmtId="0" fontId="22" fillId="0" borderId="3" xfId="55" applyFont="1" applyAlignment="1">
      <alignment horizontal="left" vertical="center" wrapText="1"/>
    </xf>
    <xf numFmtId="0" fontId="22" fillId="0" borderId="6" xfId="55" applyFont="1" applyBorder="1" applyAlignment="1">
      <alignment horizontal="left" vertical="center" wrapText="1"/>
    </xf>
    <xf numFmtId="0" fontId="14" fillId="40" borderId="16" xfId="55" applyFont="1" applyFill="1" applyBorder="1" applyAlignment="1">
      <alignment horizontal="center" vertical="center" wrapText="1"/>
    </xf>
    <xf numFmtId="0" fontId="14" fillId="40" borderId="3" xfId="55" applyFont="1" applyFill="1" applyAlignment="1">
      <alignment horizontal="center" vertical="center" wrapText="1"/>
    </xf>
    <xf numFmtId="0" fontId="14" fillId="40" borderId="6" xfId="55" applyFont="1" applyFill="1" applyBorder="1" applyAlignment="1">
      <alignment horizontal="center" vertical="center" wrapText="1"/>
    </xf>
    <xf numFmtId="177" fontId="25" fillId="2" borderId="0" xfId="0" applyNumberFormat="1" applyFont="1" applyFill="1" applyAlignment="1">
      <alignment horizontal="left"/>
    </xf>
    <xf numFmtId="0" fontId="54" fillId="2" borderId="0" xfId="0" applyFont="1" applyFill="1" applyAlignment="1">
      <alignment horizontal="left" vertical="top"/>
    </xf>
    <xf numFmtId="0" fontId="14" fillId="41" borderId="28" xfId="55" applyFont="1" applyFill="1" applyBorder="1" applyAlignment="1">
      <alignment horizontal="center" vertical="center"/>
    </xf>
    <xf numFmtId="0" fontId="20" fillId="39" borderId="32" xfId="55" applyFont="1" applyFill="1" applyBorder="1"/>
    <xf numFmtId="0" fontId="14" fillId="41" borderId="29" xfId="55" applyFont="1" applyFill="1" applyBorder="1" applyAlignment="1">
      <alignment horizontal="center" vertical="center"/>
    </xf>
    <xf numFmtId="0" fontId="20" fillId="39" borderId="30" xfId="55" applyFont="1" applyFill="1" applyBorder="1"/>
    <xf numFmtId="0" fontId="20" fillId="39" borderId="31" xfId="55" applyFont="1" applyFill="1" applyBorder="1"/>
    <xf numFmtId="0" fontId="14" fillId="0" borderId="6" xfId="5" applyFont="1" applyBorder="1" applyAlignment="1">
      <alignment horizontal="left"/>
    </xf>
    <xf numFmtId="0" fontId="20" fillId="41" borderId="32" xfId="55" applyFont="1" applyFill="1" applyBorder="1"/>
    <xf numFmtId="0" fontId="20" fillId="41" borderId="30" xfId="55" applyFont="1" applyFill="1" applyBorder="1"/>
    <xf numFmtId="0" fontId="20" fillId="41" borderId="31" xfId="55" applyFont="1" applyFill="1" applyBorder="1"/>
    <xf numFmtId="0" fontId="14" fillId="0" borderId="3" xfId="5" applyFont="1" applyAlignment="1">
      <alignment horizontal="left"/>
    </xf>
    <xf numFmtId="0" fontId="14" fillId="41" borderId="32" xfId="55" applyFont="1" applyFill="1" applyBorder="1" applyAlignment="1">
      <alignment horizontal="center" vertical="center"/>
    </xf>
    <xf numFmtId="0" fontId="14" fillId="41" borderId="30" xfId="55" applyFont="1" applyFill="1" applyBorder="1" applyAlignment="1">
      <alignment horizontal="center" vertical="center"/>
    </xf>
    <xf numFmtId="0" fontId="14" fillId="41" borderId="31" xfId="55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6" fillId="0" borderId="0" xfId="0" applyFont="1"/>
    <xf numFmtId="0" fontId="15" fillId="4" borderId="3" xfId="55" applyFont="1" applyFill="1" applyAlignment="1">
      <alignment horizontal="left"/>
    </xf>
    <xf numFmtId="0" fontId="13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 vertical="center"/>
    </xf>
    <xf numFmtId="0" fontId="22" fillId="4" borderId="3" xfId="5" applyFont="1" applyFill="1" applyAlignment="1">
      <alignment horizontal="left" vertical="center"/>
    </xf>
    <xf numFmtId="0" fontId="14" fillId="39" borderId="18" xfId="55" applyFont="1" applyFill="1" applyBorder="1" applyAlignment="1">
      <alignment horizontal="center" vertical="center"/>
    </xf>
    <xf numFmtId="0" fontId="14" fillId="39" borderId="4" xfId="55" applyFont="1" applyFill="1" applyBorder="1" applyAlignment="1">
      <alignment horizontal="center" vertical="center"/>
    </xf>
    <xf numFmtId="0" fontId="14" fillId="39" borderId="19" xfId="55" applyFont="1" applyFill="1" applyBorder="1" applyAlignment="1">
      <alignment horizontal="center" vertical="center"/>
    </xf>
    <xf numFmtId="0" fontId="14" fillId="39" borderId="17" xfId="55" applyFont="1" applyFill="1" applyBorder="1" applyAlignment="1">
      <alignment horizontal="center" vertical="center" wrapText="1"/>
    </xf>
    <xf numFmtId="0" fontId="14" fillId="39" borderId="20" xfId="55" applyFont="1" applyFill="1" applyBorder="1" applyAlignment="1">
      <alignment horizontal="center" vertical="center" wrapText="1"/>
    </xf>
    <xf numFmtId="0" fontId="14" fillId="4" borderId="3" xfId="5" applyFont="1" applyFill="1" applyAlignment="1">
      <alignment horizontal="left" vertical="center"/>
    </xf>
    <xf numFmtId="0" fontId="25" fillId="4" borderId="3" xfId="55" applyFont="1" applyFill="1" applyAlignment="1">
      <alignment horizontal="left"/>
    </xf>
    <xf numFmtId="0" fontId="14" fillId="4" borderId="3" xfId="5" applyFont="1" applyFill="1" applyAlignment="1">
      <alignment horizontal="left"/>
    </xf>
    <xf numFmtId="167" fontId="14" fillId="39" borderId="17" xfId="55" applyNumberFormat="1" applyFont="1" applyFill="1" applyBorder="1" applyAlignment="1">
      <alignment horizontal="center" vertical="center" wrapText="1"/>
    </xf>
    <xf numFmtId="167" fontId="14" fillId="39" borderId="24" xfId="55" applyNumberFormat="1" applyFont="1" applyFill="1" applyBorder="1" applyAlignment="1">
      <alignment horizontal="center" vertical="center" wrapText="1"/>
    </xf>
    <xf numFmtId="167" fontId="14" fillId="39" borderId="18" xfId="55" applyNumberFormat="1" applyFont="1" applyFill="1" applyBorder="1" applyAlignment="1">
      <alignment horizontal="center" vertical="center"/>
    </xf>
    <xf numFmtId="167" fontId="14" fillId="39" borderId="4" xfId="55" applyNumberFormat="1" applyFont="1" applyFill="1" applyBorder="1" applyAlignment="1">
      <alignment horizontal="center" vertical="center"/>
    </xf>
    <xf numFmtId="167" fontId="14" fillId="39" borderId="19" xfId="55" applyNumberFormat="1" applyFont="1" applyFill="1" applyBorder="1" applyAlignment="1">
      <alignment horizontal="center" vertical="center"/>
    </xf>
    <xf numFmtId="0" fontId="14" fillId="0" borderId="16" xfId="55" applyFont="1" applyBorder="1" applyAlignment="1">
      <alignment horizontal="left" vertical="center" wrapText="1"/>
    </xf>
    <xf numFmtId="0" fontId="14" fillId="0" borderId="3" xfId="55" applyFont="1" applyAlignment="1">
      <alignment horizontal="left" vertical="center" wrapText="1"/>
    </xf>
    <xf numFmtId="0" fontId="14" fillId="0" borderId="6" xfId="55" applyFont="1" applyBorder="1" applyAlignment="1">
      <alignment horizontal="left" vertical="center" wrapText="1"/>
    </xf>
    <xf numFmtId="0" fontId="25" fillId="0" borderId="3" xfId="4" applyFont="1" applyAlignment="1">
      <alignment horizontal="left" wrapText="1"/>
    </xf>
    <xf numFmtId="0" fontId="25" fillId="0" borderId="3" xfId="4" applyFont="1" applyAlignment="1">
      <alignment horizontal="left" vertical="center" wrapText="1"/>
    </xf>
    <xf numFmtId="0" fontId="25" fillId="0" borderId="6" xfId="4" applyFont="1" applyBorder="1" applyAlignment="1">
      <alignment horizontal="left" vertical="center" wrapText="1"/>
    </xf>
    <xf numFmtId="0" fontId="14" fillId="0" borderId="16" xfId="55" applyFont="1" applyBorder="1" applyAlignment="1">
      <alignment horizontal="left" vertical="center"/>
    </xf>
    <xf numFmtId="0" fontId="14" fillId="0" borderId="6" xfId="55" applyFont="1" applyBorder="1" applyAlignment="1">
      <alignment horizontal="left" vertical="center"/>
    </xf>
    <xf numFmtId="0" fontId="14" fillId="0" borderId="3" xfId="55" applyFont="1" applyAlignment="1">
      <alignment horizontal="left" vertical="center"/>
    </xf>
    <xf numFmtId="0" fontId="14" fillId="0" borderId="3" xfId="55" applyFont="1" applyAlignment="1">
      <alignment vertical="center"/>
    </xf>
    <xf numFmtId="0" fontId="14" fillId="0" borderId="6" xfId="55" applyFont="1" applyBorder="1" applyAlignment="1">
      <alignment vertical="center"/>
    </xf>
    <xf numFmtId="0" fontId="15" fillId="0" borderId="16" xfId="55" applyFont="1" applyBorder="1" applyAlignment="1">
      <alignment horizontal="left" vertical="center"/>
    </xf>
    <xf numFmtId="0" fontId="15" fillId="0" borderId="3" xfId="55" applyFont="1" applyAlignment="1">
      <alignment horizontal="left" vertical="center"/>
    </xf>
    <xf numFmtId="0" fontId="15" fillId="0" borderId="6" xfId="55" applyFont="1" applyBorder="1" applyAlignment="1">
      <alignment horizontal="left" vertical="center"/>
    </xf>
    <xf numFmtId="180" fontId="25" fillId="0" borderId="3" xfId="4" applyNumberFormat="1" applyFont="1" applyAlignment="1">
      <alignment horizontal="left" vertical="center" wrapText="1"/>
    </xf>
    <xf numFmtId="0" fontId="15" fillId="0" borderId="16" xfId="55" applyFont="1" applyBorder="1" applyAlignment="1">
      <alignment vertical="center"/>
    </xf>
    <xf numFmtId="0" fontId="15" fillId="0" borderId="3" xfId="55" applyFont="1" applyAlignment="1">
      <alignment vertical="center"/>
    </xf>
    <xf numFmtId="0" fontId="15" fillId="0" borderId="6" xfId="55" applyFont="1" applyBorder="1" applyAlignment="1">
      <alignment vertical="center"/>
    </xf>
  </cellXfs>
  <cellStyles count="67">
    <cellStyle name="20% - Énfasis1 2" xfId="25" xr:uid="{00000000-0005-0000-0000-000000000000}"/>
    <cellStyle name="20% - Énfasis2 2" xfId="29" xr:uid="{00000000-0005-0000-0000-000001000000}"/>
    <cellStyle name="20% - Énfasis3 2" xfId="33" xr:uid="{00000000-0005-0000-0000-000002000000}"/>
    <cellStyle name="20% - Énfasis4 2" xfId="37" xr:uid="{00000000-0005-0000-0000-000003000000}"/>
    <cellStyle name="20% - Énfasis5 2" xfId="41" xr:uid="{00000000-0005-0000-0000-000004000000}"/>
    <cellStyle name="20% - Énfasis6 2" xfId="45" xr:uid="{00000000-0005-0000-0000-000005000000}"/>
    <cellStyle name="40% - Énfasis1 2" xfId="26" xr:uid="{00000000-0005-0000-0000-000006000000}"/>
    <cellStyle name="40% - Énfasis2 2" xfId="30" xr:uid="{00000000-0005-0000-0000-000007000000}"/>
    <cellStyle name="40% - Énfasis3 2" xfId="34" xr:uid="{00000000-0005-0000-0000-000008000000}"/>
    <cellStyle name="40% - Énfasis4 2" xfId="38" xr:uid="{00000000-0005-0000-0000-000009000000}"/>
    <cellStyle name="40% - Énfasis5 2" xfId="42" xr:uid="{00000000-0005-0000-0000-00000A000000}"/>
    <cellStyle name="40% - Énfasis6 2" xfId="46" xr:uid="{00000000-0005-0000-0000-00000B000000}"/>
    <cellStyle name="60% - Énfasis1 2" xfId="27" xr:uid="{00000000-0005-0000-0000-00000C000000}"/>
    <cellStyle name="60% - Énfasis2 2" xfId="31" xr:uid="{00000000-0005-0000-0000-00000D000000}"/>
    <cellStyle name="60% - Énfasis3 2" xfId="35" xr:uid="{00000000-0005-0000-0000-00000E000000}"/>
    <cellStyle name="60% - Énfasis4 2" xfId="39" xr:uid="{00000000-0005-0000-0000-00000F000000}"/>
    <cellStyle name="60% - Énfasis5 2" xfId="43" xr:uid="{00000000-0005-0000-0000-000010000000}"/>
    <cellStyle name="60% - Énfasis6 2" xfId="47" xr:uid="{00000000-0005-0000-0000-000011000000}"/>
    <cellStyle name="Bueno 2" xfId="19" xr:uid="{00000000-0005-0000-0000-000012000000}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7" builtinId="16" customBuiltin="1"/>
    <cellStyle name="Encabezado 4 2" xfId="18" xr:uid="{00000000-0005-0000-0000-000017000000}"/>
    <cellStyle name="Énfasis1 2" xfId="24" xr:uid="{00000000-0005-0000-0000-000018000000}"/>
    <cellStyle name="Énfasis2 2" xfId="28" xr:uid="{00000000-0005-0000-0000-000019000000}"/>
    <cellStyle name="Énfasis3 2" xfId="32" xr:uid="{00000000-0005-0000-0000-00001A000000}"/>
    <cellStyle name="Énfasis4 2" xfId="36" xr:uid="{00000000-0005-0000-0000-00001B000000}"/>
    <cellStyle name="Énfasis5 2" xfId="40" xr:uid="{00000000-0005-0000-0000-00001C000000}"/>
    <cellStyle name="Énfasis6 2" xfId="44" xr:uid="{00000000-0005-0000-0000-00001D000000}"/>
    <cellStyle name="Entrada" xfId="10" builtinId="20" customBuiltin="1"/>
    <cellStyle name="Incorrecto 2" xfId="20" xr:uid="{00000000-0005-0000-0000-00001F000000}"/>
    <cellStyle name="Millares 2" xfId="53" xr:uid="{00000000-0005-0000-0000-000020000000}"/>
    <cellStyle name="Millares 3" xfId="3" xr:uid="{00000000-0005-0000-0000-000021000000}"/>
    <cellStyle name="Moneda 2" xfId="54" xr:uid="{00000000-0005-0000-0000-000022000000}"/>
    <cellStyle name="Neutral 2" xfId="21" xr:uid="{00000000-0005-0000-0000-000023000000}"/>
    <cellStyle name="Normal" xfId="0" builtinId="0"/>
    <cellStyle name="Normal 2" xfId="6" xr:uid="{00000000-0005-0000-0000-000025000000}"/>
    <cellStyle name="Normal 2 2" xfId="48" xr:uid="{00000000-0005-0000-0000-000026000000}"/>
    <cellStyle name="Normal 2 3" xfId="50" xr:uid="{00000000-0005-0000-0000-000027000000}"/>
    <cellStyle name="Normal 2 3 2" xfId="52" xr:uid="{00000000-0005-0000-0000-000028000000}"/>
    <cellStyle name="Normal 2 3 2 2" xfId="56" xr:uid="{00000000-0005-0000-0000-000029000000}"/>
    <cellStyle name="Normal 2 3 2 2 2" xfId="57" xr:uid="{00000000-0005-0000-0000-00002A000000}"/>
    <cellStyle name="Normal 2 3 2 2 2 2" xfId="61" xr:uid="{00000000-0005-0000-0000-00002B000000}"/>
    <cellStyle name="Normal 2 3 2 2 2 3" xfId="63" xr:uid="{00000000-0005-0000-0000-00002C000000}"/>
    <cellStyle name="Normal 2 3 2 2 2 4" xfId="64" xr:uid="{00000000-0005-0000-0000-00002D000000}"/>
    <cellStyle name="Normal 2 3 2 2 3" xfId="59" xr:uid="{00000000-0005-0000-0000-00002E000000}"/>
    <cellStyle name="Normal 3" xfId="16" xr:uid="{00000000-0005-0000-0000-00002F000000}"/>
    <cellStyle name="Normal 3 2" xfId="4" xr:uid="{00000000-0005-0000-0000-000030000000}"/>
    <cellStyle name="Normal 4" xfId="51" xr:uid="{00000000-0005-0000-0000-000031000000}"/>
    <cellStyle name="Normal 4 2" xfId="55" xr:uid="{00000000-0005-0000-0000-000032000000}"/>
    <cellStyle name="Normal 5" xfId="60" xr:uid="{00000000-0005-0000-0000-000033000000}"/>
    <cellStyle name="Normal 5 2" xfId="2" xr:uid="{00000000-0005-0000-0000-000034000000}"/>
    <cellStyle name="Normal 6" xfId="62" xr:uid="{00000000-0005-0000-0000-000035000000}"/>
    <cellStyle name="Normal 6 2" xfId="66" xr:uid="{00000000-0005-0000-0000-000036000000}"/>
    <cellStyle name="Normal 7" xfId="65" xr:uid="{00000000-0005-0000-0000-000037000000}"/>
    <cellStyle name="Normal_C-76-79 Año 20112" xfId="5" xr:uid="{00000000-0005-0000-0000-000038000000}"/>
    <cellStyle name="Normal_cuadro 7" xfId="1" xr:uid="{00000000-0005-0000-0000-000039000000}"/>
    <cellStyle name="Normal_cuadro 87" xfId="58" xr:uid="{00000000-0005-0000-0000-00003A000000}"/>
    <cellStyle name="Notas 2" xfId="49" xr:uid="{00000000-0005-0000-0000-00003B000000}"/>
    <cellStyle name="Salida" xfId="11" builtinId="21" customBuiltin="1"/>
    <cellStyle name="Texto de advertencia 2" xfId="22" xr:uid="{00000000-0005-0000-0000-00003D000000}"/>
    <cellStyle name="Texto explicativo 2" xfId="23" xr:uid="{00000000-0005-0000-0000-00003E000000}"/>
    <cellStyle name="Título 2" xfId="8" builtinId="17" customBuiltin="1"/>
    <cellStyle name="Título 3" xfId="9" builtinId="18" customBuiltin="1"/>
    <cellStyle name="Título 4" xfId="17" xr:uid="{00000000-0005-0000-0000-000041000000}"/>
    <cellStyle name="Total" xfId="15" builtinId="25" customBuiltin="1"/>
  </cellStyles>
  <dxfs count="60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9" defaultTableStyle="TableStyleMedium2" defaultPivotStyle="PivotStyleLight16">
    <tableStyle name="C,101-style" pivot="0" count="2" xr9:uid="{00000000-0011-0000-FFFF-FFFF00000000}">
      <tableStyleElement type="firstRowStripe" dxfId="59"/>
      <tableStyleElement type="secondRowStripe" dxfId="58"/>
    </tableStyle>
    <tableStyle name="C,98-style" pivot="0" count="2" xr9:uid="{00000000-0011-0000-FFFF-FFFF01000000}">
      <tableStyleElement type="firstRowStripe" dxfId="57"/>
      <tableStyleElement type="secondRowStripe" dxfId="56"/>
    </tableStyle>
    <tableStyle name="C,99-style" pivot="0" count="2" xr9:uid="{00000000-0011-0000-FFFF-FFFF02000000}">
      <tableStyleElement type="firstRowStripe" dxfId="55"/>
      <tableStyleElement type="secondRowStripe" dxfId="54"/>
    </tableStyle>
    <tableStyle name="C.100-style" pivot="0" count="2" xr9:uid="{00000000-0011-0000-FFFF-FFFF03000000}">
      <tableStyleElement type="firstRowStripe" dxfId="53"/>
      <tableStyleElement type="secondRowStripe" dxfId="52"/>
    </tableStyle>
    <tableStyle name="C.100-style 2" pivot="0" count="2" xr9:uid="{00000000-0011-0000-FFFF-FFFF04000000}">
      <tableStyleElement type="firstRowStripe" dxfId="51"/>
      <tableStyleElement type="secondRowStripe" dxfId="50"/>
    </tableStyle>
    <tableStyle name="C.100-style 3" pivot="0" count="2" xr9:uid="{00000000-0011-0000-FFFF-FFFF05000000}">
      <tableStyleElement type="firstRowStripe" dxfId="49"/>
      <tableStyleElement type="secondRowStripe" dxfId="48"/>
    </tableStyle>
    <tableStyle name="C.100-style 4" pivot="0" count="2" xr9:uid="{00000000-0011-0000-FFFF-FFFF06000000}">
      <tableStyleElement type="firstRowStripe" dxfId="47"/>
      <tableStyleElement type="secondRowStripe" dxfId="46"/>
    </tableStyle>
    <tableStyle name="C.101-style" pivot="0" count="2" xr9:uid="{00000000-0011-0000-FFFF-FFFF07000000}">
      <tableStyleElement type="firstRowStripe" dxfId="45"/>
      <tableStyleElement type="secondRowStripe" dxfId="44"/>
    </tableStyle>
    <tableStyle name="C.101-style 2" pivot="0" count="2" xr9:uid="{00000000-0011-0000-FFFF-FFFF08000000}">
      <tableStyleElement type="firstRowStripe" dxfId="43"/>
      <tableStyleElement type="secondRowStripe" dxfId="42"/>
    </tableStyle>
    <tableStyle name="C.101-style 3" pivot="0" count="2" xr9:uid="{00000000-0011-0000-FFFF-FFFF09000000}">
      <tableStyleElement type="firstRowStripe" dxfId="41"/>
      <tableStyleElement type="secondRowStripe" dxfId="40"/>
    </tableStyle>
    <tableStyle name="C.101-style 4" pivot="0" count="2" xr9:uid="{00000000-0011-0000-FFFF-FFFF0A000000}">
      <tableStyleElement type="firstRowStripe" dxfId="39"/>
      <tableStyleElement type="secondRowStripe" dxfId="38"/>
    </tableStyle>
    <tableStyle name="C.96-style" pivot="0" count="3" xr9:uid="{00000000-0011-0000-FFFF-FFFF0B000000}">
      <tableStyleElement type="headerRow" dxfId="37"/>
      <tableStyleElement type="firstRowStripe" dxfId="36"/>
      <tableStyleElement type="secondRowStripe" dxfId="35"/>
    </tableStyle>
    <tableStyle name="C.96-style 2" pivot="0" count="2" xr9:uid="{00000000-0011-0000-FFFF-FFFF0C000000}">
      <tableStyleElement type="firstRowStripe" dxfId="34"/>
      <tableStyleElement type="secondRowStripe" dxfId="33"/>
    </tableStyle>
    <tableStyle name="C.96-style 3" pivot="0" count="2" xr9:uid="{00000000-0011-0000-FFFF-FFFF0D000000}">
      <tableStyleElement type="firstRowStripe" dxfId="32"/>
      <tableStyleElement type="secondRowStripe" dxfId="31"/>
    </tableStyle>
    <tableStyle name="C.96-style 4" pivot="0" count="2" xr9:uid="{00000000-0011-0000-FFFF-FFFF0E000000}">
      <tableStyleElement type="firstRowStripe" dxfId="30"/>
      <tableStyleElement type="secondRowStripe" dxfId="29"/>
    </tableStyle>
    <tableStyle name="C.96-style 5" pivot="0" count="2" xr9:uid="{00000000-0011-0000-FFFF-FFFF0F000000}">
      <tableStyleElement type="firstRowStripe" dxfId="28"/>
      <tableStyleElement type="secondRowStripe" dxfId="27"/>
    </tableStyle>
    <tableStyle name="C.96-style 6" pivot="0" count="2" xr9:uid="{00000000-0011-0000-FFFF-FFFF10000000}">
      <tableStyleElement type="firstRowStripe" dxfId="26"/>
      <tableStyleElement type="secondRowStripe" dxfId="25"/>
    </tableStyle>
    <tableStyle name="C.96-style 7" pivot="0" count="2" xr9:uid="{00000000-0011-0000-FFFF-FFFF11000000}">
      <tableStyleElement type="firstRowStripe" dxfId="24"/>
      <tableStyleElement type="secondRowStripe" dxfId="23"/>
    </tableStyle>
    <tableStyle name="C.96-style 8" pivot="0" count="2" xr9:uid="{00000000-0011-0000-FFFF-FFFF12000000}">
      <tableStyleElement type="firstRowStripe" dxfId="22"/>
      <tableStyleElement type="secondRowStripe" dxfId="21"/>
    </tableStyle>
    <tableStyle name="C.96-style 9" pivot="0" count="2" xr9:uid="{00000000-0011-0000-FFFF-FFFF13000000}">
      <tableStyleElement type="firstRowStripe" dxfId="20"/>
      <tableStyleElement type="secondRowStripe" dxfId="19"/>
    </tableStyle>
    <tableStyle name="C.97-style" pivot="0" count="2" xr9:uid="{00000000-0011-0000-FFFF-FFFF14000000}">
      <tableStyleElement type="firstRowStripe" dxfId="18"/>
      <tableStyleElement type="secondRowStripe" dxfId="17"/>
    </tableStyle>
    <tableStyle name="C.97-style 2" pivot="0" count="2" xr9:uid="{00000000-0011-0000-FFFF-FFFF15000000}">
      <tableStyleElement type="firstRowStripe" dxfId="16"/>
      <tableStyleElement type="secondRowStripe" dxfId="15"/>
    </tableStyle>
    <tableStyle name="C.98-style" pivot="0" count="2" xr9:uid="{00000000-0011-0000-FFFF-FFFF16000000}">
      <tableStyleElement type="firstRowStripe" dxfId="14"/>
      <tableStyleElement type="secondRowStripe" dxfId="13"/>
    </tableStyle>
    <tableStyle name="C.98-style 2" pivot="0" count="2" xr9:uid="{00000000-0011-0000-FFFF-FFFF17000000}">
      <tableStyleElement type="firstRowStripe" dxfId="12"/>
      <tableStyleElement type="secondRowStripe" dxfId="11"/>
    </tableStyle>
    <tableStyle name="C.99-style" pivot="0" count="2" xr9:uid="{00000000-0011-0000-FFFF-FFFF18000000}">
      <tableStyleElement type="firstRowStripe" dxfId="10"/>
      <tableStyleElement type="secondRowStripe" dxfId="9"/>
    </tableStyle>
    <tableStyle name="C.99-style 2" pivot="0" count="2" xr9:uid="{00000000-0011-0000-FFFF-FFFF19000000}">
      <tableStyleElement type="firstRowStripe" dxfId="8"/>
      <tableStyleElement type="secondRowStripe" dxfId="7"/>
    </tableStyle>
    <tableStyle name="C.99-style 3" pivot="0" count="2" xr9:uid="{00000000-0011-0000-FFFF-FFFF1A000000}">
      <tableStyleElement type="firstRowStripe" dxfId="6"/>
      <tableStyleElement type="secondRowStripe" dxfId="5"/>
    </tableStyle>
    <tableStyle name="C.99-style 4" pivot="0" count="2" xr9:uid="{00000000-0011-0000-FFFF-FFFF1B000000}">
      <tableStyleElement type="firstRowStripe" dxfId="4"/>
      <tableStyleElement type="secondRowStripe" dxfId="3"/>
    </tableStyle>
    <tableStyle name="C.99-style 5" pivot="0" count="2" xr9:uid="{00000000-0011-0000-FFFF-FFFF1C000000}">
      <tableStyleElement type="firstRowStripe" dxfId="2"/>
      <tableStyleElement type="secondRowStripe" dxfId="1"/>
    </tableStyle>
  </tableStyles>
  <colors>
    <mruColors>
      <color rgb="FFF1EFDC"/>
      <color rgb="FFA5A0EC"/>
      <color rgb="FFFEF5C2"/>
      <color rgb="FFB5B7D6"/>
      <color rgb="FFDEDFF5"/>
      <color rgb="FFE9E8FF"/>
      <color rgb="FFFFE287"/>
      <color rgb="FFFDE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Archivosvm02/estadistica%20de%20insumos/Users/asihuas/Downloads/IND_ECONOM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-3"/>
      <sheetName val="C-4-5-6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1" displayName="Table_1" ref="B17:B19" headerRowCount="0">
  <tableColumns count="1">
    <tableColumn id="1" xr3:uid="{00000000-0010-0000-0000-000001000000}" name="Column1"/>
  </tableColumns>
  <tableStyleInfo name="C.9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2" displayName="Table_2" ref="B16:B24" headerRowCount="0">
  <tableColumns count="1">
    <tableColumn id="1" xr3:uid="{00000000-0010-0000-0100-000001000000}" name="Column1"/>
  </tableColumns>
  <tableStyleInfo name="C.99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_3" displayName="Table_3" ref="B18:B22" headerRowCount="0">
  <tableColumns count="1">
    <tableColumn id="1" xr3:uid="{00000000-0010-0000-0200-000001000000}" name="Column1"/>
  </tableColumns>
  <tableStyleInfo name="C.10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996"/>
  <sheetViews>
    <sheetView topLeftCell="A19" zoomScale="145" zoomScaleNormal="145" workbookViewId="0">
      <selection activeCell="A37" sqref="A37"/>
    </sheetView>
  </sheetViews>
  <sheetFormatPr baseColWidth="10" defaultColWidth="12.7109375" defaultRowHeight="15" customHeight="1" x14ac:dyDescent="0.2"/>
  <cols>
    <col min="1" max="1" width="6.42578125" style="209" customWidth="1"/>
    <col min="2" max="5" width="10.7109375" style="209" customWidth="1"/>
    <col min="6" max="6" width="50" style="209" customWidth="1"/>
    <col min="7" max="13" width="10.7109375" style="209" customWidth="1"/>
    <col min="14" max="16384" width="12.7109375" style="209"/>
  </cols>
  <sheetData>
    <row r="1" spans="1:7" ht="12.75" customHeight="1" x14ac:dyDescent="0.25">
      <c r="A1" s="206" t="s">
        <v>163</v>
      </c>
      <c r="B1" s="207"/>
      <c r="C1" s="207"/>
      <c r="D1" s="207"/>
      <c r="E1" s="207"/>
      <c r="F1" s="207"/>
      <c r="G1" s="208"/>
    </row>
    <row r="2" spans="1:7" ht="12.75" customHeight="1" x14ac:dyDescent="0.25">
      <c r="A2" s="210"/>
      <c r="B2" s="207"/>
      <c r="C2" s="207"/>
      <c r="D2" s="207"/>
      <c r="E2" s="207"/>
      <c r="F2" s="207"/>
      <c r="G2" s="208"/>
    </row>
    <row r="3" spans="1:7" ht="12.75" customHeight="1" x14ac:dyDescent="0.25">
      <c r="A3" s="207"/>
      <c r="B3" s="207"/>
      <c r="C3" s="207"/>
      <c r="D3" s="207"/>
      <c r="E3" s="207"/>
      <c r="F3" s="207"/>
    </row>
    <row r="4" spans="1:7" ht="12.75" customHeight="1" x14ac:dyDescent="0.25">
      <c r="A4" s="207"/>
      <c r="B4" s="211"/>
      <c r="C4" s="207"/>
      <c r="D4" s="207"/>
      <c r="E4" s="207"/>
      <c r="F4" s="207"/>
    </row>
    <row r="5" spans="1:7" ht="12.75" customHeight="1" x14ac:dyDescent="0.25">
      <c r="A5" s="212" t="s">
        <v>164</v>
      </c>
      <c r="B5" s="213" t="s">
        <v>165</v>
      </c>
      <c r="C5" s="213"/>
      <c r="D5" s="213"/>
      <c r="E5" s="213"/>
      <c r="F5" s="214"/>
    </row>
    <row r="6" spans="1:7" ht="20.100000000000001" customHeight="1" x14ac:dyDescent="0.25">
      <c r="A6" s="215" t="s">
        <v>166</v>
      </c>
      <c r="B6" s="432" t="s">
        <v>514</v>
      </c>
      <c r="C6" s="216"/>
      <c r="D6" s="217"/>
      <c r="E6" s="217"/>
      <c r="F6" s="217"/>
      <c r="G6" s="218"/>
    </row>
    <row r="7" spans="1:7" ht="17.25" customHeight="1" x14ac:dyDescent="0.25">
      <c r="A7" s="215" t="s">
        <v>167</v>
      </c>
      <c r="B7" s="215" t="s">
        <v>515</v>
      </c>
      <c r="C7" s="216"/>
      <c r="D7" s="217"/>
      <c r="E7" s="217"/>
      <c r="F7" s="217"/>
      <c r="G7" s="218"/>
    </row>
    <row r="8" spans="1:7" ht="9.9499999999999993" customHeight="1" x14ac:dyDescent="0.2">
      <c r="A8" s="673" t="s">
        <v>168</v>
      </c>
      <c r="B8" s="674" t="s">
        <v>516</v>
      </c>
      <c r="C8" s="675"/>
      <c r="D8" s="675"/>
      <c r="E8" s="675"/>
      <c r="F8" s="675"/>
      <c r="G8" s="218"/>
    </row>
    <row r="9" spans="1:7" ht="9.9499999999999993" customHeight="1" x14ac:dyDescent="0.2">
      <c r="A9" s="673"/>
      <c r="B9" s="674"/>
      <c r="C9" s="675"/>
      <c r="D9" s="675"/>
      <c r="E9" s="675"/>
      <c r="F9" s="675"/>
      <c r="G9" s="218"/>
    </row>
    <row r="10" spans="1:7" ht="9.9499999999999993" customHeight="1" x14ac:dyDescent="0.2">
      <c r="A10" s="673" t="s">
        <v>169</v>
      </c>
      <c r="B10" s="674" t="s">
        <v>517</v>
      </c>
      <c r="C10" s="675"/>
      <c r="D10" s="675"/>
      <c r="E10" s="675"/>
      <c r="F10" s="675"/>
      <c r="G10" s="218"/>
    </row>
    <row r="11" spans="1:7" ht="9.9499999999999993" customHeight="1" x14ac:dyDescent="0.2">
      <c r="A11" s="673"/>
      <c r="B11" s="674"/>
      <c r="C11" s="675"/>
      <c r="D11" s="675"/>
      <c r="E11" s="675"/>
      <c r="F11" s="675"/>
      <c r="G11" s="218"/>
    </row>
    <row r="12" spans="1:7" ht="9.9499999999999993" customHeight="1" x14ac:dyDescent="0.2">
      <c r="A12" s="673" t="s">
        <v>170</v>
      </c>
      <c r="B12" s="674" t="s">
        <v>518</v>
      </c>
      <c r="C12" s="675"/>
      <c r="D12" s="675"/>
      <c r="E12" s="675"/>
      <c r="F12" s="675"/>
      <c r="G12" s="218"/>
    </row>
    <row r="13" spans="1:7" ht="9.9499999999999993" customHeight="1" x14ac:dyDescent="0.2">
      <c r="A13" s="673"/>
      <c r="B13" s="674"/>
      <c r="C13" s="675"/>
      <c r="D13" s="675"/>
      <c r="E13" s="675"/>
      <c r="F13" s="675"/>
      <c r="G13" s="218"/>
    </row>
    <row r="14" spans="1:7" ht="9.9499999999999993" customHeight="1" x14ac:dyDescent="0.2">
      <c r="A14" s="673" t="s">
        <v>171</v>
      </c>
      <c r="B14" s="674" t="s">
        <v>519</v>
      </c>
      <c r="C14" s="676"/>
      <c r="D14" s="676"/>
      <c r="E14" s="676"/>
      <c r="F14" s="676"/>
      <c r="G14" s="218"/>
    </row>
    <row r="15" spans="1:7" ht="9.9499999999999993" customHeight="1" x14ac:dyDescent="0.2">
      <c r="A15" s="673"/>
      <c r="B15" s="677"/>
      <c r="C15" s="676"/>
      <c r="D15" s="676"/>
      <c r="E15" s="676"/>
      <c r="F15" s="676"/>
      <c r="G15" s="218"/>
    </row>
    <row r="16" spans="1:7" ht="9.9499999999999993" customHeight="1" x14ac:dyDescent="0.2">
      <c r="A16" s="673" t="s">
        <v>172</v>
      </c>
      <c r="B16" s="674" t="s">
        <v>520</v>
      </c>
      <c r="C16" s="676"/>
      <c r="D16" s="676"/>
      <c r="E16" s="676"/>
      <c r="F16" s="676"/>
      <c r="G16" s="218"/>
    </row>
    <row r="17" spans="1:7" ht="9.9499999999999993" customHeight="1" x14ac:dyDescent="0.2">
      <c r="A17" s="673"/>
      <c r="B17" s="677"/>
      <c r="C17" s="676"/>
      <c r="D17" s="676"/>
      <c r="E17" s="676"/>
      <c r="F17" s="676"/>
      <c r="G17" s="218"/>
    </row>
    <row r="18" spans="1:7" ht="9.9499999999999993" customHeight="1" x14ac:dyDescent="0.2">
      <c r="A18" s="673" t="s">
        <v>173</v>
      </c>
      <c r="B18" s="674" t="s">
        <v>521</v>
      </c>
      <c r="C18" s="676"/>
      <c r="D18" s="676"/>
      <c r="E18" s="676"/>
      <c r="F18" s="676"/>
      <c r="G18" s="218"/>
    </row>
    <row r="19" spans="1:7" ht="9.9499999999999993" customHeight="1" x14ac:dyDescent="0.2">
      <c r="A19" s="673"/>
      <c r="B19" s="677"/>
      <c r="C19" s="676"/>
      <c r="D19" s="676"/>
      <c r="E19" s="676"/>
      <c r="F19" s="676"/>
      <c r="G19" s="218"/>
    </row>
    <row r="20" spans="1:7" ht="9.9499999999999993" customHeight="1" x14ac:dyDescent="0.2">
      <c r="A20" s="673" t="s">
        <v>174</v>
      </c>
      <c r="B20" s="674" t="s">
        <v>522</v>
      </c>
      <c r="C20" s="676"/>
      <c r="D20" s="676"/>
      <c r="E20" s="676"/>
      <c r="F20" s="676"/>
      <c r="G20" s="218"/>
    </row>
    <row r="21" spans="1:7" ht="9.9499999999999993" customHeight="1" x14ac:dyDescent="0.2">
      <c r="A21" s="673"/>
      <c r="B21" s="677"/>
      <c r="C21" s="676"/>
      <c r="D21" s="676"/>
      <c r="E21" s="676"/>
      <c r="F21" s="676"/>
      <c r="G21" s="218"/>
    </row>
    <row r="22" spans="1:7" ht="9.9499999999999993" customHeight="1" x14ac:dyDescent="0.2">
      <c r="A22" s="673" t="s">
        <v>175</v>
      </c>
      <c r="B22" s="674" t="s">
        <v>523</v>
      </c>
      <c r="C22" s="676"/>
      <c r="D22" s="676"/>
      <c r="E22" s="676"/>
      <c r="F22" s="676"/>
      <c r="G22" s="218"/>
    </row>
    <row r="23" spans="1:7" ht="9.9499999999999993" customHeight="1" x14ac:dyDescent="0.2">
      <c r="A23" s="673"/>
      <c r="B23" s="677"/>
      <c r="C23" s="676"/>
      <c r="D23" s="676"/>
      <c r="E23" s="676"/>
      <c r="F23" s="676"/>
      <c r="G23" s="218"/>
    </row>
    <row r="24" spans="1:7" ht="9.9499999999999993" customHeight="1" x14ac:dyDescent="0.2">
      <c r="A24" s="673" t="s">
        <v>176</v>
      </c>
      <c r="B24" s="674" t="s">
        <v>524</v>
      </c>
      <c r="C24" s="676"/>
      <c r="D24" s="676"/>
      <c r="E24" s="676"/>
      <c r="F24" s="676"/>
      <c r="G24" s="218"/>
    </row>
    <row r="25" spans="1:7" ht="9.9499999999999993" customHeight="1" x14ac:dyDescent="0.2">
      <c r="A25" s="673"/>
      <c r="B25" s="677"/>
      <c r="C25" s="676"/>
      <c r="D25" s="676"/>
      <c r="E25" s="676"/>
      <c r="F25" s="676"/>
      <c r="G25" s="218"/>
    </row>
    <row r="26" spans="1:7" ht="9.9499999999999993" customHeight="1" x14ac:dyDescent="0.2">
      <c r="A26" s="673" t="s">
        <v>177</v>
      </c>
      <c r="B26" s="674" t="s">
        <v>525</v>
      </c>
      <c r="C26" s="676"/>
      <c r="D26" s="676"/>
      <c r="E26" s="676"/>
      <c r="F26" s="676"/>
      <c r="G26" s="218"/>
    </row>
    <row r="27" spans="1:7" ht="9.9499999999999993" customHeight="1" x14ac:dyDescent="0.2">
      <c r="A27" s="673"/>
      <c r="B27" s="677"/>
      <c r="C27" s="676"/>
      <c r="D27" s="676"/>
      <c r="E27" s="676"/>
      <c r="F27" s="676"/>
      <c r="G27" s="218"/>
    </row>
    <row r="28" spans="1:7" ht="20.100000000000001" customHeight="1" x14ac:dyDescent="0.2">
      <c r="A28" s="510" t="s">
        <v>178</v>
      </c>
      <c r="B28" s="216" t="s">
        <v>526</v>
      </c>
      <c r="C28" s="216"/>
      <c r="D28" s="217"/>
      <c r="E28" s="217"/>
      <c r="F28" s="217"/>
      <c r="G28" s="218"/>
    </row>
    <row r="29" spans="1:7" ht="20.100000000000001" customHeight="1" x14ac:dyDescent="0.2">
      <c r="A29" s="510" t="s">
        <v>179</v>
      </c>
      <c r="B29" s="216" t="s">
        <v>527</v>
      </c>
      <c r="C29" s="216"/>
      <c r="D29" s="217"/>
      <c r="E29" s="217"/>
      <c r="F29" s="217"/>
      <c r="G29" s="218"/>
    </row>
    <row r="30" spans="1:7" ht="20.100000000000001" customHeight="1" x14ac:dyDescent="0.2">
      <c r="A30" s="510" t="s">
        <v>180</v>
      </c>
      <c r="B30" s="216" t="s">
        <v>528</v>
      </c>
      <c r="C30" s="216"/>
      <c r="D30" s="217"/>
      <c r="E30" s="217"/>
      <c r="F30" s="217"/>
      <c r="G30" s="218"/>
    </row>
    <row r="31" spans="1:7" ht="20.100000000000001" customHeight="1" x14ac:dyDescent="0.2">
      <c r="A31" s="510" t="s">
        <v>181</v>
      </c>
      <c r="B31" s="216" t="s">
        <v>529</v>
      </c>
      <c r="C31" s="216"/>
      <c r="D31" s="217"/>
      <c r="E31" s="217"/>
      <c r="F31" s="217"/>
      <c r="G31" s="218"/>
    </row>
    <row r="32" spans="1:7" ht="20.100000000000001" customHeight="1" x14ac:dyDescent="0.2">
      <c r="A32" s="510" t="s">
        <v>182</v>
      </c>
      <c r="B32" s="216" t="s">
        <v>530</v>
      </c>
      <c r="C32" s="216"/>
      <c r="D32" s="217"/>
      <c r="E32" s="217"/>
      <c r="F32" s="217"/>
      <c r="G32" s="218"/>
    </row>
    <row r="33" spans="1:7" ht="20.100000000000001" customHeight="1" x14ac:dyDescent="0.2">
      <c r="A33" s="510" t="s">
        <v>183</v>
      </c>
      <c r="B33" s="216" t="s">
        <v>531</v>
      </c>
      <c r="C33" s="216"/>
      <c r="D33" s="217"/>
      <c r="E33" s="217"/>
      <c r="F33" s="217"/>
      <c r="G33" s="218"/>
    </row>
    <row r="34" spans="1:7" ht="20.100000000000001" customHeight="1" x14ac:dyDescent="0.2">
      <c r="A34" s="510" t="s">
        <v>184</v>
      </c>
      <c r="B34" s="216" t="s">
        <v>532</v>
      </c>
      <c r="C34" s="216"/>
      <c r="D34" s="217"/>
      <c r="E34" s="217"/>
      <c r="F34" s="217"/>
      <c r="G34" s="218"/>
    </row>
    <row r="35" spans="1:7" ht="20.100000000000001" customHeight="1" x14ac:dyDescent="0.2">
      <c r="A35" s="510" t="s">
        <v>185</v>
      </c>
      <c r="B35" s="216" t="s">
        <v>533</v>
      </c>
      <c r="C35" s="216"/>
      <c r="D35" s="217"/>
      <c r="E35" s="217"/>
      <c r="F35" s="217"/>
      <c r="G35" s="218"/>
    </row>
    <row r="36" spans="1:7" ht="20.100000000000001" customHeight="1" x14ac:dyDescent="0.2">
      <c r="A36" s="510" t="s">
        <v>186</v>
      </c>
      <c r="B36" s="216" t="s">
        <v>534</v>
      </c>
      <c r="C36" s="216"/>
      <c r="D36" s="217"/>
      <c r="E36" s="217"/>
      <c r="F36" s="217"/>
      <c r="G36" s="218"/>
    </row>
    <row r="37" spans="1:7" ht="20.100000000000001" customHeight="1" x14ac:dyDescent="0.25">
      <c r="A37" s="219"/>
      <c r="B37" s="220"/>
      <c r="C37" s="220"/>
      <c r="D37" s="220"/>
      <c r="E37" s="220"/>
      <c r="F37" s="220"/>
      <c r="G37" s="218"/>
    </row>
    <row r="38" spans="1:7" ht="20.100000000000001" customHeight="1" x14ac:dyDescent="0.25">
      <c r="A38" s="219"/>
      <c r="B38" s="220"/>
      <c r="C38" s="220"/>
      <c r="D38" s="220"/>
      <c r="E38" s="220"/>
      <c r="F38" s="220"/>
      <c r="G38" s="218"/>
    </row>
    <row r="39" spans="1:7" ht="20.100000000000001" customHeight="1" x14ac:dyDescent="0.25">
      <c r="A39" s="219"/>
      <c r="B39" s="220"/>
      <c r="C39" s="220"/>
      <c r="D39" s="220"/>
      <c r="E39" s="220"/>
      <c r="F39" s="220"/>
      <c r="G39" s="218"/>
    </row>
    <row r="40" spans="1:7" ht="20.100000000000001" customHeight="1" x14ac:dyDescent="0.25">
      <c r="A40" s="219"/>
      <c r="B40" s="220"/>
      <c r="C40" s="220"/>
      <c r="D40" s="220"/>
      <c r="E40" s="220"/>
      <c r="F40" s="220"/>
      <c r="G40" s="218"/>
    </row>
    <row r="41" spans="1:7" ht="12.75" customHeight="1" x14ac:dyDescent="0.25">
      <c r="A41" s="219"/>
      <c r="B41" s="220"/>
      <c r="C41" s="220"/>
      <c r="D41" s="220"/>
      <c r="E41" s="220"/>
      <c r="F41" s="220"/>
      <c r="G41" s="218"/>
    </row>
    <row r="42" spans="1:7" ht="12.75" customHeight="1" x14ac:dyDescent="0.25">
      <c r="A42" s="219"/>
      <c r="B42" s="220"/>
      <c r="C42" s="220"/>
      <c r="D42" s="220"/>
      <c r="E42" s="220"/>
      <c r="F42" s="220"/>
      <c r="G42" s="218"/>
    </row>
    <row r="43" spans="1:7" ht="12.75" customHeight="1" x14ac:dyDescent="0.2">
      <c r="B43" s="218"/>
      <c r="C43" s="218"/>
      <c r="D43" s="218"/>
      <c r="E43" s="218"/>
      <c r="F43" s="218"/>
      <c r="G43" s="218"/>
    </row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20">
    <mergeCell ref="B20:F21"/>
    <mergeCell ref="B22:F23"/>
    <mergeCell ref="B24:F25"/>
    <mergeCell ref="B26:F27"/>
    <mergeCell ref="B18:F19"/>
    <mergeCell ref="B8:F9"/>
    <mergeCell ref="B10:F11"/>
    <mergeCell ref="B12:F13"/>
    <mergeCell ref="B14:F15"/>
    <mergeCell ref="B16:F17"/>
    <mergeCell ref="A8:A9"/>
    <mergeCell ref="A10:A11"/>
    <mergeCell ref="A12:A13"/>
    <mergeCell ref="A14:A15"/>
    <mergeCell ref="A16:A17"/>
    <mergeCell ref="A22:A23"/>
    <mergeCell ref="A24:A25"/>
    <mergeCell ref="A26:A27"/>
    <mergeCell ref="A18:A19"/>
    <mergeCell ref="A20:A2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W111"/>
  <sheetViews>
    <sheetView showGridLines="0" topLeftCell="A23" zoomScaleNormal="100" workbookViewId="0">
      <selection activeCell="S72" sqref="S72"/>
    </sheetView>
  </sheetViews>
  <sheetFormatPr baseColWidth="10" defaultColWidth="10.85546875" defaultRowHeight="12.75" x14ac:dyDescent="0.2"/>
  <cols>
    <col min="1" max="1" width="11" style="2" customWidth="1"/>
    <col min="2" max="2" width="4.7109375" style="2" customWidth="1"/>
    <col min="3" max="3" width="6.85546875" style="2" customWidth="1"/>
    <col min="4" max="15" width="5.7109375" style="2" customWidth="1"/>
    <col min="16" max="16" width="10.85546875" style="2" customWidth="1"/>
    <col min="17" max="16384" width="10.85546875" style="2"/>
  </cols>
  <sheetData>
    <row r="1" spans="1:15" ht="18" customHeight="1" x14ac:dyDescent="0.25">
      <c r="A1" s="77" t="s">
        <v>598</v>
      </c>
      <c r="B1" s="78"/>
      <c r="C1" s="78"/>
      <c r="D1" s="79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5.0999999999999996" customHeight="1" x14ac:dyDescent="0.25">
      <c r="A2" s="80"/>
      <c r="B2" s="78"/>
      <c r="C2" s="78"/>
      <c r="D2" s="79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8" customHeight="1" x14ac:dyDescent="0.2">
      <c r="A3" s="225" t="s">
        <v>56</v>
      </c>
      <c r="B3" s="226" t="s">
        <v>96</v>
      </c>
      <c r="C3" s="227" t="s">
        <v>535</v>
      </c>
      <c r="D3" s="228" t="s">
        <v>97</v>
      </c>
      <c r="E3" s="225" t="s">
        <v>98</v>
      </c>
      <c r="F3" s="225" t="s">
        <v>99</v>
      </c>
      <c r="G3" s="225" t="s">
        <v>100</v>
      </c>
      <c r="H3" s="225" t="s">
        <v>101</v>
      </c>
      <c r="I3" s="225" t="s">
        <v>102</v>
      </c>
      <c r="J3" s="225" t="s">
        <v>103</v>
      </c>
      <c r="K3" s="225" t="s">
        <v>104</v>
      </c>
      <c r="L3" s="225" t="s">
        <v>105</v>
      </c>
      <c r="M3" s="225" t="s">
        <v>106</v>
      </c>
      <c r="N3" s="225" t="s">
        <v>107</v>
      </c>
      <c r="O3" s="225" t="s">
        <v>108</v>
      </c>
    </row>
    <row r="4" spans="1:15" ht="11.1" customHeight="1" x14ac:dyDescent="0.2">
      <c r="A4" s="681" t="s">
        <v>129</v>
      </c>
      <c r="B4" s="229">
        <v>2015</v>
      </c>
      <c r="C4" s="230">
        <f>SUM(D4:J4)</f>
        <v>596353.77513999993</v>
      </c>
      <c r="D4" s="231">
        <f t="shared" ref="D4:D12" si="0">SUM(D15,D26,D37,D48,D64,D75,D86,D97)</f>
        <v>107453.84950000001</v>
      </c>
      <c r="E4" s="231">
        <f t="shared" ref="E4:N4" si="1">SUM(E15,E26,E37,E48,E64,E75,E86,E97)</f>
        <v>80187.48559099999</v>
      </c>
      <c r="F4" s="231">
        <f t="shared" si="1"/>
        <v>93405.832999999984</v>
      </c>
      <c r="G4" s="231">
        <f t="shared" si="1"/>
        <v>82563.778928999993</v>
      </c>
      <c r="H4" s="231">
        <f t="shared" si="1"/>
        <v>63602.246119999989</v>
      </c>
      <c r="I4" s="231">
        <f t="shared" si="1"/>
        <v>110816.413</v>
      </c>
      <c r="J4" s="231">
        <f t="shared" si="1"/>
        <v>58324.169000000002</v>
      </c>
      <c r="K4" s="231">
        <f t="shared" si="1"/>
        <v>66018.396500000003</v>
      </c>
      <c r="L4" s="231">
        <f t="shared" si="1"/>
        <v>106905.41649999999</v>
      </c>
      <c r="M4" s="231">
        <f t="shared" si="1"/>
        <v>68972.104000000007</v>
      </c>
      <c r="N4" s="231">
        <f t="shared" si="1"/>
        <v>44188.361120999994</v>
      </c>
      <c r="O4" s="231">
        <f>SUM(O15,O26,O37,O48,O64,O75,O86,O97)</f>
        <v>119693.065</v>
      </c>
    </row>
    <row r="5" spans="1:15" ht="11.1" customHeight="1" x14ac:dyDescent="0.2">
      <c r="A5" s="682"/>
      <c r="B5" s="232">
        <v>2016</v>
      </c>
      <c r="C5" s="230">
        <f t="shared" ref="C5:C13" si="2">SUM(D5:J5)</f>
        <v>474233.64550700004</v>
      </c>
      <c r="D5" s="230">
        <f t="shared" si="0"/>
        <v>68094.185099999988</v>
      </c>
      <c r="E5" s="230">
        <f t="shared" ref="E5:O5" si="3">SUM(E16,E27,E38,E49,E65,E76,E87,E98)</f>
        <v>98670.593000000008</v>
      </c>
      <c r="F5" s="230">
        <f t="shared" si="3"/>
        <v>51947.345899</v>
      </c>
      <c r="G5" s="230">
        <f t="shared" si="3"/>
        <v>36936.814810000003</v>
      </c>
      <c r="H5" s="230">
        <f t="shared" si="3"/>
        <v>49775.575720000001</v>
      </c>
      <c r="I5" s="230">
        <f t="shared" si="3"/>
        <v>89995.391478000005</v>
      </c>
      <c r="J5" s="230">
        <f t="shared" si="3"/>
        <v>78813.739499999996</v>
      </c>
      <c r="K5" s="230">
        <f t="shared" si="3"/>
        <v>101163.15000000001</v>
      </c>
      <c r="L5" s="230">
        <f t="shared" si="3"/>
        <v>84900.840533999988</v>
      </c>
      <c r="M5" s="230">
        <f t="shared" si="3"/>
        <v>154564.05161299999</v>
      </c>
      <c r="N5" s="230">
        <f t="shared" si="3"/>
        <v>106835.90216599999</v>
      </c>
      <c r="O5" s="230">
        <f t="shared" si="3"/>
        <v>126523.012</v>
      </c>
    </row>
    <row r="6" spans="1:15" ht="11.1" customHeight="1" x14ac:dyDescent="0.2">
      <c r="A6" s="682"/>
      <c r="B6" s="232">
        <v>2017</v>
      </c>
      <c r="C6" s="230">
        <f t="shared" si="2"/>
        <v>682129.76350400003</v>
      </c>
      <c r="D6" s="230">
        <f t="shared" si="0"/>
        <v>92723.36778</v>
      </c>
      <c r="E6" s="230">
        <f t="shared" ref="E6:O6" si="4">SUM(E17,E28,E39,E50,E66,E77,E88,E99)</f>
        <v>35583.096400000002</v>
      </c>
      <c r="F6" s="230">
        <f t="shared" si="4"/>
        <v>131335.15</v>
      </c>
      <c r="G6" s="230">
        <f t="shared" si="4"/>
        <v>131448.990552</v>
      </c>
      <c r="H6" s="230">
        <f t="shared" si="4"/>
        <v>105002.94959999999</v>
      </c>
      <c r="I6" s="230">
        <f t="shared" si="4"/>
        <v>108320.33707199999</v>
      </c>
      <c r="J6" s="230">
        <f t="shared" si="4"/>
        <v>77715.872100000008</v>
      </c>
      <c r="K6" s="230">
        <f t="shared" si="4"/>
        <v>125768.514058</v>
      </c>
      <c r="L6" s="230">
        <f t="shared" si="4"/>
        <v>48153.560132999999</v>
      </c>
      <c r="M6" s="230">
        <f t="shared" si="4"/>
        <v>108077.72999999998</v>
      </c>
      <c r="N6" s="230">
        <f t="shared" si="4"/>
        <v>92771.465691999998</v>
      </c>
      <c r="O6" s="230">
        <f t="shared" si="4"/>
        <v>203804.95549999998</v>
      </c>
    </row>
    <row r="7" spans="1:15" ht="11.1" customHeight="1" x14ac:dyDescent="0.2">
      <c r="A7" s="682"/>
      <c r="B7" s="232">
        <v>2018</v>
      </c>
      <c r="C7" s="230">
        <f t="shared" si="2"/>
        <v>509968.74927900004</v>
      </c>
      <c r="D7" s="230">
        <f t="shared" si="0"/>
        <v>49484.383000000002</v>
      </c>
      <c r="E7" s="230">
        <f t="shared" ref="E7:O7" si="5">SUM(E18,E29,E40,E51,E67,E78,E89,E100)</f>
        <v>58261.469059000003</v>
      </c>
      <c r="F7" s="230">
        <f t="shared" si="5"/>
        <v>128480.7025</v>
      </c>
      <c r="G7" s="230">
        <f t="shared" si="5"/>
        <v>64754.514219999997</v>
      </c>
      <c r="H7" s="230">
        <f t="shared" si="5"/>
        <v>68527.326499999996</v>
      </c>
      <c r="I7" s="230">
        <f t="shared" si="5"/>
        <v>27569.705000000002</v>
      </c>
      <c r="J7" s="230">
        <f t="shared" si="5"/>
        <v>112890.64899999999</v>
      </c>
      <c r="K7" s="230">
        <f t="shared" si="5"/>
        <v>116210.026237</v>
      </c>
      <c r="L7" s="230">
        <f t="shared" si="5"/>
        <v>89880.993999999992</v>
      </c>
      <c r="M7" s="230">
        <f t="shared" si="5"/>
        <v>159047.40380500001</v>
      </c>
      <c r="N7" s="230">
        <f t="shared" si="5"/>
        <v>39801.206959999996</v>
      </c>
      <c r="O7" s="230">
        <f t="shared" si="5"/>
        <v>72860.983999999997</v>
      </c>
    </row>
    <row r="8" spans="1:15" ht="11.1" customHeight="1" x14ac:dyDescent="0.2">
      <c r="A8" s="682"/>
      <c r="B8" s="232">
        <v>2019</v>
      </c>
      <c r="C8" s="230">
        <f t="shared" si="2"/>
        <v>689444.93483000004</v>
      </c>
      <c r="D8" s="230">
        <f t="shared" si="0"/>
        <v>28102.462500000001</v>
      </c>
      <c r="E8" s="230">
        <f t="shared" ref="E8:O8" si="6">SUM(E19,E30,E41,E52,E68,E79,E90,E101)</f>
        <v>150143.17700000003</v>
      </c>
      <c r="F8" s="230">
        <f t="shared" si="6"/>
        <v>80767.448500000013</v>
      </c>
      <c r="G8" s="230">
        <f t="shared" si="6"/>
        <v>155149.28037399999</v>
      </c>
      <c r="H8" s="230">
        <f t="shared" si="6"/>
        <v>160924.85224199999</v>
      </c>
      <c r="I8" s="230">
        <f t="shared" si="6"/>
        <v>62410.352499999994</v>
      </c>
      <c r="J8" s="230">
        <f t="shared" si="6"/>
        <v>51947.361713999999</v>
      </c>
      <c r="K8" s="230">
        <f t="shared" si="6"/>
        <v>61988.266665000003</v>
      </c>
      <c r="L8" s="230">
        <f t="shared" si="6"/>
        <v>144081.15729599999</v>
      </c>
      <c r="M8" s="230">
        <f t="shared" si="6"/>
        <v>65257.217950000006</v>
      </c>
      <c r="N8" s="230">
        <f t="shared" si="6"/>
        <v>130538.64549999998</v>
      </c>
      <c r="O8" s="230">
        <f t="shared" si="6"/>
        <v>111354.298429</v>
      </c>
    </row>
    <row r="9" spans="1:15" ht="11.1" customHeight="1" x14ac:dyDescent="0.2">
      <c r="A9" s="682"/>
      <c r="B9" s="232">
        <v>2020</v>
      </c>
      <c r="C9" s="230">
        <f t="shared" si="2"/>
        <v>681487.19891599996</v>
      </c>
      <c r="D9" s="230">
        <f t="shared" si="0"/>
        <v>44090.572</v>
      </c>
      <c r="E9" s="230">
        <f t="shared" ref="E9:O9" si="7">SUM(E20,E31,E42,E53,E69,E80,E91,E102)</f>
        <v>80768.157580000014</v>
      </c>
      <c r="F9" s="230">
        <f t="shared" si="7"/>
        <v>61774.391999999993</v>
      </c>
      <c r="G9" s="230">
        <f t="shared" si="7"/>
        <v>113917.280036</v>
      </c>
      <c r="H9" s="230">
        <f t="shared" si="7"/>
        <v>90072.00529999999</v>
      </c>
      <c r="I9" s="230">
        <f t="shared" si="7"/>
        <v>90446.288</v>
      </c>
      <c r="J9" s="230">
        <f t="shared" si="7"/>
        <v>200418.50399999999</v>
      </c>
      <c r="K9" s="230">
        <f t="shared" si="7"/>
        <v>76831.721609999993</v>
      </c>
      <c r="L9" s="230">
        <f t="shared" si="7"/>
        <v>62321.084000000003</v>
      </c>
      <c r="M9" s="230">
        <f t="shared" si="7"/>
        <v>167820.02308000001</v>
      </c>
      <c r="N9" s="230">
        <f t="shared" si="7"/>
        <v>103355.895</v>
      </c>
      <c r="O9" s="230">
        <f t="shared" si="7"/>
        <v>175630.94399999999</v>
      </c>
    </row>
    <row r="10" spans="1:15" ht="11.1" customHeight="1" x14ac:dyDescent="0.2">
      <c r="A10" s="682"/>
      <c r="B10" s="232">
        <v>2021</v>
      </c>
      <c r="C10" s="230">
        <f t="shared" si="2"/>
        <v>657052.81949999998</v>
      </c>
      <c r="D10" s="230">
        <f t="shared" si="0"/>
        <v>46729.076999999997</v>
      </c>
      <c r="E10" s="230">
        <f t="shared" ref="E10:O10" si="8">SUM(E21,E32,E43,E54,E70,E81,E92,E103)</f>
        <v>53232.084000000003</v>
      </c>
      <c r="F10" s="230">
        <f t="shared" si="8"/>
        <v>132208.62749999997</v>
      </c>
      <c r="G10" s="230">
        <f t="shared" si="8"/>
        <v>93833.010999999999</v>
      </c>
      <c r="H10" s="230">
        <f t="shared" si="8"/>
        <v>109433.54399999999</v>
      </c>
      <c r="I10" s="230">
        <f t="shared" si="8"/>
        <v>101062.514</v>
      </c>
      <c r="J10" s="230">
        <f t="shared" si="8"/>
        <v>120553.962</v>
      </c>
      <c r="K10" s="230">
        <f t="shared" si="8"/>
        <v>76897.616590000005</v>
      </c>
      <c r="L10" s="230">
        <f t="shared" si="8"/>
        <v>116950.61664999998</v>
      </c>
      <c r="M10" s="230">
        <f t="shared" si="8"/>
        <v>115622.65899999999</v>
      </c>
      <c r="N10" s="230">
        <f t="shared" si="8"/>
        <v>114810.10629999998</v>
      </c>
      <c r="O10" s="230">
        <f t="shared" si="8"/>
        <v>125672.42701</v>
      </c>
    </row>
    <row r="11" spans="1:15" ht="11.1" customHeight="1" x14ac:dyDescent="0.2">
      <c r="A11" s="682"/>
      <c r="B11" s="232">
        <v>2022</v>
      </c>
      <c r="C11" s="230">
        <f t="shared" si="2"/>
        <v>536277.32493999996</v>
      </c>
      <c r="D11" s="230">
        <f t="shared" si="0"/>
        <v>57584.665210000006</v>
      </c>
      <c r="E11" s="230">
        <f t="shared" ref="E11:O11" si="9">SUM(E22,E33,E44,E55,E71,E82,E93,E104)</f>
        <v>57323.518119999993</v>
      </c>
      <c r="F11" s="230">
        <f t="shared" si="9"/>
        <v>83657.985499999995</v>
      </c>
      <c r="G11" s="230">
        <f t="shared" si="9"/>
        <v>64792.617560000006</v>
      </c>
      <c r="H11" s="230">
        <f t="shared" si="9"/>
        <v>86914.500780000002</v>
      </c>
      <c r="I11" s="230">
        <f t="shared" si="9"/>
        <v>75939.010330000019</v>
      </c>
      <c r="J11" s="230">
        <f t="shared" si="9"/>
        <v>110065.02743999999</v>
      </c>
      <c r="K11" s="230">
        <f t="shared" si="9"/>
        <v>141106.20243</v>
      </c>
      <c r="L11" s="230">
        <f t="shared" si="9"/>
        <v>94921.134919999997</v>
      </c>
      <c r="M11" s="230">
        <f t="shared" si="9"/>
        <v>62887.413089999995</v>
      </c>
      <c r="N11" s="230">
        <f t="shared" si="9"/>
        <v>47229.510719999998</v>
      </c>
      <c r="O11" s="230">
        <f t="shared" si="9"/>
        <v>148891.00518999997</v>
      </c>
    </row>
    <row r="12" spans="1:15" ht="11.1" customHeight="1" x14ac:dyDescent="0.2">
      <c r="A12" s="682"/>
      <c r="B12" s="232">
        <v>2023</v>
      </c>
      <c r="C12" s="230">
        <f t="shared" si="2"/>
        <v>452450.41739999998</v>
      </c>
      <c r="D12" s="230">
        <f t="shared" si="0"/>
        <v>103335.45329999999</v>
      </c>
      <c r="E12" s="230">
        <f t="shared" ref="E12:O12" si="10">SUM(E23,E34,E45,E56,E72,E83,E94,E105)</f>
        <v>64074.903240000007</v>
      </c>
      <c r="F12" s="230">
        <f t="shared" si="10"/>
        <v>90092.891419999985</v>
      </c>
      <c r="G12" s="230">
        <f t="shared" si="10"/>
        <v>74674.905869999988</v>
      </c>
      <c r="H12" s="230">
        <f t="shared" si="10"/>
        <v>9303.82</v>
      </c>
      <c r="I12" s="230">
        <f t="shared" si="10"/>
        <v>66548.69445000001</v>
      </c>
      <c r="J12" s="230">
        <f t="shared" si="10"/>
        <v>44419.74912</v>
      </c>
      <c r="K12" s="230">
        <f t="shared" si="10"/>
        <v>90646.846120000002</v>
      </c>
      <c r="L12" s="230">
        <f t="shared" si="10"/>
        <v>102310.46058000001</v>
      </c>
      <c r="M12" s="230">
        <f t="shared" si="10"/>
        <v>52298.631389999995</v>
      </c>
      <c r="N12" s="230">
        <f t="shared" si="10"/>
        <v>115443.42012000002</v>
      </c>
      <c r="O12" s="230">
        <f t="shared" si="10"/>
        <v>99727.028999999995</v>
      </c>
    </row>
    <row r="13" spans="1:15" ht="11.1" customHeight="1" x14ac:dyDescent="0.2">
      <c r="A13" s="682"/>
      <c r="B13" s="232">
        <v>2024</v>
      </c>
      <c r="C13" s="230">
        <f t="shared" si="2"/>
        <v>817206.47717999993</v>
      </c>
      <c r="D13" s="230">
        <f>SUM(D24,D35,D46,D57,D73,D84,D95,D106)</f>
        <v>114431.01999999999</v>
      </c>
      <c r="E13" s="230">
        <f t="shared" ref="E13:O13" si="11">SUM(E24,E35,E46,E57,E73,E84,E95,E106)</f>
        <v>211799.45475999996</v>
      </c>
      <c r="F13" s="230">
        <f t="shared" si="11"/>
        <v>97481.727249999996</v>
      </c>
      <c r="G13" s="230">
        <f t="shared" si="11"/>
        <v>69761.763489999983</v>
      </c>
      <c r="H13" s="230">
        <f t="shared" si="11"/>
        <v>83930.565040000001</v>
      </c>
      <c r="I13" s="230">
        <f t="shared" si="11"/>
        <v>91778.589260000008</v>
      </c>
      <c r="J13" s="230">
        <f t="shared" si="11"/>
        <v>148023.35738</v>
      </c>
      <c r="K13" s="230">
        <f t="shared" si="11"/>
        <v>95632.552000000011</v>
      </c>
      <c r="L13" s="230">
        <f t="shared" si="11"/>
        <v>121662.72899999999</v>
      </c>
      <c r="M13" s="230">
        <f t="shared" si="11"/>
        <v>127703.97500000001</v>
      </c>
      <c r="N13" s="230">
        <f t="shared" si="11"/>
        <v>97364.06</v>
      </c>
      <c r="O13" s="230">
        <f t="shared" si="11"/>
        <v>73289</v>
      </c>
    </row>
    <row r="14" spans="1:15" ht="11.1" customHeight="1" x14ac:dyDescent="0.2">
      <c r="A14" s="683"/>
      <c r="B14" s="232">
        <v>2025</v>
      </c>
      <c r="C14" s="233">
        <f>SUM(D14:J14)</f>
        <v>675130.63805000007</v>
      </c>
      <c r="D14" s="230">
        <f>SUM(D25,D36,D47,D58,D74,D85,D96,D107)</f>
        <v>165925.27000000002</v>
      </c>
      <c r="E14" s="230">
        <f t="shared" ref="E14:I14" si="12">SUM(E25,E36,E47,E58,E74,E85,E96,E107)</f>
        <v>51035.12674</v>
      </c>
      <c r="F14" s="230">
        <f t="shared" si="12"/>
        <v>86936.856780000002</v>
      </c>
      <c r="G14" s="230">
        <f t="shared" si="12"/>
        <v>68331.015530000004</v>
      </c>
      <c r="H14" s="230">
        <f t="shared" si="12"/>
        <v>101549.209</v>
      </c>
      <c r="I14" s="230">
        <f t="shared" si="12"/>
        <v>105318.16</v>
      </c>
      <c r="J14" s="230">
        <f>SUM(J25,J36,J47,J58,J74,J85,J96,J107)</f>
        <v>96035</v>
      </c>
      <c r="K14" s="230"/>
      <c r="L14" s="230"/>
      <c r="M14" s="230"/>
      <c r="N14" s="230"/>
      <c r="O14" s="233"/>
    </row>
    <row r="15" spans="1:15" ht="12" customHeight="1" x14ac:dyDescent="0.2">
      <c r="A15" s="678" t="s">
        <v>130</v>
      </c>
      <c r="B15" s="81">
        <v>2015</v>
      </c>
      <c r="C15" s="508">
        <f>SUM(D15:J15)</f>
        <v>261057.05800000002</v>
      </c>
      <c r="D15" s="82">
        <v>20142.518</v>
      </c>
      <c r="E15" s="83">
        <v>34887.99</v>
      </c>
      <c r="F15" s="83">
        <v>63697.8</v>
      </c>
      <c r="G15" s="83">
        <v>32069.08</v>
      </c>
      <c r="H15" s="83">
        <v>24125.11</v>
      </c>
      <c r="I15" s="83">
        <v>45333.54</v>
      </c>
      <c r="J15" s="83">
        <v>40801.019999999997</v>
      </c>
      <c r="K15" s="83">
        <v>21792.156999999999</v>
      </c>
      <c r="L15" s="83">
        <v>20164.055</v>
      </c>
      <c r="M15" s="83">
        <v>68521.278000000006</v>
      </c>
      <c r="N15" s="83">
        <v>4362.91</v>
      </c>
      <c r="O15" s="86">
        <v>48411.44</v>
      </c>
    </row>
    <row r="16" spans="1:15" ht="12" customHeight="1" x14ac:dyDescent="0.2">
      <c r="A16" s="679"/>
      <c r="B16" s="84">
        <v>2016</v>
      </c>
      <c r="C16" s="508">
        <f t="shared" ref="C16:C58" si="13">SUM(D16:J16)</f>
        <v>157718.371782</v>
      </c>
      <c r="D16" s="85">
        <v>29334.712</v>
      </c>
      <c r="E16" s="86">
        <v>48120.77</v>
      </c>
      <c r="F16" s="86">
        <v>10318.824000000001</v>
      </c>
      <c r="G16" s="86">
        <v>18763.096000000001</v>
      </c>
      <c r="H16" s="86">
        <v>12701.21</v>
      </c>
      <c r="I16" s="86">
        <v>5748.589782</v>
      </c>
      <c r="J16" s="86">
        <v>32731.17</v>
      </c>
      <c r="K16" s="86">
        <v>47096.51</v>
      </c>
      <c r="L16" s="86">
        <v>17188.25</v>
      </c>
      <c r="M16" s="86">
        <v>22901.482613</v>
      </c>
      <c r="N16" s="86">
        <v>55502.26</v>
      </c>
      <c r="O16" s="86">
        <v>57647.26</v>
      </c>
    </row>
    <row r="17" spans="1:23" ht="12" customHeight="1" x14ac:dyDescent="0.3">
      <c r="A17" s="679"/>
      <c r="B17" s="84">
        <v>2017</v>
      </c>
      <c r="C17" s="508">
        <f t="shared" si="13"/>
        <v>264322.74400000001</v>
      </c>
      <c r="D17" s="85">
        <v>2863.82</v>
      </c>
      <c r="E17" s="86">
        <v>18136.439999999999</v>
      </c>
      <c r="F17" s="86">
        <v>32720.14</v>
      </c>
      <c r="G17" s="86">
        <v>58983.3</v>
      </c>
      <c r="H17" s="86">
        <v>54269.59</v>
      </c>
      <c r="I17" s="86">
        <v>57058.563999999998</v>
      </c>
      <c r="J17" s="86">
        <v>40290.89</v>
      </c>
      <c r="K17" s="86">
        <v>15893.65</v>
      </c>
      <c r="L17" s="86">
        <v>27926.710999999999</v>
      </c>
      <c r="M17" s="86">
        <v>5899.77</v>
      </c>
      <c r="N17" s="86">
        <v>36304.802000000003</v>
      </c>
      <c r="O17" s="86">
        <v>63341.123</v>
      </c>
      <c r="Q17" s="623"/>
      <c r="R17" s="623"/>
      <c r="S17" s="623"/>
      <c r="T17" s="623"/>
      <c r="U17" s="623"/>
      <c r="V17" s="624"/>
      <c r="W17" s="624"/>
    </row>
    <row r="18" spans="1:23" ht="12" customHeight="1" x14ac:dyDescent="0.2">
      <c r="A18" s="679"/>
      <c r="B18" s="84">
        <v>2018</v>
      </c>
      <c r="C18" s="508" t="s">
        <v>597</v>
      </c>
      <c r="D18" s="85">
        <v>19507.517</v>
      </c>
      <c r="E18" s="86">
        <v>14270.177</v>
      </c>
      <c r="F18" s="86">
        <v>36168.949999999997</v>
      </c>
      <c r="G18" s="86">
        <v>0</v>
      </c>
      <c r="H18" s="86">
        <v>18482.18</v>
      </c>
      <c r="I18" s="86">
        <v>14245.05</v>
      </c>
      <c r="J18" s="86">
        <v>12814.61</v>
      </c>
      <c r="K18" s="86">
        <v>30441.012920000001</v>
      </c>
      <c r="L18" s="86">
        <v>43806.485000000001</v>
      </c>
      <c r="M18" s="86">
        <v>42351.240325000006</v>
      </c>
      <c r="N18" s="86">
        <v>3522.7620000000002</v>
      </c>
      <c r="O18" s="86">
        <v>21290.560000000001</v>
      </c>
    </row>
    <row r="19" spans="1:23" ht="12" customHeight="1" x14ac:dyDescent="0.2">
      <c r="A19" s="679"/>
      <c r="B19" s="84">
        <v>2019</v>
      </c>
      <c r="C19" s="508">
        <f t="shared" si="13"/>
        <v>253189.72000000003</v>
      </c>
      <c r="D19" s="85">
        <v>83.4</v>
      </c>
      <c r="E19" s="86">
        <v>64448.69</v>
      </c>
      <c r="F19" s="86">
        <v>22929.98</v>
      </c>
      <c r="G19" s="86">
        <v>57947.76</v>
      </c>
      <c r="H19" s="86">
        <v>76256.649999999994</v>
      </c>
      <c r="I19" s="86">
        <v>63.01</v>
      </c>
      <c r="J19" s="86">
        <v>31460.23</v>
      </c>
      <c r="K19" s="86">
        <v>20043.944664999999</v>
      </c>
      <c r="L19" s="86">
        <v>44880.097545999997</v>
      </c>
      <c r="M19" s="86">
        <v>10259.129999999999</v>
      </c>
      <c r="N19" s="86">
        <v>35640.904999999999</v>
      </c>
      <c r="O19" s="86">
        <v>34990.29</v>
      </c>
    </row>
    <row r="20" spans="1:23" ht="12" customHeight="1" x14ac:dyDescent="0.2">
      <c r="A20" s="679"/>
      <c r="B20" s="84">
        <v>2020</v>
      </c>
      <c r="C20" s="508">
        <f t="shared" si="13"/>
        <v>244303.83429</v>
      </c>
      <c r="D20" s="85">
        <v>10205.470000000001</v>
      </c>
      <c r="E20" s="86">
        <v>40386.874990000004</v>
      </c>
      <c r="F20" s="86">
        <v>147.91800000000001</v>
      </c>
      <c r="G20" s="86">
        <v>49777.279000000002</v>
      </c>
      <c r="H20" s="86">
        <v>9773.2672999999995</v>
      </c>
      <c r="I20" s="86">
        <v>22797.53</v>
      </c>
      <c r="J20" s="86">
        <v>111215.495</v>
      </c>
      <c r="K20" s="86">
        <v>13427.25</v>
      </c>
      <c r="L20" s="86">
        <v>14957.990000000002</v>
      </c>
      <c r="M20" s="86">
        <v>39719.240000000005</v>
      </c>
      <c r="N20" s="86">
        <v>3127.52</v>
      </c>
      <c r="O20" s="86">
        <v>58064.187999999995</v>
      </c>
    </row>
    <row r="21" spans="1:23" ht="12" customHeight="1" x14ac:dyDescent="0.2">
      <c r="A21" s="679"/>
      <c r="B21" s="84">
        <v>2021</v>
      </c>
      <c r="C21" s="508">
        <f>SUM(D21:J21)</f>
        <v>176409.99900000001</v>
      </c>
      <c r="D21" s="85">
        <v>4610.16</v>
      </c>
      <c r="E21" s="86">
        <v>32199.059000000001</v>
      </c>
      <c r="F21" s="86">
        <v>60077.06</v>
      </c>
      <c r="G21" s="86">
        <v>12945.6</v>
      </c>
      <c r="H21" s="86">
        <v>9229.86</v>
      </c>
      <c r="I21" s="86">
        <v>34595</v>
      </c>
      <c r="J21" s="86">
        <v>22753.260000000002</v>
      </c>
      <c r="K21" s="86">
        <v>24906.11404</v>
      </c>
      <c r="L21" s="86">
        <v>33606.99</v>
      </c>
      <c r="M21" s="86">
        <v>52030.149999999987</v>
      </c>
      <c r="N21" s="86">
        <v>20340.78</v>
      </c>
      <c r="O21" s="86">
        <v>18137.2</v>
      </c>
    </row>
    <row r="22" spans="1:23" ht="12" customHeight="1" x14ac:dyDescent="0.2">
      <c r="A22" s="679"/>
      <c r="B22" s="84">
        <v>2022</v>
      </c>
      <c r="C22" s="508">
        <f t="shared" si="13"/>
        <v>129585.54599999999</v>
      </c>
      <c r="D22" s="85">
        <v>12634.89</v>
      </c>
      <c r="E22" s="85">
        <v>528.65</v>
      </c>
      <c r="F22" s="86">
        <v>2101.6909999999998</v>
      </c>
      <c r="G22" s="86">
        <v>37896.707669999996</v>
      </c>
      <c r="H22" s="86">
        <v>7527.716999999996</v>
      </c>
      <c r="I22" s="86">
        <v>42028.459330000005</v>
      </c>
      <c r="J22" s="86">
        <v>26867.431</v>
      </c>
      <c r="K22" s="86">
        <v>58812.74699</v>
      </c>
      <c r="L22" s="86">
        <v>17358.323289999997</v>
      </c>
      <c r="M22" s="86">
        <v>24949.995999999999</v>
      </c>
      <c r="N22" s="86">
        <v>22203.17</v>
      </c>
      <c r="O22" s="86">
        <v>77377.01999999999</v>
      </c>
    </row>
    <row r="23" spans="1:23" ht="12" customHeight="1" x14ac:dyDescent="0.2">
      <c r="A23" s="679"/>
      <c r="B23" s="84">
        <v>2023</v>
      </c>
      <c r="C23" s="508">
        <f t="shared" si="13"/>
        <v>139037.11680999998</v>
      </c>
      <c r="D23" s="85">
        <v>42422.149299999997</v>
      </c>
      <c r="E23" s="85">
        <v>2.2120000000000001E-2</v>
      </c>
      <c r="F23" s="86">
        <v>38940.31</v>
      </c>
      <c r="G23" s="86">
        <v>42527.927139999985</v>
      </c>
      <c r="H23" s="86">
        <v>282.98</v>
      </c>
      <c r="I23" s="86">
        <v>4277.9582499999988</v>
      </c>
      <c r="J23" s="86">
        <v>10585.77</v>
      </c>
      <c r="K23" s="86">
        <v>14704.82</v>
      </c>
      <c r="L23" s="86">
        <v>34167.340000000004</v>
      </c>
      <c r="M23" s="86">
        <v>30517.813499999997</v>
      </c>
      <c r="N23" s="86">
        <v>22173.8</v>
      </c>
      <c r="O23" s="86">
        <v>14957.94</v>
      </c>
    </row>
    <row r="24" spans="1:23" ht="12" customHeight="1" x14ac:dyDescent="0.2">
      <c r="A24" s="679"/>
      <c r="B24" s="84">
        <v>2024</v>
      </c>
      <c r="C24" s="508">
        <f t="shared" si="13"/>
        <v>259093.39550000001</v>
      </c>
      <c r="D24" s="85">
        <v>39338.629999999997</v>
      </c>
      <c r="E24" s="85">
        <v>85021.95</v>
      </c>
      <c r="F24" s="85">
        <v>23247.01</v>
      </c>
      <c r="G24" s="85">
        <v>16427.479999999996</v>
      </c>
      <c r="H24" s="85">
        <v>28531.670000000002</v>
      </c>
      <c r="I24" s="86">
        <v>18630.010000000002</v>
      </c>
      <c r="J24" s="86">
        <v>47896.645499999984</v>
      </c>
      <c r="K24" s="86">
        <v>49556.766000000003</v>
      </c>
      <c r="L24" s="86">
        <v>61598.754999999997</v>
      </c>
      <c r="M24" s="86">
        <v>10503.195</v>
      </c>
      <c r="N24" s="86">
        <v>39440</v>
      </c>
      <c r="O24" s="86">
        <v>21679</v>
      </c>
    </row>
    <row r="25" spans="1:23" ht="12" customHeight="1" x14ac:dyDescent="0.2">
      <c r="A25" s="679"/>
      <c r="B25" s="84">
        <v>2025</v>
      </c>
      <c r="C25" s="509">
        <f>SUM(D25:J25)</f>
        <v>190395.92613000001</v>
      </c>
      <c r="D25" s="557">
        <v>35231.090000000004</v>
      </c>
      <c r="E25" s="87">
        <v>35203.12674</v>
      </c>
      <c r="F25" s="87">
        <v>31383.449860000001</v>
      </c>
      <c r="G25" s="85">
        <v>7969.7355299999999</v>
      </c>
      <c r="H25" s="85">
        <v>25200.524000000001</v>
      </c>
      <c r="I25" s="85">
        <v>27642</v>
      </c>
      <c r="J25" s="86">
        <v>27766</v>
      </c>
    </row>
    <row r="26" spans="1:23" ht="12" customHeight="1" x14ac:dyDescent="0.2">
      <c r="A26" s="678" t="s">
        <v>131</v>
      </c>
      <c r="B26" s="81">
        <v>2015</v>
      </c>
      <c r="C26" s="508">
        <f t="shared" si="13"/>
        <v>50571.97</v>
      </c>
      <c r="D26" s="85">
        <v>10887.08</v>
      </c>
      <c r="E26" s="85">
        <v>0</v>
      </c>
      <c r="F26" s="86">
        <v>0</v>
      </c>
      <c r="G26" s="83">
        <v>30705.66</v>
      </c>
      <c r="H26" s="83">
        <v>8979.23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</row>
    <row r="27" spans="1:23" ht="12" customHeight="1" x14ac:dyDescent="0.2">
      <c r="A27" s="679"/>
      <c r="B27" s="84">
        <v>2016</v>
      </c>
      <c r="C27" s="508">
        <f t="shared" si="13"/>
        <v>35962.320500000002</v>
      </c>
      <c r="D27" s="85">
        <v>0</v>
      </c>
      <c r="E27" s="86">
        <v>0</v>
      </c>
      <c r="F27" s="86">
        <v>0</v>
      </c>
      <c r="G27" s="86">
        <v>0</v>
      </c>
      <c r="H27" s="86">
        <v>5.0000000000000001E-4</v>
      </c>
      <c r="I27" s="86">
        <v>23639.71</v>
      </c>
      <c r="J27" s="86">
        <v>12322.61</v>
      </c>
      <c r="K27" s="86">
        <v>0</v>
      </c>
      <c r="L27" s="86">
        <v>25454.42</v>
      </c>
      <c r="M27" s="86">
        <v>33083.11</v>
      </c>
      <c r="N27" s="86">
        <v>0</v>
      </c>
      <c r="O27" s="86">
        <v>33505.699999999997</v>
      </c>
    </row>
    <row r="28" spans="1:23" ht="12" customHeight="1" x14ac:dyDescent="0.2">
      <c r="A28" s="679"/>
      <c r="B28" s="84">
        <v>2017</v>
      </c>
      <c r="C28" s="508">
        <f t="shared" si="13"/>
        <v>65903.383000000002</v>
      </c>
      <c r="D28" s="85">
        <v>0</v>
      </c>
      <c r="E28" s="86">
        <v>0</v>
      </c>
      <c r="F28" s="86">
        <v>32894.26</v>
      </c>
      <c r="G28" s="86">
        <v>5012.6499999999996</v>
      </c>
      <c r="H28" s="86">
        <v>27996.473000000002</v>
      </c>
      <c r="I28" s="86">
        <v>0</v>
      </c>
      <c r="J28" s="86">
        <v>0</v>
      </c>
      <c r="K28" s="86">
        <v>33073.26</v>
      </c>
      <c r="L28" s="86">
        <v>0</v>
      </c>
      <c r="M28" s="86">
        <v>32127.71</v>
      </c>
      <c r="N28" s="86">
        <v>0</v>
      </c>
      <c r="O28" s="86">
        <v>22005.119999999999</v>
      </c>
    </row>
    <row r="29" spans="1:23" ht="12" customHeight="1" x14ac:dyDescent="0.2">
      <c r="A29" s="679"/>
      <c r="B29" s="84">
        <v>2018</v>
      </c>
      <c r="C29" s="508">
        <f t="shared" si="13"/>
        <v>84556.700000000012</v>
      </c>
      <c r="D29" s="85">
        <v>8025.15</v>
      </c>
      <c r="E29" s="85">
        <v>30279.35</v>
      </c>
      <c r="F29" s="85">
        <v>0.6</v>
      </c>
      <c r="G29" s="85">
        <v>32928.31</v>
      </c>
      <c r="H29" s="86">
        <v>0</v>
      </c>
      <c r="I29" s="86">
        <v>0</v>
      </c>
      <c r="J29" s="85">
        <v>13323.29</v>
      </c>
      <c r="K29" s="86">
        <v>21256.97</v>
      </c>
      <c r="L29" s="86">
        <v>13996.56</v>
      </c>
      <c r="M29" s="86">
        <v>32065.786</v>
      </c>
      <c r="N29" s="86">
        <v>19140.38</v>
      </c>
      <c r="O29" s="86">
        <v>0</v>
      </c>
    </row>
    <row r="30" spans="1:23" ht="12" customHeight="1" x14ac:dyDescent="0.2">
      <c r="A30" s="679"/>
      <c r="B30" s="84">
        <v>2019</v>
      </c>
      <c r="C30" s="508">
        <f t="shared" si="13"/>
        <v>97433.93769999998</v>
      </c>
      <c r="D30" s="85">
        <v>12990.8</v>
      </c>
      <c r="E30" s="85">
        <v>19808.98</v>
      </c>
      <c r="F30" s="85">
        <v>13750.1</v>
      </c>
      <c r="G30" s="85">
        <v>19280.64</v>
      </c>
      <c r="H30" s="86">
        <v>8600.3696999999993</v>
      </c>
      <c r="I30" s="86">
        <v>23003</v>
      </c>
      <c r="J30" s="85">
        <v>4.8000000000000001E-2</v>
      </c>
      <c r="K30" s="86">
        <v>0</v>
      </c>
      <c r="L30" s="86">
        <v>35859.300000000003</v>
      </c>
      <c r="M30" s="86">
        <v>17496.59</v>
      </c>
      <c r="N30" s="86">
        <v>18546.98</v>
      </c>
      <c r="O30" s="86">
        <v>0</v>
      </c>
    </row>
    <row r="31" spans="1:23" ht="12" customHeight="1" x14ac:dyDescent="0.2">
      <c r="A31" s="679"/>
      <c r="B31" s="84">
        <v>2020</v>
      </c>
      <c r="C31" s="508">
        <f t="shared" si="13"/>
        <v>45019.020000000004</v>
      </c>
      <c r="D31" s="86">
        <v>2.5000000000000001E-2</v>
      </c>
      <c r="E31" s="86">
        <v>2.5000000000000001E-2</v>
      </c>
      <c r="F31" s="85">
        <v>7608.29</v>
      </c>
      <c r="G31" s="85">
        <v>9998.93</v>
      </c>
      <c r="H31" s="86">
        <v>0</v>
      </c>
      <c r="I31" s="86">
        <v>20389.919999999998</v>
      </c>
      <c r="J31" s="85">
        <v>7021.83</v>
      </c>
      <c r="K31" s="86">
        <v>21707.4</v>
      </c>
      <c r="L31" s="86">
        <v>11996.65</v>
      </c>
      <c r="M31" s="86">
        <v>12015</v>
      </c>
      <c r="N31" s="86">
        <v>28514.12</v>
      </c>
      <c r="O31" s="86">
        <v>8001.02</v>
      </c>
    </row>
    <row r="32" spans="1:23" ht="12" customHeight="1" x14ac:dyDescent="0.2">
      <c r="A32" s="679"/>
      <c r="B32" s="84">
        <v>2021</v>
      </c>
      <c r="C32" s="508">
        <f t="shared" si="13"/>
        <v>139408.76</v>
      </c>
      <c r="D32" s="86">
        <v>29083.55</v>
      </c>
      <c r="E32" s="86">
        <v>15412.470000000001</v>
      </c>
      <c r="F32" s="85">
        <v>13500</v>
      </c>
      <c r="G32" s="85">
        <v>13677.57</v>
      </c>
      <c r="H32" s="86">
        <v>25764.17</v>
      </c>
      <c r="I32" s="86">
        <v>11000</v>
      </c>
      <c r="J32" s="85">
        <v>30971</v>
      </c>
      <c r="K32" s="86">
        <v>43270.130000000005</v>
      </c>
      <c r="L32" s="86">
        <v>7009.3899999999994</v>
      </c>
      <c r="M32" s="86">
        <v>21589.33</v>
      </c>
      <c r="N32" s="86">
        <v>41365.279999999999</v>
      </c>
      <c r="O32" s="86">
        <v>59836.44</v>
      </c>
    </row>
    <row r="33" spans="1:15" ht="12" customHeight="1" x14ac:dyDescent="0.2">
      <c r="A33" s="679"/>
      <c r="B33" s="84">
        <v>2022</v>
      </c>
      <c r="C33" s="508">
        <f t="shared" si="13"/>
        <v>89998.132119999995</v>
      </c>
      <c r="D33" s="86">
        <v>1010</v>
      </c>
      <c r="E33" s="85">
        <v>2.2120000000000001E-2</v>
      </c>
      <c r="F33" s="85">
        <v>11929.880000000001</v>
      </c>
      <c r="G33" s="85">
        <v>797.90000000000009</v>
      </c>
      <c r="H33" s="86">
        <v>42762.13</v>
      </c>
      <c r="I33" s="86">
        <v>18511.34</v>
      </c>
      <c r="J33" s="85">
        <v>14986.86</v>
      </c>
      <c r="K33" s="86">
        <v>18790.832999999995</v>
      </c>
      <c r="L33" s="86">
        <v>8216.6200000000008</v>
      </c>
      <c r="M33" s="86">
        <v>6009.66</v>
      </c>
      <c r="N33" s="86">
        <v>10505.14</v>
      </c>
      <c r="O33" s="85">
        <v>2.2120000000000001E-2</v>
      </c>
    </row>
    <row r="34" spans="1:15" ht="12" customHeight="1" x14ac:dyDescent="0.2">
      <c r="A34" s="679"/>
      <c r="B34" s="84">
        <v>2023</v>
      </c>
      <c r="C34" s="508">
        <f t="shared" si="13"/>
        <v>9968.0527399999992</v>
      </c>
      <c r="D34" s="86">
        <v>7198.21</v>
      </c>
      <c r="E34" s="85">
        <v>2.2120000000000001E-2</v>
      </c>
      <c r="F34" s="85">
        <v>2.2120000000000001E-2</v>
      </c>
      <c r="G34" s="85">
        <v>2734.82</v>
      </c>
      <c r="H34" s="85">
        <v>2.2120000000000001E-2</v>
      </c>
      <c r="I34" s="86">
        <v>34.934260000000002</v>
      </c>
      <c r="J34" s="85">
        <v>2.2120000000000001E-2</v>
      </c>
      <c r="K34" s="85">
        <v>2.2120000000000001E-2</v>
      </c>
      <c r="L34" s="86">
        <v>180</v>
      </c>
      <c r="M34" s="86">
        <v>6454.7799999999988</v>
      </c>
      <c r="N34" s="85">
        <v>2.2120000000000001E-2</v>
      </c>
      <c r="O34" s="85">
        <v>40926.69</v>
      </c>
    </row>
    <row r="35" spans="1:15" ht="12" customHeight="1" x14ac:dyDescent="0.2">
      <c r="A35" s="679"/>
      <c r="B35" s="84">
        <v>2024</v>
      </c>
      <c r="C35" s="508">
        <f t="shared" si="13"/>
        <v>58626.801999999996</v>
      </c>
      <c r="D35" s="86">
        <v>0</v>
      </c>
      <c r="E35" s="86">
        <v>26457.32</v>
      </c>
      <c r="F35" s="85">
        <v>14998.83</v>
      </c>
      <c r="G35" s="85">
        <v>14206.81</v>
      </c>
      <c r="H35" s="85">
        <v>2963.41</v>
      </c>
      <c r="I35" s="85">
        <v>0</v>
      </c>
      <c r="J35" s="85">
        <v>0.432</v>
      </c>
      <c r="K35" s="85">
        <v>25000</v>
      </c>
      <c r="L35" s="86">
        <v>0</v>
      </c>
      <c r="M35" s="86">
        <v>17536.25</v>
      </c>
      <c r="N35" s="85">
        <v>6961.61</v>
      </c>
      <c r="O35" s="85">
        <v>0</v>
      </c>
    </row>
    <row r="36" spans="1:15" ht="12" customHeight="1" x14ac:dyDescent="0.2">
      <c r="A36" s="680"/>
      <c r="B36" s="84">
        <v>2025</v>
      </c>
      <c r="C36" s="509">
        <f t="shared" si="13"/>
        <v>7032.37</v>
      </c>
      <c r="D36" s="86">
        <v>0</v>
      </c>
      <c r="E36" s="86">
        <v>0</v>
      </c>
      <c r="F36" s="85">
        <v>1433.2</v>
      </c>
      <c r="G36" s="85">
        <v>5599.17</v>
      </c>
      <c r="H36" s="86">
        <v>0</v>
      </c>
      <c r="I36" s="85">
        <v>0</v>
      </c>
      <c r="J36" s="85">
        <v>0</v>
      </c>
      <c r="K36" s="85"/>
      <c r="L36" s="86"/>
      <c r="M36" s="86"/>
      <c r="N36" s="85"/>
      <c r="O36" s="85"/>
    </row>
    <row r="37" spans="1:15" ht="12" customHeight="1" x14ac:dyDescent="0.2">
      <c r="A37" s="678" t="s">
        <v>132</v>
      </c>
      <c r="B37" s="81">
        <v>2015</v>
      </c>
      <c r="C37" s="508">
        <f t="shared" si="13"/>
        <v>102834.12380100001</v>
      </c>
      <c r="D37" s="82">
        <v>24430.514500000001</v>
      </c>
      <c r="E37" s="82">
        <v>27865.295590999998</v>
      </c>
      <c r="F37" s="82">
        <v>7013.95</v>
      </c>
      <c r="G37" s="82">
        <v>4751.7489289999994</v>
      </c>
      <c r="H37" s="82">
        <v>11672.289280999999</v>
      </c>
      <c r="I37" s="82">
        <v>23958.5445</v>
      </c>
      <c r="J37" s="82">
        <v>3141.7809999999999</v>
      </c>
      <c r="K37" s="83">
        <v>14057.401</v>
      </c>
      <c r="L37" s="82">
        <v>30690.030500000001</v>
      </c>
      <c r="M37" s="83">
        <v>0</v>
      </c>
      <c r="N37" s="82">
        <v>15408.231</v>
      </c>
      <c r="O37" s="82">
        <v>24739.759999999998</v>
      </c>
    </row>
    <row r="38" spans="1:15" ht="12" customHeight="1" x14ac:dyDescent="0.2">
      <c r="A38" s="679"/>
      <c r="B38" s="84">
        <v>2016</v>
      </c>
      <c r="C38" s="508">
        <f t="shared" si="13"/>
        <v>131532.49169500003</v>
      </c>
      <c r="D38" s="85">
        <v>34701.6201</v>
      </c>
      <c r="E38" s="85">
        <v>14537.72</v>
      </c>
      <c r="F38" s="85">
        <v>27590.754000000001</v>
      </c>
      <c r="G38" s="85">
        <v>295.01559499999996</v>
      </c>
      <c r="H38" s="85">
        <v>8992.4599999999991</v>
      </c>
      <c r="I38" s="85">
        <v>34738.942000000003</v>
      </c>
      <c r="J38" s="85">
        <v>10675.98</v>
      </c>
      <c r="K38" s="86">
        <v>12483.14</v>
      </c>
      <c r="L38" s="85">
        <v>4759.6205339999997</v>
      </c>
      <c r="M38" s="85">
        <v>55882.002999999997</v>
      </c>
      <c r="N38" s="85">
        <v>5704.6295470000005</v>
      </c>
      <c r="O38" s="85">
        <v>16842.439999999999</v>
      </c>
    </row>
    <row r="39" spans="1:15" ht="12" customHeight="1" x14ac:dyDescent="0.2">
      <c r="A39" s="679"/>
      <c r="B39" s="84">
        <v>2017</v>
      </c>
      <c r="C39" s="508">
        <f t="shared" si="13"/>
        <v>132043.979269</v>
      </c>
      <c r="D39" s="85">
        <v>27103.393596999998</v>
      </c>
      <c r="E39" s="86">
        <v>0</v>
      </c>
      <c r="F39" s="85">
        <v>24859.02</v>
      </c>
      <c r="G39" s="85">
        <v>32481.697499999998</v>
      </c>
      <c r="H39" s="85">
        <v>5044.04</v>
      </c>
      <c r="I39" s="85">
        <v>9170.2380720000001</v>
      </c>
      <c r="J39" s="85">
        <v>33385.590100000001</v>
      </c>
      <c r="K39" s="85">
        <v>17461.531999999999</v>
      </c>
      <c r="L39" s="85">
        <v>1277.951153</v>
      </c>
      <c r="M39" s="86">
        <v>16584.281999999999</v>
      </c>
      <c r="N39" s="85">
        <v>19656.273000000001</v>
      </c>
      <c r="O39" s="85">
        <v>47925.47</v>
      </c>
    </row>
    <row r="40" spans="1:15" ht="12" customHeight="1" x14ac:dyDescent="0.2">
      <c r="A40" s="679"/>
      <c r="B40" s="84">
        <v>2018</v>
      </c>
      <c r="C40" s="508">
        <f t="shared" si="13"/>
        <v>118092.49822000001</v>
      </c>
      <c r="D40" s="85">
        <v>0</v>
      </c>
      <c r="E40" s="86">
        <v>0</v>
      </c>
      <c r="F40" s="86">
        <v>30582.49</v>
      </c>
      <c r="G40" s="86">
        <v>24722.997719999999</v>
      </c>
      <c r="H40" s="86">
        <v>30169.5105</v>
      </c>
      <c r="I40" s="86">
        <v>0</v>
      </c>
      <c r="J40" s="86">
        <v>32617.5</v>
      </c>
      <c r="K40" s="85">
        <v>30360.610317000002</v>
      </c>
      <c r="L40" s="85">
        <v>5614.4</v>
      </c>
      <c r="M40" s="86">
        <v>41531.129999999997</v>
      </c>
      <c r="N40" s="85">
        <v>751.822</v>
      </c>
      <c r="O40" s="85">
        <v>360.76800000000003</v>
      </c>
    </row>
    <row r="41" spans="1:15" ht="12" customHeight="1" x14ac:dyDescent="0.2">
      <c r="A41" s="679"/>
      <c r="B41" s="84">
        <v>2019</v>
      </c>
      <c r="C41" s="508">
        <f t="shared" si="13"/>
        <v>158520.23747600001</v>
      </c>
      <c r="D41" s="85">
        <v>6802.6040000000003</v>
      </c>
      <c r="E41" s="85">
        <v>45682.03</v>
      </c>
      <c r="F41" s="86">
        <v>22209.3</v>
      </c>
      <c r="G41" s="86">
        <v>34192.199000000001</v>
      </c>
      <c r="H41" s="86">
        <v>18678.310541999999</v>
      </c>
      <c r="I41" s="85">
        <v>30938.184000000001</v>
      </c>
      <c r="J41" s="86">
        <v>17.609934000000003</v>
      </c>
      <c r="K41" s="85">
        <v>991.69</v>
      </c>
      <c r="L41" s="85">
        <v>21736.754000000001</v>
      </c>
      <c r="M41" s="86">
        <v>2526.1025</v>
      </c>
      <c r="N41" s="85">
        <v>33298.32</v>
      </c>
      <c r="O41" s="85">
        <v>47216.24</v>
      </c>
    </row>
    <row r="42" spans="1:15" ht="12" customHeight="1" x14ac:dyDescent="0.2">
      <c r="A42" s="679"/>
      <c r="B42" s="84">
        <v>2020</v>
      </c>
      <c r="C42" s="508">
        <f t="shared" si="13"/>
        <v>142516.74825599999</v>
      </c>
      <c r="D42" s="85">
        <v>22481.86</v>
      </c>
      <c r="E42" s="3">
        <v>3253.92</v>
      </c>
      <c r="F42" s="86">
        <v>31845.703000000001</v>
      </c>
      <c r="G42" s="86">
        <v>16711.072255999999</v>
      </c>
      <c r="H42" s="86">
        <v>20547.150000000001</v>
      </c>
      <c r="I42" s="85">
        <v>33323.247000000003</v>
      </c>
      <c r="J42" s="86">
        <v>14353.795999999998</v>
      </c>
      <c r="K42" s="85">
        <v>5392.15</v>
      </c>
      <c r="L42" s="85">
        <v>1381.88</v>
      </c>
      <c r="M42" s="86">
        <v>30170.75</v>
      </c>
      <c r="N42" s="85">
        <v>31071.623999999996</v>
      </c>
      <c r="O42" s="85">
        <v>40278.552999999993</v>
      </c>
    </row>
    <row r="43" spans="1:15" ht="12" customHeight="1" x14ac:dyDescent="0.2">
      <c r="A43" s="679"/>
      <c r="B43" s="84">
        <v>2021</v>
      </c>
      <c r="C43" s="508">
        <f t="shared" si="13"/>
        <v>161543.55300000001</v>
      </c>
      <c r="D43" s="3">
        <v>312</v>
      </c>
      <c r="E43" s="3">
        <v>231.91499999999999</v>
      </c>
      <c r="F43" s="86">
        <v>51278.99</v>
      </c>
      <c r="G43" s="86">
        <v>37105.481</v>
      </c>
      <c r="H43" s="86">
        <v>23530.035</v>
      </c>
      <c r="I43" s="85">
        <v>1430</v>
      </c>
      <c r="J43" s="86">
        <v>47655.131999999998</v>
      </c>
      <c r="K43" s="85">
        <v>60.175550000000001</v>
      </c>
      <c r="L43" s="85">
        <v>20668.918239999995</v>
      </c>
      <c r="M43" s="86">
        <v>31906.489999999998</v>
      </c>
      <c r="N43" s="85">
        <v>16368.991</v>
      </c>
      <c r="O43" s="85">
        <v>25993.802</v>
      </c>
    </row>
    <row r="44" spans="1:15" ht="12" customHeight="1" x14ac:dyDescent="0.2">
      <c r="A44" s="679"/>
      <c r="B44" s="84">
        <v>2022</v>
      </c>
      <c r="C44" s="508">
        <f t="shared" si="13"/>
        <v>215127.27180999998</v>
      </c>
      <c r="D44" s="85">
        <v>31217.99</v>
      </c>
      <c r="E44" s="3">
        <v>46381.099999999991</v>
      </c>
      <c r="F44" s="86">
        <v>65133.850000000006</v>
      </c>
      <c r="G44" s="86">
        <v>336.97218999999996</v>
      </c>
      <c r="H44" s="86">
        <v>31559.257999999998</v>
      </c>
      <c r="I44" s="85">
        <v>1348.732</v>
      </c>
      <c r="J44" s="86">
        <v>39149.36961999999</v>
      </c>
      <c r="K44" s="85">
        <v>23208.720000000001</v>
      </c>
      <c r="L44" s="85">
        <v>31454.190000000002</v>
      </c>
      <c r="M44" s="86">
        <v>15256.006090000001</v>
      </c>
      <c r="N44" s="85">
        <v>2.2120000000000001E-2</v>
      </c>
      <c r="O44" s="85">
        <v>30459.893039999999</v>
      </c>
    </row>
    <row r="45" spans="1:15" ht="12" customHeight="1" x14ac:dyDescent="0.2">
      <c r="A45" s="679"/>
      <c r="B45" s="84">
        <v>2023</v>
      </c>
      <c r="C45" s="508">
        <f t="shared" si="13"/>
        <v>165645.70199</v>
      </c>
      <c r="D45" s="85">
        <v>44357.65</v>
      </c>
      <c r="E45" s="3">
        <v>41562.362000000001</v>
      </c>
      <c r="F45" s="86">
        <v>30988.637050000001</v>
      </c>
      <c r="G45" s="86">
        <v>27</v>
      </c>
      <c r="H45" s="86">
        <v>260.95999999999998</v>
      </c>
      <c r="I45" s="85">
        <v>37847.442940000001</v>
      </c>
      <c r="J45" s="86">
        <v>10601.649999999998</v>
      </c>
      <c r="K45" s="85">
        <v>15007.300000000001</v>
      </c>
      <c r="L45" s="85">
        <v>26740.232580000004</v>
      </c>
      <c r="M45" s="86">
        <v>148.02726999999999</v>
      </c>
      <c r="N45" s="85">
        <v>48907.558000000012</v>
      </c>
      <c r="O45" s="85">
        <v>37183.449999999997</v>
      </c>
    </row>
    <row r="46" spans="1:15" ht="12" customHeight="1" x14ac:dyDescent="0.2">
      <c r="A46" s="679"/>
      <c r="B46" s="84">
        <v>2024</v>
      </c>
      <c r="C46" s="508">
        <f t="shared" si="13"/>
        <v>229725.54741</v>
      </c>
      <c r="D46" s="85">
        <v>30866.730000000003</v>
      </c>
      <c r="E46" s="85">
        <v>64936.147260000005</v>
      </c>
      <c r="F46" s="86">
        <v>30612.11</v>
      </c>
      <c r="G46" s="86">
        <v>4635.9799999999996</v>
      </c>
      <c r="H46" s="86">
        <v>20665.714499999998</v>
      </c>
      <c r="I46" s="85">
        <v>49376.35</v>
      </c>
      <c r="J46" s="86">
        <v>28632.515649999998</v>
      </c>
      <c r="K46" s="85">
        <v>295.60000000000002</v>
      </c>
      <c r="L46" s="85">
        <v>30928.04</v>
      </c>
      <c r="M46" s="86">
        <v>37542.630000000005</v>
      </c>
      <c r="N46" s="85">
        <v>27426</v>
      </c>
      <c r="O46" s="85">
        <v>28537</v>
      </c>
    </row>
    <row r="47" spans="1:15" ht="12" customHeight="1" x14ac:dyDescent="0.2">
      <c r="A47" s="680"/>
      <c r="B47" s="84">
        <v>2025</v>
      </c>
      <c r="C47" s="509">
        <f t="shared" si="13"/>
        <v>195965.69692000002</v>
      </c>
      <c r="D47" s="85">
        <v>65301.180000000008</v>
      </c>
      <c r="E47" s="85">
        <v>48</v>
      </c>
      <c r="F47" s="85">
        <v>30439.216919999999</v>
      </c>
      <c r="G47" s="85">
        <v>1600</v>
      </c>
      <c r="H47" s="85">
        <v>45040.30000000001</v>
      </c>
      <c r="I47" s="85">
        <v>52355</v>
      </c>
      <c r="J47" s="86">
        <v>1182</v>
      </c>
      <c r="K47" s="85"/>
      <c r="L47" s="85"/>
      <c r="M47" s="86"/>
      <c r="N47" s="85"/>
      <c r="O47" s="85"/>
    </row>
    <row r="48" spans="1:15" ht="12" customHeight="1" x14ac:dyDescent="0.2">
      <c r="A48" s="678" t="s">
        <v>48</v>
      </c>
      <c r="B48" s="81">
        <v>2015</v>
      </c>
      <c r="C48" s="508">
        <f t="shared" si="13"/>
        <v>87604.457500000004</v>
      </c>
      <c r="D48" s="82">
        <v>29358.352999999999</v>
      </c>
      <c r="E48" s="83">
        <v>429.04</v>
      </c>
      <c r="F48" s="83">
        <v>10337.530000000001</v>
      </c>
      <c r="G48" s="83">
        <v>0</v>
      </c>
      <c r="H48" s="83">
        <v>15253.703</v>
      </c>
      <c r="I48" s="83">
        <v>23797.249500000002</v>
      </c>
      <c r="J48" s="83">
        <v>8428.5820000000003</v>
      </c>
      <c r="K48" s="82">
        <v>11102.568499999999</v>
      </c>
      <c r="L48" s="83">
        <v>26141.469000000001</v>
      </c>
      <c r="M48" s="83">
        <v>0</v>
      </c>
      <c r="N48" s="82">
        <v>14252.7225</v>
      </c>
      <c r="O48" s="82">
        <v>30797.675999999999</v>
      </c>
    </row>
    <row r="49" spans="1:15" ht="12" customHeight="1" x14ac:dyDescent="0.2">
      <c r="A49" s="679"/>
      <c r="B49" s="84">
        <v>2016</v>
      </c>
      <c r="C49" s="508">
        <f t="shared" si="13"/>
        <v>79605.659499999994</v>
      </c>
      <c r="D49" s="85">
        <v>1982.723</v>
      </c>
      <c r="E49" s="86">
        <v>16567.873</v>
      </c>
      <c r="F49" s="86">
        <v>1985.9860000000001</v>
      </c>
      <c r="G49" s="86">
        <v>7860.11</v>
      </c>
      <c r="H49" s="86">
        <v>16685.990000000002</v>
      </c>
      <c r="I49" s="86">
        <v>18429.669999999998</v>
      </c>
      <c r="J49" s="86">
        <v>16093.307500000001</v>
      </c>
      <c r="K49" s="85">
        <v>12273.24</v>
      </c>
      <c r="L49" s="86">
        <v>16111.181</v>
      </c>
      <c r="M49" s="86">
        <v>32953.256000000001</v>
      </c>
      <c r="N49" s="85">
        <v>40039.656000000003</v>
      </c>
      <c r="O49" s="85">
        <v>8021.2950000000001</v>
      </c>
    </row>
    <row r="50" spans="1:15" ht="12" customHeight="1" x14ac:dyDescent="0.2">
      <c r="A50" s="679"/>
      <c r="B50" s="84">
        <v>2017</v>
      </c>
      <c r="C50" s="508">
        <f t="shared" si="13"/>
        <v>85275.850183000002</v>
      </c>
      <c r="D50" s="85">
        <v>17523.392183</v>
      </c>
      <c r="E50" s="86">
        <v>0</v>
      </c>
      <c r="F50" s="86">
        <v>34518.31</v>
      </c>
      <c r="G50" s="86">
        <v>16275.191999999999</v>
      </c>
      <c r="H50" s="86">
        <v>5507.3760000000002</v>
      </c>
      <c r="I50" s="86">
        <v>10922.05</v>
      </c>
      <c r="J50" s="86">
        <v>529.53</v>
      </c>
      <c r="K50" s="85">
        <v>37297.571468999995</v>
      </c>
      <c r="L50" s="86">
        <v>6675.4930000000004</v>
      </c>
      <c r="M50" s="86">
        <v>33016.31</v>
      </c>
      <c r="N50" s="85">
        <v>7342.6210000000001</v>
      </c>
      <c r="O50" s="85">
        <v>47840.451999999997</v>
      </c>
    </row>
    <row r="51" spans="1:15" ht="12" customHeight="1" x14ac:dyDescent="0.2">
      <c r="A51" s="679"/>
      <c r="B51" s="84">
        <v>2018</v>
      </c>
      <c r="C51" s="508">
        <f t="shared" si="13"/>
        <v>82965.740999999995</v>
      </c>
      <c r="D51" s="85">
        <v>19.399999999999999</v>
      </c>
      <c r="E51" s="86">
        <v>0</v>
      </c>
      <c r="F51" s="85">
        <v>32964.381999999998</v>
      </c>
      <c r="G51" s="85">
        <v>2584.886</v>
      </c>
      <c r="H51" s="86">
        <v>0</v>
      </c>
      <c r="I51" s="85">
        <v>49.712000000000003</v>
      </c>
      <c r="J51" s="85">
        <v>47347.360999999997</v>
      </c>
      <c r="K51" s="85">
        <v>23818.550999999999</v>
      </c>
      <c r="L51" s="86">
        <v>4603.3890000000001</v>
      </c>
      <c r="M51" s="86">
        <v>16292.180279999999</v>
      </c>
      <c r="N51" s="85">
        <v>4491.1899999999996</v>
      </c>
      <c r="O51" s="85">
        <v>30449.463</v>
      </c>
    </row>
    <row r="52" spans="1:15" ht="12" customHeight="1" x14ac:dyDescent="0.2">
      <c r="A52" s="679"/>
      <c r="B52" s="84">
        <v>2019</v>
      </c>
      <c r="C52" s="508">
        <f t="shared" si="13"/>
        <v>96406.263000000006</v>
      </c>
      <c r="D52" s="85">
        <v>1403.8215</v>
      </c>
      <c r="E52" s="86">
        <v>10498.653</v>
      </c>
      <c r="F52" s="85">
        <v>16493.317500000001</v>
      </c>
      <c r="G52" s="86">
        <v>36559.428999999996</v>
      </c>
      <c r="H52" s="86">
        <v>28747.01</v>
      </c>
      <c r="I52" s="85">
        <v>2679.0320000000002</v>
      </c>
      <c r="J52" s="86">
        <v>25</v>
      </c>
      <c r="K52" s="85">
        <v>28263.912</v>
      </c>
      <c r="L52" s="86">
        <v>13236.504000000001</v>
      </c>
      <c r="M52" s="86">
        <v>6058.8360499999999</v>
      </c>
      <c r="N52" s="85">
        <v>36510.410000000003</v>
      </c>
      <c r="O52" s="85">
        <v>9252.7984290000004</v>
      </c>
    </row>
    <row r="53" spans="1:15" ht="12" customHeight="1" x14ac:dyDescent="0.2">
      <c r="A53" s="679"/>
      <c r="B53" s="84">
        <v>2020</v>
      </c>
      <c r="C53" s="508">
        <f t="shared" si="13"/>
        <v>99619.532000000007</v>
      </c>
      <c r="D53" s="85">
        <v>2901.91</v>
      </c>
      <c r="E53" s="85">
        <v>19022.465</v>
      </c>
      <c r="F53" s="85">
        <v>1E-3</v>
      </c>
      <c r="G53" s="86">
        <v>14047.47</v>
      </c>
      <c r="H53" s="86">
        <v>43832.156000000003</v>
      </c>
      <c r="I53" s="85">
        <v>2205.77</v>
      </c>
      <c r="J53" s="86">
        <v>17609.760000000002</v>
      </c>
      <c r="K53" s="85">
        <v>30583.25</v>
      </c>
      <c r="L53" s="86">
        <v>15579.98</v>
      </c>
      <c r="M53" s="86">
        <v>55212.966</v>
      </c>
      <c r="N53" s="85">
        <v>24899.940000000002</v>
      </c>
      <c r="O53" s="85">
        <v>22422.070000000003</v>
      </c>
    </row>
    <row r="54" spans="1:15" ht="12" customHeight="1" x14ac:dyDescent="0.2">
      <c r="A54" s="679"/>
      <c r="B54" s="84">
        <v>2021</v>
      </c>
      <c r="C54" s="508">
        <f t="shared" si="13"/>
        <v>42374.519</v>
      </c>
      <c r="D54" s="85">
        <v>3.0000000000000001E-3</v>
      </c>
      <c r="E54" s="85">
        <v>3.0000000000000001E-3</v>
      </c>
      <c r="F54" s="85">
        <v>3.0000000000000001E-3</v>
      </c>
      <c r="G54" s="85">
        <v>3073</v>
      </c>
      <c r="H54" s="86">
        <v>16332.480000000001</v>
      </c>
      <c r="I54" s="85">
        <v>14501</v>
      </c>
      <c r="J54" s="3">
        <v>8468.0300000000007</v>
      </c>
      <c r="K54" s="3">
        <v>69</v>
      </c>
      <c r="L54" s="86">
        <v>42479.409999999996</v>
      </c>
      <c r="M54" s="86">
        <v>2233.6</v>
      </c>
      <c r="N54" s="85">
        <v>19971.319999999992</v>
      </c>
      <c r="O54" s="85">
        <v>20253.820000000003</v>
      </c>
    </row>
    <row r="55" spans="1:15" ht="12" customHeight="1" x14ac:dyDescent="0.2">
      <c r="A55" s="679"/>
      <c r="B55" s="84">
        <v>2022</v>
      </c>
      <c r="C55" s="508">
        <f t="shared" si="13"/>
        <v>31880.6895</v>
      </c>
      <c r="D55" s="85">
        <v>3.0000000000000001E-3</v>
      </c>
      <c r="E55" s="88">
        <v>800</v>
      </c>
      <c r="F55" s="88">
        <v>500.03849999999983</v>
      </c>
      <c r="G55" s="88">
        <v>73.08</v>
      </c>
      <c r="H55" s="88">
        <v>29.37</v>
      </c>
      <c r="I55" s="88">
        <v>4145.9360000000006</v>
      </c>
      <c r="J55" s="89">
        <v>26332.262000000002</v>
      </c>
      <c r="K55" s="88">
        <v>16756.490000000002</v>
      </c>
      <c r="L55" s="88">
        <v>6339.692</v>
      </c>
      <c r="M55" s="88">
        <v>10843.004999999999</v>
      </c>
      <c r="N55" s="89">
        <v>3953.89</v>
      </c>
      <c r="O55" s="88">
        <v>25320.909769999998</v>
      </c>
    </row>
    <row r="56" spans="1:15" ht="12" customHeight="1" x14ac:dyDescent="0.2">
      <c r="A56" s="679"/>
      <c r="B56" s="84">
        <v>2023</v>
      </c>
      <c r="C56" s="508">
        <f>SUM(D56:J56)</f>
        <v>61862.606999999996</v>
      </c>
      <c r="D56" s="85">
        <v>1038.8860000000002</v>
      </c>
      <c r="E56" s="88">
        <v>12681</v>
      </c>
      <c r="F56" s="88">
        <v>3431.1800000000003</v>
      </c>
      <c r="G56" s="88">
        <v>6669.9199999999992</v>
      </c>
      <c r="H56" s="88">
        <v>6699.8600000000006</v>
      </c>
      <c r="I56" s="88">
        <v>17847.251</v>
      </c>
      <c r="J56" s="89">
        <v>13494.51</v>
      </c>
      <c r="K56" s="88">
        <v>25103.49</v>
      </c>
      <c r="L56" s="88">
        <v>28137.472000000002</v>
      </c>
      <c r="M56" s="88">
        <v>947.77320000000009</v>
      </c>
      <c r="N56" s="89">
        <v>15424.625999999998</v>
      </c>
      <c r="O56" s="88">
        <v>2.12262</v>
      </c>
    </row>
    <row r="57" spans="1:15" ht="12" customHeight="1" x14ac:dyDescent="0.2">
      <c r="A57" s="679"/>
      <c r="B57" s="84">
        <v>2024</v>
      </c>
      <c r="C57" s="508">
        <f t="shared" si="13"/>
        <v>132163.09927999999</v>
      </c>
      <c r="D57" s="85">
        <v>25022.5</v>
      </c>
      <c r="E57" s="85">
        <v>22202.2935</v>
      </c>
      <c r="F57" s="88">
        <v>11124.428779999998</v>
      </c>
      <c r="G57" s="88">
        <v>24457.689999999995</v>
      </c>
      <c r="H57" s="88">
        <v>1</v>
      </c>
      <c r="I57" s="88">
        <v>17863.586999999996</v>
      </c>
      <c r="J57" s="89">
        <v>31491.600000000006</v>
      </c>
      <c r="K57" s="88">
        <v>5891.08</v>
      </c>
      <c r="L57" s="88">
        <v>6920.42</v>
      </c>
      <c r="M57" s="88">
        <v>24459.75</v>
      </c>
      <c r="N57" s="89">
        <v>8557</v>
      </c>
      <c r="O57" s="88">
        <v>7397</v>
      </c>
    </row>
    <row r="58" spans="1:15" ht="12" customHeight="1" x14ac:dyDescent="0.2">
      <c r="A58" s="680"/>
      <c r="B58" s="90">
        <v>2025</v>
      </c>
      <c r="C58" s="509">
        <f t="shared" si="13"/>
        <v>120755</v>
      </c>
      <c r="D58" s="557">
        <v>56309</v>
      </c>
      <c r="E58" s="87">
        <v>25</v>
      </c>
      <c r="F58" s="87">
        <v>6069</v>
      </c>
      <c r="G58" s="87">
        <v>26013</v>
      </c>
      <c r="H58" s="87">
        <v>1879</v>
      </c>
      <c r="I58" s="87">
        <v>500</v>
      </c>
      <c r="J58" s="87">
        <v>29960</v>
      </c>
      <c r="K58" s="91"/>
      <c r="L58" s="88"/>
      <c r="M58" s="88"/>
      <c r="N58" s="89"/>
      <c r="O58" s="88"/>
    </row>
    <row r="59" spans="1:15" ht="12" customHeight="1" x14ac:dyDescent="0.2">
      <c r="A59" s="92"/>
      <c r="B59" s="97"/>
      <c r="C59" s="93"/>
      <c r="D59" s="98"/>
      <c r="E59" s="99"/>
      <c r="F59" s="99"/>
      <c r="G59" s="99"/>
      <c r="H59" s="99"/>
      <c r="I59" s="99"/>
      <c r="J59" s="100"/>
      <c r="K59" s="99"/>
      <c r="L59" s="94"/>
      <c r="M59" s="94"/>
      <c r="N59" s="95"/>
      <c r="O59" s="6" t="s">
        <v>26</v>
      </c>
    </row>
    <row r="60" spans="1:15" ht="12" customHeight="1" x14ac:dyDescent="0.2">
      <c r="A60" s="96" t="s">
        <v>133</v>
      </c>
      <c r="B60" s="97"/>
      <c r="C60" s="93"/>
      <c r="D60" s="98"/>
      <c r="E60" s="99"/>
      <c r="F60" s="99"/>
      <c r="G60" s="99"/>
      <c r="H60" s="99"/>
      <c r="I60" s="99"/>
      <c r="J60" s="100"/>
      <c r="K60" s="99"/>
      <c r="L60" s="99"/>
      <c r="M60" s="99"/>
      <c r="N60" s="100"/>
      <c r="O60" s="99"/>
    </row>
    <row r="61" spans="1:15" ht="18" customHeight="1" x14ac:dyDescent="0.2">
      <c r="A61" s="225" t="s">
        <v>56</v>
      </c>
      <c r="B61" s="226" t="s">
        <v>96</v>
      </c>
      <c r="C61" s="227" t="s">
        <v>535</v>
      </c>
      <c r="D61" s="228" t="s">
        <v>97</v>
      </c>
      <c r="E61" s="225" t="s">
        <v>98</v>
      </c>
      <c r="F61" s="225" t="s">
        <v>99</v>
      </c>
      <c r="G61" s="225" t="s">
        <v>100</v>
      </c>
      <c r="H61" s="225" t="s">
        <v>101</v>
      </c>
      <c r="I61" s="225" t="s">
        <v>102</v>
      </c>
      <c r="J61" s="225" t="s">
        <v>103</v>
      </c>
      <c r="K61" s="225" t="s">
        <v>104</v>
      </c>
      <c r="L61" s="225" t="s">
        <v>105</v>
      </c>
      <c r="M61" s="225" t="s">
        <v>106</v>
      </c>
      <c r="N61" s="225" t="s">
        <v>107</v>
      </c>
      <c r="O61" s="225" t="s">
        <v>108</v>
      </c>
    </row>
    <row r="62" spans="1:15" ht="18" hidden="1" customHeight="1" x14ac:dyDescent="0.2">
      <c r="A62" s="101"/>
      <c r="B62" s="101"/>
      <c r="C62" s="102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</row>
    <row r="63" spans="1:15" ht="3" customHeight="1" x14ac:dyDescent="0.2">
      <c r="A63" s="4"/>
      <c r="B63" s="4"/>
      <c r="C63" s="2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2" customHeight="1" x14ac:dyDescent="0.2">
      <c r="A64" s="679" t="s">
        <v>134</v>
      </c>
      <c r="B64" s="84">
        <v>2015</v>
      </c>
      <c r="C64" s="508">
        <f>SUM(D64:J64)</f>
        <v>1736.1439999999998</v>
      </c>
      <c r="D64" s="85">
        <v>0</v>
      </c>
      <c r="E64" s="86">
        <v>407.005</v>
      </c>
      <c r="F64" s="86">
        <v>121.51</v>
      </c>
      <c r="G64" s="86">
        <v>236.79</v>
      </c>
      <c r="H64" s="86">
        <v>419.66300000000001</v>
      </c>
      <c r="I64" s="86">
        <v>4.0640000000000001</v>
      </c>
      <c r="J64" s="86">
        <v>547.11199999999997</v>
      </c>
      <c r="K64" s="86">
        <v>270</v>
      </c>
      <c r="L64" s="86">
        <v>0</v>
      </c>
      <c r="M64" s="86">
        <v>164.86</v>
      </c>
      <c r="N64" s="86">
        <v>0</v>
      </c>
      <c r="O64" s="86">
        <v>0</v>
      </c>
    </row>
    <row r="65" spans="1:15" ht="12" customHeight="1" x14ac:dyDescent="0.2">
      <c r="A65" s="679"/>
      <c r="B65" s="84">
        <v>2016</v>
      </c>
      <c r="C65" s="508">
        <f t="shared" ref="C65:C107" si="14">SUM(D65:J65)</f>
        <v>2390.9641470000001</v>
      </c>
      <c r="D65" s="85">
        <v>215.60499999999999</v>
      </c>
      <c r="E65" s="103">
        <v>0</v>
      </c>
      <c r="F65" s="86">
        <v>24.869147000000002</v>
      </c>
      <c r="G65" s="86">
        <v>100</v>
      </c>
      <c r="H65" s="86">
        <v>804.76499999999999</v>
      </c>
      <c r="I65" s="86">
        <v>714.08500000000004</v>
      </c>
      <c r="J65" s="86">
        <v>531.64</v>
      </c>
      <c r="K65" s="103">
        <v>0</v>
      </c>
      <c r="L65" s="86">
        <v>471.74</v>
      </c>
      <c r="M65" s="86">
        <v>750.84500000000003</v>
      </c>
      <c r="N65" s="86">
        <v>125.18161900000001</v>
      </c>
      <c r="O65" s="103">
        <v>0</v>
      </c>
    </row>
    <row r="66" spans="1:15" ht="12" customHeight="1" x14ac:dyDescent="0.2">
      <c r="A66" s="679"/>
      <c r="B66" s="84">
        <v>2017</v>
      </c>
      <c r="C66" s="508">
        <f t="shared" si="14"/>
        <v>4236.0330519999998</v>
      </c>
      <c r="D66" s="85">
        <v>1157.0700000000002</v>
      </c>
      <c r="E66" s="86">
        <v>1077.27</v>
      </c>
      <c r="F66" s="86">
        <v>673.06600000000003</v>
      </c>
      <c r="G66" s="86">
        <v>314.65705200000002</v>
      </c>
      <c r="H66" s="86">
        <v>504.34</v>
      </c>
      <c r="I66" s="86">
        <v>360</v>
      </c>
      <c r="J66" s="86">
        <v>149.63</v>
      </c>
      <c r="K66" s="103">
        <v>0</v>
      </c>
      <c r="L66" s="86">
        <v>168</v>
      </c>
      <c r="M66" s="85">
        <v>25.21</v>
      </c>
      <c r="N66" s="86">
        <v>253.66769199999999</v>
      </c>
      <c r="O66" s="86">
        <v>624.16999999999996</v>
      </c>
    </row>
    <row r="67" spans="1:15" ht="12" customHeight="1" x14ac:dyDescent="0.2">
      <c r="A67" s="679"/>
      <c r="B67" s="84">
        <v>2018</v>
      </c>
      <c r="C67" s="508">
        <f t="shared" si="14"/>
        <v>1105.3710000000001</v>
      </c>
      <c r="D67" s="85">
        <v>191.76499999999999</v>
      </c>
      <c r="E67" s="86">
        <v>0</v>
      </c>
      <c r="F67" s="86">
        <v>0</v>
      </c>
      <c r="G67" s="86">
        <v>0</v>
      </c>
      <c r="H67" s="86">
        <v>0</v>
      </c>
      <c r="I67" s="85">
        <v>309</v>
      </c>
      <c r="J67" s="86">
        <v>604.60599999999999</v>
      </c>
      <c r="K67" s="85">
        <v>380.58000000000004</v>
      </c>
      <c r="L67" s="86">
        <v>71.650000000000006</v>
      </c>
      <c r="M67" s="85">
        <v>995.03</v>
      </c>
      <c r="N67" s="85">
        <v>1.01</v>
      </c>
      <c r="O67" s="86">
        <v>349.61</v>
      </c>
    </row>
    <row r="68" spans="1:15" ht="12" customHeight="1" x14ac:dyDescent="0.2">
      <c r="A68" s="679"/>
      <c r="B68" s="84">
        <v>2019</v>
      </c>
      <c r="C68" s="508">
        <f t="shared" si="14"/>
        <v>1347.89678</v>
      </c>
      <c r="D68" s="104">
        <v>365.52</v>
      </c>
      <c r="E68" s="103">
        <v>24</v>
      </c>
      <c r="F68" s="104">
        <v>373.97</v>
      </c>
      <c r="G68" s="104">
        <v>226.595</v>
      </c>
      <c r="H68" s="104">
        <v>103.96</v>
      </c>
      <c r="I68" s="104">
        <v>250.52</v>
      </c>
      <c r="J68" s="104">
        <v>3.3317800000000002</v>
      </c>
      <c r="K68" s="103">
        <v>0</v>
      </c>
      <c r="L68" s="104">
        <v>1953.31</v>
      </c>
      <c r="M68" s="104">
        <v>148.80000000000001</v>
      </c>
      <c r="N68" s="104">
        <v>48.036000000000001</v>
      </c>
      <c r="O68" s="103">
        <v>0</v>
      </c>
    </row>
    <row r="69" spans="1:15" ht="12" customHeight="1" x14ac:dyDescent="0.2">
      <c r="A69" s="679"/>
      <c r="B69" s="84">
        <v>2020</v>
      </c>
      <c r="C69" s="508">
        <f t="shared" si="14"/>
        <v>1498.6399999999999</v>
      </c>
      <c r="D69" s="103">
        <v>104</v>
      </c>
      <c r="E69" s="86">
        <v>0</v>
      </c>
      <c r="F69" s="86">
        <v>0</v>
      </c>
      <c r="G69" s="104">
        <v>199.4</v>
      </c>
      <c r="H69" s="103">
        <v>24</v>
      </c>
      <c r="I69" s="105">
        <v>470.53999999999996</v>
      </c>
      <c r="J69" s="104">
        <v>700.7</v>
      </c>
      <c r="K69" s="86">
        <v>0</v>
      </c>
      <c r="L69" s="104">
        <v>5072.37</v>
      </c>
      <c r="M69" s="104">
        <v>2324.92</v>
      </c>
      <c r="N69" s="104">
        <v>24.4</v>
      </c>
      <c r="O69" s="103">
        <v>250</v>
      </c>
    </row>
    <row r="70" spans="1:15" ht="12" customHeight="1" x14ac:dyDescent="0.2">
      <c r="A70" s="679"/>
      <c r="B70" s="84">
        <v>2021</v>
      </c>
      <c r="C70" s="508">
        <f t="shared" si="14"/>
        <v>0</v>
      </c>
      <c r="D70" s="86">
        <v>0</v>
      </c>
      <c r="E70" s="86">
        <v>0</v>
      </c>
      <c r="F70" s="86">
        <v>0</v>
      </c>
      <c r="G70" s="86">
        <v>0</v>
      </c>
      <c r="H70" s="86">
        <v>0</v>
      </c>
      <c r="I70" s="86">
        <v>0</v>
      </c>
      <c r="J70" s="86">
        <v>0</v>
      </c>
      <c r="K70" s="86">
        <v>0</v>
      </c>
      <c r="L70" s="104">
        <v>0</v>
      </c>
      <c r="M70" s="104">
        <v>0</v>
      </c>
      <c r="N70" s="104">
        <v>0</v>
      </c>
      <c r="O70" s="104">
        <v>0</v>
      </c>
    </row>
    <row r="71" spans="1:15" ht="12" customHeight="1" x14ac:dyDescent="0.2">
      <c r="A71" s="679"/>
      <c r="B71" s="84">
        <v>2022</v>
      </c>
      <c r="C71" s="508">
        <f t="shared" si="14"/>
        <v>0</v>
      </c>
      <c r="D71" s="86">
        <v>0</v>
      </c>
      <c r="E71" s="86">
        <v>0</v>
      </c>
      <c r="F71" s="86">
        <v>0</v>
      </c>
      <c r="G71" s="86">
        <v>0</v>
      </c>
      <c r="H71" s="86">
        <v>0</v>
      </c>
      <c r="I71" s="86">
        <v>0</v>
      </c>
      <c r="J71" s="86">
        <v>0</v>
      </c>
      <c r="K71" s="86">
        <v>0</v>
      </c>
      <c r="L71" s="86">
        <v>0</v>
      </c>
      <c r="M71" s="86">
        <v>0</v>
      </c>
      <c r="N71" s="86">
        <v>0</v>
      </c>
      <c r="O71" s="86">
        <v>0</v>
      </c>
    </row>
    <row r="72" spans="1:15" ht="12" customHeight="1" x14ac:dyDescent="0.2">
      <c r="A72" s="679"/>
      <c r="B72" s="84">
        <v>2023</v>
      </c>
      <c r="C72" s="508">
        <f t="shared" si="14"/>
        <v>0</v>
      </c>
      <c r="D72" s="86">
        <v>0</v>
      </c>
      <c r="E72" s="86">
        <v>0</v>
      </c>
      <c r="F72" s="86">
        <v>0</v>
      </c>
      <c r="G72" s="86">
        <v>0</v>
      </c>
      <c r="H72" s="86">
        <v>0</v>
      </c>
      <c r="I72" s="86">
        <v>0</v>
      </c>
      <c r="J72" s="86">
        <v>0</v>
      </c>
      <c r="K72" s="86">
        <v>0</v>
      </c>
      <c r="L72" s="86">
        <v>0</v>
      </c>
      <c r="M72" s="86">
        <v>0</v>
      </c>
      <c r="N72" s="86">
        <v>0</v>
      </c>
      <c r="O72" s="86">
        <v>0</v>
      </c>
    </row>
    <row r="73" spans="1:15" ht="12" customHeight="1" x14ac:dyDescent="0.2">
      <c r="A73" s="679"/>
      <c r="B73" s="84">
        <v>2024</v>
      </c>
      <c r="C73" s="508">
        <f t="shared" si="14"/>
        <v>0</v>
      </c>
      <c r="D73" s="86">
        <v>0</v>
      </c>
      <c r="E73" s="86">
        <v>0</v>
      </c>
      <c r="F73" s="86">
        <v>0</v>
      </c>
      <c r="G73" s="86">
        <v>0</v>
      </c>
      <c r="H73" s="86">
        <v>0</v>
      </c>
      <c r="I73" s="86">
        <v>0</v>
      </c>
      <c r="J73" s="86">
        <v>0</v>
      </c>
      <c r="K73" s="86">
        <v>0</v>
      </c>
      <c r="L73" s="86">
        <v>0</v>
      </c>
      <c r="M73" s="86">
        <v>0</v>
      </c>
      <c r="N73" s="86">
        <v>0</v>
      </c>
      <c r="O73" s="86">
        <v>0</v>
      </c>
    </row>
    <row r="74" spans="1:15" ht="12" customHeight="1" x14ac:dyDescent="0.2">
      <c r="A74" s="680"/>
      <c r="B74" s="84">
        <v>2025</v>
      </c>
      <c r="C74" s="509">
        <f t="shared" si="14"/>
        <v>9136.494999999999</v>
      </c>
      <c r="D74" s="86">
        <v>250</v>
      </c>
      <c r="E74" s="86">
        <v>0</v>
      </c>
      <c r="F74" s="86">
        <v>0</v>
      </c>
      <c r="G74" s="86">
        <v>7890.11</v>
      </c>
      <c r="H74" s="86">
        <v>996.38499999999999</v>
      </c>
      <c r="I74" s="86">
        <v>0</v>
      </c>
      <c r="J74" s="86">
        <v>0</v>
      </c>
      <c r="K74" s="86"/>
      <c r="L74" s="86"/>
      <c r="M74" s="86"/>
      <c r="N74" s="86"/>
      <c r="O74" s="86"/>
    </row>
    <row r="75" spans="1:15" ht="12" customHeight="1" x14ac:dyDescent="0.2">
      <c r="A75" s="678" t="s">
        <v>50</v>
      </c>
      <c r="B75" s="81">
        <v>2015</v>
      </c>
      <c r="C75" s="508">
        <f t="shared" si="14"/>
        <v>63657.134999999995</v>
      </c>
      <c r="D75" s="82">
        <v>19613.815999999999</v>
      </c>
      <c r="E75" s="82">
        <v>8985.3649999999998</v>
      </c>
      <c r="F75" s="82">
        <v>8710.0400000000009</v>
      </c>
      <c r="G75" s="82">
        <v>11939.27</v>
      </c>
      <c r="H75" s="82">
        <v>1108.3399999999999</v>
      </c>
      <c r="I75" s="82">
        <v>13300.304</v>
      </c>
      <c r="J75" s="82">
        <v>0</v>
      </c>
      <c r="K75" s="82">
        <v>13031.252</v>
      </c>
      <c r="L75" s="82">
        <v>26926.34</v>
      </c>
      <c r="M75" s="83">
        <v>0</v>
      </c>
      <c r="N75" s="82">
        <v>4049.2806209999999</v>
      </c>
      <c r="O75" s="83">
        <v>0</v>
      </c>
    </row>
    <row r="76" spans="1:15" ht="12" customHeight="1" x14ac:dyDescent="0.2">
      <c r="A76" s="679"/>
      <c r="B76" s="84">
        <v>2016</v>
      </c>
      <c r="C76" s="508">
        <f t="shared" si="14"/>
        <v>41339.84475199999</v>
      </c>
      <c r="D76" s="85">
        <v>0</v>
      </c>
      <c r="E76" s="86">
        <v>16112.46</v>
      </c>
      <c r="F76" s="86">
        <v>8914.6027520000007</v>
      </c>
      <c r="G76" s="86">
        <v>7424.8019999999997</v>
      </c>
      <c r="H76" s="86">
        <v>2474.1799999999998</v>
      </c>
      <c r="I76" s="86">
        <v>3554.42</v>
      </c>
      <c r="J76" s="86">
        <v>2859.38</v>
      </c>
      <c r="K76" s="86">
        <v>25205.43</v>
      </c>
      <c r="L76" s="86">
        <v>9995.4140000000007</v>
      </c>
      <c r="M76" s="86">
        <v>0</v>
      </c>
      <c r="N76" s="86">
        <v>0</v>
      </c>
      <c r="O76" s="86">
        <v>3231.21</v>
      </c>
    </row>
    <row r="77" spans="1:15" ht="12" customHeight="1" x14ac:dyDescent="0.2">
      <c r="A77" s="679"/>
      <c r="B77" s="84">
        <v>2017</v>
      </c>
      <c r="C77" s="508">
        <f t="shared" si="14"/>
        <v>86298.385999999999</v>
      </c>
      <c r="D77" s="85">
        <v>33344.730000000003</v>
      </c>
      <c r="E77" s="86">
        <v>9573.6119999999992</v>
      </c>
      <c r="F77" s="86">
        <v>0</v>
      </c>
      <c r="G77" s="86">
        <v>15881.07</v>
      </c>
      <c r="H77" s="86">
        <v>4229.83</v>
      </c>
      <c r="I77" s="86">
        <v>23269.144</v>
      </c>
      <c r="J77" s="86">
        <v>0</v>
      </c>
      <c r="K77" s="86">
        <v>19468.470589</v>
      </c>
      <c r="L77" s="86">
        <v>1112.3339799999999</v>
      </c>
      <c r="M77" s="86">
        <v>0</v>
      </c>
      <c r="N77" s="86">
        <v>9420.7019999999993</v>
      </c>
      <c r="O77" s="86">
        <v>13954.87</v>
      </c>
    </row>
    <row r="78" spans="1:15" ht="12" customHeight="1" x14ac:dyDescent="0.2">
      <c r="A78" s="679"/>
      <c r="B78" s="84">
        <v>2018</v>
      </c>
      <c r="C78" s="508">
        <f t="shared" si="14"/>
        <v>65846.413058999999</v>
      </c>
      <c r="D78" s="85">
        <v>13129.72</v>
      </c>
      <c r="E78" s="86">
        <v>11800.787059</v>
      </c>
      <c r="F78" s="86">
        <v>22933.363499999999</v>
      </c>
      <c r="G78" s="86">
        <v>80.005499999999998</v>
      </c>
      <c r="H78" s="86">
        <v>14494.45</v>
      </c>
      <c r="I78" s="86">
        <v>1632.1189999999999</v>
      </c>
      <c r="J78" s="86">
        <v>1775.9680000000001</v>
      </c>
      <c r="K78" s="86">
        <v>4224.6580000000004</v>
      </c>
      <c r="L78" s="86">
        <v>16176.498</v>
      </c>
      <c r="M78" s="86">
        <v>18606.939200000001</v>
      </c>
      <c r="N78" s="86">
        <v>6500.6909599999999</v>
      </c>
      <c r="O78" s="86">
        <v>16800.101999999999</v>
      </c>
    </row>
    <row r="79" spans="1:15" ht="12" customHeight="1" x14ac:dyDescent="0.2">
      <c r="A79" s="679"/>
      <c r="B79" s="84">
        <v>2019</v>
      </c>
      <c r="C79" s="508">
        <f t="shared" si="14"/>
        <v>24169.300373999999</v>
      </c>
      <c r="D79" s="85">
        <v>310.22699999999998</v>
      </c>
      <c r="E79" s="86">
        <v>4763.5150000000003</v>
      </c>
      <c r="F79" s="86">
        <v>130</v>
      </c>
      <c r="G79" s="86">
        <v>22.472373999999999</v>
      </c>
      <c r="H79" s="86">
        <v>4013.2015000000001</v>
      </c>
      <c r="I79" s="86">
        <v>5.0000000000000001E-4</v>
      </c>
      <c r="J79" s="86">
        <v>14929.884</v>
      </c>
      <c r="K79" s="86">
        <v>7492.78</v>
      </c>
      <c r="L79" s="86">
        <v>19970.751499999998</v>
      </c>
      <c r="M79" s="86">
        <v>24208.75</v>
      </c>
      <c r="N79" s="86">
        <v>0</v>
      </c>
      <c r="O79" s="86">
        <v>9497.9699999999993</v>
      </c>
    </row>
    <row r="80" spans="1:15" ht="12" customHeight="1" x14ac:dyDescent="0.2">
      <c r="A80" s="679"/>
      <c r="B80" s="84">
        <v>2020</v>
      </c>
      <c r="C80" s="508">
        <f>SUM(D80:J80)</f>
        <v>97554.687590000001</v>
      </c>
      <c r="D80" s="85">
        <v>604.48</v>
      </c>
      <c r="E80" s="86">
        <v>9239.6425899999995</v>
      </c>
      <c r="F80" s="86">
        <v>19151.810000000001</v>
      </c>
      <c r="G80" s="86">
        <v>20908.078000000001</v>
      </c>
      <c r="H80" s="86">
        <v>8714.5969999999998</v>
      </c>
      <c r="I80" s="86">
        <v>4358.0200000000004</v>
      </c>
      <c r="J80" s="86">
        <v>34578.06</v>
      </c>
      <c r="K80" s="86">
        <v>935.17061000000001</v>
      </c>
      <c r="L80" s="86">
        <v>5944.9000000000005</v>
      </c>
      <c r="M80" s="86">
        <v>1888.66</v>
      </c>
      <c r="N80" s="86">
        <v>140</v>
      </c>
      <c r="O80" s="86">
        <v>37275.767999999996</v>
      </c>
    </row>
    <row r="81" spans="1:15" ht="12" customHeight="1" x14ac:dyDescent="0.2">
      <c r="A81" s="679"/>
      <c r="B81" s="84">
        <v>2021</v>
      </c>
      <c r="C81" s="508">
        <f t="shared" si="14"/>
        <v>76040.429000000004</v>
      </c>
      <c r="D81" s="85">
        <v>7692.98</v>
      </c>
      <c r="E81" s="86">
        <v>1490</v>
      </c>
      <c r="F81" s="106">
        <v>504</v>
      </c>
      <c r="G81" s="86">
        <v>20261.723999999998</v>
      </c>
      <c r="H81" s="86">
        <v>8101.5</v>
      </c>
      <c r="I81" s="86">
        <v>30955</v>
      </c>
      <c r="J81" s="86">
        <v>7035.2250000000004</v>
      </c>
      <c r="K81" s="86">
        <v>1727.46</v>
      </c>
      <c r="L81" s="86">
        <v>1.2E-2</v>
      </c>
      <c r="M81" s="86">
        <v>1678.3779999999999</v>
      </c>
      <c r="N81" s="86">
        <v>5766.8071899999995</v>
      </c>
      <c r="O81" s="86">
        <v>1.0000000000000001E-5</v>
      </c>
    </row>
    <row r="82" spans="1:15" ht="12" customHeight="1" x14ac:dyDescent="0.2">
      <c r="A82" s="679"/>
      <c r="B82" s="84">
        <v>2022</v>
      </c>
      <c r="C82" s="508">
        <f t="shared" si="14"/>
        <v>21759.366999999998</v>
      </c>
      <c r="D82" s="86">
        <v>0</v>
      </c>
      <c r="E82" s="86">
        <v>458.8</v>
      </c>
      <c r="F82" s="106">
        <v>168</v>
      </c>
      <c r="G82" s="86">
        <v>11649.472</v>
      </c>
      <c r="H82" s="86">
        <v>611.35</v>
      </c>
      <c r="I82" s="86">
        <v>8363.0319999999992</v>
      </c>
      <c r="J82" s="86">
        <v>508.71299999999997</v>
      </c>
      <c r="K82" s="86">
        <v>10928.742000000002</v>
      </c>
      <c r="L82" s="86">
        <v>16562.835829999996</v>
      </c>
      <c r="M82" s="86">
        <v>881.72700000000009</v>
      </c>
      <c r="N82" s="86">
        <v>7911.2710000000006</v>
      </c>
      <c r="O82" s="86">
        <v>7889.25</v>
      </c>
    </row>
    <row r="83" spans="1:15" ht="12" customHeight="1" x14ac:dyDescent="0.2">
      <c r="A83" s="679"/>
      <c r="B83" s="84">
        <v>2023</v>
      </c>
      <c r="C83" s="508">
        <f t="shared" si="14"/>
        <v>51295.621880000006</v>
      </c>
      <c r="D83" s="86">
        <v>3932.5549999999998</v>
      </c>
      <c r="E83" s="86">
        <v>9016.5</v>
      </c>
      <c r="F83" s="86">
        <v>7917.2800000000007</v>
      </c>
      <c r="G83" s="86">
        <v>20560.34</v>
      </c>
      <c r="H83" s="86">
        <v>432.00188000000003</v>
      </c>
      <c r="I83" s="86">
        <v>2161.2600000000002</v>
      </c>
      <c r="J83" s="86">
        <v>7275.6849999999995</v>
      </c>
      <c r="K83" s="86">
        <v>31579.819999999996</v>
      </c>
      <c r="L83" s="86">
        <v>2401.7600000000002</v>
      </c>
      <c r="M83" s="86">
        <v>5025.7929799999984</v>
      </c>
      <c r="N83" s="86">
        <v>15320</v>
      </c>
      <c r="O83" s="86">
        <v>1.2470000000000001</v>
      </c>
    </row>
    <row r="84" spans="1:15" ht="12" customHeight="1" x14ac:dyDescent="0.2">
      <c r="A84" s="679"/>
      <c r="B84" s="84">
        <v>2024</v>
      </c>
      <c r="C84" s="508">
        <f t="shared" si="14"/>
        <v>81870.575230000002</v>
      </c>
      <c r="D84" s="86">
        <v>10993.810000000001</v>
      </c>
      <c r="E84" s="86">
        <v>4670.523000000001</v>
      </c>
      <c r="F84" s="86">
        <v>8770.81</v>
      </c>
      <c r="G84" s="86">
        <v>5337.2910000000002</v>
      </c>
      <c r="H84" s="86">
        <v>25309.670000000002</v>
      </c>
      <c r="I84" s="86">
        <v>1136.47</v>
      </c>
      <c r="J84" s="86">
        <v>25652.001229999998</v>
      </c>
      <c r="K84" s="86">
        <v>6223.1050000000005</v>
      </c>
      <c r="L84" s="86">
        <v>13126.855000000001</v>
      </c>
      <c r="M84" s="86">
        <v>19032.34</v>
      </c>
      <c r="N84" s="86">
        <v>4968</v>
      </c>
      <c r="O84" s="86">
        <v>6860</v>
      </c>
    </row>
    <row r="85" spans="1:15" ht="12" customHeight="1" x14ac:dyDescent="0.2">
      <c r="A85" s="680"/>
      <c r="B85" s="90">
        <v>2025</v>
      </c>
      <c r="C85" s="509">
        <f t="shared" si="14"/>
        <v>76319</v>
      </c>
      <c r="D85" s="558">
        <v>555</v>
      </c>
      <c r="E85" s="107">
        <v>9538</v>
      </c>
      <c r="F85" s="107">
        <v>6148</v>
      </c>
      <c r="G85" s="107">
        <v>13587</v>
      </c>
      <c r="H85" s="107">
        <v>18212</v>
      </c>
      <c r="I85" s="107">
        <v>2574</v>
      </c>
      <c r="J85" s="107">
        <v>25705</v>
      </c>
      <c r="K85" s="107"/>
      <c r="L85" s="107"/>
      <c r="M85" s="107"/>
      <c r="N85" s="107"/>
      <c r="O85" s="107"/>
    </row>
    <row r="86" spans="1:15" ht="12" customHeight="1" x14ac:dyDescent="0.2">
      <c r="A86" s="678" t="s">
        <v>51</v>
      </c>
      <c r="B86" s="84">
        <v>2015</v>
      </c>
      <c r="C86" s="508">
        <f t="shared" si="14"/>
        <v>28878.966839000001</v>
      </c>
      <c r="D86" s="85">
        <v>3007.6480000000001</v>
      </c>
      <c r="E86" s="86">
        <v>7612.79</v>
      </c>
      <c r="F86" s="86">
        <v>3525.0030000000002</v>
      </c>
      <c r="G86" s="86">
        <v>2861.23</v>
      </c>
      <c r="H86" s="86">
        <v>2043.9108389999999</v>
      </c>
      <c r="I86" s="86">
        <v>4422.7110000000002</v>
      </c>
      <c r="J86" s="86">
        <v>5405.674</v>
      </c>
      <c r="K86" s="86">
        <v>1238.798</v>
      </c>
      <c r="L86" s="86">
        <v>2983.5219999999999</v>
      </c>
      <c r="M86" s="86">
        <v>285.96600000000001</v>
      </c>
      <c r="N86" s="86">
        <v>6115.2169999999996</v>
      </c>
      <c r="O86" s="86">
        <v>1458.835</v>
      </c>
    </row>
    <row r="87" spans="1:15" ht="12" customHeight="1" x14ac:dyDescent="0.2">
      <c r="A87" s="679"/>
      <c r="B87" s="84">
        <v>2016</v>
      </c>
      <c r="C87" s="508">
        <f t="shared" si="14"/>
        <v>21752.871131</v>
      </c>
      <c r="D87" s="85">
        <v>1859.5250000000001</v>
      </c>
      <c r="E87" s="85">
        <v>3276.33</v>
      </c>
      <c r="F87" s="85">
        <v>3056.83</v>
      </c>
      <c r="G87" s="85">
        <v>2493.7912149999997</v>
      </c>
      <c r="H87" s="85">
        <v>4638.0102200000001</v>
      </c>
      <c r="I87" s="85">
        <v>3075.792696</v>
      </c>
      <c r="J87" s="85">
        <v>3352.5920000000001</v>
      </c>
      <c r="K87" s="85">
        <v>3939.47</v>
      </c>
      <c r="L87" s="85">
        <v>4877.5349999999999</v>
      </c>
      <c r="M87" s="85">
        <v>3037.5549999999998</v>
      </c>
      <c r="N87" s="85">
        <v>5296.8850000000002</v>
      </c>
      <c r="O87" s="85">
        <v>7275.107</v>
      </c>
    </row>
    <row r="88" spans="1:15" ht="12" customHeight="1" x14ac:dyDescent="0.2">
      <c r="A88" s="679"/>
      <c r="B88" s="84">
        <v>2017</v>
      </c>
      <c r="C88" s="508">
        <f t="shared" si="14"/>
        <v>34042.627999999997</v>
      </c>
      <c r="D88" s="85">
        <v>3422.1419999999998</v>
      </c>
      <c r="E88" s="86">
        <v>6795.7744000000002</v>
      </c>
      <c r="F88" s="86">
        <v>3080.4140000000002</v>
      </c>
      <c r="G88" s="86">
        <v>2500.424</v>
      </c>
      <c r="H88" s="86">
        <v>7451.3005999999996</v>
      </c>
      <c r="I88" s="86">
        <v>7432.3410000000003</v>
      </c>
      <c r="J88" s="86">
        <v>3360.232</v>
      </c>
      <c r="K88" s="85">
        <v>2574.0300000000002</v>
      </c>
      <c r="L88" s="85">
        <v>4411.6409999999996</v>
      </c>
      <c r="M88" s="85">
        <v>5909.2179999999998</v>
      </c>
      <c r="N88" s="85">
        <v>6867.36</v>
      </c>
      <c r="O88" s="85">
        <v>8113.7505000000001</v>
      </c>
    </row>
    <row r="89" spans="1:15" ht="12" customHeight="1" x14ac:dyDescent="0.2">
      <c r="A89" s="679"/>
      <c r="B89" s="84">
        <v>2018</v>
      </c>
      <c r="C89" s="508">
        <f t="shared" si="14"/>
        <v>41913.542000000001</v>
      </c>
      <c r="D89" s="85">
        <v>8610.8310000000001</v>
      </c>
      <c r="E89" s="86">
        <v>1911.155</v>
      </c>
      <c r="F89" s="86">
        <v>5830.9170000000004</v>
      </c>
      <c r="G89" s="86">
        <v>4438.3149999999996</v>
      </c>
      <c r="H89" s="86">
        <v>5381.1859999999997</v>
      </c>
      <c r="I89" s="86">
        <v>11333.824000000001</v>
      </c>
      <c r="J89" s="86">
        <v>4407.3140000000003</v>
      </c>
      <c r="K89" s="85">
        <v>5727.6440000000002</v>
      </c>
      <c r="L89" s="85">
        <v>5612.0119999999997</v>
      </c>
      <c r="M89" s="85">
        <v>7205.098</v>
      </c>
      <c r="N89" s="85">
        <v>5393.3519999999999</v>
      </c>
      <c r="O89" s="85">
        <v>3610.4810000000007</v>
      </c>
    </row>
    <row r="90" spans="1:15" ht="12" customHeight="1" x14ac:dyDescent="0.2">
      <c r="A90" s="679"/>
      <c r="B90" s="84">
        <v>2019</v>
      </c>
      <c r="C90" s="508">
        <f t="shared" si="14"/>
        <v>43072.939500000008</v>
      </c>
      <c r="D90" s="85">
        <v>6146.09</v>
      </c>
      <c r="E90" s="86">
        <v>4917.3090000000002</v>
      </c>
      <c r="F90" s="86">
        <v>4880.7809999999999</v>
      </c>
      <c r="G90" s="86">
        <v>6920.1850000000004</v>
      </c>
      <c r="H90" s="86">
        <v>9713.3004999999994</v>
      </c>
      <c r="I90" s="86">
        <v>4984.0159999999996</v>
      </c>
      <c r="J90" s="86">
        <v>5511.2579999999998</v>
      </c>
      <c r="K90" s="85">
        <v>5195.9399999999996</v>
      </c>
      <c r="L90" s="85">
        <v>6444.4402499999997</v>
      </c>
      <c r="M90" s="85">
        <v>4559.0094000000008</v>
      </c>
      <c r="N90" s="85">
        <v>6493.9944999999998</v>
      </c>
      <c r="O90" s="85">
        <v>10397</v>
      </c>
    </row>
    <row r="91" spans="1:15" ht="12" customHeight="1" x14ac:dyDescent="0.2">
      <c r="A91" s="679"/>
      <c r="B91" s="84">
        <v>2020</v>
      </c>
      <c r="C91" s="508">
        <f t="shared" si="14"/>
        <v>41491.786780000002</v>
      </c>
      <c r="D91" s="85">
        <v>7792.8269999999993</v>
      </c>
      <c r="E91" s="3">
        <v>6485.18</v>
      </c>
      <c r="F91" s="86">
        <v>3020.67</v>
      </c>
      <c r="G91" s="86">
        <v>2275.05078</v>
      </c>
      <c r="H91" s="86">
        <v>7180.8349999999991</v>
      </c>
      <c r="I91" s="86">
        <v>4886.3209999999999</v>
      </c>
      <c r="J91" s="86">
        <v>9850.9030000000002</v>
      </c>
      <c r="K91" s="85">
        <v>4672.1009999999997</v>
      </c>
      <c r="L91" s="85">
        <v>7387.3140000000003</v>
      </c>
      <c r="M91" s="85">
        <v>7161.8044300000001</v>
      </c>
      <c r="N91" s="85">
        <v>15272.771000000001</v>
      </c>
      <c r="O91" s="85">
        <v>9339.3450000000012</v>
      </c>
    </row>
    <row r="92" spans="1:15" ht="12" customHeight="1" x14ac:dyDescent="0.2">
      <c r="A92" s="679"/>
      <c r="B92" s="84">
        <v>2021</v>
      </c>
      <c r="C92" s="508">
        <f t="shared" si="14"/>
        <v>39277.498500000009</v>
      </c>
      <c r="D92" s="85">
        <v>5030.3840000000009</v>
      </c>
      <c r="E92" s="3">
        <v>3898.6369999999997</v>
      </c>
      <c r="F92" s="86">
        <v>6848.5745000000006</v>
      </c>
      <c r="G92" s="86">
        <v>6769.6360000000004</v>
      </c>
      <c r="H92" s="86">
        <v>8127.4380000000001</v>
      </c>
      <c r="I92" s="86">
        <v>4931.5140000000001</v>
      </c>
      <c r="J92" s="86">
        <v>3671.3150000000005</v>
      </c>
      <c r="K92" s="85">
        <v>6864.7369999999992</v>
      </c>
      <c r="L92" s="85">
        <v>13185.896410000001</v>
      </c>
      <c r="M92" s="85">
        <v>5932.2710000000006</v>
      </c>
      <c r="N92" s="85">
        <v>10996.928110000003</v>
      </c>
      <c r="O92" s="85">
        <v>1451.165</v>
      </c>
    </row>
    <row r="93" spans="1:15" ht="12" customHeight="1" x14ac:dyDescent="0.2">
      <c r="A93" s="679"/>
      <c r="B93" s="84">
        <v>2022</v>
      </c>
      <c r="C93" s="508">
        <f t="shared" si="14"/>
        <v>47725.558510000003</v>
      </c>
      <c r="D93" s="85">
        <v>12696.98221</v>
      </c>
      <c r="E93" s="3">
        <v>9154.9459999999999</v>
      </c>
      <c r="F93" s="86">
        <v>3824.5260000000003</v>
      </c>
      <c r="G93" s="86">
        <v>13988.6957</v>
      </c>
      <c r="H93" s="86">
        <v>4424.1757799999996</v>
      </c>
      <c r="I93" s="86">
        <v>1415.8410000000001</v>
      </c>
      <c r="J93" s="86">
        <v>2220.3918200000007</v>
      </c>
      <c r="K93" s="85">
        <v>11608.67044</v>
      </c>
      <c r="L93" s="85">
        <v>14291.0738</v>
      </c>
      <c r="M93" s="85">
        <v>2224.319</v>
      </c>
      <c r="N93" s="85">
        <v>2655.0176000000001</v>
      </c>
      <c r="O93" s="85">
        <v>4236.3702599999997</v>
      </c>
    </row>
    <row r="94" spans="1:15" ht="12" customHeight="1" x14ac:dyDescent="0.2">
      <c r="A94" s="679"/>
      <c r="B94" s="84">
        <v>2023</v>
      </c>
      <c r="C94" s="508">
        <f t="shared" si="14"/>
        <v>16142.336979999998</v>
      </c>
      <c r="D94" s="85">
        <v>4386.0030000000006</v>
      </c>
      <c r="E94" s="3">
        <v>814.99699999999996</v>
      </c>
      <c r="F94" s="86">
        <v>3563.5122499999998</v>
      </c>
      <c r="G94" s="86">
        <v>2142.8987299999999</v>
      </c>
      <c r="H94" s="86">
        <v>1627.9960000000001</v>
      </c>
      <c r="I94" s="86">
        <v>1242.1379999999999</v>
      </c>
      <c r="J94" s="86">
        <v>2364.7919999999999</v>
      </c>
      <c r="K94" s="85">
        <v>4151.3940000000002</v>
      </c>
      <c r="L94" s="85">
        <v>5337.5159999999996</v>
      </c>
      <c r="M94" s="85">
        <v>4403.4844400000002</v>
      </c>
      <c r="N94" s="85">
        <v>3341.8340000000003</v>
      </c>
      <c r="O94" s="85">
        <v>6654.1753799999997</v>
      </c>
    </row>
    <row r="95" spans="1:15" ht="12" customHeight="1" x14ac:dyDescent="0.2">
      <c r="A95" s="679"/>
      <c r="B95" s="84">
        <v>2024</v>
      </c>
      <c r="C95" s="508">
        <f t="shared" si="14"/>
        <v>50095.367759999994</v>
      </c>
      <c r="D95" s="85">
        <v>8207.3499999999985</v>
      </c>
      <c r="E95" s="85">
        <v>8459.2209999999995</v>
      </c>
      <c r="F95" s="86">
        <v>8728.5384699999995</v>
      </c>
      <c r="G95" s="86">
        <v>4696.5124900000001</v>
      </c>
      <c r="H95" s="86">
        <v>6459.1005399999995</v>
      </c>
      <c r="I95" s="86">
        <v>4693.9322599999996</v>
      </c>
      <c r="J95" s="86">
        <v>8850.7129999999997</v>
      </c>
      <c r="K95" s="85">
        <v>8666.001000000002</v>
      </c>
      <c r="L95" s="85">
        <v>3946.0389999999998</v>
      </c>
      <c r="M95" s="85">
        <v>8433.4000000000015</v>
      </c>
      <c r="N95" s="85">
        <v>10009</v>
      </c>
      <c r="O95" s="85">
        <v>8816</v>
      </c>
    </row>
    <row r="96" spans="1:15" ht="12" customHeight="1" x14ac:dyDescent="0.2">
      <c r="A96" s="680"/>
      <c r="B96" s="90">
        <v>2025</v>
      </c>
      <c r="C96" s="509">
        <f t="shared" si="14"/>
        <v>53419</v>
      </c>
      <c r="D96" s="557">
        <v>8279</v>
      </c>
      <c r="E96" s="87">
        <v>6221</v>
      </c>
      <c r="F96" s="87">
        <v>11444</v>
      </c>
      <c r="G96" s="87">
        <v>5672</v>
      </c>
      <c r="H96" s="87">
        <v>10221</v>
      </c>
      <c r="I96" s="87">
        <v>3551</v>
      </c>
      <c r="J96" s="87">
        <v>8031</v>
      </c>
      <c r="K96" s="87"/>
      <c r="L96" s="87"/>
      <c r="M96" s="87"/>
      <c r="N96" s="87"/>
      <c r="O96" s="87"/>
    </row>
    <row r="97" spans="1:15" ht="12" customHeight="1" x14ac:dyDescent="0.2">
      <c r="A97" s="678" t="s">
        <v>135</v>
      </c>
      <c r="B97" s="84">
        <v>2015</v>
      </c>
      <c r="C97" s="508">
        <f t="shared" si="14"/>
        <v>13.92</v>
      </c>
      <c r="D97" s="85">
        <v>13.92</v>
      </c>
      <c r="E97" s="86">
        <v>0</v>
      </c>
      <c r="F97" s="86">
        <v>0</v>
      </c>
      <c r="G97" s="86">
        <v>0</v>
      </c>
      <c r="H97" s="86">
        <v>0</v>
      </c>
      <c r="I97" s="86">
        <v>0</v>
      </c>
      <c r="J97" s="86">
        <v>0</v>
      </c>
      <c r="K97" s="86">
        <v>4526.22</v>
      </c>
      <c r="L97" s="86">
        <v>0</v>
      </c>
      <c r="M97" s="86">
        <v>0</v>
      </c>
      <c r="N97" s="86">
        <v>0</v>
      </c>
      <c r="O97" s="86">
        <v>14285.353999999999</v>
      </c>
    </row>
    <row r="98" spans="1:15" ht="12" customHeight="1" x14ac:dyDescent="0.2">
      <c r="A98" s="679"/>
      <c r="B98" s="84">
        <v>2016</v>
      </c>
      <c r="C98" s="508">
        <f t="shared" si="14"/>
        <v>3931.1219999999998</v>
      </c>
      <c r="D98" s="86">
        <v>0</v>
      </c>
      <c r="E98" s="86">
        <v>55.44</v>
      </c>
      <c r="F98" s="86">
        <v>55.48</v>
      </c>
      <c r="G98" s="86">
        <v>0</v>
      </c>
      <c r="H98" s="86">
        <v>3478.96</v>
      </c>
      <c r="I98" s="86">
        <v>94.182000000000002</v>
      </c>
      <c r="J98" s="86">
        <v>247.06</v>
      </c>
      <c r="K98" s="86">
        <v>165.36</v>
      </c>
      <c r="L98" s="86">
        <v>6042.68</v>
      </c>
      <c r="M98" s="86">
        <v>5955.8</v>
      </c>
      <c r="N98" s="86">
        <v>167.29</v>
      </c>
      <c r="O98" s="86">
        <v>0</v>
      </c>
    </row>
    <row r="99" spans="1:15" ht="12" customHeight="1" x14ac:dyDescent="0.2">
      <c r="A99" s="679"/>
      <c r="B99" s="84">
        <v>2017</v>
      </c>
      <c r="C99" s="508">
        <f t="shared" si="14"/>
        <v>10006.76</v>
      </c>
      <c r="D99" s="85">
        <v>7308.82</v>
      </c>
      <c r="E99" s="86">
        <v>0</v>
      </c>
      <c r="F99" s="86">
        <v>2589.94</v>
      </c>
      <c r="G99" s="86">
        <v>0</v>
      </c>
      <c r="H99" s="86">
        <v>0</v>
      </c>
      <c r="I99" s="86">
        <v>108</v>
      </c>
      <c r="J99" s="86">
        <v>0</v>
      </c>
      <c r="K99" s="86">
        <v>0</v>
      </c>
      <c r="L99" s="86">
        <v>6581.43</v>
      </c>
      <c r="M99" s="86">
        <v>14515.23</v>
      </c>
      <c r="N99" s="86">
        <v>12926.04</v>
      </c>
      <c r="O99" s="86">
        <v>0</v>
      </c>
    </row>
    <row r="100" spans="1:15" ht="12" customHeight="1" x14ac:dyDescent="0.2">
      <c r="A100" s="679"/>
      <c r="B100" s="84">
        <v>2018</v>
      </c>
      <c r="C100" s="508">
        <f t="shared" si="14"/>
        <v>0</v>
      </c>
      <c r="D100" s="86">
        <v>0</v>
      </c>
      <c r="E100" s="86">
        <v>0</v>
      </c>
      <c r="F100" s="86">
        <v>0</v>
      </c>
      <c r="G100" s="86">
        <v>0</v>
      </c>
      <c r="H100" s="86">
        <v>0</v>
      </c>
      <c r="I100" s="86">
        <v>0</v>
      </c>
      <c r="J100" s="86">
        <v>0</v>
      </c>
      <c r="K100" s="86">
        <v>0</v>
      </c>
      <c r="L100" s="86">
        <v>0</v>
      </c>
      <c r="M100" s="86">
        <v>0</v>
      </c>
      <c r="N100" s="86">
        <v>0</v>
      </c>
      <c r="O100" s="86">
        <v>0</v>
      </c>
    </row>
    <row r="101" spans="1:15" ht="12" customHeight="1" x14ac:dyDescent="0.2">
      <c r="A101" s="679"/>
      <c r="B101" s="84">
        <v>2019</v>
      </c>
      <c r="C101" s="508">
        <f t="shared" si="14"/>
        <v>15304.64</v>
      </c>
      <c r="D101" s="86">
        <v>0</v>
      </c>
      <c r="E101" s="86">
        <v>0</v>
      </c>
      <c r="F101" s="86">
        <v>0</v>
      </c>
      <c r="G101" s="86">
        <v>0</v>
      </c>
      <c r="H101" s="86">
        <v>14812.05</v>
      </c>
      <c r="I101" s="86">
        <v>492.59</v>
      </c>
      <c r="J101" s="86">
        <v>0</v>
      </c>
      <c r="K101" s="86">
        <v>0</v>
      </c>
      <c r="L101" s="86">
        <v>0</v>
      </c>
      <c r="M101" s="86">
        <v>0</v>
      </c>
      <c r="N101" s="86">
        <v>0</v>
      </c>
      <c r="O101" s="86">
        <v>0</v>
      </c>
    </row>
    <row r="102" spans="1:15" ht="12" customHeight="1" x14ac:dyDescent="0.2">
      <c r="A102" s="679"/>
      <c r="B102" s="84">
        <v>2020</v>
      </c>
      <c r="C102" s="508">
        <f t="shared" si="14"/>
        <v>9482.9500000000007</v>
      </c>
      <c r="D102" s="86">
        <v>0</v>
      </c>
      <c r="E102" s="86">
        <v>2380.0500000000002</v>
      </c>
      <c r="F102" s="86">
        <v>0</v>
      </c>
      <c r="G102" s="86">
        <v>0</v>
      </c>
      <c r="H102" s="86">
        <v>0</v>
      </c>
      <c r="I102" s="86">
        <v>2014.94</v>
      </c>
      <c r="J102" s="86">
        <v>5087.96</v>
      </c>
      <c r="K102" s="86">
        <v>114.4</v>
      </c>
      <c r="L102" s="86">
        <v>0</v>
      </c>
      <c r="M102" s="86">
        <v>19326.682649999999</v>
      </c>
      <c r="N102" s="86">
        <v>305.52</v>
      </c>
      <c r="O102" s="86">
        <v>0</v>
      </c>
    </row>
    <row r="103" spans="1:15" ht="12" customHeight="1" x14ac:dyDescent="0.2">
      <c r="A103" s="679"/>
      <c r="B103" s="84">
        <v>2021</v>
      </c>
      <c r="C103" s="508">
        <f t="shared" si="14"/>
        <v>21998.061000000002</v>
      </c>
      <c r="D103" s="86">
        <v>0</v>
      </c>
      <c r="E103" s="86">
        <v>0</v>
      </c>
      <c r="F103" s="86">
        <v>0</v>
      </c>
      <c r="G103" s="86">
        <v>0</v>
      </c>
      <c r="H103" s="86">
        <v>18348.061000000002</v>
      </c>
      <c r="I103" s="86">
        <v>3650</v>
      </c>
      <c r="J103" s="86">
        <v>0</v>
      </c>
      <c r="K103" s="86">
        <v>0</v>
      </c>
      <c r="L103" s="86">
        <v>0</v>
      </c>
      <c r="M103" s="86">
        <v>252.44</v>
      </c>
      <c r="N103" s="86">
        <v>0</v>
      </c>
      <c r="O103" s="86">
        <v>0</v>
      </c>
    </row>
    <row r="104" spans="1:15" ht="12" customHeight="1" x14ac:dyDescent="0.2">
      <c r="A104" s="679"/>
      <c r="B104" s="84">
        <v>2022</v>
      </c>
      <c r="C104" s="508">
        <f t="shared" si="14"/>
        <v>200.76</v>
      </c>
      <c r="D104" s="86">
        <v>24.8</v>
      </c>
      <c r="E104" s="86">
        <v>0</v>
      </c>
      <c r="F104" s="86">
        <v>0</v>
      </c>
      <c r="G104" s="86">
        <v>49.79</v>
      </c>
      <c r="H104" s="86">
        <v>0.5</v>
      </c>
      <c r="I104" s="86">
        <v>125.67</v>
      </c>
      <c r="J104" s="86">
        <v>0</v>
      </c>
      <c r="K104" s="86">
        <v>1000</v>
      </c>
      <c r="L104" s="86">
        <v>698.4</v>
      </c>
      <c r="M104" s="86">
        <v>2722.7</v>
      </c>
      <c r="N104" s="86">
        <v>1</v>
      </c>
      <c r="O104" s="86">
        <v>3607.54</v>
      </c>
    </row>
    <row r="105" spans="1:15" ht="12" customHeight="1" x14ac:dyDescent="0.2">
      <c r="A105" s="679"/>
      <c r="B105" s="84">
        <v>2023</v>
      </c>
      <c r="C105" s="508">
        <f t="shared" si="14"/>
        <v>8498.98</v>
      </c>
      <c r="D105" s="86">
        <v>0</v>
      </c>
      <c r="E105" s="86">
        <v>0</v>
      </c>
      <c r="F105" s="86">
        <v>5251.95</v>
      </c>
      <c r="G105" s="86">
        <v>12</v>
      </c>
      <c r="H105" s="86">
        <v>0</v>
      </c>
      <c r="I105" s="86">
        <v>3137.7099999999996</v>
      </c>
      <c r="J105" s="86">
        <v>97.32</v>
      </c>
      <c r="K105" s="86">
        <v>100</v>
      </c>
      <c r="L105" s="86">
        <v>5346.1399999999994</v>
      </c>
      <c r="M105" s="86">
        <v>4800.96</v>
      </c>
      <c r="N105" s="86">
        <v>10275.58</v>
      </c>
      <c r="O105" s="86">
        <v>1.4039999999999999</v>
      </c>
    </row>
    <row r="106" spans="1:15" ht="12" customHeight="1" x14ac:dyDescent="0.2">
      <c r="A106" s="679"/>
      <c r="B106" s="84">
        <v>2024</v>
      </c>
      <c r="C106" s="508">
        <f t="shared" si="14"/>
        <v>5631.69</v>
      </c>
      <c r="D106" s="86">
        <v>2</v>
      </c>
      <c r="E106" s="86">
        <v>52</v>
      </c>
      <c r="F106" s="86">
        <v>0</v>
      </c>
      <c r="G106" s="86">
        <v>0</v>
      </c>
      <c r="H106" s="86">
        <v>0</v>
      </c>
      <c r="I106" s="86">
        <v>78.240000000000009</v>
      </c>
      <c r="J106" s="86">
        <v>5499.45</v>
      </c>
      <c r="K106" s="86">
        <v>0</v>
      </c>
      <c r="L106" s="86">
        <v>5142.62</v>
      </c>
      <c r="M106" s="86">
        <v>10196.41</v>
      </c>
      <c r="N106" s="86">
        <v>2.4500000000000002</v>
      </c>
      <c r="O106" s="86">
        <v>0</v>
      </c>
    </row>
    <row r="107" spans="1:15" ht="12" customHeight="1" x14ac:dyDescent="0.2">
      <c r="A107" s="680"/>
      <c r="B107" s="90">
        <v>2025</v>
      </c>
      <c r="C107" s="509">
        <f t="shared" si="14"/>
        <v>22107.150000000005</v>
      </c>
      <c r="D107" s="107">
        <v>0</v>
      </c>
      <c r="E107" s="107">
        <v>0</v>
      </c>
      <c r="F107" s="107">
        <v>19.989999999999998</v>
      </c>
      <c r="G107" s="107">
        <v>0</v>
      </c>
      <c r="H107" s="107">
        <v>0</v>
      </c>
      <c r="I107" s="107">
        <v>18696.160000000003</v>
      </c>
      <c r="J107" s="107">
        <v>3391</v>
      </c>
      <c r="K107" s="107"/>
      <c r="L107" s="107"/>
      <c r="M107" s="107"/>
      <c r="N107" s="107"/>
      <c r="O107" s="107"/>
    </row>
    <row r="108" spans="1:15" ht="9" customHeight="1" x14ac:dyDescent="0.25">
      <c r="A108" s="221" t="s">
        <v>136</v>
      </c>
      <c r="B108" s="108"/>
      <c r="C108" s="109"/>
      <c r="D108" s="85"/>
      <c r="E108" s="110"/>
      <c r="F108" s="110"/>
      <c r="G108" s="111"/>
      <c r="H108" s="112"/>
      <c r="I108" s="112"/>
      <c r="J108" s="112"/>
      <c r="K108" s="113"/>
      <c r="L108" s="112"/>
      <c r="M108" s="112"/>
      <c r="N108" s="112"/>
      <c r="O108" s="112"/>
    </row>
    <row r="109" spans="1:15" ht="9" customHeight="1" x14ac:dyDescent="0.25">
      <c r="A109" s="114" t="s">
        <v>67</v>
      </c>
      <c r="B109" s="115"/>
      <c r="C109" s="115"/>
      <c r="D109" s="115"/>
      <c r="E109" s="115"/>
      <c r="F109" s="115"/>
      <c r="G109" s="115"/>
      <c r="H109" s="116"/>
      <c r="I109" s="116"/>
      <c r="J109" s="116"/>
      <c r="K109" s="116"/>
      <c r="L109" s="116"/>
      <c r="M109" s="116"/>
      <c r="N109" s="116"/>
      <c r="O109" s="116"/>
    </row>
    <row r="110" spans="1:15" ht="9" customHeight="1" x14ac:dyDescent="0.2">
      <c r="A110" s="117" t="s">
        <v>68</v>
      </c>
    </row>
    <row r="111" spans="1:15" ht="8.25" customHeight="1" x14ac:dyDescent="0.2">
      <c r="A111" s="117" t="s">
        <v>536</v>
      </c>
    </row>
  </sheetData>
  <mergeCells count="9">
    <mergeCell ref="A97:A107"/>
    <mergeCell ref="A86:A96"/>
    <mergeCell ref="A75:A85"/>
    <mergeCell ref="A4:A14"/>
    <mergeCell ref="A15:A25"/>
    <mergeCell ref="A64:A74"/>
    <mergeCell ref="A48:A58"/>
    <mergeCell ref="A37:A47"/>
    <mergeCell ref="A26:A36"/>
  </mergeCells>
  <pageMargins left="0.27559055118110237" right="0.27559055118110237" top="0.39370078740157483" bottom="0.39370078740157483" header="0" footer="0"/>
  <pageSetup paperSize="9" orientation="portrait" r:id="rId1"/>
  <rowBreaks count="1" manualBreakCount="1">
    <brk id="59" max="16383" man="1"/>
  </rowBreaks>
  <ignoredErrors>
    <ignoredError sqref="C15:C17 C64:C107 C19:C5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N20"/>
  <sheetViews>
    <sheetView showGridLines="0" zoomScaleNormal="100" workbookViewId="0">
      <selection activeCell="S64" sqref="S64"/>
    </sheetView>
  </sheetViews>
  <sheetFormatPr baseColWidth="10" defaultColWidth="11.42578125" defaultRowHeight="12.75" x14ac:dyDescent="0.2"/>
  <cols>
    <col min="1" max="1" width="7.140625" style="138" customWidth="1"/>
    <col min="2" max="2" width="5.7109375" style="138" bestFit="1" customWidth="1"/>
    <col min="3" max="14" width="5.85546875" style="138" customWidth="1"/>
    <col min="15" max="16384" width="11.42578125" style="138"/>
  </cols>
  <sheetData>
    <row r="2" spans="1:14" ht="13.5" x14ac:dyDescent="0.25">
      <c r="A2" s="684" t="s">
        <v>537</v>
      </c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</row>
    <row r="3" spans="1:14" ht="13.5" x14ac:dyDescent="0.2">
      <c r="A3" s="685" t="s">
        <v>137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5"/>
    </row>
    <row r="4" spans="1:14" ht="5.0999999999999996" customHeight="1" x14ac:dyDescent="0.2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</row>
    <row r="5" spans="1:14" ht="15.95" customHeight="1" x14ac:dyDescent="0.2">
      <c r="A5" s="235" t="s">
        <v>96</v>
      </c>
      <c r="B5" s="236" t="s">
        <v>138</v>
      </c>
      <c r="C5" s="236" t="s">
        <v>97</v>
      </c>
      <c r="D5" s="236" t="s">
        <v>98</v>
      </c>
      <c r="E5" s="236" t="s">
        <v>99</v>
      </c>
      <c r="F5" s="236" t="s">
        <v>100</v>
      </c>
      <c r="G5" s="236" t="s">
        <v>101</v>
      </c>
      <c r="H5" s="236" t="s">
        <v>102</v>
      </c>
      <c r="I5" s="236" t="s">
        <v>103</v>
      </c>
      <c r="J5" s="236" t="s">
        <v>104</v>
      </c>
      <c r="K5" s="236" t="s">
        <v>105</v>
      </c>
      <c r="L5" s="236" t="s">
        <v>106</v>
      </c>
      <c r="M5" s="236" t="s">
        <v>107</v>
      </c>
      <c r="N5" s="236" t="s">
        <v>108</v>
      </c>
    </row>
    <row r="6" spans="1:14" ht="15.95" customHeight="1" x14ac:dyDescent="0.2">
      <c r="A6" s="120">
        <v>2015</v>
      </c>
      <c r="B6" s="237">
        <f>SUM(C6:N6)</f>
        <v>20275.95</v>
      </c>
      <c r="C6" s="126">
        <v>2289.25</v>
      </c>
      <c r="D6" s="126">
        <v>157.9</v>
      </c>
      <c r="E6" s="127">
        <v>0</v>
      </c>
      <c r="F6" s="127">
        <v>0</v>
      </c>
      <c r="G6" s="126">
        <v>193.25</v>
      </c>
      <c r="H6" s="126">
        <v>1030.05</v>
      </c>
      <c r="I6" s="126">
        <v>1228</v>
      </c>
      <c r="J6" s="126">
        <v>1910.2</v>
      </c>
      <c r="K6" s="126">
        <v>2626</v>
      </c>
      <c r="L6" s="126">
        <v>4184.05</v>
      </c>
      <c r="M6" s="126">
        <v>3914.75</v>
      </c>
      <c r="N6" s="126">
        <v>2742.5</v>
      </c>
    </row>
    <row r="7" spans="1:14" ht="15.95" customHeight="1" x14ac:dyDescent="0.2">
      <c r="A7" s="121">
        <v>2016</v>
      </c>
      <c r="B7" s="237">
        <f t="shared" ref="B7:B14" si="0">SUM(C7:N7)</f>
        <v>28394.95</v>
      </c>
      <c r="C7" s="128">
        <v>3791</v>
      </c>
      <c r="D7" s="128">
        <v>2970</v>
      </c>
      <c r="E7" s="128">
        <v>1809.3</v>
      </c>
      <c r="F7" s="128">
        <v>1518</v>
      </c>
      <c r="G7" s="128">
        <v>2723.85</v>
      </c>
      <c r="H7" s="128">
        <v>2024</v>
      </c>
      <c r="I7" s="128">
        <v>2429</v>
      </c>
      <c r="J7" s="128">
        <v>4448</v>
      </c>
      <c r="K7" s="128">
        <v>3661.45</v>
      </c>
      <c r="L7" s="128">
        <v>1025</v>
      </c>
      <c r="M7" s="128">
        <v>1627.5</v>
      </c>
      <c r="N7" s="128">
        <v>367.85</v>
      </c>
    </row>
    <row r="8" spans="1:14" ht="15.95" customHeight="1" x14ac:dyDescent="0.2">
      <c r="A8" s="121">
        <v>2017</v>
      </c>
      <c r="B8" s="237">
        <f t="shared" si="0"/>
        <v>22952.5</v>
      </c>
      <c r="C8" s="122">
        <v>0</v>
      </c>
      <c r="D8" s="128">
        <v>2410</v>
      </c>
      <c r="E8" s="128">
        <v>3630.8</v>
      </c>
      <c r="F8" s="128">
        <v>1009.2</v>
      </c>
      <c r="G8" s="128">
        <v>285</v>
      </c>
      <c r="H8" s="128">
        <v>1200</v>
      </c>
      <c r="I8" s="128">
        <v>2497.0500000000002</v>
      </c>
      <c r="J8" s="128">
        <v>400.25</v>
      </c>
      <c r="K8" s="128">
        <v>2518.9</v>
      </c>
      <c r="L8" s="128">
        <v>3977.1</v>
      </c>
      <c r="M8" s="128">
        <v>3454.4</v>
      </c>
      <c r="N8" s="128">
        <v>1569.8</v>
      </c>
    </row>
    <row r="9" spans="1:14" ht="15.95" customHeight="1" x14ac:dyDescent="0.2">
      <c r="A9" s="121">
        <v>2018</v>
      </c>
      <c r="B9" s="237">
        <f t="shared" si="0"/>
        <v>25542.400000000001</v>
      </c>
      <c r="C9" s="128">
        <v>862.4</v>
      </c>
      <c r="D9" s="122">
        <v>0</v>
      </c>
      <c r="E9" s="128">
        <v>4100</v>
      </c>
      <c r="F9" s="129">
        <v>4350</v>
      </c>
      <c r="G9" s="128">
        <v>4505</v>
      </c>
      <c r="H9" s="128">
        <v>3200</v>
      </c>
      <c r="I9" s="128">
        <v>1613</v>
      </c>
      <c r="J9" s="128">
        <v>5800</v>
      </c>
      <c r="K9" s="122">
        <v>0</v>
      </c>
      <c r="L9" s="122">
        <v>0</v>
      </c>
      <c r="M9" s="128">
        <v>250</v>
      </c>
      <c r="N9" s="128">
        <v>862</v>
      </c>
    </row>
    <row r="10" spans="1:14" ht="15.95" customHeight="1" x14ac:dyDescent="0.2">
      <c r="A10" s="121">
        <v>2019</v>
      </c>
      <c r="B10" s="237">
        <f t="shared" si="0"/>
        <v>28787.5</v>
      </c>
      <c r="C10" s="122">
        <v>0</v>
      </c>
      <c r="D10" s="122">
        <v>100</v>
      </c>
      <c r="E10" s="128">
        <v>4065</v>
      </c>
      <c r="F10" s="129">
        <v>2110.85</v>
      </c>
      <c r="G10" s="128">
        <v>2963</v>
      </c>
      <c r="H10" s="128">
        <v>2501</v>
      </c>
      <c r="I10" s="128">
        <f>13615-11740</f>
        <v>1875</v>
      </c>
      <c r="J10" s="128">
        <v>2900</v>
      </c>
      <c r="K10" s="122">
        <v>2984.65</v>
      </c>
      <c r="L10" s="122">
        <v>2949</v>
      </c>
      <c r="M10" s="128">
        <v>4724</v>
      </c>
      <c r="N10" s="128">
        <v>1615</v>
      </c>
    </row>
    <row r="11" spans="1:14" ht="15.95" customHeight="1" x14ac:dyDescent="0.2">
      <c r="A11" s="121">
        <v>2020</v>
      </c>
      <c r="B11" s="237">
        <f t="shared" si="0"/>
        <v>10029</v>
      </c>
      <c r="C11" s="122">
        <v>0</v>
      </c>
      <c r="D11" s="122">
        <v>975</v>
      </c>
      <c r="E11" s="128">
        <f>1575-975</f>
        <v>600</v>
      </c>
      <c r="F11" s="129">
        <v>400</v>
      </c>
      <c r="G11" s="128">
        <f>2835-1975</f>
        <v>860</v>
      </c>
      <c r="H11" s="128">
        <v>760</v>
      </c>
      <c r="I11" s="128">
        <f>4804-3595</f>
        <v>1209</v>
      </c>
      <c r="J11" s="128">
        <f>5416-4804</f>
        <v>612</v>
      </c>
      <c r="K11" s="122">
        <f>6416-5416</f>
        <v>1000</v>
      </c>
      <c r="L11" s="122">
        <f>7916-6416</f>
        <v>1500</v>
      </c>
      <c r="M11" s="128">
        <f>8666-7916</f>
        <v>750</v>
      </c>
      <c r="N11" s="128">
        <v>1363</v>
      </c>
    </row>
    <row r="12" spans="1:14" ht="15.95" customHeight="1" x14ac:dyDescent="0.2">
      <c r="A12" s="121">
        <v>2021</v>
      </c>
      <c r="B12" s="237">
        <f t="shared" si="0"/>
        <v>23086.75</v>
      </c>
      <c r="C12" s="122">
        <v>2050</v>
      </c>
      <c r="D12" s="122">
        <f>3950-2050</f>
        <v>1900</v>
      </c>
      <c r="E12" s="122">
        <f>8350.3-3950</f>
        <v>4400.2999999999993</v>
      </c>
      <c r="F12" s="129">
        <v>3354.45</v>
      </c>
      <c r="G12" s="122">
        <v>1600</v>
      </c>
      <c r="H12" s="128">
        <f>14331-13305</f>
        <v>1026</v>
      </c>
      <c r="I12" s="128">
        <f>16311-14331</f>
        <v>1980</v>
      </c>
      <c r="J12" s="128">
        <v>3165</v>
      </c>
      <c r="K12" s="122">
        <v>1350</v>
      </c>
      <c r="L12" s="122">
        <v>1646</v>
      </c>
      <c r="M12" s="128">
        <v>253</v>
      </c>
      <c r="N12" s="128">
        <v>362</v>
      </c>
    </row>
    <row r="13" spans="1:14" ht="15.95" customHeight="1" x14ac:dyDescent="0.2">
      <c r="A13" s="121">
        <v>2022</v>
      </c>
      <c r="B13" s="237">
        <f t="shared" si="0"/>
        <v>19808.900000000001</v>
      </c>
      <c r="C13" s="122">
        <v>0</v>
      </c>
      <c r="D13" s="122">
        <v>0</v>
      </c>
      <c r="E13" s="123">
        <v>2278</v>
      </c>
      <c r="F13" s="124">
        <v>3993</v>
      </c>
      <c r="G13" s="123">
        <f>8375-6271</f>
        <v>2104</v>
      </c>
      <c r="H13" s="123">
        <f>9946-8375</f>
        <v>1571</v>
      </c>
      <c r="I13" s="123">
        <f>13246.2-9946</f>
        <v>3300.2000000000007</v>
      </c>
      <c r="J13" s="123">
        <f>16146.2-13246</f>
        <v>2900.2000000000007</v>
      </c>
      <c r="K13" s="122">
        <v>3268</v>
      </c>
      <c r="L13" s="122">
        <f>21684.35-21584</f>
        <v>100.34999999999854</v>
      </c>
      <c r="M13" s="123">
        <f>21766.15-21685</f>
        <v>81.150000000001455</v>
      </c>
      <c r="N13" s="123">
        <v>213</v>
      </c>
    </row>
    <row r="14" spans="1:14" ht="15.95" customHeight="1" x14ac:dyDescent="0.2">
      <c r="A14" s="121">
        <v>2023</v>
      </c>
      <c r="B14" s="237">
        <f t="shared" si="0"/>
        <v>13351</v>
      </c>
      <c r="C14" s="122">
        <v>0</v>
      </c>
      <c r="D14" s="122">
        <v>0</v>
      </c>
      <c r="E14" s="122">
        <v>0</v>
      </c>
      <c r="F14" s="129">
        <v>1345</v>
      </c>
      <c r="G14" s="122">
        <v>1674</v>
      </c>
      <c r="H14" s="128">
        <v>3052</v>
      </c>
      <c r="I14" s="128">
        <v>3345</v>
      </c>
      <c r="J14" s="128">
        <v>2386</v>
      </c>
      <c r="K14" s="122">
        <v>1065</v>
      </c>
      <c r="L14" s="122">
        <v>484</v>
      </c>
      <c r="M14" s="128">
        <v>0</v>
      </c>
      <c r="N14" s="128">
        <v>0</v>
      </c>
    </row>
    <row r="15" spans="1:14" ht="15.95" customHeight="1" x14ac:dyDescent="0.2">
      <c r="A15" s="121">
        <v>2024</v>
      </c>
      <c r="B15" s="237">
        <f>SUM(C15:N15)</f>
        <v>22288.899999999998</v>
      </c>
      <c r="C15" s="122">
        <v>0</v>
      </c>
      <c r="D15" s="122">
        <v>0</v>
      </c>
      <c r="E15" s="122">
        <v>2040</v>
      </c>
      <c r="F15" s="129">
        <v>1638</v>
      </c>
      <c r="G15" s="122">
        <v>2476</v>
      </c>
      <c r="H15" s="128">
        <v>3901</v>
      </c>
      <c r="I15" s="128">
        <v>3806.1</v>
      </c>
      <c r="J15" s="128">
        <v>2237</v>
      </c>
      <c r="K15" s="122">
        <v>906</v>
      </c>
      <c r="L15" s="122">
        <v>1010.8</v>
      </c>
      <c r="M15" s="128">
        <v>3363</v>
      </c>
      <c r="N15" s="128">
        <v>911</v>
      </c>
    </row>
    <row r="16" spans="1:14" ht="15.95" customHeight="1" x14ac:dyDescent="0.2">
      <c r="A16" s="125">
        <v>2025</v>
      </c>
      <c r="B16" s="238">
        <f>SUM(C16:N16)</f>
        <v>9002.4699999999993</v>
      </c>
      <c r="C16" s="130">
        <v>0</v>
      </c>
      <c r="D16" s="130">
        <v>0</v>
      </c>
      <c r="E16" s="130">
        <v>195</v>
      </c>
      <c r="F16" s="131">
        <v>494.01</v>
      </c>
      <c r="G16" s="130">
        <v>2881.73</v>
      </c>
      <c r="H16" s="132">
        <v>2854.13</v>
      </c>
      <c r="I16" s="132">
        <v>2577.6</v>
      </c>
      <c r="J16" s="132"/>
      <c r="K16" s="130"/>
      <c r="L16" s="130"/>
      <c r="M16" s="132"/>
      <c r="N16" s="132"/>
    </row>
    <row r="17" spans="1:14" ht="9" customHeight="1" x14ac:dyDescent="0.2">
      <c r="A17" s="139" t="s">
        <v>139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4"/>
    </row>
    <row r="18" spans="1:14" ht="9" customHeight="1" x14ac:dyDescent="0.2">
      <c r="A18" s="137" t="s">
        <v>67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4"/>
    </row>
    <row r="19" spans="1:14" ht="9" customHeight="1" x14ac:dyDescent="0.2">
      <c r="A19" s="137" t="s">
        <v>68</v>
      </c>
      <c r="B19" s="135"/>
      <c r="C19" s="135"/>
      <c r="D19" s="135"/>
      <c r="E19" s="135"/>
      <c r="F19" s="135"/>
      <c r="G19" s="135"/>
      <c r="H19" s="136"/>
      <c r="I19" s="136"/>
      <c r="J19" s="136"/>
      <c r="K19" s="136"/>
      <c r="L19" s="136"/>
      <c r="M19" s="136"/>
      <c r="N19" s="136"/>
    </row>
    <row r="20" spans="1:14" ht="9" customHeight="1" x14ac:dyDescent="0.2">
      <c r="A20" s="137" t="s">
        <v>193</v>
      </c>
      <c r="B20" s="137"/>
      <c r="C20" s="137"/>
      <c r="D20" s="137"/>
      <c r="E20" s="137"/>
      <c r="F20" s="137"/>
      <c r="G20" s="137"/>
    </row>
  </sheetData>
  <mergeCells count="2">
    <mergeCell ref="A2:N2"/>
    <mergeCell ref="A3:N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5"/>
  <sheetViews>
    <sheetView showGridLines="0" topLeftCell="A18" zoomScaleNormal="100" workbookViewId="0">
      <selection activeCell="D75" sqref="D75"/>
    </sheetView>
  </sheetViews>
  <sheetFormatPr baseColWidth="10" defaultColWidth="12.7109375" defaultRowHeight="15" customHeight="1" x14ac:dyDescent="0.2"/>
  <cols>
    <col min="1" max="1" width="17" style="2" customWidth="1"/>
    <col min="2" max="3" width="7.7109375" style="2" customWidth="1"/>
    <col min="4" max="4" width="5.7109375" style="2" customWidth="1"/>
    <col min="5" max="6" width="7.7109375" style="2" customWidth="1"/>
    <col min="7" max="7" width="5.7109375" style="2" customWidth="1"/>
    <col min="8" max="9" width="7.7109375" style="2" customWidth="1"/>
    <col min="10" max="10" width="5.7109375" style="2" customWidth="1"/>
    <col min="11" max="16384" width="12.7109375" style="2"/>
  </cols>
  <sheetData>
    <row r="1" spans="1:10" ht="18" customHeight="1" x14ac:dyDescent="0.25">
      <c r="A1" s="382" t="s">
        <v>431</v>
      </c>
      <c r="B1" s="383"/>
      <c r="C1" s="383"/>
      <c r="D1" s="383"/>
      <c r="E1" s="383"/>
      <c r="F1" s="383"/>
      <c r="G1" s="383"/>
      <c r="H1" s="359"/>
      <c r="I1" s="414"/>
      <c r="J1" s="359"/>
    </row>
    <row r="2" spans="1:10" ht="12" customHeight="1" x14ac:dyDescent="0.25">
      <c r="A2" s="415" t="s">
        <v>565</v>
      </c>
      <c r="B2" s="383"/>
      <c r="C2" s="383"/>
      <c r="D2" s="383"/>
      <c r="E2" s="383"/>
      <c r="F2" s="383"/>
      <c r="G2" s="383"/>
      <c r="H2" s="359"/>
      <c r="I2" s="414"/>
      <c r="J2" s="359"/>
    </row>
    <row r="3" spans="1:10" ht="12" customHeight="1" x14ac:dyDescent="0.25">
      <c r="A3" s="416" t="s">
        <v>405</v>
      </c>
      <c r="B3" s="383"/>
      <c r="C3" s="383"/>
      <c r="D3" s="360"/>
      <c r="E3" s="360"/>
      <c r="F3" s="360"/>
      <c r="G3" s="360"/>
      <c r="H3" s="362"/>
      <c r="I3" s="384"/>
      <c r="J3" s="362"/>
    </row>
    <row r="4" spans="1:10" ht="5.0999999999999996" customHeight="1" x14ac:dyDescent="0.25">
      <c r="A4" s="291"/>
      <c r="B4" s="383"/>
      <c r="C4" s="383"/>
      <c r="D4" s="360"/>
      <c r="E4" s="360"/>
      <c r="F4" s="360"/>
      <c r="G4" s="360"/>
      <c r="H4" s="362"/>
      <c r="I4" s="384"/>
      <c r="J4" s="362"/>
    </row>
    <row r="5" spans="1:10" ht="13.5" customHeight="1" x14ac:dyDescent="0.2">
      <c r="A5" s="686" t="s">
        <v>0</v>
      </c>
      <c r="B5" s="688" t="s">
        <v>432</v>
      </c>
      <c r="C5" s="689"/>
      <c r="D5" s="690"/>
      <c r="E5" s="688" t="s">
        <v>433</v>
      </c>
      <c r="F5" s="689"/>
      <c r="G5" s="690"/>
      <c r="H5" s="688" t="s">
        <v>434</v>
      </c>
      <c r="I5" s="689"/>
      <c r="J5" s="690"/>
    </row>
    <row r="6" spans="1:10" ht="13.5" customHeight="1" x14ac:dyDescent="0.2">
      <c r="A6" s="687"/>
      <c r="B6" s="363">
        <v>2024</v>
      </c>
      <c r="C6" s="363">
        <v>2025</v>
      </c>
      <c r="D6" s="363" t="s">
        <v>1</v>
      </c>
      <c r="E6" s="363">
        <v>2024</v>
      </c>
      <c r="F6" s="363">
        <v>2025</v>
      </c>
      <c r="G6" s="363" t="s">
        <v>1</v>
      </c>
      <c r="H6" s="363">
        <v>2024</v>
      </c>
      <c r="I6" s="363">
        <v>2025</v>
      </c>
      <c r="J6" s="363" t="s">
        <v>1</v>
      </c>
    </row>
    <row r="7" spans="1:10" ht="3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13.5" customHeight="1" x14ac:dyDescent="0.2">
      <c r="A8" s="452" t="s">
        <v>490</v>
      </c>
      <c r="B8" s="450">
        <f>AVERAGE(B9:B11)</f>
        <v>2235</v>
      </c>
      <c r="C8" s="450">
        <f>AVERAGE(C9:C11)</f>
        <v>2090</v>
      </c>
      <c r="D8" s="639">
        <f t="shared" ref="D8:D41" si="0">((C8/B8) -   1)*100</f>
        <v>-6.4876957494407144</v>
      </c>
      <c r="E8" s="512" t="s">
        <v>423</v>
      </c>
      <c r="F8" s="512" t="s">
        <v>423</v>
      </c>
      <c r="G8" s="576" t="s">
        <v>3</v>
      </c>
      <c r="H8" s="512" t="s">
        <v>423</v>
      </c>
      <c r="I8" s="443">
        <f>AVERAGE(I9:I11)</f>
        <v>1960</v>
      </c>
      <c r="J8" s="433" t="s">
        <v>426</v>
      </c>
    </row>
    <row r="9" spans="1:10" ht="13.5" customHeight="1" x14ac:dyDescent="0.2">
      <c r="A9" s="566" t="s">
        <v>491</v>
      </c>
      <c r="B9" s="451">
        <v>2400</v>
      </c>
      <c r="C9" s="435">
        <v>2400</v>
      </c>
      <c r="D9" s="640">
        <f t="shared" si="0"/>
        <v>0</v>
      </c>
      <c r="E9" s="435" t="s">
        <v>423</v>
      </c>
      <c r="F9" s="435" t="s">
        <v>423</v>
      </c>
      <c r="G9" s="577" t="s">
        <v>3</v>
      </c>
      <c r="H9" s="435" t="s">
        <v>423</v>
      </c>
      <c r="I9" s="435">
        <v>1960</v>
      </c>
      <c r="J9" s="434" t="s">
        <v>426</v>
      </c>
    </row>
    <row r="10" spans="1:10" ht="13.5" customHeight="1" x14ac:dyDescent="0.2">
      <c r="A10" s="566" t="s">
        <v>492</v>
      </c>
      <c r="B10" s="435" t="s">
        <v>423</v>
      </c>
      <c r="C10" s="435">
        <v>1910</v>
      </c>
      <c r="D10" s="577" t="s">
        <v>3</v>
      </c>
      <c r="E10" s="435" t="s">
        <v>423</v>
      </c>
      <c r="F10" s="435" t="s">
        <v>423</v>
      </c>
      <c r="G10" s="643"/>
      <c r="H10" s="438" t="s">
        <v>423</v>
      </c>
      <c r="I10" s="438" t="s">
        <v>423</v>
      </c>
      <c r="J10" s="434" t="s">
        <v>426</v>
      </c>
    </row>
    <row r="11" spans="1:10" ht="13.5" customHeight="1" x14ac:dyDescent="0.2">
      <c r="A11" s="566" t="s">
        <v>493</v>
      </c>
      <c r="B11" s="451">
        <v>2070</v>
      </c>
      <c r="C11" s="435">
        <v>1960</v>
      </c>
      <c r="D11" s="640">
        <f t="shared" si="0"/>
        <v>-5.3140096618357502</v>
      </c>
      <c r="E11" s="435" t="s">
        <v>423</v>
      </c>
      <c r="F11" s="435" t="s">
        <v>423</v>
      </c>
      <c r="G11" s="577" t="s">
        <v>3</v>
      </c>
      <c r="H11" s="438" t="s">
        <v>423</v>
      </c>
      <c r="I11" s="438" t="s">
        <v>423</v>
      </c>
      <c r="J11" s="434" t="s">
        <v>426</v>
      </c>
    </row>
    <row r="12" spans="1:10" ht="13.5" customHeight="1" x14ac:dyDescent="0.2">
      <c r="A12" s="411" t="s">
        <v>441</v>
      </c>
      <c r="B12" s="402" t="s">
        <v>423</v>
      </c>
      <c r="C12" s="420">
        <f>AVERAGE(C13:C18)</f>
        <v>2198.6</v>
      </c>
      <c r="D12" s="368" t="s">
        <v>410</v>
      </c>
      <c r="E12" s="402" t="s">
        <v>423</v>
      </c>
      <c r="F12" s="417">
        <f>AVERAGE(F13:F18)</f>
        <v>2248.25</v>
      </c>
      <c r="G12" s="368" t="s">
        <v>410</v>
      </c>
      <c r="H12" s="402" t="s">
        <v>423</v>
      </c>
      <c r="I12" s="417">
        <f>AVERAGE(I13:I18)</f>
        <v>2104.3333333333335</v>
      </c>
      <c r="J12" s="369" t="s">
        <v>410</v>
      </c>
    </row>
    <row r="13" spans="1:10" ht="13.5" customHeight="1" x14ac:dyDescent="0.2">
      <c r="A13" s="370" t="s">
        <v>442</v>
      </c>
      <c r="B13" s="401" t="s">
        <v>423</v>
      </c>
      <c r="C13" s="371">
        <v>2200</v>
      </c>
      <c r="D13" s="567" t="s">
        <v>410</v>
      </c>
      <c r="E13" s="401" t="s">
        <v>423</v>
      </c>
      <c r="F13" s="371">
        <v>2200</v>
      </c>
      <c r="G13" s="567" t="s">
        <v>410</v>
      </c>
      <c r="H13" s="401" t="s">
        <v>423</v>
      </c>
      <c r="I13" s="401" t="s">
        <v>423</v>
      </c>
      <c r="J13" s="1" t="s">
        <v>410</v>
      </c>
    </row>
    <row r="14" spans="1:10" ht="13.5" customHeight="1" x14ac:dyDescent="0.2">
      <c r="A14" s="370" t="s">
        <v>575</v>
      </c>
      <c r="B14" s="435" t="s">
        <v>423</v>
      </c>
      <c r="C14" s="435">
        <v>2240</v>
      </c>
      <c r="D14" s="577" t="s">
        <v>3</v>
      </c>
      <c r="E14" s="435" t="s">
        <v>423</v>
      </c>
      <c r="F14" s="435" t="s">
        <v>423</v>
      </c>
      <c r="G14" s="577" t="s">
        <v>3</v>
      </c>
      <c r="H14" s="438" t="s">
        <v>423</v>
      </c>
      <c r="I14" s="438" t="s">
        <v>423</v>
      </c>
      <c r="J14" s="434" t="s">
        <v>426</v>
      </c>
    </row>
    <row r="15" spans="1:10" ht="13.5" customHeight="1" x14ac:dyDescent="0.2">
      <c r="A15" s="412" t="s">
        <v>443</v>
      </c>
      <c r="B15" s="401" t="s">
        <v>423</v>
      </c>
      <c r="C15" s="371">
        <v>2033</v>
      </c>
      <c r="D15" s="641" t="s">
        <v>3</v>
      </c>
      <c r="E15" s="401" t="s">
        <v>423</v>
      </c>
      <c r="F15" s="371">
        <v>2073</v>
      </c>
      <c r="G15" s="567" t="s">
        <v>410</v>
      </c>
      <c r="H15" s="401" t="s">
        <v>423</v>
      </c>
      <c r="I15" s="401">
        <v>1933</v>
      </c>
      <c r="J15" s="413" t="s">
        <v>410</v>
      </c>
    </row>
    <row r="16" spans="1:10" ht="13.5" customHeight="1" x14ac:dyDescent="0.2">
      <c r="A16" s="412" t="s">
        <v>572</v>
      </c>
      <c r="B16" s="435" t="s">
        <v>423</v>
      </c>
      <c r="C16" s="435" t="s">
        <v>423</v>
      </c>
      <c r="D16" s="577" t="s">
        <v>3</v>
      </c>
      <c r="E16" s="435" t="s">
        <v>423</v>
      </c>
      <c r="F16" s="435" t="s">
        <v>423</v>
      </c>
      <c r="G16" s="577" t="s">
        <v>3</v>
      </c>
      <c r="H16" s="438" t="s">
        <v>423</v>
      </c>
      <c r="I16" s="438">
        <v>2800</v>
      </c>
      <c r="J16" s="434" t="s">
        <v>426</v>
      </c>
    </row>
    <row r="17" spans="1:10" ht="13.5" customHeight="1" x14ac:dyDescent="0.2">
      <c r="A17" s="370" t="s">
        <v>444</v>
      </c>
      <c r="B17" s="401" t="s">
        <v>423</v>
      </c>
      <c r="C17" s="371">
        <v>2500</v>
      </c>
      <c r="D17" s="567" t="s">
        <v>410</v>
      </c>
      <c r="E17" s="401" t="s">
        <v>423</v>
      </c>
      <c r="F17" s="371">
        <v>2700</v>
      </c>
      <c r="G17" s="567" t="s">
        <v>410</v>
      </c>
      <c r="H17" s="401" t="s">
        <v>423</v>
      </c>
      <c r="I17" s="401" t="s">
        <v>423</v>
      </c>
      <c r="J17" s="1" t="s">
        <v>410</v>
      </c>
    </row>
    <row r="18" spans="1:10" ht="13.5" customHeight="1" x14ac:dyDescent="0.2">
      <c r="A18" s="370" t="s">
        <v>465</v>
      </c>
      <c r="B18" s="401" t="s">
        <v>423</v>
      </c>
      <c r="C18" s="371">
        <v>2020</v>
      </c>
      <c r="D18" s="409" t="s">
        <v>3</v>
      </c>
      <c r="E18" s="401" t="s">
        <v>423</v>
      </c>
      <c r="F18" s="371">
        <v>2020</v>
      </c>
      <c r="G18" s="567" t="s">
        <v>410</v>
      </c>
      <c r="H18" s="401" t="s">
        <v>423</v>
      </c>
      <c r="I18" s="401">
        <v>1580</v>
      </c>
      <c r="J18" s="1" t="s">
        <v>410</v>
      </c>
    </row>
    <row r="19" spans="1:10" ht="13.5" customHeight="1" x14ac:dyDescent="0.2">
      <c r="A19" s="452" t="s">
        <v>500</v>
      </c>
      <c r="B19" s="612">
        <f>AVERAGE(B20:B23)</f>
        <v>3050.3333333333335</v>
      </c>
      <c r="C19" s="612">
        <f>AVERAGE(C20:C24)</f>
        <v>3056.75</v>
      </c>
      <c r="D19" s="639">
        <f t="shared" si="0"/>
        <v>0.21035952354933052</v>
      </c>
      <c r="E19" s="450">
        <f>AVERAGE(E20:E23)</f>
        <v>3255</v>
      </c>
      <c r="F19" s="450">
        <f>AVERAGE(F20:F24)</f>
        <v>3298.2</v>
      </c>
      <c r="G19" s="642">
        <f t="shared" ref="G19:G21" si="1">((F19/E19) -   1)*100</f>
        <v>1.327188940092161</v>
      </c>
      <c r="H19" s="450">
        <f>AVERAGE(H20:H23)</f>
        <v>3679</v>
      </c>
      <c r="I19" s="450">
        <f>AVERAGE(I20:I24)</f>
        <v>4300</v>
      </c>
      <c r="J19" s="433">
        <f t="shared" ref="J19:J20" si="2">((I19/H19) -   1)*100</f>
        <v>16.879586844251151</v>
      </c>
    </row>
    <row r="20" spans="1:10" ht="13.5" customHeight="1" x14ac:dyDescent="0.2">
      <c r="A20" s="566" t="s">
        <v>155</v>
      </c>
      <c r="B20" s="451">
        <v>2501</v>
      </c>
      <c r="C20" s="451">
        <v>2513</v>
      </c>
      <c r="D20" s="640">
        <f t="shared" si="0"/>
        <v>0.47980807676928361</v>
      </c>
      <c r="E20" s="451">
        <v>2815</v>
      </c>
      <c r="F20" s="451">
        <v>2983</v>
      </c>
      <c r="G20" s="448">
        <f t="shared" si="1"/>
        <v>5.968028419182958</v>
      </c>
      <c r="H20" s="451">
        <v>3058</v>
      </c>
      <c r="I20" s="451">
        <v>4400</v>
      </c>
      <c r="J20" s="434">
        <f t="shared" si="2"/>
        <v>43.884892086330929</v>
      </c>
    </row>
    <row r="21" spans="1:10" ht="13.5" customHeight="1" x14ac:dyDescent="0.2">
      <c r="A21" s="566" t="s">
        <v>570</v>
      </c>
      <c r="B21" s="451">
        <v>4300</v>
      </c>
      <c r="C21" s="451">
        <v>3630</v>
      </c>
      <c r="D21" s="640">
        <f t="shared" si="0"/>
        <v>-15.581395348837212</v>
      </c>
      <c r="E21" s="451">
        <v>3500</v>
      </c>
      <c r="F21" s="451">
        <v>3630</v>
      </c>
      <c r="G21" s="448">
        <f t="shared" si="1"/>
        <v>3.7142857142857144</v>
      </c>
      <c r="H21" s="438" t="s">
        <v>423</v>
      </c>
      <c r="I21" s="438" t="s">
        <v>423</v>
      </c>
      <c r="J21" s="439" t="s">
        <v>576</v>
      </c>
    </row>
    <row r="22" spans="1:10" ht="13.5" customHeight="1" x14ac:dyDescent="0.2">
      <c r="A22" s="566" t="s">
        <v>156</v>
      </c>
      <c r="B22" s="438" t="s">
        <v>423</v>
      </c>
      <c r="C22" s="438" t="s">
        <v>423</v>
      </c>
      <c r="D22" s="614" t="s">
        <v>576</v>
      </c>
      <c r="E22" s="438" t="s">
        <v>423</v>
      </c>
      <c r="F22" s="438">
        <v>3400</v>
      </c>
      <c r="G22" s="614" t="s">
        <v>576</v>
      </c>
      <c r="H22" s="438" t="s">
        <v>423</v>
      </c>
      <c r="I22" s="438" t="s">
        <v>423</v>
      </c>
      <c r="J22" s="439" t="s">
        <v>576</v>
      </c>
    </row>
    <row r="23" spans="1:10" ht="13.5" customHeight="1" x14ac:dyDescent="0.2">
      <c r="A23" s="566" t="s">
        <v>411</v>
      </c>
      <c r="B23" s="451">
        <v>2350</v>
      </c>
      <c r="C23" s="451">
        <v>2777</v>
      </c>
      <c r="D23" s="640">
        <f t="shared" si="0"/>
        <v>18.170212765957451</v>
      </c>
      <c r="E23" s="451">
        <v>3450</v>
      </c>
      <c r="F23" s="451">
        <v>2898</v>
      </c>
      <c r="G23" s="448">
        <f t="shared" ref="G23" si="3">((F23/E23) -   1)*100</f>
        <v>-16.000000000000004</v>
      </c>
      <c r="H23" s="451">
        <v>4300</v>
      </c>
      <c r="I23" s="451">
        <v>4200</v>
      </c>
      <c r="J23" s="434">
        <f t="shared" ref="J23" si="4">((I23/H23) -   1)*100</f>
        <v>-2.3255813953488413</v>
      </c>
    </row>
    <row r="24" spans="1:10" ht="13.5" customHeight="1" x14ac:dyDescent="0.2">
      <c r="A24" s="566" t="s">
        <v>161</v>
      </c>
      <c r="B24" s="438" t="s">
        <v>423</v>
      </c>
      <c r="C24" s="438">
        <v>3307</v>
      </c>
      <c r="D24" s="614" t="s">
        <v>576</v>
      </c>
      <c r="E24" s="438" t="s">
        <v>423</v>
      </c>
      <c r="F24" s="438">
        <v>3580</v>
      </c>
      <c r="G24" s="614" t="s">
        <v>576</v>
      </c>
      <c r="H24" s="438" t="s">
        <v>423</v>
      </c>
      <c r="I24" s="438" t="s">
        <v>423</v>
      </c>
      <c r="J24" s="439" t="s">
        <v>576</v>
      </c>
    </row>
    <row r="25" spans="1:10" ht="13.5" customHeight="1" x14ac:dyDescent="0.2">
      <c r="A25" s="421" t="s">
        <v>2</v>
      </c>
      <c r="B25" s="612">
        <f>AVERAGE(B26:B30)</f>
        <v>2097.6</v>
      </c>
      <c r="C25" s="612">
        <f>AVERAGE(C26:C30)</f>
        <v>1977.4</v>
      </c>
      <c r="D25" s="642">
        <f t="shared" si="0"/>
        <v>-5.7303585049580441</v>
      </c>
      <c r="E25" s="450">
        <f>AVERAGE(E26:E30)</f>
        <v>2790</v>
      </c>
      <c r="F25" s="450">
        <f>AVERAGE(F26:F30)</f>
        <v>1968.75</v>
      </c>
      <c r="G25" s="642">
        <f t="shared" ref="G25" si="5">((F25/E25) -   1)*100</f>
        <v>-29.435483870967737</v>
      </c>
      <c r="H25" s="534" t="s">
        <v>423</v>
      </c>
      <c r="I25" s="534" t="s">
        <v>423</v>
      </c>
      <c r="J25" s="613" t="s">
        <v>577</v>
      </c>
    </row>
    <row r="26" spans="1:10" ht="13.5" customHeight="1" x14ac:dyDescent="0.2">
      <c r="A26" s="566" t="s">
        <v>5</v>
      </c>
      <c r="B26" s="451">
        <v>1960</v>
      </c>
      <c r="C26" s="451">
        <v>1940</v>
      </c>
      <c r="D26" s="448">
        <f t="shared" si="0"/>
        <v>-1.0204081632653073</v>
      </c>
      <c r="E26" s="451">
        <v>2680</v>
      </c>
      <c r="F26" s="451">
        <v>2000</v>
      </c>
      <c r="G26" s="448">
        <f t="shared" ref="G26:G27" si="6">((F26/E26) -   1)*100</f>
        <v>-25.373134328358205</v>
      </c>
      <c r="H26" s="521" t="s">
        <v>423</v>
      </c>
      <c r="J26" s="593" t="s">
        <v>577</v>
      </c>
    </row>
    <row r="27" spans="1:10" ht="13.5" customHeight="1" x14ac:dyDescent="0.2">
      <c r="A27" s="566" t="s">
        <v>78</v>
      </c>
      <c r="B27" s="451">
        <v>1960</v>
      </c>
      <c r="C27" s="451">
        <v>1880</v>
      </c>
      <c r="D27" s="448">
        <f t="shared" si="0"/>
        <v>-4.081632653061229</v>
      </c>
      <c r="E27" s="451">
        <v>2880</v>
      </c>
      <c r="F27" s="451">
        <v>1905</v>
      </c>
      <c r="G27" s="448">
        <f t="shared" si="6"/>
        <v>-33.854166666666664</v>
      </c>
      <c r="H27" s="521" t="s">
        <v>423</v>
      </c>
      <c r="I27" s="521" t="s">
        <v>423</v>
      </c>
      <c r="J27" s="593" t="s">
        <v>577</v>
      </c>
    </row>
    <row r="28" spans="1:10" ht="13.5" customHeight="1" x14ac:dyDescent="0.2">
      <c r="A28" s="566" t="s">
        <v>573</v>
      </c>
      <c r="B28" s="451">
        <v>2155</v>
      </c>
      <c r="C28" s="451">
        <v>2150</v>
      </c>
      <c r="D28" s="448">
        <f t="shared" si="0"/>
        <v>-0.23201856148491462</v>
      </c>
      <c r="E28" s="591" t="s">
        <v>423</v>
      </c>
      <c r="F28" s="591" t="s">
        <v>423</v>
      </c>
      <c r="G28" s="577" t="s">
        <v>3</v>
      </c>
      <c r="H28" s="521" t="s">
        <v>423</v>
      </c>
      <c r="I28" s="521" t="s">
        <v>423</v>
      </c>
      <c r="J28" s="593" t="s">
        <v>577</v>
      </c>
    </row>
    <row r="29" spans="1:10" ht="13.5" customHeight="1" x14ac:dyDescent="0.2">
      <c r="A29" s="566" t="s">
        <v>61</v>
      </c>
      <c r="B29" s="451">
        <v>2393</v>
      </c>
      <c r="C29" s="451">
        <v>2017</v>
      </c>
      <c r="D29" s="448">
        <f t="shared" si="0"/>
        <v>-15.712494776431264</v>
      </c>
      <c r="E29" s="451">
        <v>2800</v>
      </c>
      <c r="F29" s="451">
        <v>2040</v>
      </c>
      <c r="G29" s="448">
        <f t="shared" ref="G29" si="7">((F29/E29) -   1)*100</f>
        <v>-27.142857142857146</v>
      </c>
      <c r="H29" s="521" t="s">
        <v>423</v>
      </c>
      <c r="I29" s="521" t="s">
        <v>423</v>
      </c>
      <c r="J29" s="593" t="s">
        <v>577</v>
      </c>
    </row>
    <row r="30" spans="1:10" ht="13.5" customHeight="1" x14ac:dyDescent="0.2">
      <c r="A30" s="566" t="s">
        <v>190</v>
      </c>
      <c r="B30" s="451">
        <v>2020</v>
      </c>
      <c r="C30" s="451">
        <v>1900</v>
      </c>
      <c r="D30" s="448">
        <f t="shared" si="0"/>
        <v>-5.9405940594059459</v>
      </c>
      <c r="E30" s="451">
        <v>2800</v>
      </c>
      <c r="F30" s="451">
        <v>1930</v>
      </c>
      <c r="G30" s="448">
        <f t="shared" ref="G30" si="8">((F30/E30) -   1)*100</f>
        <v>-31.071428571428573</v>
      </c>
      <c r="H30" s="521" t="s">
        <v>423</v>
      </c>
      <c r="I30" s="521" t="s">
        <v>423</v>
      </c>
      <c r="J30" s="593" t="s">
        <v>577</v>
      </c>
    </row>
    <row r="31" spans="1:10" ht="13.5" customHeight="1" x14ac:dyDescent="0.2">
      <c r="A31" s="421" t="s">
        <v>6</v>
      </c>
      <c r="B31" s="450">
        <f>AVERAGE(B32:B40)</f>
        <v>3235.5714285714284</v>
      </c>
      <c r="C31" s="450">
        <f>AVERAGE(C32:C40)</f>
        <v>3176.7777777777778</v>
      </c>
      <c r="D31" s="642">
        <f t="shared" si="0"/>
        <v>-1.8171025456115264</v>
      </c>
      <c r="E31" s="450">
        <f>AVERAGE(E32:E40)</f>
        <v>2737</v>
      </c>
      <c r="F31" s="450">
        <f>AVERAGE(F32:F40)</f>
        <v>2400</v>
      </c>
      <c r="G31" s="642">
        <f>((F31/E31) -   1)*100</f>
        <v>-12.312751187431491</v>
      </c>
      <c r="H31" s="534" t="s">
        <v>423</v>
      </c>
      <c r="I31" s="443" t="s">
        <v>423</v>
      </c>
      <c r="J31" s="613" t="s">
        <v>577</v>
      </c>
    </row>
    <row r="32" spans="1:10" ht="13.5" customHeight="1" x14ac:dyDescent="0.2">
      <c r="A32" s="566" t="s">
        <v>7</v>
      </c>
      <c r="B32" s="451">
        <v>2470</v>
      </c>
      <c r="C32" s="451">
        <v>2050</v>
      </c>
      <c r="D32" s="448">
        <f t="shared" si="0"/>
        <v>-17.004048582995956</v>
      </c>
      <c r="E32" s="451">
        <v>2485</v>
      </c>
      <c r="F32" s="451">
        <v>2200</v>
      </c>
      <c r="G32" s="448">
        <f>((F32/E32) -   1)*100</f>
        <v>-11.468812877263579</v>
      </c>
      <c r="H32" s="438" t="s">
        <v>423</v>
      </c>
      <c r="I32" s="438" t="s">
        <v>423</v>
      </c>
      <c r="J32" s="593" t="s">
        <v>577</v>
      </c>
    </row>
    <row r="33" spans="1:10" ht="13.5" customHeight="1" x14ac:dyDescent="0.2">
      <c r="A33" s="566" t="s">
        <v>8</v>
      </c>
      <c r="B33" s="451">
        <v>2173</v>
      </c>
      <c r="C33" s="451">
        <v>2167</v>
      </c>
      <c r="D33" s="448">
        <f t="shared" si="0"/>
        <v>-0.27611596870685817</v>
      </c>
      <c r="E33" s="451">
        <v>2520</v>
      </c>
      <c r="F33" s="451">
        <v>2220</v>
      </c>
      <c r="G33" s="448">
        <f>((F33/E33) -   1)*100</f>
        <v>-11.904761904761907</v>
      </c>
      <c r="H33" s="438" t="s">
        <v>423</v>
      </c>
      <c r="I33" s="438" t="s">
        <v>423</v>
      </c>
      <c r="J33" s="593" t="s">
        <v>577</v>
      </c>
    </row>
    <row r="34" spans="1:10" ht="13.5" customHeight="1" x14ac:dyDescent="0.2">
      <c r="A34" s="566" t="s">
        <v>9</v>
      </c>
      <c r="B34" s="451">
        <v>2173</v>
      </c>
      <c r="C34" s="451">
        <v>2167</v>
      </c>
      <c r="D34" s="448">
        <f t="shared" si="0"/>
        <v>-0.27611596870685817</v>
      </c>
      <c r="E34" s="451">
        <v>2400</v>
      </c>
      <c r="F34" s="451">
        <v>2140</v>
      </c>
      <c r="G34" s="448">
        <f t="shared" ref="G34" si="9">((F34/E34) -   1)*100</f>
        <v>-10.833333333333329</v>
      </c>
      <c r="H34" s="438" t="s">
        <v>423</v>
      </c>
      <c r="I34" s="438" t="s">
        <v>423</v>
      </c>
      <c r="J34" s="593" t="s">
        <v>577</v>
      </c>
    </row>
    <row r="35" spans="1:10" ht="13.5" customHeight="1" x14ac:dyDescent="0.2">
      <c r="A35" s="566" t="s">
        <v>11</v>
      </c>
      <c r="B35" s="451">
        <v>2690</v>
      </c>
      <c r="C35" s="451">
        <v>2867</v>
      </c>
      <c r="D35" s="448">
        <f t="shared" si="0"/>
        <v>6.5799256505576276</v>
      </c>
      <c r="E35" s="451">
        <v>3493</v>
      </c>
      <c r="F35" s="451">
        <v>2933</v>
      </c>
      <c r="G35" s="448">
        <f t="shared" ref="G35" si="10">((F35/E35) -   1)*100</f>
        <v>-16.032064128256518</v>
      </c>
      <c r="H35" s="438" t="s">
        <v>423</v>
      </c>
      <c r="I35" s="438" t="s">
        <v>423</v>
      </c>
      <c r="J35" s="593" t="s">
        <v>577</v>
      </c>
    </row>
    <row r="36" spans="1:10" ht="13.5" customHeight="1" x14ac:dyDescent="0.2">
      <c r="A36" s="566" t="s">
        <v>12</v>
      </c>
      <c r="B36" s="451">
        <v>5100</v>
      </c>
      <c r="C36" s="451">
        <v>5033</v>
      </c>
      <c r="D36" s="448">
        <f t="shared" si="0"/>
        <v>-1.3137254901960826</v>
      </c>
      <c r="E36" s="511" t="s">
        <v>423</v>
      </c>
      <c r="F36" s="511" t="s">
        <v>423</v>
      </c>
      <c r="G36" s="577" t="s">
        <v>3</v>
      </c>
      <c r="H36" s="438" t="s">
        <v>423</v>
      </c>
      <c r="I36" s="521" t="s">
        <v>423</v>
      </c>
      <c r="J36" s="593" t="s">
        <v>426</v>
      </c>
    </row>
    <row r="37" spans="1:10" ht="13.5" customHeight="1" x14ac:dyDescent="0.2">
      <c r="A37" s="566" t="s">
        <v>13</v>
      </c>
      <c r="B37" s="451">
        <v>5450</v>
      </c>
      <c r="C37" s="451">
        <v>5000</v>
      </c>
      <c r="D37" s="448">
        <f t="shared" si="0"/>
        <v>-8.2568807339449499</v>
      </c>
      <c r="E37" s="511" t="s">
        <v>423</v>
      </c>
      <c r="F37" s="511" t="s">
        <v>423</v>
      </c>
      <c r="G37" s="577" t="s">
        <v>3</v>
      </c>
      <c r="H37" s="438" t="s">
        <v>423</v>
      </c>
      <c r="I37" s="521" t="s">
        <v>423</v>
      </c>
      <c r="J37" s="593" t="s">
        <v>426</v>
      </c>
    </row>
    <row r="38" spans="1:10" ht="13.5" customHeight="1" x14ac:dyDescent="0.2">
      <c r="A38" s="566" t="s">
        <v>79</v>
      </c>
      <c r="B38" s="511" t="s">
        <v>423</v>
      </c>
      <c r="C38" s="451">
        <v>3600</v>
      </c>
      <c r="D38" s="577" t="s">
        <v>3</v>
      </c>
      <c r="E38" s="591" t="s">
        <v>423</v>
      </c>
      <c r="F38" s="591" t="s">
        <v>423</v>
      </c>
      <c r="G38" s="577" t="s">
        <v>3</v>
      </c>
      <c r="H38" s="438" t="s">
        <v>423</v>
      </c>
      <c r="I38" s="521" t="s">
        <v>423</v>
      </c>
      <c r="J38" s="593" t="s">
        <v>426</v>
      </c>
    </row>
    <row r="39" spans="1:10" ht="13.5" customHeight="1" x14ac:dyDescent="0.2">
      <c r="A39" s="566" t="s">
        <v>412</v>
      </c>
      <c r="B39" s="451">
        <v>2593</v>
      </c>
      <c r="C39" s="451">
        <v>2507</v>
      </c>
      <c r="D39" s="448">
        <f t="shared" si="0"/>
        <v>-3.3166216737369858</v>
      </c>
      <c r="E39" s="451">
        <v>2787</v>
      </c>
      <c r="F39" s="451">
        <v>2507</v>
      </c>
      <c r="G39" s="448">
        <f>((F39/E39) -   1)*100</f>
        <v>-10.046645138141375</v>
      </c>
      <c r="H39" s="438" t="s">
        <v>423</v>
      </c>
      <c r="I39" s="521" t="s">
        <v>423</v>
      </c>
      <c r="J39" s="614" t="s">
        <v>426</v>
      </c>
    </row>
    <row r="40" spans="1:10" ht="13.5" customHeight="1" x14ac:dyDescent="0.2">
      <c r="A40" s="566" t="s">
        <v>14</v>
      </c>
      <c r="B40" s="511" t="s">
        <v>423</v>
      </c>
      <c r="C40" s="451">
        <v>3200</v>
      </c>
      <c r="D40" s="577" t="s">
        <v>3</v>
      </c>
      <c r="E40" s="591" t="s">
        <v>423</v>
      </c>
      <c r="F40" s="591" t="s">
        <v>423</v>
      </c>
      <c r="G40" s="577" t="s">
        <v>3</v>
      </c>
      <c r="H40" s="438" t="s">
        <v>423</v>
      </c>
      <c r="I40" s="521" t="s">
        <v>423</v>
      </c>
      <c r="J40" s="593" t="s">
        <v>426</v>
      </c>
    </row>
    <row r="41" spans="1:10" ht="13.5" customHeight="1" x14ac:dyDescent="0.2">
      <c r="A41" s="423" t="s">
        <v>15</v>
      </c>
      <c r="B41" s="450">
        <f>AVERAGE(B42:B45)</f>
        <v>2591</v>
      </c>
      <c r="C41" s="450">
        <f>AVERAGE(C42:C45)</f>
        <v>2533.3333333333335</v>
      </c>
      <c r="D41" s="642">
        <f t="shared" si="0"/>
        <v>-2.2256529010677983</v>
      </c>
      <c r="E41" s="450">
        <f>AVERAGE(E42:E45)</f>
        <v>2904</v>
      </c>
      <c r="F41" s="450">
        <f>AVERAGE(F42:F45)</f>
        <v>2550</v>
      </c>
      <c r="G41" s="642">
        <f>((F41/E41) -   1)*100</f>
        <v>-12.190082644628097</v>
      </c>
      <c r="H41" s="443" t="s">
        <v>423</v>
      </c>
      <c r="I41" s="534" t="s">
        <v>423</v>
      </c>
      <c r="J41" s="613" t="s">
        <v>426</v>
      </c>
    </row>
    <row r="42" spans="1:10" ht="13.5" customHeight="1" x14ac:dyDescent="0.2">
      <c r="A42" s="566" t="s">
        <v>191</v>
      </c>
      <c r="B42" s="451">
        <v>2591</v>
      </c>
      <c r="C42" s="451">
        <v>2100</v>
      </c>
      <c r="D42" s="448">
        <f>((C42/B42) -   1)*100</f>
        <v>-18.950212273253577</v>
      </c>
      <c r="E42" s="451">
        <v>2808</v>
      </c>
      <c r="F42" s="451">
        <v>2500</v>
      </c>
      <c r="G42" s="448">
        <f>((F42/E42) -   1)*100</f>
        <v>-10.96866096866097</v>
      </c>
      <c r="H42" s="438" t="s">
        <v>423</v>
      </c>
      <c r="I42" s="521" t="s">
        <v>423</v>
      </c>
      <c r="J42" s="593" t="s">
        <v>426</v>
      </c>
    </row>
    <row r="43" spans="1:10" ht="13.5" customHeight="1" x14ac:dyDescent="0.2">
      <c r="A43" s="566" t="s">
        <v>70</v>
      </c>
      <c r="B43" s="511" t="s">
        <v>423</v>
      </c>
      <c r="C43" s="451">
        <v>2200</v>
      </c>
      <c r="D43" s="577" t="s">
        <v>3</v>
      </c>
      <c r="E43" s="591" t="s">
        <v>423</v>
      </c>
      <c r="F43" s="591">
        <v>1700</v>
      </c>
      <c r="G43" s="577" t="s">
        <v>3</v>
      </c>
      <c r="H43" s="438" t="s">
        <v>423</v>
      </c>
      <c r="I43" s="521" t="s">
        <v>423</v>
      </c>
      <c r="J43" s="593" t="s">
        <v>426</v>
      </c>
    </row>
    <row r="44" spans="1:10" ht="13.5" customHeight="1" x14ac:dyDescent="0.2">
      <c r="A44" s="566" t="s">
        <v>69</v>
      </c>
      <c r="B44" s="511" t="s">
        <v>423</v>
      </c>
      <c r="C44" s="451">
        <v>3300</v>
      </c>
      <c r="D44" s="577" t="s">
        <v>3</v>
      </c>
      <c r="E44" s="591" t="s">
        <v>423</v>
      </c>
      <c r="F44" s="591">
        <v>3000</v>
      </c>
      <c r="G44" s="577" t="s">
        <v>3</v>
      </c>
      <c r="H44" s="438" t="s">
        <v>423</v>
      </c>
      <c r="I44" s="521" t="s">
        <v>423</v>
      </c>
      <c r="J44" s="593" t="s">
        <v>426</v>
      </c>
    </row>
    <row r="45" spans="1:10" ht="13.5" customHeight="1" x14ac:dyDescent="0.2">
      <c r="A45" s="604" t="s">
        <v>567</v>
      </c>
      <c r="B45" s="591" t="s">
        <v>423</v>
      </c>
      <c r="C45" s="591" t="s">
        <v>423</v>
      </c>
      <c r="D45" s="577" t="s">
        <v>3</v>
      </c>
      <c r="E45" s="441">
        <v>3000</v>
      </c>
      <c r="F45" s="441">
        <v>3000</v>
      </c>
      <c r="G45" s="577" t="s">
        <v>3</v>
      </c>
      <c r="H45" s="521" t="s">
        <v>423</v>
      </c>
      <c r="I45" s="521" t="s">
        <v>423</v>
      </c>
      <c r="J45" s="593" t="s">
        <v>426</v>
      </c>
    </row>
    <row r="46" spans="1:10" ht="13.5" customHeight="1" x14ac:dyDescent="0.2">
      <c r="A46" s="442" t="s">
        <v>16</v>
      </c>
      <c r="B46" s="450">
        <f>AVERAGE(B47:B48)</f>
        <v>2908.5</v>
      </c>
      <c r="C46" s="450">
        <f>AVERAGE(C47:C48)</f>
        <v>2600</v>
      </c>
      <c r="D46" s="642">
        <f t="shared" ref="D46:D56" si="11">((C46/B46) -   1)*100</f>
        <v>-10.606842014784256</v>
      </c>
      <c r="E46" s="450">
        <f>AVERAGE(E47:E48)</f>
        <v>2825</v>
      </c>
      <c r="F46" s="450">
        <f>AVERAGE(F47:F48)</f>
        <v>2835</v>
      </c>
      <c r="G46" s="642">
        <f t="shared" ref="G46:G53" si="12">((F46/E46 -   1)*100)</f>
        <v>0.35398230088494742</v>
      </c>
      <c r="H46" s="443" t="s">
        <v>423</v>
      </c>
      <c r="I46" s="443" t="s">
        <v>423</v>
      </c>
      <c r="J46" s="433" t="s">
        <v>426</v>
      </c>
    </row>
    <row r="47" spans="1:10" ht="13.5" customHeight="1" x14ac:dyDescent="0.2">
      <c r="A47" s="566" t="s">
        <v>489</v>
      </c>
      <c r="B47" s="451">
        <v>2867</v>
      </c>
      <c r="C47" s="451">
        <v>2850</v>
      </c>
      <c r="D47" s="448">
        <f t="shared" si="11"/>
        <v>-0.59295430763864898</v>
      </c>
      <c r="E47" s="590">
        <v>2800</v>
      </c>
      <c r="F47" s="590">
        <v>3270</v>
      </c>
      <c r="G47" s="448">
        <f t="shared" si="12"/>
        <v>16.785714285714292</v>
      </c>
      <c r="H47" s="438" t="s">
        <v>423</v>
      </c>
      <c r="I47" s="438" t="s">
        <v>423</v>
      </c>
      <c r="J47" s="593" t="s">
        <v>426</v>
      </c>
    </row>
    <row r="48" spans="1:10" ht="13.5" customHeight="1" x14ac:dyDescent="0.2">
      <c r="A48" s="566" t="s">
        <v>17</v>
      </c>
      <c r="B48" s="451">
        <v>2950</v>
      </c>
      <c r="C48" s="451">
        <v>2350</v>
      </c>
      <c r="D48" s="448">
        <f t="shared" si="11"/>
        <v>-20.33898305084746</v>
      </c>
      <c r="E48" s="590">
        <v>2850</v>
      </c>
      <c r="F48" s="590">
        <v>2400</v>
      </c>
      <c r="G48" s="448">
        <f t="shared" si="12"/>
        <v>-15.789473684210531</v>
      </c>
      <c r="H48" s="438" t="s">
        <v>423</v>
      </c>
      <c r="I48" s="438" t="s">
        <v>423</v>
      </c>
      <c r="J48" s="593" t="s">
        <v>426</v>
      </c>
    </row>
    <row r="49" spans="1:10" ht="13.5" customHeight="1" x14ac:dyDescent="0.2">
      <c r="A49" s="442" t="s">
        <v>18</v>
      </c>
      <c r="B49" s="450">
        <f>AVERAGE(B50:B56)</f>
        <v>2606.8571428571427</v>
      </c>
      <c r="C49" s="450">
        <f>AVERAGE(C50:C56)</f>
        <v>2294.2857142857142</v>
      </c>
      <c r="D49" s="642">
        <f t="shared" si="11"/>
        <v>-11.990355107409023</v>
      </c>
      <c r="E49" s="450">
        <f>AVERAGE(E50:E56)</f>
        <v>2523</v>
      </c>
      <c r="F49" s="450">
        <f>AVERAGE(F50:F56)</f>
        <v>2208.6</v>
      </c>
      <c r="G49" s="642">
        <f t="shared" si="12"/>
        <v>-12.461355529131989</v>
      </c>
      <c r="H49" s="443" t="s">
        <v>423</v>
      </c>
      <c r="I49" s="443" t="s">
        <v>423</v>
      </c>
      <c r="J49" s="613" t="s">
        <v>426</v>
      </c>
    </row>
    <row r="50" spans="1:10" ht="13.5" customHeight="1" x14ac:dyDescent="0.2">
      <c r="A50" s="566" t="s">
        <v>19</v>
      </c>
      <c r="B50" s="451">
        <v>2250</v>
      </c>
      <c r="C50" s="451">
        <v>2160</v>
      </c>
      <c r="D50" s="448">
        <f t="shared" si="11"/>
        <v>-4.0000000000000036</v>
      </c>
      <c r="E50" s="590">
        <v>2815</v>
      </c>
      <c r="F50" s="590">
        <v>2160</v>
      </c>
      <c r="G50" s="448">
        <f t="shared" si="12"/>
        <v>-23.268206039076379</v>
      </c>
      <c r="H50" s="438" t="s">
        <v>423</v>
      </c>
      <c r="J50" s="593" t="s">
        <v>426</v>
      </c>
    </row>
    <row r="51" spans="1:10" ht="13.5" customHeight="1" x14ac:dyDescent="0.2">
      <c r="A51" s="566" t="s">
        <v>21</v>
      </c>
      <c r="B51" s="451">
        <v>2305</v>
      </c>
      <c r="C51" s="451">
        <v>2000</v>
      </c>
      <c r="D51" s="448">
        <f t="shared" si="11"/>
        <v>-13.232104121475052</v>
      </c>
      <c r="E51" s="590">
        <v>2200</v>
      </c>
      <c r="F51" s="590">
        <v>2120</v>
      </c>
      <c r="G51" s="448">
        <f t="shared" si="12"/>
        <v>-3.6363636363636376</v>
      </c>
      <c r="H51" s="438" t="s">
        <v>423</v>
      </c>
      <c r="I51" s="438" t="s">
        <v>423</v>
      </c>
      <c r="J51" s="593" t="s">
        <v>426</v>
      </c>
    </row>
    <row r="52" spans="1:10" ht="13.5" customHeight="1" x14ac:dyDescent="0.2">
      <c r="A52" s="566" t="s">
        <v>419</v>
      </c>
      <c r="B52" s="451">
        <v>3200</v>
      </c>
      <c r="C52" s="451">
        <v>2600</v>
      </c>
      <c r="D52" s="448">
        <f t="shared" si="11"/>
        <v>-18.75</v>
      </c>
      <c r="E52" s="590">
        <v>3400</v>
      </c>
      <c r="F52" s="590">
        <v>2700</v>
      </c>
      <c r="G52" s="448">
        <f t="shared" si="12"/>
        <v>-20.588235294117652</v>
      </c>
      <c r="H52" s="438" t="s">
        <v>423</v>
      </c>
      <c r="I52" s="438" t="s">
        <v>423</v>
      </c>
      <c r="J52" s="593" t="s">
        <v>426</v>
      </c>
    </row>
    <row r="53" spans="1:10" ht="13.5" customHeight="1" x14ac:dyDescent="0.2">
      <c r="A53" s="566" t="s">
        <v>22</v>
      </c>
      <c r="B53" s="451">
        <v>2345</v>
      </c>
      <c r="C53" s="451">
        <v>2225</v>
      </c>
      <c r="D53" s="448">
        <f t="shared" si="11"/>
        <v>-5.1172707889125757</v>
      </c>
      <c r="E53" s="590">
        <v>1470</v>
      </c>
      <c r="F53" s="590">
        <v>1453</v>
      </c>
      <c r="G53" s="448">
        <f t="shared" si="12"/>
        <v>-1.1564625850340127</v>
      </c>
      <c r="H53" s="438" t="s">
        <v>423</v>
      </c>
      <c r="I53" s="438" t="s">
        <v>423</v>
      </c>
      <c r="J53" s="593" t="s">
        <v>426</v>
      </c>
    </row>
    <row r="54" spans="1:10" ht="13.5" customHeight="1" x14ac:dyDescent="0.2">
      <c r="A54" s="566" t="s">
        <v>23</v>
      </c>
      <c r="B54" s="451">
        <v>2933</v>
      </c>
      <c r="C54" s="451">
        <v>2600</v>
      </c>
      <c r="D54" s="448">
        <f t="shared" si="11"/>
        <v>-11.353562904875558</v>
      </c>
      <c r="E54" s="591" t="s">
        <v>423</v>
      </c>
      <c r="F54" s="591" t="s">
        <v>423</v>
      </c>
      <c r="G54" s="577" t="s">
        <v>3</v>
      </c>
      <c r="H54" s="438" t="s">
        <v>423</v>
      </c>
      <c r="I54" s="438" t="s">
        <v>423</v>
      </c>
      <c r="J54" s="593" t="s">
        <v>426</v>
      </c>
    </row>
    <row r="55" spans="1:10" ht="13.5" customHeight="1" x14ac:dyDescent="0.2">
      <c r="A55" s="566" t="s">
        <v>24</v>
      </c>
      <c r="B55" s="451">
        <v>2715</v>
      </c>
      <c r="C55" s="451">
        <v>2055</v>
      </c>
      <c r="D55" s="448">
        <f t="shared" si="11"/>
        <v>-24.309392265193374</v>
      </c>
      <c r="E55" s="590">
        <v>2730</v>
      </c>
      <c r="F55" s="590">
        <v>2610</v>
      </c>
      <c r="G55" s="448">
        <f t="shared" ref="G55" si="13">((F55/E55) -   1)*100</f>
        <v>-4.3956043956043906</v>
      </c>
      <c r="H55" s="438" t="s">
        <v>423</v>
      </c>
      <c r="I55" s="438" t="s">
        <v>423</v>
      </c>
      <c r="J55" s="593" t="s">
        <v>426</v>
      </c>
    </row>
    <row r="56" spans="1:10" ht="13.5" customHeight="1" x14ac:dyDescent="0.2">
      <c r="A56" s="566" t="s">
        <v>63</v>
      </c>
      <c r="B56" s="451">
        <v>2500</v>
      </c>
      <c r="C56" s="451">
        <v>2420</v>
      </c>
      <c r="D56" s="577">
        <f t="shared" si="11"/>
        <v>-3.2000000000000028</v>
      </c>
      <c r="E56" s="591" t="s">
        <v>423</v>
      </c>
      <c r="F56" s="591" t="s">
        <v>423</v>
      </c>
      <c r="G56" s="577" t="s">
        <v>3</v>
      </c>
      <c r="H56" s="438" t="s">
        <v>423</v>
      </c>
      <c r="I56" s="438" t="s">
        <v>423</v>
      </c>
      <c r="J56" s="593" t="s">
        <v>426</v>
      </c>
    </row>
    <row r="57" spans="1:10" ht="13.5" customHeight="1" x14ac:dyDescent="0.2">
      <c r="A57" s="572"/>
      <c r="B57" s="573"/>
      <c r="C57" s="574"/>
      <c r="D57" s="574"/>
      <c r="E57" s="574"/>
      <c r="F57" s="574"/>
      <c r="G57" s="574"/>
      <c r="H57" s="574"/>
      <c r="I57" s="574"/>
      <c r="J57" s="575" t="s">
        <v>26</v>
      </c>
    </row>
    <row r="58" spans="1:10" ht="13.5" customHeight="1" x14ac:dyDescent="0.25">
      <c r="A58" s="691" t="s">
        <v>435</v>
      </c>
      <c r="B58" s="691"/>
      <c r="C58" s="691"/>
      <c r="D58" s="691"/>
      <c r="E58" s="691"/>
      <c r="F58" s="691"/>
      <c r="G58" s="399"/>
      <c r="H58" s="399"/>
      <c r="I58" s="400"/>
      <c r="J58" s="410"/>
    </row>
    <row r="59" spans="1:10" ht="13.5" customHeight="1" x14ac:dyDescent="0.2">
      <c r="A59" s="686" t="s">
        <v>0</v>
      </c>
      <c r="B59" s="688" t="s">
        <v>432</v>
      </c>
      <c r="C59" s="689"/>
      <c r="D59" s="690"/>
      <c r="E59" s="688" t="s">
        <v>433</v>
      </c>
      <c r="F59" s="689"/>
      <c r="G59" s="690"/>
      <c r="H59" s="688" t="s">
        <v>434</v>
      </c>
      <c r="I59" s="689"/>
      <c r="J59" s="690"/>
    </row>
    <row r="60" spans="1:10" ht="13.5" customHeight="1" x14ac:dyDescent="0.2">
      <c r="A60" s="687"/>
      <c r="B60" s="363">
        <v>2024</v>
      </c>
      <c r="C60" s="363">
        <v>2025</v>
      </c>
      <c r="D60" s="363" t="s">
        <v>1</v>
      </c>
      <c r="E60" s="363">
        <v>2024</v>
      </c>
      <c r="F60" s="363">
        <v>2025</v>
      </c>
      <c r="G60" s="363" t="s">
        <v>1</v>
      </c>
      <c r="H60" s="363">
        <v>2024</v>
      </c>
      <c r="I60" s="363">
        <v>2025</v>
      </c>
      <c r="J60" s="363" t="s">
        <v>1</v>
      </c>
    </row>
    <row r="61" spans="1:10" ht="5.0999999999999996" customHeight="1" x14ac:dyDescent="0.2">
      <c r="A61" s="566"/>
      <c r="B61" s="451"/>
      <c r="C61" s="451"/>
      <c r="D61" s="569"/>
      <c r="E61" s="591"/>
      <c r="F61" s="591"/>
      <c r="G61" s="569"/>
      <c r="H61" s="438"/>
      <c r="I61" s="438"/>
      <c r="J61" s="593"/>
    </row>
    <row r="62" spans="1:10" ht="13.5" customHeight="1" x14ac:dyDescent="0.2">
      <c r="A62" s="442" t="s">
        <v>25</v>
      </c>
      <c r="B62" s="450">
        <f>AVERAGE(B63:B64)</f>
        <v>2005</v>
      </c>
      <c r="C62" s="450">
        <f>AVERAGE(C63:C64)</f>
        <v>1944</v>
      </c>
      <c r="D62" s="642">
        <f t="shared" ref="D62:D67" si="14">((C62/B62)-      1)*100</f>
        <v>-3.0423940149625905</v>
      </c>
      <c r="E62" s="450">
        <f>AVERAGE(E63:E64)</f>
        <v>2279</v>
      </c>
      <c r="F62" s="450">
        <f>AVERAGE(F63:F64)</f>
        <v>2095</v>
      </c>
      <c r="G62" s="642">
        <f t="shared" ref="G62:G64" si="15">((F62/E62)-      1)*100</f>
        <v>-8.073716542343135</v>
      </c>
      <c r="H62" s="450">
        <f>AVERAGE(H63:H64)</f>
        <v>1285</v>
      </c>
      <c r="I62" s="450">
        <f>AVERAGE(I63:I64)</f>
        <v>1260.5</v>
      </c>
      <c r="J62" s="433">
        <f t="shared" ref="J62:J64" si="16">((I62/H62)-      1)*100</f>
        <v>-1.9066147859922222</v>
      </c>
    </row>
    <row r="63" spans="1:10" ht="13.5" customHeight="1" x14ac:dyDescent="0.2">
      <c r="A63" s="566" t="s">
        <v>53</v>
      </c>
      <c r="B63" s="451">
        <v>1950</v>
      </c>
      <c r="C63" s="451">
        <v>1888</v>
      </c>
      <c r="D63" s="448">
        <f t="shared" si="14"/>
        <v>-3.1794871794871837</v>
      </c>
      <c r="E63" s="590">
        <v>1958</v>
      </c>
      <c r="F63" s="590">
        <v>2090</v>
      </c>
      <c r="G63" s="448">
        <f t="shared" si="15"/>
        <v>6.7415730337078594</v>
      </c>
      <c r="H63" s="438">
        <v>1470</v>
      </c>
      <c r="I63" s="438">
        <v>1421</v>
      </c>
      <c r="J63" s="593">
        <f t="shared" si="16"/>
        <v>-3.3333333333333326</v>
      </c>
    </row>
    <row r="64" spans="1:10" ht="13.5" customHeight="1" x14ac:dyDescent="0.2">
      <c r="A64" s="566" t="s">
        <v>58</v>
      </c>
      <c r="B64" s="451">
        <v>2060</v>
      </c>
      <c r="C64" s="451">
        <v>2000</v>
      </c>
      <c r="D64" s="448">
        <f t="shared" si="14"/>
        <v>-2.9126213592232997</v>
      </c>
      <c r="E64" s="590">
        <v>2600</v>
      </c>
      <c r="F64" s="590">
        <v>2100</v>
      </c>
      <c r="G64" s="448">
        <f t="shared" si="15"/>
        <v>-19.23076923076923</v>
      </c>
      <c r="H64" s="438">
        <v>1100</v>
      </c>
      <c r="I64" s="438">
        <v>1100</v>
      </c>
      <c r="J64" s="593">
        <f t="shared" si="16"/>
        <v>0</v>
      </c>
    </row>
    <row r="65" spans="1:10" ht="13.5" customHeight="1" x14ac:dyDescent="0.2">
      <c r="A65" s="442" t="s">
        <v>81</v>
      </c>
      <c r="B65" s="450">
        <f>AVERAGE(B66:B67)</f>
        <v>2110</v>
      </c>
      <c r="C65" s="450">
        <f>AVERAGE(C66:C67)</f>
        <v>2358.5</v>
      </c>
      <c r="D65" s="642">
        <f t="shared" si="14"/>
        <v>11.777251184834125</v>
      </c>
      <c r="E65" s="450">
        <f>AVERAGE(E66:E67)</f>
        <v>2320</v>
      </c>
      <c r="F65" s="450">
        <f>AVERAGE(F66:F67)</f>
        <v>2275</v>
      </c>
      <c r="G65" s="642">
        <f>((F65/E65)-      1)*100</f>
        <v>-1.93965517241379</v>
      </c>
      <c r="H65" s="443" t="s">
        <v>423</v>
      </c>
      <c r="I65" s="443" t="s">
        <v>423</v>
      </c>
      <c r="J65" s="613" t="s">
        <v>426</v>
      </c>
    </row>
    <row r="66" spans="1:10" ht="13.5" customHeight="1" x14ac:dyDescent="0.2">
      <c r="A66" s="566" t="s">
        <v>424</v>
      </c>
      <c r="B66" s="451">
        <v>2200</v>
      </c>
      <c r="C66" s="451">
        <v>2650</v>
      </c>
      <c r="D66" s="448">
        <f t="shared" si="14"/>
        <v>20.45454545454546</v>
      </c>
      <c r="E66" s="590">
        <v>2340</v>
      </c>
      <c r="F66" s="590">
        <v>2450</v>
      </c>
      <c r="G66" s="448">
        <f>((F66/E66)-      1)*100</f>
        <v>4.7008547008547064</v>
      </c>
      <c r="H66" s="438" t="s">
        <v>423</v>
      </c>
      <c r="I66" s="438" t="s">
        <v>423</v>
      </c>
      <c r="J66" s="593" t="s">
        <v>426</v>
      </c>
    </row>
    <row r="67" spans="1:10" ht="13.5" customHeight="1" x14ac:dyDescent="0.2">
      <c r="A67" s="566" t="s">
        <v>413</v>
      </c>
      <c r="B67" s="451">
        <v>2020</v>
      </c>
      <c r="C67" s="451">
        <v>2067</v>
      </c>
      <c r="D67" s="448">
        <f t="shared" si="14"/>
        <v>2.3267326732673288</v>
      </c>
      <c r="E67" s="590">
        <v>2300</v>
      </c>
      <c r="F67" s="590">
        <v>2100</v>
      </c>
      <c r="G67" s="448">
        <f>((F67/E67)-      1)*100</f>
        <v>-8.6956521739130483</v>
      </c>
      <c r="H67" s="438" t="s">
        <v>423</v>
      </c>
      <c r="I67" s="438" t="s">
        <v>423</v>
      </c>
      <c r="J67" s="593" t="s">
        <v>426</v>
      </c>
    </row>
    <row r="68" spans="1:10" ht="13.5" customHeight="1" x14ac:dyDescent="0.2">
      <c r="A68" s="421" t="s">
        <v>414</v>
      </c>
      <c r="B68" s="450">
        <f>AVERAGE(B69:B80)</f>
        <v>2079.1666666666665</v>
      </c>
      <c r="C68" s="450">
        <f>AVERAGE(C69:C80)</f>
        <v>2047.25</v>
      </c>
      <c r="D68" s="642">
        <f t="shared" ref="D68:D75" si="17">((C68/B68)-      1)*100</f>
        <v>-1.5350701402805589</v>
      </c>
      <c r="E68" s="450">
        <f>AVERAGE(E69:E80)</f>
        <v>2557.25</v>
      </c>
      <c r="F68" s="450">
        <f>AVERAGE(F69:F80)</f>
        <v>2091</v>
      </c>
      <c r="G68" s="448">
        <f>((F68/E68)-      1)*100</f>
        <v>-18.232476292892752</v>
      </c>
      <c r="H68" s="450">
        <f>AVERAGE(H69:H80)</f>
        <v>1245</v>
      </c>
      <c r="I68" s="450">
        <f>AVERAGE(I69:I80)</f>
        <v>1202.7</v>
      </c>
      <c r="J68" s="433">
        <f>((I68/H68)-      1)*100</f>
        <v>-3.3975903614457792</v>
      </c>
    </row>
    <row r="69" spans="1:10" ht="13.5" customHeight="1" x14ac:dyDescent="0.2">
      <c r="A69" s="566" t="s">
        <v>28</v>
      </c>
      <c r="B69" s="451">
        <v>1873</v>
      </c>
      <c r="C69" s="451">
        <v>2053</v>
      </c>
      <c r="D69" s="448">
        <f t="shared" si="17"/>
        <v>9.6102509343299438</v>
      </c>
      <c r="E69" s="451">
        <v>2700</v>
      </c>
      <c r="F69" s="451">
        <v>1920</v>
      </c>
      <c r="G69" s="448">
        <f t="shared" ref="G69" si="18">((F69/E69)-      1)*100</f>
        <v>-28.888888888888886</v>
      </c>
      <c r="H69" s="451">
        <v>1100</v>
      </c>
      <c r="I69" s="451">
        <v>1140</v>
      </c>
      <c r="J69" s="434">
        <f>((I69/H69)-      1)*100</f>
        <v>3.6363636363636376</v>
      </c>
    </row>
    <row r="70" spans="1:10" ht="13.5" customHeight="1" x14ac:dyDescent="0.2">
      <c r="A70" s="566" t="s">
        <v>82</v>
      </c>
      <c r="B70" s="435">
        <v>2530</v>
      </c>
      <c r="C70" s="435">
        <v>2300</v>
      </c>
      <c r="D70" s="448">
        <f t="shared" si="17"/>
        <v>-9.0909090909090935</v>
      </c>
      <c r="E70" s="590" t="s">
        <v>423</v>
      </c>
      <c r="F70" s="590" t="s">
        <v>423</v>
      </c>
      <c r="G70" s="577" t="s">
        <v>3</v>
      </c>
      <c r="H70" s="435" t="s">
        <v>423</v>
      </c>
      <c r="I70" s="435" t="s">
        <v>423</v>
      </c>
      <c r="J70" s="593" t="s">
        <v>426</v>
      </c>
    </row>
    <row r="71" spans="1:10" ht="13.5" customHeight="1" x14ac:dyDescent="0.2">
      <c r="A71" s="566" t="s">
        <v>29</v>
      </c>
      <c r="B71" s="451">
        <v>1485</v>
      </c>
      <c r="C71" s="451">
        <v>1887</v>
      </c>
      <c r="D71" s="448">
        <f t="shared" si="17"/>
        <v>27.070707070707066</v>
      </c>
      <c r="E71" s="451">
        <v>2095</v>
      </c>
      <c r="F71" s="451">
        <v>1873</v>
      </c>
      <c r="G71" s="448">
        <f>((F71/E71)-      1)*100</f>
        <v>-10.596658711217188</v>
      </c>
      <c r="H71" s="451">
        <v>1085</v>
      </c>
      <c r="I71" s="451">
        <v>1070</v>
      </c>
      <c r="J71" s="434">
        <f>((I71/H71)-      1)*100</f>
        <v>-1.3824884792626779</v>
      </c>
    </row>
    <row r="72" spans="1:10" ht="13.5" customHeight="1" x14ac:dyDescent="0.2">
      <c r="A72" s="566" t="s">
        <v>30</v>
      </c>
      <c r="B72" s="451">
        <v>2255</v>
      </c>
      <c r="C72" s="451">
        <v>2105</v>
      </c>
      <c r="D72" s="448">
        <f t="shared" si="17"/>
        <v>-6.6518847006651889</v>
      </c>
      <c r="E72" s="451">
        <v>3720</v>
      </c>
      <c r="F72" s="451">
        <v>2230</v>
      </c>
      <c r="G72" s="448">
        <f t="shared" ref="G72" si="19">((F72/E72)-      1)*100</f>
        <v>-40.053763440860216</v>
      </c>
      <c r="H72" s="451">
        <v>1340</v>
      </c>
      <c r="I72" s="451">
        <v>1250</v>
      </c>
      <c r="J72" s="434">
        <f>((I72/H72)-      1)*100</f>
        <v>-6.7164179104477579</v>
      </c>
    </row>
    <row r="73" spans="1:10" ht="13.5" customHeight="1" x14ac:dyDescent="0.2">
      <c r="A73" s="566" t="s">
        <v>64</v>
      </c>
      <c r="B73" s="451">
        <v>2050</v>
      </c>
      <c r="C73" s="451">
        <v>2000</v>
      </c>
      <c r="D73" s="448">
        <f t="shared" si="17"/>
        <v>-2.4390243902439046</v>
      </c>
      <c r="E73" s="590" t="s">
        <v>423</v>
      </c>
      <c r="F73" s="590">
        <v>2100</v>
      </c>
      <c r="G73" s="577" t="s">
        <v>3</v>
      </c>
      <c r="H73" s="451">
        <v>1400</v>
      </c>
      <c r="I73" s="451">
        <v>1300</v>
      </c>
      <c r="J73" s="434">
        <f>((I73/H73)-      1)*100</f>
        <v>-7.1428571428571397</v>
      </c>
    </row>
    <row r="74" spans="1:10" ht="13.5" customHeight="1" x14ac:dyDescent="0.2">
      <c r="A74" s="566" t="s">
        <v>31</v>
      </c>
      <c r="B74" s="451">
        <v>1970</v>
      </c>
      <c r="C74" s="451">
        <v>2020</v>
      </c>
      <c r="D74" s="448">
        <f t="shared" si="17"/>
        <v>2.5380710659898442</v>
      </c>
      <c r="E74" s="451">
        <v>2100</v>
      </c>
      <c r="F74" s="451">
        <v>1960</v>
      </c>
      <c r="G74" s="448">
        <f t="shared" ref="G74:G76" si="20">((F74/E74)-      1)*100</f>
        <v>-6.6666666666666652</v>
      </c>
      <c r="H74" s="451">
        <v>1160</v>
      </c>
      <c r="I74" s="451">
        <v>1170</v>
      </c>
      <c r="J74" s="434">
        <f>((I74/H74)-      1)*100</f>
        <v>0.86206896551723755</v>
      </c>
    </row>
    <row r="75" spans="1:10" ht="13.5" customHeight="1" x14ac:dyDescent="0.2">
      <c r="A75" s="566" t="s">
        <v>54</v>
      </c>
      <c r="B75" s="451">
        <v>1867</v>
      </c>
      <c r="C75" s="451">
        <v>1920</v>
      </c>
      <c r="D75" s="448">
        <f t="shared" si="17"/>
        <v>2.8387787895018723</v>
      </c>
      <c r="E75" s="451">
        <v>2060</v>
      </c>
      <c r="F75" s="451">
        <v>1913</v>
      </c>
      <c r="G75" s="448">
        <f t="shared" si="20"/>
        <v>-7.1359223300970882</v>
      </c>
      <c r="H75" s="451">
        <v>1080</v>
      </c>
      <c r="I75" s="451">
        <v>1120</v>
      </c>
      <c r="J75" s="434">
        <f t="shared" ref="J75:J76" si="21">((I75/H75)-      1)*100</f>
        <v>3.7037037037036979</v>
      </c>
    </row>
    <row r="76" spans="1:10" ht="13.5" customHeight="1" x14ac:dyDescent="0.2">
      <c r="A76" s="566" t="s">
        <v>83</v>
      </c>
      <c r="B76" s="451">
        <v>3000</v>
      </c>
      <c r="C76" s="451">
        <v>2400</v>
      </c>
      <c r="D76" s="448">
        <f>((C76/B76)-      1)*100</f>
        <v>-19.999999999999996</v>
      </c>
      <c r="E76" s="451">
        <v>3400</v>
      </c>
      <c r="F76" s="451">
        <v>3000</v>
      </c>
      <c r="G76" s="448">
        <f t="shared" si="20"/>
        <v>-11.764705882352944</v>
      </c>
      <c r="H76" s="451">
        <v>1900</v>
      </c>
      <c r="I76" s="451">
        <v>1600</v>
      </c>
      <c r="J76" s="434">
        <f t="shared" si="21"/>
        <v>-15.789473684210531</v>
      </c>
    </row>
    <row r="77" spans="1:10" ht="13.5" customHeight="1" x14ac:dyDescent="0.2">
      <c r="A77" s="566" t="s">
        <v>32</v>
      </c>
      <c r="B77" s="451">
        <v>1920</v>
      </c>
      <c r="C77" s="451">
        <v>1955</v>
      </c>
      <c r="D77" s="448">
        <f>((C77/B77)-      1)*100</f>
        <v>1.8229166666666741</v>
      </c>
      <c r="E77" s="590" t="s">
        <v>423</v>
      </c>
      <c r="F77" s="590">
        <v>2080</v>
      </c>
      <c r="G77" s="577" t="s">
        <v>3</v>
      </c>
      <c r="H77" s="451">
        <v>1167</v>
      </c>
      <c r="I77" s="451">
        <v>1170</v>
      </c>
      <c r="J77" s="434">
        <f>((I77/H77)-      1)*100</f>
        <v>0.25706940874035134</v>
      </c>
    </row>
    <row r="78" spans="1:10" ht="13.5" customHeight="1" x14ac:dyDescent="0.2">
      <c r="A78" s="566" t="s">
        <v>33</v>
      </c>
      <c r="B78" s="451">
        <v>2200</v>
      </c>
      <c r="C78" s="451">
        <v>2045</v>
      </c>
      <c r="D78" s="448">
        <f>((C78/B78)-      1)*100</f>
        <v>-7.0454545454545432</v>
      </c>
      <c r="E78" s="590" t="s">
        <v>423</v>
      </c>
      <c r="F78" s="590" t="s">
        <v>423</v>
      </c>
      <c r="G78" s="577" t="s">
        <v>3</v>
      </c>
      <c r="H78" s="439" t="s">
        <v>423</v>
      </c>
      <c r="I78" s="439" t="s">
        <v>423</v>
      </c>
      <c r="J78" s="434" t="s">
        <v>426</v>
      </c>
    </row>
    <row r="79" spans="1:10" ht="13.5" customHeight="1" x14ac:dyDescent="0.2">
      <c r="A79" s="566" t="s">
        <v>66</v>
      </c>
      <c r="B79" s="435">
        <v>1880</v>
      </c>
      <c r="C79" s="435">
        <v>1910</v>
      </c>
      <c r="D79" s="448">
        <f>((C79/B79)-      1)*100</f>
        <v>1.5957446808510634</v>
      </c>
      <c r="E79" s="451">
        <v>2250</v>
      </c>
      <c r="F79" s="451">
        <v>1890</v>
      </c>
      <c r="G79" s="448">
        <f>((F79/E79)-      1)*100</f>
        <v>-16.000000000000004</v>
      </c>
      <c r="H79" s="435">
        <v>1090</v>
      </c>
      <c r="I79" s="435">
        <v>1060</v>
      </c>
      <c r="J79" s="434">
        <f>((I79/H79)-      1)*100</f>
        <v>-2.752293577981646</v>
      </c>
    </row>
    <row r="80" spans="1:10" ht="13.5" customHeight="1" x14ac:dyDescent="0.2">
      <c r="A80" s="566" t="s">
        <v>34</v>
      </c>
      <c r="B80" s="451">
        <v>1920</v>
      </c>
      <c r="C80" s="451">
        <v>1972</v>
      </c>
      <c r="D80" s="448">
        <f>((C80/B80)-      1)*100</f>
        <v>2.7083333333333348</v>
      </c>
      <c r="E80" s="451">
        <v>2133</v>
      </c>
      <c r="F80" s="451">
        <v>1944</v>
      </c>
      <c r="G80" s="448">
        <f>((F80/E80)-      1)*100</f>
        <v>-8.8607594936708889</v>
      </c>
      <c r="H80" s="530">
        <v>1128</v>
      </c>
      <c r="I80" s="530">
        <v>1147</v>
      </c>
      <c r="J80" s="434">
        <f>((I80/H80)-      1)*100</f>
        <v>1.6843971631205656</v>
      </c>
    </row>
    <row r="81" spans="1:10" ht="13.5" customHeight="1" x14ac:dyDescent="0.2">
      <c r="A81" s="615" t="s">
        <v>35</v>
      </c>
      <c r="B81" s="450">
        <f>AVERAGE(B82:B84)</f>
        <v>2090</v>
      </c>
      <c r="C81" s="450">
        <f>AVERAGE(C82:C84)</f>
        <v>2060</v>
      </c>
      <c r="D81" s="642">
        <f>((C81/B81)-1)*100</f>
        <v>-1.4354066985645897</v>
      </c>
      <c r="E81" s="450">
        <f>AVERAGE(E82:E84)</f>
        <v>2260</v>
      </c>
      <c r="F81" s="450">
        <f>AVERAGE(F82:F84)</f>
        <v>2058.3333333333335</v>
      </c>
      <c r="G81" s="642">
        <f>((F81/E81)-1)*100</f>
        <v>-8.9233038348082498</v>
      </c>
      <c r="H81" s="450">
        <f>AVERAGE(H82:H84)</f>
        <v>1335</v>
      </c>
      <c r="I81" s="450">
        <f>AVERAGE(I82:I84)</f>
        <v>1271.6666666666667</v>
      </c>
      <c r="J81" s="434">
        <f>((I81/H81)-1)*100</f>
        <v>-4.7440699126092278</v>
      </c>
    </row>
    <row r="82" spans="1:10" ht="13.5" customHeight="1" x14ac:dyDescent="0.2">
      <c r="A82" s="566" t="s">
        <v>36</v>
      </c>
      <c r="B82" s="451">
        <v>1975</v>
      </c>
      <c r="C82" s="451">
        <v>2030</v>
      </c>
      <c r="D82" s="448">
        <f>((C82/B82)-1)*100</f>
        <v>2.7848101265822711</v>
      </c>
      <c r="E82" s="451">
        <v>2195</v>
      </c>
      <c r="F82" s="451">
        <v>2030</v>
      </c>
      <c r="G82" s="448">
        <f>((F82/E82)-1)*100</f>
        <v>-7.5170842824601403</v>
      </c>
      <c r="H82" s="451">
        <v>1270</v>
      </c>
      <c r="I82" s="451">
        <v>1230</v>
      </c>
      <c r="J82" s="434">
        <f>((I82/H82)-1)*100</f>
        <v>-3.1496062992126039</v>
      </c>
    </row>
    <row r="83" spans="1:10" ht="13.5" customHeight="1" x14ac:dyDescent="0.2">
      <c r="A83" s="566" t="s">
        <v>37</v>
      </c>
      <c r="B83" s="451">
        <v>2205</v>
      </c>
      <c r="C83" s="451">
        <v>2110</v>
      </c>
      <c r="D83" s="448">
        <f>((C83/B83)-1)*100</f>
        <v>-4.3083900226757343</v>
      </c>
      <c r="E83" s="451">
        <v>2330</v>
      </c>
      <c r="F83" s="451">
        <v>2110</v>
      </c>
      <c r="G83" s="448">
        <f>((F83/E83)-1)*100</f>
        <v>-9.4420600858369124</v>
      </c>
      <c r="H83" s="530">
        <v>1410</v>
      </c>
      <c r="I83" s="530">
        <v>1315</v>
      </c>
      <c r="J83" s="434">
        <f>((I83/H83)-1)*100</f>
        <v>-6.7375886524822732</v>
      </c>
    </row>
    <row r="84" spans="1:10" ht="13.5" customHeight="1" x14ac:dyDescent="0.2">
      <c r="A84" s="566" t="s">
        <v>38</v>
      </c>
      <c r="B84" s="451">
        <v>2090</v>
      </c>
      <c r="C84" s="451">
        <v>2040</v>
      </c>
      <c r="D84" s="448">
        <f>((C84/B84)-1)*100</f>
        <v>-2.3923444976076569</v>
      </c>
      <c r="E84" s="451">
        <v>2255</v>
      </c>
      <c r="F84" s="451">
        <v>2035</v>
      </c>
      <c r="G84" s="448">
        <f>((F84/E84)-1)*100</f>
        <v>-9.7560975609756078</v>
      </c>
      <c r="H84" s="451">
        <v>1325</v>
      </c>
      <c r="I84" s="451">
        <v>1270</v>
      </c>
      <c r="J84" s="434">
        <f>((I84/H84)-1)*100</f>
        <v>-4.1509433962264142</v>
      </c>
    </row>
    <row r="85" spans="1:10" ht="13.5" customHeight="1" x14ac:dyDescent="0.2">
      <c r="A85" s="444" t="s">
        <v>189</v>
      </c>
      <c r="B85" s="450">
        <v>2076.6</v>
      </c>
      <c r="C85" s="450">
        <v>2050</v>
      </c>
      <c r="D85" s="642">
        <f>((C85/B85)-1)*100</f>
        <v>-1.2809399980737712</v>
      </c>
      <c r="E85" s="450">
        <v>2362</v>
      </c>
      <c r="F85" s="450">
        <v>1930</v>
      </c>
      <c r="G85" s="642">
        <f t="shared" ref="G85:G88" si="22">((F85/E85)-1)*100</f>
        <v>-18.289585097375106</v>
      </c>
      <c r="H85" s="447" t="s">
        <v>423</v>
      </c>
      <c r="I85" s="447" t="s">
        <v>423</v>
      </c>
      <c r="J85" s="433" t="s">
        <v>426</v>
      </c>
    </row>
    <row r="86" spans="1:10" ht="13.5" customHeight="1" x14ac:dyDescent="0.2">
      <c r="A86" s="444" t="s">
        <v>194</v>
      </c>
      <c r="B86" s="589">
        <f>AVERAGE(B87:B88)</f>
        <v>2400</v>
      </c>
      <c r="C86" s="589">
        <f>AVERAGE(C87:C88)</f>
        <v>2300</v>
      </c>
      <c r="D86" s="642">
        <f t="shared" ref="D86:D88" si="23">((C86/B86)-1)*100</f>
        <v>-4.1666666666666625</v>
      </c>
      <c r="E86" s="450">
        <f>AVERAGE(E87:E88)</f>
        <v>2760</v>
      </c>
      <c r="F86" s="450">
        <f>AVERAGE(F87:F88)</f>
        <v>2383.5</v>
      </c>
      <c r="G86" s="642">
        <f t="shared" si="22"/>
        <v>-13.64130434782609</v>
      </c>
      <c r="H86" s="450">
        <f>AVERAGE(H87:H88)</f>
        <v>1800</v>
      </c>
      <c r="I86" s="450">
        <f>AVERAGE(I87:I88)</f>
        <v>1420</v>
      </c>
      <c r="J86" s="433">
        <f>((I86/H86)-1)*100</f>
        <v>-21.111111111111114</v>
      </c>
    </row>
    <row r="87" spans="1:10" ht="13.5" customHeight="1" x14ac:dyDescent="0.2">
      <c r="A87" s="566" t="s">
        <v>197</v>
      </c>
      <c r="B87" s="590">
        <v>2200</v>
      </c>
      <c r="C87" s="590">
        <v>2000</v>
      </c>
      <c r="D87" s="448">
        <f t="shared" si="23"/>
        <v>-9.0909090909090935</v>
      </c>
      <c r="E87" s="451">
        <v>2720</v>
      </c>
      <c r="F87" s="451">
        <v>1967</v>
      </c>
      <c r="G87" s="448">
        <f t="shared" si="22"/>
        <v>-27.683823529411768</v>
      </c>
      <c r="H87" s="451">
        <v>1800</v>
      </c>
      <c r="I87" s="451">
        <v>1420</v>
      </c>
      <c r="J87" s="434">
        <f>((I87/H87)-1)*100</f>
        <v>-21.111111111111114</v>
      </c>
    </row>
    <row r="88" spans="1:10" ht="13.5" customHeight="1" x14ac:dyDescent="0.2">
      <c r="A88" s="566" t="s">
        <v>196</v>
      </c>
      <c r="B88" s="590">
        <v>2600</v>
      </c>
      <c r="C88" s="590">
        <v>2600</v>
      </c>
      <c r="D88" s="448">
        <f t="shared" si="23"/>
        <v>0</v>
      </c>
      <c r="E88" s="451">
        <v>2800</v>
      </c>
      <c r="F88" s="451">
        <v>2800</v>
      </c>
      <c r="G88" s="448">
        <f t="shared" si="22"/>
        <v>0</v>
      </c>
      <c r="H88" s="437" t="s">
        <v>494</v>
      </c>
      <c r="I88" s="437" t="s">
        <v>494</v>
      </c>
      <c r="J88" s="434" t="s">
        <v>426</v>
      </c>
    </row>
    <row r="89" spans="1:10" ht="13.5" customHeight="1" x14ac:dyDescent="0.2">
      <c r="A89" s="444" t="s">
        <v>39</v>
      </c>
      <c r="B89" s="450">
        <f>AVERAGE(B90:B92)</f>
        <v>2653.3333333333335</v>
      </c>
      <c r="C89" s="450">
        <f>AVERAGE(C90:C92)</f>
        <v>2394.3333333333335</v>
      </c>
      <c r="D89" s="642">
        <f t="shared" ref="D89:D103" si="24">((C89/B89) -   1)*100</f>
        <v>-9.7613065326633155</v>
      </c>
      <c r="E89" s="450">
        <f>AVERAGE(E90:E92)</f>
        <v>2787.5</v>
      </c>
      <c r="F89" s="450">
        <f>AVERAGE(F90:F92)</f>
        <v>2326</v>
      </c>
      <c r="G89" s="642">
        <f>((F89/E89) -   1)*100</f>
        <v>-16.55605381165919</v>
      </c>
      <c r="H89" s="450">
        <f>AVERAGE(H90:H92)</f>
        <v>3070</v>
      </c>
      <c r="I89" s="450">
        <f>AVERAGE(I90:I92)</f>
        <v>2027.5</v>
      </c>
      <c r="J89" s="433">
        <f>((I89/H89) -   1)*100</f>
        <v>-33.957654723127042</v>
      </c>
    </row>
    <row r="90" spans="1:10" ht="13.5" customHeight="1" x14ac:dyDescent="0.2">
      <c r="A90" s="566" t="s">
        <v>40</v>
      </c>
      <c r="B90" s="451">
        <v>2785</v>
      </c>
      <c r="C90" s="451">
        <v>2300</v>
      </c>
      <c r="D90" s="448">
        <f t="shared" si="24"/>
        <v>-17.414721723518856</v>
      </c>
      <c r="E90" s="451">
        <v>2825</v>
      </c>
      <c r="F90" s="451">
        <v>2305</v>
      </c>
      <c r="G90" s="448">
        <f>((F90/E90) -   1)*100</f>
        <v>-18.407079646017699</v>
      </c>
      <c r="H90" s="451">
        <v>2745</v>
      </c>
      <c r="I90" s="451">
        <v>1945</v>
      </c>
      <c r="J90" s="434">
        <f>((I90/H90) -   1)*100</f>
        <v>-29.143897996357016</v>
      </c>
    </row>
    <row r="91" spans="1:10" ht="13.5" customHeight="1" x14ac:dyDescent="0.2">
      <c r="A91" s="566" t="s">
        <v>415</v>
      </c>
      <c r="B91" s="451">
        <v>2550</v>
      </c>
      <c r="C91" s="451">
        <v>2550</v>
      </c>
      <c r="D91" s="448">
        <f t="shared" si="24"/>
        <v>0</v>
      </c>
      <c r="E91" s="590" t="s">
        <v>423</v>
      </c>
      <c r="F91" s="590" t="s">
        <v>423</v>
      </c>
      <c r="G91" s="577" t="s">
        <v>3</v>
      </c>
      <c r="H91" s="439" t="s">
        <v>423</v>
      </c>
      <c r="I91" s="439" t="s">
        <v>423</v>
      </c>
      <c r="J91" s="434" t="s">
        <v>426</v>
      </c>
    </row>
    <row r="92" spans="1:10" ht="13.5" customHeight="1" x14ac:dyDescent="0.2">
      <c r="A92" s="566" t="s">
        <v>41</v>
      </c>
      <c r="B92" s="451">
        <v>2625</v>
      </c>
      <c r="C92" s="451">
        <v>2333</v>
      </c>
      <c r="D92" s="448">
        <f t="shared" si="24"/>
        <v>-11.123809523809525</v>
      </c>
      <c r="E92" s="451">
        <v>2750</v>
      </c>
      <c r="F92" s="451">
        <v>2347</v>
      </c>
      <c r="G92" s="448">
        <f>((F92/E92) -   1)*100</f>
        <v>-14.654545454545453</v>
      </c>
      <c r="H92" s="451">
        <v>3395</v>
      </c>
      <c r="I92" s="451">
        <v>2110</v>
      </c>
      <c r="J92" s="434">
        <f t="shared" ref="J92" si="25">((I92/H92) -   1)*100</f>
        <v>-37.849779086892489</v>
      </c>
    </row>
    <row r="93" spans="1:10" ht="13.5" customHeight="1" x14ac:dyDescent="0.2">
      <c r="A93" s="421" t="s">
        <v>42</v>
      </c>
      <c r="B93" s="450">
        <f>AVERAGE(B94:B95)</f>
        <v>2566.5</v>
      </c>
      <c r="C93" s="450">
        <f>AVERAGE(C94:C95)</f>
        <v>2105</v>
      </c>
      <c r="D93" s="642">
        <f t="shared" si="24"/>
        <v>-17.981687122540425</v>
      </c>
      <c r="E93" s="450">
        <f>AVERAGE(E94:E95)</f>
        <v>2133</v>
      </c>
      <c r="F93" s="450">
        <f>AVERAGE(F94:F95)</f>
        <v>1910</v>
      </c>
      <c r="G93" s="642">
        <f>((F93/E93) -   1)*100</f>
        <v>-10.45475855602438</v>
      </c>
      <c r="H93" s="447" t="s">
        <v>423</v>
      </c>
      <c r="I93" s="447" t="s">
        <v>423</v>
      </c>
      <c r="J93" s="433" t="s">
        <v>426</v>
      </c>
    </row>
    <row r="94" spans="1:10" ht="13.5" customHeight="1" x14ac:dyDescent="0.2">
      <c r="A94" s="566" t="s">
        <v>44</v>
      </c>
      <c r="B94" s="451">
        <v>2933</v>
      </c>
      <c r="C94" s="451">
        <v>2200</v>
      </c>
      <c r="D94" s="448">
        <f t="shared" si="24"/>
        <v>-24.99147630412547</v>
      </c>
      <c r="E94" s="439" t="s">
        <v>423</v>
      </c>
      <c r="F94" s="439" t="s">
        <v>423</v>
      </c>
      <c r="G94" s="577" t="s">
        <v>3</v>
      </c>
      <c r="H94" s="439" t="s">
        <v>423</v>
      </c>
      <c r="I94" s="439" t="s">
        <v>423</v>
      </c>
      <c r="J94" s="434" t="s">
        <v>426</v>
      </c>
    </row>
    <row r="95" spans="1:10" ht="13.5" customHeight="1" x14ac:dyDescent="0.2">
      <c r="A95" s="566" t="s">
        <v>427</v>
      </c>
      <c r="B95" s="451">
        <v>2200</v>
      </c>
      <c r="C95" s="451">
        <v>2010</v>
      </c>
      <c r="D95" s="448">
        <f t="shared" si="24"/>
        <v>-8.6363636363636314</v>
      </c>
      <c r="E95" s="451">
        <v>2133</v>
      </c>
      <c r="F95" s="451">
        <v>1910</v>
      </c>
      <c r="G95" s="448">
        <f>((F95/E95) -   1)*100</f>
        <v>-10.45475855602438</v>
      </c>
      <c r="H95" s="439" t="s">
        <v>423</v>
      </c>
      <c r="I95" s="439" t="s">
        <v>423</v>
      </c>
      <c r="J95" s="434" t="s">
        <v>426</v>
      </c>
    </row>
    <row r="96" spans="1:10" ht="13.5" customHeight="1" x14ac:dyDescent="0.2">
      <c r="A96" s="421" t="s">
        <v>198</v>
      </c>
      <c r="B96" s="616" t="s">
        <v>423</v>
      </c>
      <c r="C96" s="418">
        <f>AVERAGE(C97:C101)</f>
        <v>2231.75</v>
      </c>
      <c r="D96" s="644" t="s">
        <v>426</v>
      </c>
      <c r="E96" s="393" t="s">
        <v>422</v>
      </c>
      <c r="F96" s="450">
        <f>AVERAGE(F97:F101)</f>
        <v>2410.75</v>
      </c>
      <c r="G96" s="644" t="s">
        <v>426</v>
      </c>
      <c r="H96" s="447" t="s">
        <v>423</v>
      </c>
      <c r="I96" s="418">
        <f>AVERAGE(I97:I101)</f>
        <v>1960</v>
      </c>
      <c r="J96" s="433" t="s">
        <v>426</v>
      </c>
    </row>
    <row r="97" spans="1:10" ht="13.5" customHeight="1" x14ac:dyDescent="0.2">
      <c r="A97" s="370" t="s">
        <v>200</v>
      </c>
      <c r="B97" s="422" t="s">
        <v>423</v>
      </c>
      <c r="C97" s="422">
        <v>2200</v>
      </c>
      <c r="D97" s="614" t="s">
        <v>426</v>
      </c>
      <c r="E97" s="395" t="s">
        <v>422</v>
      </c>
      <c r="F97" s="451">
        <v>2600</v>
      </c>
      <c r="G97" s="614" t="s">
        <v>426</v>
      </c>
      <c r="H97" s="439" t="s">
        <v>423</v>
      </c>
      <c r="I97" s="511" t="s">
        <v>422</v>
      </c>
      <c r="J97" s="434" t="s">
        <v>426</v>
      </c>
    </row>
    <row r="98" spans="1:10" ht="13.5" customHeight="1" x14ac:dyDescent="0.2">
      <c r="A98" s="370" t="s">
        <v>206</v>
      </c>
      <c r="B98" s="422" t="s">
        <v>423</v>
      </c>
      <c r="C98" s="390">
        <v>2200</v>
      </c>
      <c r="D98" s="614" t="s">
        <v>426</v>
      </c>
      <c r="E98" s="395" t="s">
        <v>422</v>
      </c>
      <c r="F98" s="439" t="s">
        <v>423</v>
      </c>
      <c r="G98" s="614" t="s">
        <v>426</v>
      </c>
      <c r="H98" s="439" t="s">
        <v>423</v>
      </c>
      <c r="I98" s="511" t="s">
        <v>422</v>
      </c>
      <c r="J98" s="434" t="s">
        <v>426</v>
      </c>
    </row>
    <row r="99" spans="1:10" ht="13.5" customHeight="1" x14ac:dyDescent="0.2">
      <c r="A99" s="370" t="s">
        <v>65</v>
      </c>
      <c r="B99" s="422" t="s">
        <v>423</v>
      </c>
      <c r="C99" s="390">
        <v>2360</v>
      </c>
      <c r="D99" s="614" t="s">
        <v>426</v>
      </c>
      <c r="E99" s="395" t="s">
        <v>422</v>
      </c>
      <c r="F99" s="451">
        <v>2570</v>
      </c>
      <c r="G99" s="614" t="s">
        <v>426</v>
      </c>
      <c r="H99" s="439" t="s">
        <v>423</v>
      </c>
      <c r="I99" s="390">
        <v>1960</v>
      </c>
      <c r="J99" s="434" t="s">
        <v>426</v>
      </c>
    </row>
    <row r="100" spans="1:10" ht="13.5" customHeight="1" x14ac:dyDescent="0.2">
      <c r="A100" s="370" t="s">
        <v>201</v>
      </c>
      <c r="B100" s="422" t="s">
        <v>423</v>
      </c>
      <c r="C100" s="422" t="s">
        <v>423</v>
      </c>
      <c r="D100" s="614" t="s">
        <v>426</v>
      </c>
      <c r="E100" s="395" t="s">
        <v>422</v>
      </c>
      <c r="F100" s="451">
        <v>2260</v>
      </c>
      <c r="G100" s="614" t="s">
        <v>426</v>
      </c>
      <c r="H100" s="439" t="s">
        <v>423</v>
      </c>
      <c r="I100" s="511" t="s">
        <v>422</v>
      </c>
      <c r="J100" s="434" t="s">
        <v>426</v>
      </c>
    </row>
    <row r="101" spans="1:10" ht="13.5" customHeight="1" x14ac:dyDescent="0.2">
      <c r="A101" s="370" t="s">
        <v>199</v>
      </c>
      <c r="B101" s="422" t="s">
        <v>423</v>
      </c>
      <c r="C101" s="390">
        <v>2167</v>
      </c>
      <c r="D101" s="614" t="s">
        <v>426</v>
      </c>
      <c r="E101" s="395" t="s">
        <v>422</v>
      </c>
      <c r="F101" s="451">
        <v>2213</v>
      </c>
      <c r="G101" s="614" t="s">
        <v>426</v>
      </c>
      <c r="H101" s="439" t="s">
        <v>423</v>
      </c>
      <c r="I101" s="511" t="s">
        <v>422</v>
      </c>
      <c r="J101" s="434" t="s">
        <v>426</v>
      </c>
    </row>
    <row r="102" spans="1:10" ht="13.5" customHeight="1" x14ac:dyDescent="0.2">
      <c r="A102" s="421" t="s">
        <v>84</v>
      </c>
      <c r="B102" s="450">
        <f>AVERAGE(B103:B103)</f>
        <v>2120</v>
      </c>
      <c r="C102" s="450">
        <f>AVERAGE(C103:C103)</f>
        <v>2200</v>
      </c>
      <c r="D102" s="642">
        <f t="shared" si="24"/>
        <v>3.7735849056603765</v>
      </c>
      <c r="E102" s="393" t="s">
        <v>422</v>
      </c>
      <c r="F102" s="589" t="s">
        <v>423</v>
      </c>
      <c r="G102" s="576" t="s">
        <v>3</v>
      </c>
      <c r="H102" s="447" t="s">
        <v>423</v>
      </c>
      <c r="I102" s="447" t="s">
        <v>423</v>
      </c>
      <c r="J102" s="433" t="s">
        <v>426</v>
      </c>
    </row>
    <row r="103" spans="1:10" ht="13.5" customHeight="1" x14ac:dyDescent="0.2">
      <c r="A103" s="566" t="s">
        <v>499</v>
      </c>
      <c r="B103" s="451">
        <v>2120</v>
      </c>
      <c r="C103" s="451">
        <v>2200</v>
      </c>
      <c r="D103" s="448">
        <f t="shared" si="24"/>
        <v>3.7735849056603765</v>
      </c>
      <c r="E103" s="395" t="s">
        <v>422</v>
      </c>
      <c r="F103" s="590" t="s">
        <v>423</v>
      </c>
      <c r="G103" s="577" t="s">
        <v>3</v>
      </c>
      <c r="H103" s="439" t="s">
        <v>423</v>
      </c>
      <c r="I103" s="439" t="s">
        <v>423</v>
      </c>
      <c r="J103" s="434" t="s">
        <v>426</v>
      </c>
    </row>
    <row r="104" spans="1:10" ht="13.5" customHeight="1" x14ac:dyDescent="0.2">
      <c r="A104" s="452" t="s">
        <v>89</v>
      </c>
      <c r="B104" s="616" t="s">
        <v>423</v>
      </c>
      <c r="C104" s="450">
        <f>AVERAGE(C105:C107)</f>
        <v>2184.3333333333335</v>
      </c>
      <c r="D104" s="644" t="s">
        <v>426</v>
      </c>
      <c r="E104" s="395" t="s">
        <v>422</v>
      </c>
      <c r="F104" s="450">
        <f>AVERAGE(F105:F107)</f>
        <v>2155.6666666666665</v>
      </c>
      <c r="G104" s="577" t="s">
        <v>3</v>
      </c>
      <c r="H104" s="450">
        <f>AVERAGE(H106:H106)</f>
        <v>1300</v>
      </c>
      <c r="I104" s="447" t="s">
        <v>423</v>
      </c>
      <c r="J104" s="433" t="s">
        <v>426</v>
      </c>
    </row>
    <row r="105" spans="1:10" ht="13.5" customHeight="1" x14ac:dyDescent="0.2">
      <c r="A105" s="566" t="s">
        <v>466</v>
      </c>
      <c r="B105" s="422" t="s">
        <v>423</v>
      </c>
      <c r="C105" s="422">
        <v>2200</v>
      </c>
      <c r="D105" s="614" t="s">
        <v>426</v>
      </c>
      <c r="E105" s="395" t="s">
        <v>422</v>
      </c>
      <c r="F105" s="451">
        <v>2300</v>
      </c>
      <c r="G105" s="577" t="s">
        <v>3</v>
      </c>
      <c r="H105" s="419" t="s">
        <v>422</v>
      </c>
      <c r="I105" s="439" t="s">
        <v>423</v>
      </c>
      <c r="J105" s="434" t="s">
        <v>426</v>
      </c>
    </row>
    <row r="106" spans="1:10" ht="13.5" customHeight="1" x14ac:dyDescent="0.2">
      <c r="A106" s="566" t="s">
        <v>90</v>
      </c>
      <c r="B106" s="422" t="s">
        <v>423</v>
      </c>
      <c r="C106" s="451">
        <v>1953</v>
      </c>
      <c r="D106" s="614" t="s">
        <v>426</v>
      </c>
      <c r="E106" s="395" t="s">
        <v>422</v>
      </c>
      <c r="F106" s="451">
        <v>1967</v>
      </c>
      <c r="G106" s="577" t="s">
        <v>3</v>
      </c>
      <c r="H106" s="451">
        <v>1300</v>
      </c>
      <c r="I106" s="439" t="s">
        <v>423</v>
      </c>
      <c r="J106" s="434" t="s">
        <v>426</v>
      </c>
    </row>
    <row r="107" spans="1:10" ht="13.5" customHeight="1" x14ac:dyDescent="0.2">
      <c r="A107" s="566" t="s">
        <v>546</v>
      </c>
      <c r="B107" s="422" t="s">
        <v>423</v>
      </c>
      <c r="C107" s="422">
        <v>2400</v>
      </c>
      <c r="D107" s="614" t="s">
        <v>426</v>
      </c>
      <c r="E107" s="395" t="s">
        <v>422</v>
      </c>
      <c r="F107" s="451">
        <v>2200</v>
      </c>
      <c r="G107" s="614" t="s">
        <v>426</v>
      </c>
      <c r="H107" s="419" t="s">
        <v>422</v>
      </c>
      <c r="I107" s="439" t="s">
        <v>423</v>
      </c>
      <c r="J107" s="434" t="s">
        <v>426</v>
      </c>
    </row>
    <row r="108" spans="1:10" ht="13.5" customHeight="1" x14ac:dyDescent="0.2">
      <c r="A108" s="452" t="s">
        <v>71</v>
      </c>
      <c r="B108" s="450">
        <f>AVERAGE(B109:B111)</f>
        <v>2266.6666666666665</v>
      </c>
      <c r="C108" s="450">
        <f>AVERAGE(C109:C111)</f>
        <v>2056.6666666666665</v>
      </c>
      <c r="D108" s="642">
        <f t="shared" ref="D108:D113" si="26">((C108/B108)-1)*100</f>
        <v>-9.264705882352942</v>
      </c>
      <c r="E108" s="450">
        <f>AVERAGE(E109:E111)</f>
        <v>2270</v>
      </c>
      <c r="F108" s="450">
        <f>AVERAGE(F109:F111)</f>
        <v>2450</v>
      </c>
      <c r="G108" s="642">
        <f>((F108/E108 -1)*100)</f>
        <v>7.9295154185021977</v>
      </c>
      <c r="H108" s="612">
        <f>AVERAGE(H109:H111)</f>
        <v>1381</v>
      </c>
      <c r="I108" s="612">
        <f>AVERAGE(I109:I111)</f>
        <v>1506.6666666666667</v>
      </c>
      <c r="J108" s="433">
        <f>((I108/H108 -1)*100)</f>
        <v>9.0996862177166413</v>
      </c>
    </row>
    <row r="109" spans="1:10" ht="13.5" customHeight="1" x14ac:dyDescent="0.2">
      <c r="A109" s="566" t="s">
        <v>468</v>
      </c>
      <c r="B109" s="451">
        <v>2200</v>
      </c>
      <c r="C109" s="451">
        <v>2120</v>
      </c>
      <c r="D109" s="448">
        <f t="shared" si="26"/>
        <v>-3.6363636363636376</v>
      </c>
      <c r="E109" s="451">
        <v>1960</v>
      </c>
      <c r="F109" s="511" t="s">
        <v>423</v>
      </c>
      <c r="G109" s="577" t="s">
        <v>3</v>
      </c>
      <c r="H109" s="451">
        <v>1360</v>
      </c>
      <c r="I109" s="451">
        <v>1260</v>
      </c>
      <c r="J109" s="434">
        <f>((I109/H109 -1)*100)</f>
        <v>-7.3529411764705843</v>
      </c>
    </row>
    <row r="110" spans="1:10" ht="13.5" customHeight="1" x14ac:dyDescent="0.2">
      <c r="A110" s="566" t="s">
        <v>72</v>
      </c>
      <c r="B110" s="451">
        <v>2200</v>
      </c>
      <c r="C110" s="451">
        <v>2050</v>
      </c>
      <c r="D110" s="448">
        <f t="shared" si="26"/>
        <v>-6.8181818181818237</v>
      </c>
      <c r="E110" s="451">
        <v>2350</v>
      </c>
      <c r="F110" s="451">
        <v>1900</v>
      </c>
      <c r="G110" s="448">
        <f>((F110/E110 -1)*100)</f>
        <v>-19.148936170212771</v>
      </c>
      <c r="H110" s="451">
        <v>1333</v>
      </c>
      <c r="I110" s="451">
        <v>1900</v>
      </c>
      <c r="J110" s="434">
        <f>((I110/H110 -1)*100)</f>
        <v>42.535633908477124</v>
      </c>
    </row>
    <row r="111" spans="1:10" ht="13.5" customHeight="1" x14ac:dyDescent="0.2">
      <c r="A111" s="566" t="s">
        <v>73</v>
      </c>
      <c r="B111" s="451">
        <v>2400</v>
      </c>
      <c r="C111" s="451">
        <v>2000</v>
      </c>
      <c r="D111" s="448">
        <f t="shared" si="26"/>
        <v>-16.666666666666664</v>
      </c>
      <c r="E111" s="451">
        <v>2500</v>
      </c>
      <c r="F111" s="451">
        <v>3000</v>
      </c>
      <c r="G111" s="448">
        <f>((F111/E111 -1)*100)</f>
        <v>19.999999999999996</v>
      </c>
      <c r="H111" s="451">
        <v>1450</v>
      </c>
      <c r="I111" s="451">
        <v>1360</v>
      </c>
      <c r="J111" s="434">
        <f>((I111/H111 -1)*100)</f>
        <v>-6.2068965517241388</v>
      </c>
    </row>
    <row r="112" spans="1:10" ht="13.5" customHeight="1" x14ac:dyDescent="0.2">
      <c r="A112" s="444" t="s">
        <v>46</v>
      </c>
      <c r="B112" s="450">
        <f>AVERAGE(B113:B113)</f>
        <v>2150</v>
      </c>
      <c r="C112" s="450">
        <f>AVERAGE(C113:C113)</f>
        <v>2100</v>
      </c>
      <c r="D112" s="642">
        <f t="shared" si="26"/>
        <v>-2.3255813953488413</v>
      </c>
      <c r="E112" s="450">
        <f>AVERAGE(E113:E113)</f>
        <v>2540</v>
      </c>
      <c r="F112" s="513" t="s">
        <v>423</v>
      </c>
      <c r="G112" s="576" t="s">
        <v>3</v>
      </c>
      <c r="H112" s="612">
        <f>AVERAGE(H113:H113)</f>
        <v>1400</v>
      </c>
      <c r="I112" s="447" t="s">
        <v>423</v>
      </c>
      <c r="J112" s="433" t="s">
        <v>426</v>
      </c>
    </row>
    <row r="113" spans="1:10" ht="13.5" customHeight="1" x14ac:dyDescent="0.2">
      <c r="A113" s="528" t="s">
        <v>47</v>
      </c>
      <c r="B113" s="617">
        <v>2150</v>
      </c>
      <c r="C113" s="617">
        <v>2100</v>
      </c>
      <c r="D113" s="448">
        <f t="shared" si="26"/>
        <v>-2.3255813953488413</v>
      </c>
      <c r="E113" s="617">
        <v>2540</v>
      </c>
      <c r="F113" s="511" t="s">
        <v>423</v>
      </c>
      <c r="G113" s="577" t="s">
        <v>3</v>
      </c>
      <c r="H113" s="617">
        <v>1400</v>
      </c>
      <c r="I113" s="439" t="s">
        <v>423</v>
      </c>
      <c r="J113" s="434" t="s">
        <v>426</v>
      </c>
    </row>
    <row r="114" spans="1:10" ht="9" customHeight="1" x14ac:dyDescent="0.2">
      <c r="A114" s="585" t="s">
        <v>87</v>
      </c>
      <c r="D114" s="4"/>
      <c r="F114" s="4"/>
      <c r="G114" s="4"/>
      <c r="I114" s="4"/>
      <c r="J114" s="4"/>
    </row>
    <row r="115" spans="1:10" ht="9" customHeight="1" x14ac:dyDescent="0.2">
      <c r="A115" s="586" t="s">
        <v>569</v>
      </c>
    </row>
    <row r="116" spans="1:10" ht="9" customHeight="1" x14ac:dyDescent="0.2">
      <c r="A116" s="586" t="s">
        <v>68</v>
      </c>
    </row>
    <row r="117" spans="1:10" ht="13.5" customHeight="1" x14ac:dyDescent="0.2"/>
    <row r="118" spans="1:10" ht="13.5" customHeight="1" x14ac:dyDescent="0.2"/>
    <row r="119" spans="1:10" ht="13.5" customHeight="1" x14ac:dyDescent="0.2"/>
    <row r="120" spans="1:10" ht="13.5" customHeight="1" x14ac:dyDescent="0.2"/>
    <row r="121" spans="1:10" ht="13.5" customHeight="1" x14ac:dyDescent="0.2"/>
    <row r="122" spans="1:10" ht="13.5" customHeight="1" x14ac:dyDescent="0.2"/>
    <row r="123" spans="1:10" ht="13.5" customHeight="1" x14ac:dyDescent="0.2"/>
    <row r="124" spans="1:10" ht="13.5" customHeight="1" x14ac:dyDescent="0.2"/>
    <row r="125" spans="1:10" ht="13.5" customHeight="1" x14ac:dyDescent="0.2"/>
    <row r="126" spans="1:10" ht="13.5" customHeight="1" x14ac:dyDescent="0.2"/>
    <row r="127" spans="1:10" ht="13.5" customHeight="1" x14ac:dyDescent="0.2"/>
    <row r="128" spans="1:10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</sheetData>
  <mergeCells count="9">
    <mergeCell ref="A59:A60"/>
    <mergeCell ref="B59:D59"/>
    <mergeCell ref="E59:G59"/>
    <mergeCell ref="H59:J59"/>
    <mergeCell ref="A5:A6"/>
    <mergeCell ref="B5:D5"/>
    <mergeCell ref="E5:G5"/>
    <mergeCell ref="H5:J5"/>
    <mergeCell ref="A58:F58"/>
  </mergeCells>
  <conditionalFormatting sqref="A2:A4">
    <cfRule type="containsText" dxfId="0" priority="1" operator="containsText" text="C.86  PERÚ: PRECIO DE VENTA MINORISTA DE FERTILIZANTES NITROGENADOS POR DEPARTAMENTO Y PROVINCIA, ">
      <formula>NOT(ISERROR(SEARCH(("C.86  PERÚ: PRECIO DE VENTA MINORISTA DE FERTILIZANTES NITROGENADOS POR DEPARTAMENTO Y PROVINCIA, "),(A2))))</formula>
    </cfRule>
  </conditionalFormatting>
  <pageMargins left="0.27559055118110237" right="0.27559055118110237" top="0.39370078740157483" bottom="0.3937007874015748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348"/>
  <sheetViews>
    <sheetView showGridLines="0" topLeftCell="A22" zoomScaleNormal="100" workbookViewId="0">
      <selection activeCell="A56" sqref="A56:J111"/>
    </sheetView>
  </sheetViews>
  <sheetFormatPr baseColWidth="10" defaultColWidth="12.7109375" defaultRowHeight="15" customHeight="1" x14ac:dyDescent="0.2"/>
  <cols>
    <col min="1" max="1" width="17.140625" style="2" customWidth="1"/>
    <col min="2" max="3" width="7.28515625" style="2" customWidth="1"/>
    <col min="4" max="4" width="6.7109375" style="2" customWidth="1"/>
    <col min="5" max="6" width="7.28515625" style="2" customWidth="1"/>
    <col min="7" max="7" width="6.7109375" style="2" customWidth="1"/>
    <col min="8" max="9" width="7.28515625" style="2" customWidth="1"/>
    <col min="10" max="10" width="6.7109375" style="2" customWidth="1"/>
    <col min="11" max="16384" width="12.7109375" style="2"/>
  </cols>
  <sheetData>
    <row r="1" spans="1:10" ht="18" customHeight="1" x14ac:dyDescent="0.25">
      <c r="A1" s="358" t="s">
        <v>430</v>
      </c>
      <c r="B1" s="383"/>
      <c r="C1" s="383"/>
      <c r="D1" s="383"/>
      <c r="E1" s="383"/>
      <c r="F1" s="383"/>
      <c r="G1" s="383"/>
      <c r="H1" s="383"/>
      <c r="I1" s="359"/>
      <c r="J1" s="383"/>
    </row>
    <row r="2" spans="1:10" ht="12.75" customHeight="1" x14ac:dyDescent="0.25">
      <c r="A2" s="361" t="s">
        <v>574</v>
      </c>
      <c r="B2" s="383"/>
      <c r="C2" s="383"/>
      <c r="D2" s="383"/>
      <c r="E2" s="383"/>
      <c r="F2" s="383"/>
      <c r="G2" s="383"/>
      <c r="H2" s="383"/>
      <c r="I2" s="359"/>
      <c r="J2" s="383"/>
    </row>
    <row r="3" spans="1:10" ht="12" customHeight="1" x14ac:dyDescent="0.25">
      <c r="A3" s="405" t="s">
        <v>405</v>
      </c>
      <c r="B3" s="383"/>
      <c r="C3" s="383"/>
      <c r="D3" s="360"/>
      <c r="E3" s="360"/>
      <c r="F3" s="360"/>
      <c r="G3" s="360"/>
      <c r="H3" s="360"/>
      <c r="I3" s="362"/>
      <c r="J3" s="360"/>
    </row>
    <row r="4" spans="1:10" ht="5.0999999999999996" customHeight="1" x14ac:dyDescent="0.2">
      <c r="A4" s="360"/>
      <c r="B4" s="360"/>
      <c r="C4" s="360"/>
      <c r="D4" s="360"/>
      <c r="E4" s="360"/>
      <c r="F4" s="360"/>
      <c r="G4" s="360"/>
      <c r="H4" s="360"/>
      <c r="I4" s="362"/>
      <c r="J4" s="360"/>
    </row>
    <row r="5" spans="1:10" ht="14.1" customHeight="1" x14ac:dyDescent="0.2">
      <c r="A5" s="686" t="s">
        <v>0</v>
      </c>
      <c r="B5" s="688" t="s">
        <v>48</v>
      </c>
      <c r="C5" s="689"/>
      <c r="D5" s="690"/>
      <c r="E5" s="688" t="s">
        <v>428</v>
      </c>
      <c r="F5" s="689"/>
      <c r="G5" s="690"/>
      <c r="H5" s="688" t="s">
        <v>429</v>
      </c>
      <c r="I5" s="689"/>
      <c r="J5" s="690"/>
    </row>
    <row r="6" spans="1:10" ht="14.1" customHeight="1" x14ac:dyDescent="0.2">
      <c r="A6" s="687"/>
      <c r="B6" s="363">
        <v>2024</v>
      </c>
      <c r="C6" s="363">
        <v>2025</v>
      </c>
      <c r="D6" s="363" t="s">
        <v>1</v>
      </c>
      <c r="E6" s="363">
        <v>2024</v>
      </c>
      <c r="F6" s="363">
        <v>2025</v>
      </c>
      <c r="G6" s="363" t="s">
        <v>1</v>
      </c>
      <c r="H6" s="363">
        <v>2024</v>
      </c>
      <c r="I6" s="363">
        <v>2025</v>
      </c>
      <c r="J6" s="363" t="s">
        <v>1</v>
      </c>
    </row>
    <row r="7" spans="1:10" ht="3.75" customHeight="1" x14ac:dyDescent="0.25">
      <c r="A7" s="9"/>
      <c r="B7" s="9"/>
      <c r="C7" s="9"/>
      <c r="D7" s="9"/>
      <c r="E7" s="9"/>
      <c r="F7" s="9"/>
      <c r="G7" s="406" t="s">
        <v>410</v>
      </c>
      <c r="H7" s="9"/>
      <c r="I7" s="9"/>
      <c r="J7" s="9"/>
    </row>
    <row r="8" spans="1:10" ht="12.95" customHeight="1" x14ac:dyDescent="0.2">
      <c r="A8" s="565" t="s">
        <v>490</v>
      </c>
      <c r="B8" s="514">
        <f>AVERAGE(B9:B11)</f>
        <v>3430</v>
      </c>
      <c r="C8" s="514">
        <f>AVERAGE(C9:C11)</f>
        <v>3173.3333333333335</v>
      </c>
      <c r="D8" s="376">
        <f t="shared" ref="D8:G25" si="0">((C8/B8) -      1)*100</f>
        <v>-7.4829931972789083</v>
      </c>
      <c r="E8" s="402" t="s">
        <v>423</v>
      </c>
      <c r="F8" s="522">
        <f>AVERAGE(F9:F11)</f>
        <v>2650</v>
      </c>
      <c r="G8" s="369" t="s">
        <v>410</v>
      </c>
      <c r="H8" s="597">
        <f>AVERAGE(H9:H11)</f>
        <v>910</v>
      </c>
      <c r="I8" s="597">
        <f>AVERAGE(I9:I11)</f>
        <v>750</v>
      </c>
      <c r="J8" s="369">
        <f t="shared" ref="J8:J19" si="1">((I8/H8) -      1)*100</f>
        <v>-17.582417582417587</v>
      </c>
    </row>
    <row r="9" spans="1:10" ht="12.95" customHeight="1" x14ac:dyDescent="0.2">
      <c r="A9" s="566" t="s">
        <v>491</v>
      </c>
      <c r="B9" s="598">
        <v>3400</v>
      </c>
      <c r="C9" s="592">
        <v>3480</v>
      </c>
      <c r="D9" s="1">
        <f t="shared" si="0"/>
        <v>2.3529411764705799</v>
      </c>
      <c r="E9" s="401" t="s">
        <v>423</v>
      </c>
      <c r="F9" s="401" t="s">
        <v>423</v>
      </c>
      <c r="G9" s="1" t="s">
        <v>410</v>
      </c>
      <c r="H9" s="401" t="s">
        <v>423</v>
      </c>
      <c r="I9" s="371" t="s">
        <v>409</v>
      </c>
      <c r="J9" s="1" t="s">
        <v>410</v>
      </c>
    </row>
    <row r="10" spans="1:10" ht="12.95" customHeight="1" x14ac:dyDescent="0.2">
      <c r="A10" s="566" t="s">
        <v>492</v>
      </c>
      <c r="B10" s="592">
        <v>4000</v>
      </c>
      <c r="C10" s="592">
        <v>3140</v>
      </c>
      <c r="D10" s="373">
        <f t="shared" si="0"/>
        <v>-21.499999999999996</v>
      </c>
      <c r="E10" s="401" t="s">
        <v>423</v>
      </c>
      <c r="F10" s="521">
        <v>2650</v>
      </c>
      <c r="G10" s="1" t="s">
        <v>410</v>
      </c>
      <c r="H10" s="592">
        <v>900</v>
      </c>
      <c r="I10" s="521">
        <v>700</v>
      </c>
      <c r="J10" s="1">
        <f t="shared" si="1"/>
        <v>-22.222222222222221</v>
      </c>
    </row>
    <row r="11" spans="1:10" ht="12.95" customHeight="1" x14ac:dyDescent="0.2">
      <c r="A11" s="566" t="s">
        <v>493</v>
      </c>
      <c r="B11" s="592">
        <v>2890</v>
      </c>
      <c r="C11" s="592">
        <v>2900</v>
      </c>
      <c r="D11" s="1">
        <f t="shared" si="0"/>
        <v>0.34602076124568004</v>
      </c>
      <c r="E11" s="401" t="s">
        <v>423</v>
      </c>
      <c r="F11" s="401" t="s">
        <v>423</v>
      </c>
      <c r="G11" s="1" t="s">
        <v>410</v>
      </c>
      <c r="H11" s="592">
        <v>920</v>
      </c>
      <c r="I11" s="521">
        <v>800</v>
      </c>
      <c r="J11" s="1">
        <f t="shared" si="1"/>
        <v>-13.043478260869568</v>
      </c>
    </row>
    <row r="12" spans="1:10" ht="12.95" customHeight="1" x14ac:dyDescent="0.2">
      <c r="A12" s="411" t="s">
        <v>441</v>
      </c>
      <c r="B12" s="402" t="s">
        <v>423</v>
      </c>
      <c r="C12" s="514">
        <f>AVERAGE(C13:C17)</f>
        <v>3051.9859999999999</v>
      </c>
      <c r="D12" s="518" t="s">
        <v>49</v>
      </c>
      <c r="E12" s="402" t="s">
        <v>423</v>
      </c>
      <c r="F12" s="407">
        <f>AVERAGE(F13:F17)</f>
        <v>2600</v>
      </c>
      <c r="G12" s="376" t="s">
        <v>410</v>
      </c>
      <c r="H12" s="402" t="s">
        <v>423</v>
      </c>
      <c r="I12" s="374" t="s">
        <v>409</v>
      </c>
      <c r="J12" s="369" t="s">
        <v>410</v>
      </c>
    </row>
    <row r="13" spans="1:10" ht="12.95" customHeight="1" x14ac:dyDescent="0.2">
      <c r="A13" s="370" t="s">
        <v>442</v>
      </c>
      <c r="B13" s="401" t="s">
        <v>423</v>
      </c>
      <c r="C13" s="592">
        <v>3233.33</v>
      </c>
      <c r="D13" s="516" t="s">
        <v>49</v>
      </c>
      <c r="E13" s="401" t="s">
        <v>423</v>
      </c>
      <c r="F13" s="401" t="s">
        <v>423</v>
      </c>
      <c r="G13" s="373" t="s">
        <v>410</v>
      </c>
      <c r="H13" s="401" t="s">
        <v>423</v>
      </c>
      <c r="I13" s="371" t="s">
        <v>409</v>
      </c>
      <c r="J13" s="1" t="s">
        <v>410</v>
      </c>
    </row>
    <row r="14" spans="1:10" ht="12.95" customHeight="1" x14ac:dyDescent="0.2">
      <c r="A14" s="370" t="s">
        <v>575</v>
      </c>
      <c r="B14" s="401" t="s">
        <v>423</v>
      </c>
      <c r="C14" s="592">
        <v>2960</v>
      </c>
      <c r="D14" s="516" t="s">
        <v>49</v>
      </c>
      <c r="E14" s="401" t="s">
        <v>423</v>
      </c>
      <c r="F14" s="401" t="s">
        <v>423</v>
      </c>
      <c r="G14" s="373" t="s">
        <v>410</v>
      </c>
      <c r="H14" s="401" t="s">
        <v>423</v>
      </c>
      <c r="I14" s="371" t="s">
        <v>409</v>
      </c>
      <c r="J14" s="1" t="s">
        <v>410</v>
      </c>
    </row>
    <row r="15" spans="1:10" ht="12.95" customHeight="1" x14ac:dyDescent="0.2">
      <c r="A15" s="370" t="s">
        <v>443</v>
      </c>
      <c r="B15" s="401" t="s">
        <v>423</v>
      </c>
      <c r="C15" s="592">
        <v>3100</v>
      </c>
      <c r="D15" s="516" t="s">
        <v>49</v>
      </c>
      <c r="E15" s="401" t="s">
        <v>423</v>
      </c>
      <c r="F15" s="401" t="s">
        <v>423</v>
      </c>
      <c r="G15" s="373" t="s">
        <v>410</v>
      </c>
      <c r="H15" s="401" t="s">
        <v>423</v>
      </c>
      <c r="I15" s="371" t="s">
        <v>409</v>
      </c>
      <c r="J15" s="1" t="s">
        <v>410</v>
      </c>
    </row>
    <row r="16" spans="1:10" ht="12.95" customHeight="1" x14ac:dyDescent="0.2">
      <c r="A16" s="370" t="s">
        <v>444</v>
      </c>
      <c r="B16" s="401" t="s">
        <v>423</v>
      </c>
      <c r="C16" s="592">
        <v>2800</v>
      </c>
      <c r="D16" s="516" t="s">
        <v>49</v>
      </c>
      <c r="E16" s="401" t="s">
        <v>423</v>
      </c>
      <c r="F16" s="517">
        <v>2600</v>
      </c>
      <c r="G16" s="373" t="s">
        <v>410</v>
      </c>
      <c r="H16" s="401" t="s">
        <v>423</v>
      </c>
      <c r="I16" s="371" t="s">
        <v>409</v>
      </c>
      <c r="J16" s="1" t="s">
        <v>410</v>
      </c>
    </row>
    <row r="17" spans="1:10" ht="12.95" customHeight="1" x14ac:dyDescent="0.2">
      <c r="A17" s="370" t="s">
        <v>465</v>
      </c>
      <c r="B17" s="401" t="s">
        <v>423</v>
      </c>
      <c r="C17" s="592">
        <v>3166.6</v>
      </c>
      <c r="D17" s="516" t="s">
        <v>49</v>
      </c>
      <c r="E17" s="401" t="s">
        <v>423</v>
      </c>
      <c r="F17" s="401" t="s">
        <v>423</v>
      </c>
      <c r="G17" s="373" t="s">
        <v>410</v>
      </c>
      <c r="H17" s="401" t="s">
        <v>423</v>
      </c>
      <c r="I17" s="371" t="s">
        <v>409</v>
      </c>
      <c r="J17" s="1" t="s">
        <v>410</v>
      </c>
    </row>
    <row r="18" spans="1:10" ht="12.95" customHeight="1" x14ac:dyDescent="0.2">
      <c r="A18" s="565" t="s">
        <v>77</v>
      </c>
      <c r="B18" s="514">
        <f>AVERAGE(B19:B21)</f>
        <v>3552.9</v>
      </c>
      <c r="C18" s="514">
        <f>AVERAGE(C19:C21)</f>
        <v>3715.4</v>
      </c>
      <c r="D18" s="600">
        <f t="shared" si="0"/>
        <v>4.5737285034760378</v>
      </c>
      <c r="E18" s="522">
        <f>AVERAGE(E19:E21)</f>
        <v>3616.7</v>
      </c>
      <c r="F18" s="522">
        <f>AVERAGE(F19:F22)</f>
        <v>3553.35</v>
      </c>
      <c r="G18" s="600">
        <f t="shared" si="0"/>
        <v>-1.75159675947687</v>
      </c>
      <c r="H18" s="597">
        <f>AVERAGE(H19:H21)</f>
        <v>1880.8</v>
      </c>
      <c r="I18" s="597">
        <f>AVERAGE(I19:I21)</f>
        <v>1233.4000000000001</v>
      </c>
      <c r="J18" s="600">
        <f t="shared" si="1"/>
        <v>-34.421522756273916</v>
      </c>
    </row>
    <row r="19" spans="1:10" ht="12.95" customHeight="1" x14ac:dyDescent="0.2">
      <c r="A19" s="566" t="s">
        <v>155</v>
      </c>
      <c r="B19" s="592">
        <v>3280.8</v>
      </c>
      <c r="C19" s="592">
        <v>3280.8</v>
      </c>
      <c r="D19" s="373">
        <f t="shared" si="0"/>
        <v>0</v>
      </c>
      <c r="E19" s="519">
        <v>2708.4</v>
      </c>
      <c r="F19" s="519">
        <v>2566.8000000000002</v>
      </c>
      <c r="G19" s="373">
        <f t="shared" si="0"/>
        <v>-5.2281789986707956</v>
      </c>
      <c r="H19" s="592">
        <v>1880.8</v>
      </c>
      <c r="I19" s="592">
        <v>1233.4000000000001</v>
      </c>
      <c r="J19" s="1">
        <f t="shared" si="1"/>
        <v>-34.421522756273916</v>
      </c>
    </row>
    <row r="20" spans="1:10" ht="12.95" customHeight="1" x14ac:dyDescent="0.2">
      <c r="A20" s="566" t="s">
        <v>156</v>
      </c>
      <c r="B20" s="401" t="s">
        <v>423</v>
      </c>
      <c r="C20" s="599" t="s">
        <v>496</v>
      </c>
      <c r="D20" s="1" t="s">
        <v>410</v>
      </c>
      <c r="E20" s="401" t="s">
        <v>423</v>
      </c>
      <c r="F20" s="519">
        <v>3800</v>
      </c>
      <c r="G20" s="1" t="s">
        <v>410</v>
      </c>
      <c r="H20" s="401" t="s">
        <v>423</v>
      </c>
      <c r="I20" s="371" t="s">
        <v>409</v>
      </c>
      <c r="J20" s="1" t="s">
        <v>410</v>
      </c>
    </row>
    <row r="21" spans="1:10" ht="12.95" customHeight="1" x14ac:dyDescent="0.2">
      <c r="A21" s="566" t="s">
        <v>411</v>
      </c>
      <c r="B21" s="592">
        <v>3825</v>
      </c>
      <c r="C21" s="592">
        <v>4150</v>
      </c>
      <c r="D21" s="373">
        <f t="shared" si="0"/>
        <v>8.496732026143782</v>
      </c>
      <c r="E21" s="519">
        <v>4525</v>
      </c>
      <c r="F21" s="519">
        <v>4140</v>
      </c>
      <c r="G21" s="373">
        <v>0</v>
      </c>
      <c r="H21" s="401" t="s">
        <v>423</v>
      </c>
      <c r="I21" s="371" t="s">
        <v>409</v>
      </c>
      <c r="J21" s="1" t="s">
        <v>410</v>
      </c>
    </row>
    <row r="22" spans="1:10" ht="12.95" customHeight="1" x14ac:dyDescent="0.2">
      <c r="A22" s="566" t="s">
        <v>161</v>
      </c>
      <c r="B22" s="401" t="s">
        <v>423</v>
      </c>
      <c r="C22" s="599" t="s">
        <v>496</v>
      </c>
      <c r="D22" s="1" t="s">
        <v>410</v>
      </c>
      <c r="E22" s="401" t="s">
        <v>423</v>
      </c>
      <c r="F22" s="519">
        <v>3706.6</v>
      </c>
      <c r="G22" s="1" t="s">
        <v>410</v>
      </c>
      <c r="H22" s="401" t="s">
        <v>423</v>
      </c>
      <c r="I22" s="371" t="s">
        <v>409</v>
      </c>
      <c r="J22" s="1" t="s">
        <v>410</v>
      </c>
    </row>
    <row r="23" spans="1:10" ht="12.95" customHeight="1" x14ac:dyDescent="0.2">
      <c r="A23" s="570" t="s">
        <v>2</v>
      </c>
      <c r="B23" s="514">
        <f>AVERAGE(B24:B27)</f>
        <v>2995.65</v>
      </c>
      <c r="C23" s="514">
        <f>AVERAGE(C24:C27)</f>
        <v>3065.4</v>
      </c>
      <c r="D23" s="600">
        <f t="shared" si="0"/>
        <v>2.3283761454108376</v>
      </c>
      <c r="E23" s="402" t="s">
        <v>423</v>
      </c>
      <c r="F23" s="534" t="s">
        <v>423</v>
      </c>
      <c r="G23" s="376" t="s">
        <v>3</v>
      </c>
      <c r="H23" s="402" t="s">
        <v>423</v>
      </c>
      <c r="I23" s="374" t="s">
        <v>409</v>
      </c>
      <c r="J23" s="369" t="s">
        <v>410</v>
      </c>
    </row>
    <row r="24" spans="1:10" ht="12.95" customHeight="1" x14ac:dyDescent="0.2">
      <c r="A24" s="566" t="s">
        <v>5</v>
      </c>
      <c r="B24" s="592">
        <v>2870</v>
      </c>
      <c r="C24" s="592">
        <v>3030</v>
      </c>
      <c r="D24" s="580">
        <f t="shared" si="0"/>
        <v>5.5749128919860613</v>
      </c>
      <c r="E24" s="521" t="s">
        <v>423</v>
      </c>
      <c r="F24" s="521" t="s">
        <v>423</v>
      </c>
      <c r="G24" s="373" t="s">
        <v>3</v>
      </c>
      <c r="H24" s="401" t="s">
        <v>423</v>
      </c>
      <c r="I24" s="371" t="s">
        <v>409</v>
      </c>
      <c r="J24" s="1" t="s">
        <v>410</v>
      </c>
    </row>
    <row r="25" spans="1:10" ht="12.95" customHeight="1" x14ac:dyDescent="0.2">
      <c r="A25" s="566" t="s">
        <v>78</v>
      </c>
      <c r="B25" s="592">
        <v>2890</v>
      </c>
      <c r="C25" s="592">
        <v>3105</v>
      </c>
      <c r="D25" s="580">
        <f t="shared" si="0"/>
        <v>7.4394463667819988</v>
      </c>
      <c r="E25" s="521" t="s">
        <v>423</v>
      </c>
      <c r="F25" s="521" t="s">
        <v>423</v>
      </c>
      <c r="G25" s="373" t="s">
        <v>3</v>
      </c>
      <c r="H25" s="401" t="s">
        <v>423</v>
      </c>
      <c r="I25" s="371" t="s">
        <v>409</v>
      </c>
      <c r="J25" s="1" t="s">
        <v>410</v>
      </c>
    </row>
    <row r="26" spans="1:10" ht="12.95" customHeight="1" x14ac:dyDescent="0.2">
      <c r="A26" s="566" t="s">
        <v>61</v>
      </c>
      <c r="B26" s="592">
        <v>3382.6</v>
      </c>
      <c r="C26" s="592">
        <v>3166.6</v>
      </c>
      <c r="D26" s="580">
        <f t="shared" ref="D26:D42" si="2">((C26/B26) -      1)*100</f>
        <v>-6.3856205285874772</v>
      </c>
      <c r="E26" s="521" t="s">
        <v>423</v>
      </c>
      <c r="F26" s="521" t="s">
        <v>423</v>
      </c>
      <c r="G26" s="373" t="s">
        <v>3</v>
      </c>
      <c r="H26" s="401" t="s">
        <v>423</v>
      </c>
      <c r="I26" s="371" t="s">
        <v>409</v>
      </c>
      <c r="J26" s="1" t="s">
        <v>410</v>
      </c>
    </row>
    <row r="27" spans="1:10" ht="12.95" customHeight="1" x14ac:dyDescent="0.2">
      <c r="A27" s="566" t="s">
        <v>190</v>
      </c>
      <c r="B27" s="592">
        <v>2840</v>
      </c>
      <c r="C27" s="592">
        <v>2960</v>
      </c>
      <c r="D27" s="580">
        <f t="shared" si="2"/>
        <v>4.2253521126760507</v>
      </c>
      <c r="E27" s="521" t="s">
        <v>423</v>
      </c>
      <c r="F27" s="521" t="s">
        <v>423</v>
      </c>
      <c r="G27" s="567" t="s">
        <v>3</v>
      </c>
      <c r="H27" s="401" t="s">
        <v>423</v>
      </c>
      <c r="I27" s="371" t="s">
        <v>409</v>
      </c>
      <c r="J27" s="1" t="s">
        <v>410</v>
      </c>
    </row>
    <row r="28" spans="1:10" ht="12.95" customHeight="1" x14ac:dyDescent="0.2">
      <c r="A28" s="570" t="s">
        <v>6</v>
      </c>
      <c r="B28" s="514">
        <f>AVERAGE(B29:B35)</f>
        <v>3673.6333333333332</v>
      </c>
      <c r="C28" s="514">
        <f>AVERAGE(C29:C35)</f>
        <v>3258.0999999999995</v>
      </c>
      <c r="D28" s="601">
        <f t="shared" si="2"/>
        <v>-11.311235924470786</v>
      </c>
      <c r="E28" s="522">
        <f>AVERAGE(E29:E35)</f>
        <v>3426.6</v>
      </c>
      <c r="F28" s="522">
        <f>AVERAGE(F29:F35)</f>
        <v>3320</v>
      </c>
      <c r="G28" s="376">
        <f t="shared" ref="G28" si="3">((F28/E28) -      1)*100</f>
        <v>-3.1109554660596506</v>
      </c>
      <c r="H28" s="597">
        <f>AVERAGE(H29:H35)</f>
        <v>1180</v>
      </c>
      <c r="I28" s="597">
        <f>AVERAGE(I29:I35)</f>
        <v>1000</v>
      </c>
      <c r="J28" s="376">
        <f>((I28/H28) -      1)*100</f>
        <v>-15.254237288135597</v>
      </c>
    </row>
    <row r="29" spans="1:10" ht="12.95" customHeight="1" x14ac:dyDescent="0.2">
      <c r="A29" s="566" t="s">
        <v>8</v>
      </c>
      <c r="B29" s="592">
        <v>2933.4</v>
      </c>
      <c r="C29" s="592">
        <v>3000</v>
      </c>
      <c r="D29" s="580">
        <f t="shared" si="2"/>
        <v>2.2704029453876062</v>
      </c>
      <c r="E29" s="521" t="s">
        <v>423</v>
      </c>
      <c r="F29" s="521" t="s">
        <v>423</v>
      </c>
      <c r="G29" s="373" t="s">
        <v>410</v>
      </c>
      <c r="H29" s="401" t="s">
        <v>423</v>
      </c>
      <c r="I29" s="371" t="s">
        <v>409</v>
      </c>
      <c r="J29" s="1" t="s">
        <v>410</v>
      </c>
    </row>
    <row r="30" spans="1:10" ht="12.95" customHeight="1" x14ac:dyDescent="0.2">
      <c r="A30" s="566" t="s">
        <v>7</v>
      </c>
      <c r="B30" s="592">
        <v>3255</v>
      </c>
      <c r="C30" s="592">
        <v>3250</v>
      </c>
      <c r="D30" s="373">
        <f t="shared" si="2"/>
        <v>-0.1536098310291889</v>
      </c>
      <c r="E30" s="521" t="s">
        <v>423</v>
      </c>
      <c r="F30" s="521" t="s">
        <v>423</v>
      </c>
      <c r="G30" s="373" t="s">
        <v>410</v>
      </c>
      <c r="H30" s="401" t="s">
        <v>423</v>
      </c>
      <c r="I30" s="371" t="s">
        <v>409</v>
      </c>
      <c r="J30" s="1" t="s">
        <v>410</v>
      </c>
    </row>
    <row r="31" spans="1:10" ht="12.95" customHeight="1" x14ac:dyDescent="0.2">
      <c r="A31" s="566" t="s">
        <v>9</v>
      </c>
      <c r="B31" s="592">
        <v>3120</v>
      </c>
      <c r="C31" s="592">
        <v>3253.3</v>
      </c>
      <c r="D31" s="602">
        <f t="shared" si="2"/>
        <v>4.2724358974359111</v>
      </c>
      <c r="E31" s="519">
        <v>3426.6</v>
      </c>
      <c r="F31" s="519">
        <v>3320</v>
      </c>
      <c r="G31" s="373">
        <f>((F31/E31) -      1)*100</f>
        <v>-3.1109554660596506</v>
      </c>
      <c r="H31" s="521">
        <v>1180</v>
      </c>
      <c r="I31" s="521">
        <v>1000</v>
      </c>
      <c r="J31" s="1">
        <f>((I31/H31) -      1)*100</f>
        <v>-15.254237288135597</v>
      </c>
    </row>
    <row r="32" spans="1:10" ht="12.95" customHeight="1" x14ac:dyDescent="0.2">
      <c r="A32" s="566" t="s">
        <v>11</v>
      </c>
      <c r="B32" s="592">
        <v>3613.4</v>
      </c>
      <c r="C32" s="592">
        <v>3533.4</v>
      </c>
      <c r="D32" s="602">
        <f t="shared" si="2"/>
        <v>-2.2139812918580803</v>
      </c>
      <c r="E32" s="521" t="s">
        <v>423</v>
      </c>
      <c r="F32" s="521" t="s">
        <v>423</v>
      </c>
      <c r="G32" s="373" t="s">
        <v>410</v>
      </c>
      <c r="H32" s="371" t="s">
        <v>409</v>
      </c>
      <c r="I32" s="371" t="s">
        <v>409</v>
      </c>
      <c r="J32" s="1" t="s">
        <v>410</v>
      </c>
    </row>
    <row r="33" spans="1:10" ht="12.95" customHeight="1" x14ac:dyDescent="0.2">
      <c r="A33" s="566" t="s">
        <v>12</v>
      </c>
      <c r="B33" s="592">
        <v>5800</v>
      </c>
      <c r="C33" s="592">
        <v>2750</v>
      </c>
      <c r="D33" s="373">
        <f t="shared" si="2"/>
        <v>-52.586206896551722</v>
      </c>
      <c r="E33" s="521" t="s">
        <v>423</v>
      </c>
      <c r="F33" s="521" t="s">
        <v>423</v>
      </c>
      <c r="G33" s="373" t="s">
        <v>410</v>
      </c>
      <c r="H33" s="521" t="s">
        <v>423</v>
      </c>
      <c r="I33" s="371" t="s">
        <v>409</v>
      </c>
      <c r="J33" s="1" t="s">
        <v>410</v>
      </c>
    </row>
    <row r="34" spans="1:10" ht="12.95" customHeight="1" x14ac:dyDescent="0.2">
      <c r="A34" s="566" t="s">
        <v>14</v>
      </c>
      <c r="B34" s="592" t="s">
        <v>423</v>
      </c>
      <c r="C34" s="592">
        <v>3600</v>
      </c>
      <c r="D34" s="580" t="s">
        <v>410</v>
      </c>
      <c r="E34" s="521" t="s">
        <v>423</v>
      </c>
      <c r="F34" s="521" t="s">
        <v>423</v>
      </c>
      <c r="G34" s="373" t="s">
        <v>410</v>
      </c>
      <c r="H34" s="521" t="s">
        <v>423</v>
      </c>
      <c r="I34" s="371" t="s">
        <v>409</v>
      </c>
      <c r="J34" s="1" t="s">
        <v>410</v>
      </c>
    </row>
    <row r="35" spans="1:10" ht="12.95" customHeight="1" x14ac:dyDescent="0.2">
      <c r="A35" s="566" t="s">
        <v>412</v>
      </c>
      <c r="B35" s="592">
        <v>3320</v>
      </c>
      <c r="C35" s="592">
        <v>3420</v>
      </c>
      <c r="D35" s="373">
        <f t="shared" si="2"/>
        <v>3.0120481927710774</v>
      </c>
      <c r="E35" s="521" t="s">
        <v>423</v>
      </c>
      <c r="F35" s="521" t="s">
        <v>423</v>
      </c>
      <c r="G35" s="373" t="s">
        <v>410</v>
      </c>
      <c r="H35" s="521" t="s">
        <v>423</v>
      </c>
      <c r="I35" s="371" t="s">
        <v>409</v>
      </c>
      <c r="J35" s="1" t="s">
        <v>410</v>
      </c>
    </row>
    <row r="36" spans="1:10" ht="12.95" customHeight="1" x14ac:dyDescent="0.2">
      <c r="A36" s="603" t="s">
        <v>15</v>
      </c>
      <c r="B36" s="513" t="s">
        <v>423</v>
      </c>
      <c r="C36" s="514">
        <f>AVERAGE(C37:C38)</f>
        <v>3100</v>
      </c>
      <c r="D36" s="587" t="s">
        <v>3</v>
      </c>
      <c r="E36" s="610" t="s">
        <v>423</v>
      </c>
      <c r="F36" s="522">
        <f>AVERAGE(F37:F38)</f>
        <v>3600</v>
      </c>
      <c r="G36" s="587" t="s">
        <v>3</v>
      </c>
      <c r="H36" s="443" t="s">
        <v>423</v>
      </c>
      <c r="I36" s="534">
        <f>AVERAGE(I37:I38)</f>
        <v>950</v>
      </c>
      <c r="J36" s="611" t="s">
        <v>410</v>
      </c>
    </row>
    <row r="37" spans="1:10" ht="12.95" customHeight="1" x14ac:dyDescent="0.2">
      <c r="A37" s="566" t="s">
        <v>70</v>
      </c>
      <c r="B37" s="511" t="s">
        <v>423</v>
      </c>
      <c r="C37" s="451">
        <v>2400</v>
      </c>
      <c r="D37" s="569" t="s">
        <v>3</v>
      </c>
      <c r="E37" s="591" t="s">
        <v>423</v>
      </c>
      <c r="F37" s="519">
        <v>3400</v>
      </c>
      <c r="G37" s="569" t="s">
        <v>3</v>
      </c>
      <c r="H37" s="438" t="s">
        <v>423</v>
      </c>
      <c r="I37" s="521">
        <v>950</v>
      </c>
      <c r="J37" s="605" t="s">
        <v>410</v>
      </c>
    </row>
    <row r="38" spans="1:10" ht="12.95" customHeight="1" x14ac:dyDescent="0.2">
      <c r="A38" s="566" t="s">
        <v>69</v>
      </c>
      <c r="B38" s="511" t="s">
        <v>423</v>
      </c>
      <c r="C38" s="451">
        <v>3800</v>
      </c>
      <c r="D38" s="569" t="s">
        <v>3</v>
      </c>
      <c r="E38" s="591" t="s">
        <v>423</v>
      </c>
      <c r="F38" s="519">
        <v>3800</v>
      </c>
      <c r="G38" s="569" t="s">
        <v>3</v>
      </c>
      <c r="H38" s="438" t="s">
        <v>423</v>
      </c>
      <c r="I38" s="371" t="s">
        <v>409</v>
      </c>
      <c r="J38" s="605" t="s">
        <v>410</v>
      </c>
    </row>
    <row r="39" spans="1:10" ht="12.95" customHeight="1" x14ac:dyDescent="0.2">
      <c r="A39" s="570" t="s">
        <v>16</v>
      </c>
      <c r="B39" s="514">
        <f>AVERAGE(B40:B42)</f>
        <v>3397.7333333333336</v>
      </c>
      <c r="C39" s="514">
        <f>AVERAGE(C40:C42)</f>
        <v>2911.1</v>
      </c>
      <c r="D39" s="376">
        <f t="shared" si="2"/>
        <v>-14.322293293568267</v>
      </c>
      <c r="E39" s="402" t="s">
        <v>423</v>
      </c>
      <c r="F39" s="522">
        <f>AVERAGE(F40:F42)</f>
        <v>3000</v>
      </c>
      <c r="G39" s="376" t="s">
        <v>410</v>
      </c>
      <c r="H39" s="402" t="s">
        <v>423</v>
      </c>
      <c r="I39" s="597">
        <f>AVERAGE(I40:I42)</f>
        <v>1500</v>
      </c>
      <c r="J39" s="369" t="s">
        <v>410</v>
      </c>
    </row>
    <row r="40" spans="1:10" ht="12.95" customHeight="1" x14ac:dyDescent="0.2">
      <c r="A40" s="566" t="s">
        <v>544</v>
      </c>
      <c r="B40" s="592">
        <v>3266.6</v>
      </c>
      <c r="C40" s="592">
        <v>3020</v>
      </c>
      <c r="D40" s="373">
        <f t="shared" si="2"/>
        <v>-7.5491336557888866</v>
      </c>
      <c r="E40" s="401" t="s">
        <v>423</v>
      </c>
      <c r="F40" s="521" t="s">
        <v>423</v>
      </c>
      <c r="G40" s="373" t="s">
        <v>410</v>
      </c>
      <c r="H40" s="401" t="s">
        <v>423</v>
      </c>
      <c r="I40" s="371" t="s">
        <v>409</v>
      </c>
      <c r="J40" s="1" t="s">
        <v>410</v>
      </c>
    </row>
    <row r="41" spans="1:10" ht="12.95" customHeight="1" x14ac:dyDescent="0.2">
      <c r="A41" s="566" t="s">
        <v>489</v>
      </c>
      <c r="B41" s="592">
        <v>3466.6</v>
      </c>
      <c r="C41" s="592">
        <v>2900</v>
      </c>
      <c r="D41" s="373">
        <f t="shared" si="2"/>
        <v>-16.344545087405528</v>
      </c>
      <c r="E41" s="401" t="s">
        <v>423</v>
      </c>
      <c r="F41" s="519">
        <v>3000</v>
      </c>
      <c r="G41" s="373" t="s">
        <v>410</v>
      </c>
      <c r="H41" s="401" t="s">
        <v>423</v>
      </c>
      <c r="I41" s="371" t="s">
        <v>409</v>
      </c>
      <c r="J41" s="1" t="s">
        <v>410</v>
      </c>
    </row>
    <row r="42" spans="1:10" ht="12.95" customHeight="1" x14ac:dyDescent="0.2">
      <c r="A42" s="566" t="s">
        <v>17</v>
      </c>
      <c r="B42" s="592">
        <v>3460</v>
      </c>
      <c r="C42" s="592">
        <v>2813.3</v>
      </c>
      <c r="D42" s="373">
        <f t="shared" si="2"/>
        <v>-18.690751445086697</v>
      </c>
      <c r="E42" s="401" t="s">
        <v>423</v>
      </c>
      <c r="F42" s="521" t="s">
        <v>423</v>
      </c>
      <c r="G42" s="373" t="s">
        <v>410</v>
      </c>
      <c r="H42" s="401" t="s">
        <v>423</v>
      </c>
      <c r="I42" s="521">
        <v>1500</v>
      </c>
      <c r="J42" s="1" t="s">
        <v>410</v>
      </c>
    </row>
    <row r="43" spans="1:10" ht="12.95" customHeight="1" x14ac:dyDescent="0.2">
      <c r="A43" s="570" t="s">
        <v>18</v>
      </c>
      <c r="B43" s="514">
        <f>AVERAGE(B44:B51)</f>
        <v>3092.9</v>
      </c>
      <c r="C43" s="514">
        <f>AVERAGE(C44:C51)</f>
        <v>3148.5714285714284</v>
      </c>
      <c r="D43" s="376">
        <f t="shared" ref="D43:G51" si="4">((C43/B43) -      1)*100</f>
        <v>1.799975058082337</v>
      </c>
      <c r="E43" s="522">
        <f>AVERAGE(E44:E50)</f>
        <v>2995.68</v>
      </c>
      <c r="F43" s="522">
        <f>AVERAGE(F44:F50)</f>
        <v>3118.52</v>
      </c>
      <c r="G43" s="376">
        <f>((F43/E43) -      1)*100</f>
        <v>4.1005714896117151</v>
      </c>
      <c r="H43" s="514">
        <f>AVERAGE(H44:H50)</f>
        <v>1005</v>
      </c>
      <c r="I43" s="514">
        <f>AVERAGE(I44:I50)</f>
        <v>877.80000000000007</v>
      </c>
      <c r="J43" s="369">
        <f>((I43/H43) -      1)*100</f>
        <v>-12.656716417910442</v>
      </c>
    </row>
    <row r="44" spans="1:10" ht="12.95" customHeight="1" x14ac:dyDescent="0.2">
      <c r="A44" s="566" t="s">
        <v>19</v>
      </c>
      <c r="B44" s="592">
        <v>2990</v>
      </c>
      <c r="C44" s="592">
        <v>3280</v>
      </c>
      <c r="D44" s="580">
        <f t="shared" si="4"/>
        <v>9.6989966555183891</v>
      </c>
      <c r="E44" s="519">
        <v>3165</v>
      </c>
      <c r="F44" s="519">
        <v>3280</v>
      </c>
      <c r="G44" s="373">
        <f>((F44/E44) -      1)*100</f>
        <v>3.6334913112164191</v>
      </c>
      <c r="H44" s="401" t="s">
        <v>423</v>
      </c>
      <c r="I44" s="521">
        <v>600</v>
      </c>
      <c r="J44" s="1" t="s">
        <v>410</v>
      </c>
    </row>
    <row r="45" spans="1:10" ht="12.95" customHeight="1" x14ac:dyDescent="0.2">
      <c r="A45" s="566" t="s">
        <v>21</v>
      </c>
      <c r="B45" s="592">
        <v>2790</v>
      </c>
      <c r="C45" s="592">
        <v>2880</v>
      </c>
      <c r="D45" s="373">
        <f t="shared" si="4"/>
        <v>3.2258064516129004</v>
      </c>
      <c r="E45" s="519">
        <v>3365</v>
      </c>
      <c r="F45" s="519">
        <v>3366</v>
      </c>
      <c r="G45" s="373">
        <f>((F45/E45) -      1)*100</f>
        <v>2.9717682020802272E-2</v>
      </c>
      <c r="H45" s="521">
        <v>1190</v>
      </c>
      <c r="I45" s="521">
        <v>1193.4000000000001</v>
      </c>
      <c r="J45" s="1">
        <f>((I45/H45) -      1)*100</f>
        <v>0.28571428571428914</v>
      </c>
    </row>
    <row r="46" spans="1:10" ht="12.95" customHeight="1" x14ac:dyDescent="0.2">
      <c r="A46" s="566" t="s">
        <v>419</v>
      </c>
      <c r="B46" s="592">
        <v>3400</v>
      </c>
      <c r="C46" s="592">
        <v>2800</v>
      </c>
      <c r="D46" s="580">
        <f t="shared" si="4"/>
        <v>-17.647058823529417</v>
      </c>
      <c r="E46" s="519">
        <v>3200</v>
      </c>
      <c r="F46" s="519">
        <v>3700</v>
      </c>
      <c r="G46" s="373">
        <f t="shared" si="4"/>
        <v>15.625</v>
      </c>
      <c r="H46" s="401" t="s">
        <v>423</v>
      </c>
      <c r="I46" s="371" t="s">
        <v>409</v>
      </c>
      <c r="J46" s="1" t="s">
        <v>410</v>
      </c>
    </row>
    <row r="47" spans="1:10" ht="12.95" customHeight="1" x14ac:dyDescent="0.2">
      <c r="A47" s="566" t="s">
        <v>80</v>
      </c>
      <c r="B47" s="592">
        <v>3366.6</v>
      </c>
      <c r="C47" s="592">
        <v>3360</v>
      </c>
      <c r="D47" s="373">
        <f t="shared" si="4"/>
        <v>-0.19604348600962274</v>
      </c>
      <c r="E47" s="401" t="s">
        <v>423</v>
      </c>
      <c r="F47" s="521" t="s">
        <v>423</v>
      </c>
      <c r="G47" s="373" t="s">
        <v>410</v>
      </c>
      <c r="H47" s="401" t="s">
        <v>423</v>
      </c>
      <c r="I47" s="371" t="s">
        <v>409</v>
      </c>
      <c r="J47" s="1" t="s">
        <v>410</v>
      </c>
    </row>
    <row r="48" spans="1:10" ht="12.95" customHeight="1" x14ac:dyDescent="0.2">
      <c r="A48" s="566" t="s">
        <v>22</v>
      </c>
      <c r="B48" s="592">
        <v>2440</v>
      </c>
      <c r="C48" s="592">
        <v>2660</v>
      </c>
      <c r="D48" s="580">
        <f t="shared" si="4"/>
        <v>9.0163934426229488</v>
      </c>
      <c r="E48" s="519">
        <v>2453.4</v>
      </c>
      <c r="F48" s="519">
        <v>2426.6</v>
      </c>
      <c r="G48" s="373">
        <f t="shared" si="4"/>
        <v>-1.0923616206081399</v>
      </c>
      <c r="H48" s="521">
        <v>820</v>
      </c>
      <c r="I48" s="521">
        <v>840</v>
      </c>
      <c r="J48" s="1">
        <f t="shared" ref="J48" si="5">((I48/H48) -      1)*100</f>
        <v>2.4390243902439046</v>
      </c>
    </row>
    <row r="49" spans="1:10" ht="12.95" customHeight="1" x14ac:dyDescent="0.2">
      <c r="A49" s="566" t="s">
        <v>23</v>
      </c>
      <c r="B49" s="592">
        <v>3666.6</v>
      </c>
      <c r="C49" s="592">
        <v>3600</v>
      </c>
      <c r="D49" s="580">
        <f t="shared" si="4"/>
        <v>-1.81639666175748</v>
      </c>
      <c r="E49" s="401" t="s">
        <v>423</v>
      </c>
      <c r="F49" s="521" t="s">
        <v>423</v>
      </c>
      <c r="G49" s="373" t="s">
        <v>410</v>
      </c>
      <c r="H49" s="401" t="s">
        <v>423</v>
      </c>
      <c r="I49" s="371" t="s">
        <v>409</v>
      </c>
      <c r="J49" s="1" t="s">
        <v>410</v>
      </c>
    </row>
    <row r="50" spans="1:10" ht="12.95" customHeight="1" x14ac:dyDescent="0.2">
      <c r="A50" s="566" t="s">
        <v>24</v>
      </c>
      <c r="B50" s="592">
        <v>2930</v>
      </c>
      <c r="C50" s="599" t="s">
        <v>496</v>
      </c>
      <c r="D50" s="373" t="s">
        <v>410</v>
      </c>
      <c r="E50" s="519">
        <v>2795</v>
      </c>
      <c r="F50" s="519">
        <v>2820</v>
      </c>
      <c r="G50" s="373">
        <f>((F50/E50) -      1)*100</f>
        <v>0.89445438282647061</v>
      </c>
      <c r="H50" s="401" t="s">
        <v>423</v>
      </c>
      <c r="I50" s="371" t="s">
        <v>409</v>
      </c>
      <c r="J50" s="1" t="s">
        <v>410</v>
      </c>
    </row>
    <row r="51" spans="1:10" ht="12.95" customHeight="1" x14ac:dyDescent="0.2">
      <c r="A51" s="566" t="s">
        <v>63</v>
      </c>
      <c r="B51" s="592">
        <v>3160</v>
      </c>
      <c r="C51" s="592">
        <v>3460</v>
      </c>
      <c r="D51" s="373">
        <f t="shared" si="4"/>
        <v>9.4936708860759556</v>
      </c>
      <c r="E51" s="401" t="s">
        <v>423</v>
      </c>
      <c r="F51" s="521" t="s">
        <v>423</v>
      </c>
      <c r="G51" s="373" t="s">
        <v>410</v>
      </c>
      <c r="H51" s="401" t="s">
        <v>423</v>
      </c>
      <c r="I51" s="371" t="s">
        <v>409</v>
      </c>
      <c r="J51" s="1" t="s">
        <v>410</v>
      </c>
    </row>
    <row r="52" spans="1:10" ht="12.95" customHeight="1" x14ac:dyDescent="0.2">
      <c r="A52" s="570" t="s">
        <v>25</v>
      </c>
      <c r="B52" s="514">
        <f>AVERAGE(B53:B54)</f>
        <v>3212.5</v>
      </c>
      <c r="C52" s="514">
        <f>AVERAGE(C53:C54)</f>
        <v>3110</v>
      </c>
      <c r="D52" s="600">
        <f>((C52/B52) -      1)*100</f>
        <v>-3.1906614785992216</v>
      </c>
      <c r="E52" s="402" t="s">
        <v>423</v>
      </c>
      <c r="F52" s="534" t="s">
        <v>423</v>
      </c>
      <c r="G52" s="376" t="s">
        <v>410</v>
      </c>
      <c r="H52" s="402" t="s">
        <v>423</v>
      </c>
      <c r="I52" s="374" t="s">
        <v>409</v>
      </c>
      <c r="J52" s="369" t="s">
        <v>410</v>
      </c>
    </row>
    <row r="53" spans="1:10" ht="12.95" customHeight="1" x14ac:dyDescent="0.2">
      <c r="A53" s="566" t="s">
        <v>53</v>
      </c>
      <c r="B53" s="592">
        <v>3625</v>
      </c>
      <c r="C53" s="592">
        <v>3320</v>
      </c>
      <c r="D53" s="373">
        <f>((C53/B53) -      1)*100</f>
        <v>-8.413793103448274</v>
      </c>
      <c r="E53" s="401" t="s">
        <v>423</v>
      </c>
      <c r="F53" s="521" t="s">
        <v>423</v>
      </c>
      <c r="G53" s="373" t="s">
        <v>410</v>
      </c>
      <c r="H53" s="401" t="s">
        <v>423</v>
      </c>
      <c r="I53" s="371" t="s">
        <v>409</v>
      </c>
      <c r="J53" s="1" t="s">
        <v>410</v>
      </c>
    </row>
    <row r="54" spans="1:10" ht="12.95" customHeight="1" x14ac:dyDescent="0.2">
      <c r="A54" s="566" t="s">
        <v>58</v>
      </c>
      <c r="B54" s="592">
        <v>2800</v>
      </c>
      <c r="C54" s="592">
        <v>2900</v>
      </c>
      <c r="D54" s="580">
        <f t="shared" ref="D54" si="6">((C54/B54) -      1)*100</f>
        <v>3.5714285714285809</v>
      </c>
      <c r="E54" s="401" t="s">
        <v>423</v>
      </c>
      <c r="F54" s="521" t="s">
        <v>423</v>
      </c>
      <c r="G54" s="373" t="s">
        <v>410</v>
      </c>
      <c r="H54" s="401" t="s">
        <v>423</v>
      </c>
      <c r="I54" s="371" t="s">
        <v>409</v>
      </c>
      <c r="J54" s="1" t="s">
        <v>410</v>
      </c>
    </row>
    <row r="55" spans="1:10" ht="12.95" customHeight="1" x14ac:dyDescent="0.2">
      <c r="A55" s="396"/>
      <c r="B55" s="345"/>
      <c r="C55" s="397"/>
      <c r="D55" s="397"/>
      <c r="E55" s="397"/>
      <c r="F55" s="397"/>
      <c r="G55" s="397"/>
      <c r="H55" s="397"/>
      <c r="I55" s="525"/>
      <c r="J55" s="398" t="s">
        <v>26</v>
      </c>
    </row>
    <row r="56" spans="1:10" ht="12.95" customHeight="1" x14ac:dyDescent="0.25">
      <c r="A56" s="695" t="s">
        <v>498</v>
      </c>
      <c r="B56" s="695"/>
      <c r="C56" s="695"/>
      <c r="D56" s="695"/>
      <c r="E56" s="695"/>
      <c r="F56" s="695"/>
      <c r="G56" s="399"/>
      <c r="H56" s="399"/>
      <c r="I56" s="410"/>
      <c r="J56" s="400"/>
    </row>
    <row r="57" spans="1:10" ht="14.1" customHeight="1" x14ac:dyDescent="0.2">
      <c r="A57" s="686" t="s">
        <v>0</v>
      </c>
      <c r="B57" s="688" t="s">
        <v>48</v>
      </c>
      <c r="C57" s="693"/>
      <c r="D57" s="694"/>
      <c r="E57" s="688" t="s">
        <v>428</v>
      </c>
      <c r="F57" s="693"/>
      <c r="G57" s="694"/>
      <c r="H57" s="688" t="s">
        <v>429</v>
      </c>
      <c r="I57" s="693"/>
      <c r="J57" s="694"/>
    </row>
    <row r="58" spans="1:10" ht="14.1" customHeight="1" x14ac:dyDescent="0.2">
      <c r="A58" s="692"/>
      <c r="B58" s="363">
        <v>2024</v>
      </c>
      <c r="C58" s="363">
        <v>2025</v>
      </c>
      <c r="D58" s="363" t="s">
        <v>1</v>
      </c>
      <c r="E58" s="363">
        <v>2024</v>
      </c>
      <c r="F58" s="363">
        <v>2025</v>
      </c>
      <c r="G58" s="363" t="s">
        <v>1</v>
      </c>
      <c r="H58" s="363">
        <v>2024</v>
      </c>
      <c r="I58" s="363">
        <v>2025</v>
      </c>
      <c r="J58" s="363" t="s">
        <v>1</v>
      </c>
    </row>
    <row r="59" spans="1:10" ht="3.95" customHeight="1" x14ac:dyDescent="0.2">
      <c r="A59" s="566"/>
      <c r="B59" s="592"/>
      <c r="C59" s="592"/>
      <c r="D59" s="580"/>
      <c r="E59" s="401"/>
      <c r="F59" s="521"/>
      <c r="G59" s="373"/>
      <c r="H59" s="401"/>
      <c r="I59" s="371"/>
      <c r="J59" s="1"/>
    </row>
    <row r="60" spans="1:10" ht="12.95" customHeight="1" x14ac:dyDescent="0.2">
      <c r="A60" s="570" t="s">
        <v>81</v>
      </c>
      <c r="B60" s="514">
        <f>AVERAGE(B61:B62)</f>
        <v>3000</v>
      </c>
      <c r="C60" s="514">
        <f>AVERAGE(C61:C62)</f>
        <v>3080</v>
      </c>
      <c r="D60" s="376">
        <f>((C60/B60) -      1)*100</f>
        <v>2.6666666666666616</v>
      </c>
      <c r="E60" s="402" t="s">
        <v>423</v>
      </c>
      <c r="F60" s="522">
        <f>AVERAGE(F61:F62)</f>
        <v>3400</v>
      </c>
      <c r="G60" s="376" t="s">
        <v>410</v>
      </c>
      <c r="H60" s="534">
        <f>AVERAGE(H61:H62)</f>
        <v>800</v>
      </c>
      <c r="I60" s="534">
        <f>AVERAGE(I61:I62)</f>
        <v>890</v>
      </c>
      <c r="J60" s="600">
        <f t="shared" ref="J60:J61" si="7">((I60/H60) -      1)*100</f>
        <v>11.250000000000004</v>
      </c>
    </row>
    <row r="61" spans="1:10" ht="12.95" customHeight="1" x14ac:dyDescent="0.2">
      <c r="A61" s="566" t="s">
        <v>424</v>
      </c>
      <c r="B61" s="599" t="s">
        <v>496</v>
      </c>
      <c r="C61" s="599" t="s">
        <v>496</v>
      </c>
      <c r="D61" s="373" t="s">
        <v>410</v>
      </c>
      <c r="E61" s="401" t="s">
        <v>423</v>
      </c>
      <c r="F61" s="519">
        <v>3400</v>
      </c>
      <c r="G61" s="373" t="s">
        <v>410</v>
      </c>
      <c r="H61" s="521">
        <v>800</v>
      </c>
      <c r="I61" s="521">
        <v>890</v>
      </c>
      <c r="J61" s="1">
        <f t="shared" si="7"/>
        <v>11.250000000000004</v>
      </c>
    </row>
    <row r="62" spans="1:10" ht="12.95" customHeight="1" x14ac:dyDescent="0.2">
      <c r="A62" s="566" t="s">
        <v>413</v>
      </c>
      <c r="B62" s="592">
        <v>3000</v>
      </c>
      <c r="C62" s="592">
        <v>3080</v>
      </c>
      <c r="D62" s="373">
        <f>((C62/B62) -      1)*100</f>
        <v>2.6666666666666616</v>
      </c>
      <c r="E62" s="401" t="s">
        <v>423</v>
      </c>
      <c r="F62" s="521" t="s">
        <v>423</v>
      </c>
      <c r="G62" s="373" t="s">
        <v>410</v>
      </c>
      <c r="H62" s="371" t="s">
        <v>409</v>
      </c>
      <c r="I62" s="371" t="s">
        <v>409</v>
      </c>
      <c r="J62" s="1" t="s">
        <v>410</v>
      </c>
    </row>
    <row r="63" spans="1:10" ht="12.95" customHeight="1" x14ac:dyDescent="0.2">
      <c r="A63" s="570" t="s">
        <v>414</v>
      </c>
      <c r="B63" s="514">
        <f t="shared" ref="B63:C63" si="8">AVERAGE(B64:B75)</f>
        <v>3020.8833333333332</v>
      </c>
      <c r="C63" s="514">
        <f t="shared" si="8"/>
        <v>3180.5333333333328</v>
      </c>
      <c r="D63" s="376">
        <f t="shared" ref="D63:D70" si="9">((C63/B63)  -           1)*100</f>
        <v>5.2848780433979003</v>
      </c>
      <c r="E63" s="402" t="s">
        <v>423</v>
      </c>
      <c r="F63" s="522">
        <f>AVERAGE(F64:F75)</f>
        <v>3315</v>
      </c>
      <c r="G63" s="376" t="s">
        <v>49</v>
      </c>
      <c r="H63" s="597">
        <f t="shared" ref="H63:I63" si="10">AVERAGE(H64:H75)</f>
        <v>1300</v>
      </c>
      <c r="I63" s="597">
        <f t="shared" si="10"/>
        <v>1300</v>
      </c>
      <c r="J63" s="376">
        <f>((I63/H63)  -           1)*100</f>
        <v>0</v>
      </c>
    </row>
    <row r="64" spans="1:10" ht="12.95" customHeight="1" x14ac:dyDescent="0.2">
      <c r="A64" s="566" t="s">
        <v>28</v>
      </c>
      <c r="B64" s="592">
        <v>2866.6</v>
      </c>
      <c r="C64" s="592">
        <v>3206.6</v>
      </c>
      <c r="D64" s="373">
        <f t="shared" si="9"/>
        <v>11.860740947463899</v>
      </c>
      <c r="E64" s="401" t="s">
        <v>423</v>
      </c>
      <c r="F64" s="519">
        <v>3180</v>
      </c>
      <c r="G64" s="373" t="s">
        <v>49</v>
      </c>
      <c r="H64" s="401" t="s">
        <v>423</v>
      </c>
      <c r="I64" s="371" t="s">
        <v>409</v>
      </c>
      <c r="J64" s="373" t="s">
        <v>49</v>
      </c>
    </row>
    <row r="65" spans="1:10" ht="12.95" customHeight="1" x14ac:dyDescent="0.2">
      <c r="A65" s="566" t="s">
        <v>82</v>
      </c>
      <c r="B65" s="592">
        <v>3200</v>
      </c>
      <c r="C65" s="592">
        <v>3130</v>
      </c>
      <c r="D65" s="373">
        <f t="shared" si="9"/>
        <v>-2.1874999999999978</v>
      </c>
      <c r="E65" s="401" t="s">
        <v>423</v>
      </c>
      <c r="F65" s="521" t="s">
        <v>423</v>
      </c>
      <c r="G65" s="373" t="s">
        <v>49</v>
      </c>
      <c r="H65" s="401" t="s">
        <v>423</v>
      </c>
      <c r="I65" s="371" t="s">
        <v>409</v>
      </c>
      <c r="J65" s="580" t="s">
        <v>410</v>
      </c>
    </row>
    <row r="66" spans="1:10" ht="12.95" customHeight="1" x14ac:dyDescent="0.2">
      <c r="A66" s="566" t="s">
        <v>29</v>
      </c>
      <c r="B66" s="592">
        <v>2890</v>
      </c>
      <c r="C66" s="592">
        <v>3126.6</v>
      </c>
      <c r="D66" s="373">
        <f t="shared" si="9"/>
        <v>8.1868512110726535</v>
      </c>
      <c r="E66" s="401" t="s">
        <v>423</v>
      </c>
      <c r="F66" s="521" t="s">
        <v>423</v>
      </c>
      <c r="G66" s="373" t="s">
        <v>49</v>
      </c>
      <c r="H66" s="401" t="s">
        <v>423</v>
      </c>
      <c r="I66" s="371" t="s">
        <v>409</v>
      </c>
      <c r="J66" s="373" t="s">
        <v>49</v>
      </c>
    </row>
    <row r="67" spans="1:10" ht="12.95" customHeight="1" x14ac:dyDescent="0.2">
      <c r="A67" s="566" t="s">
        <v>30</v>
      </c>
      <c r="B67" s="592">
        <v>3370</v>
      </c>
      <c r="C67" s="592">
        <v>3250</v>
      </c>
      <c r="D67" s="373">
        <f t="shared" si="9"/>
        <v>-3.5608308605341255</v>
      </c>
      <c r="E67" s="521" t="s">
        <v>423</v>
      </c>
      <c r="F67" s="521" t="s">
        <v>423</v>
      </c>
      <c r="G67" s="373" t="s">
        <v>49</v>
      </c>
      <c r="H67" s="401" t="s">
        <v>423</v>
      </c>
      <c r="I67" s="371" t="s">
        <v>409</v>
      </c>
      <c r="J67" s="373" t="s">
        <v>49</v>
      </c>
    </row>
    <row r="68" spans="1:10" ht="12.95" customHeight="1" x14ac:dyDescent="0.2">
      <c r="A68" s="566" t="s">
        <v>64</v>
      </c>
      <c r="B68" s="592">
        <v>2980</v>
      </c>
      <c r="C68" s="592">
        <v>2900</v>
      </c>
      <c r="D68" s="373">
        <f t="shared" si="9"/>
        <v>-2.6845637583892579</v>
      </c>
      <c r="E68" s="401" t="s">
        <v>423</v>
      </c>
      <c r="F68" s="521" t="s">
        <v>423</v>
      </c>
      <c r="G68" s="373" t="s">
        <v>49</v>
      </c>
      <c r="H68" s="401" t="s">
        <v>423</v>
      </c>
      <c r="I68" s="371" t="s">
        <v>409</v>
      </c>
      <c r="J68" s="580" t="s">
        <v>410</v>
      </c>
    </row>
    <row r="69" spans="1:10" ht="12.95" customHeight="1" x14ac:dyDescent="0.2">
      <c r="A69" s="566" t="s">
        <v>31</v>
      </c>
      <c r="B69" s="592">
        <v>2880</v>
      </c>
      <c r="C69" s="592">
        <v>3266.6</v>
      </c>
      <c r="D69" s="373">
        <f t="shared" si="9"/>
        <v>13.4236111111111</v>
      </c>
      <c r="E69" s="401" t="s">
        <v>423</v>
      </c>
      <c r="F69" s="521" t="s">
        <v>423</v>
      </c>
      <c r="G69" s="373" t="s">
        <v>49</v>
      </c>
      <c r="H69" s="401" t="s">
        <v>423</v>
      </c>
      <c r="I69" s="371" t="s">
        <v>409</v>
      </c>
      <c r="J69" s="580" t="s">
        <v>410</v>
      </c>
    </row>
    <row r="70" spans="1:10" ht="12.95" customHeight="1" x14ac:dyDescent="0.2">
      <c r="A70" s="566" t="s">
        <v>54</v>
      </c>
      <c r="B70" s="592">
        <v>2846.6</v>
      </c>
      <c r="C70" s="592">
        <v>3026.6</v>
      </c>
      <c r="D70" s="373">
        <f t="shared" si="9"/>
        <v>6.3233330991358194</v>
      </c>
      <c r="E70" s="401" t="s">
        <v>423</v>
      </c>
      <c r="F70" s="521" t="s">
        <v>423</v>
      </c>
      <c r="G70" s="373" t="s">
        <v>49</v>
      </c>
      <c r="H70" s="401" t="s">
        <v>423</v>
      </c>
      <c r="I70" s="371" t="s">
        <v>409</v>
      </c>
      <c r="J70" s="580" t="s">
        <v>410</v>
      </c>
    </row>
    <row r="71" spans="1:10" ht="12.95" customHeight="1" x14ac:dyDescent="0.2">
      <c r="A71" s="566" t="s">
        <v>83</v>
      </c>
      <c r="B71" s="592">
        <v>3300</v>
      </c>
      <c r="C71" s="592">
        <v>3750</v>
      </c>
      <c r="D71" s="577">
        <f>((C71/B71)  -           1)*100</f>
        <v>13.636363636363647</v>
      </c>
      <c r="E71" s="401" t="s">
        <v>423</v>
      </c>
      <c r="F71" s="519">
        <v>3450</v>
      </c>
      <c r="G71" s="373" t="s">
        <v>49</v>
      </c>
      <c r="H71" s="401" t="s">
        <v>423</v>
      </c>
      <c r="I71" s="371" t="s">
        <v>409</v>
      </c>
      <c r="J71" s="580" t="s">
        <v>410</v>
      </c>
    </row>
    <row r="72" spans="1:10" ht="12.95" customHeight="1" x14ac:dyDescent="0.2">
      <c r="A72" s="566" t="s">
        <v>32</v>
      </c>
      <c r="B72" s="592">
        <v>2913.4</v>
      </c>
      <c r="C72" s="592">
        <v>3175</v>
      </c>
      <c r="D72" s="577">
        <f>((C72/B72)  -           1)*100</f>
        <v>8.9791995606507857</v>
      </c>
      <c r="E72" s="401" t="s">
        <v>423</v>
      </c>
      <c r="F72" s="521" t="s">
        <v>423</v>
      </c>
      <c r="G72" s="373" t="s">
        <v>49</v>
      </c>
      <c r="H72" s="401" t="s">
        <v>423</v>
      </c>
      <c r="I72" s="371" t="s">
        <v>409</v>
      </c>
      <c r="J72" s="580" t="s">
        <v>410</v>
      </c>
    </row>
    <row r="73" spans="1:10" ht="12.95" customHeight="1" x14ac:dyDescent="0.2">
      <c r="A73" s="566" t="s">
        <v>33</v>
      </c>
      <c r="B73" s="592">
        <v>3180</v>
      </c>
      <c r="C73" s="592">
        <v>3000</v>
      </c>
      <c r="D73" s="577">
        <f>((C73/B73)  -           1)*100</f>
        <v>-5.6603773584905648</v>
      </c>
      <c r="E73" s="401" t="s">
        <v>423</v>
      </c>
      <c r="F73" s="521" t="s">
        <v>423</v>
      </c>
      <c r="G73" s="373" t="s">
        <v>49</v>
      </c>
      <c r="H73" s="401" t="s">
        <v>423</v>
      </c>
      <c r="I73" s="371" t="s">
        <v>409</v>
      </c>
      <c r="J73" s="580" t="s">
        <v>410</v>
      </c>
    </row>
    <row r="74" spans="1:10" ht="12.95" customHeight="1" x14ac:dyDescent="0.2">
      <c r="A74" s="566" t="s">
        <v>34</v>
      </c>
      <c r="B74" s="592">
        <v>2904</v>
      </c>
      <c r="C74" s="592">
        <v>3275</v>
      </c>
      <c r="D74" s="577">
        <f>((C74/B74)  -           1)*100</f>
        <v>12.775482093663904</v>
      </c>
      <c r="E74" s="401" t="s">
        <v>423</v>
      </c>
      <c r="F74" s="521" t="s">
        <v>423</v>
      </c>
      <c r="G74" s="373" t="s">
        <v>49</v>
      </c>
      <c r="H74" s="592">
        <v>1300</v>
      </c>
      <c r="I74" s="592">
        <v>1300</v>
      </c>
      <c r="J74" s="580">
        <f>((I74/H74)  -           1)*100</f>
        <v>0</v>
      </c>
    </row>
    <row r="75" spans="1:10" ht="12.95" customHeight="1" x14ac:dyDescent="0.2">
      <c r="A75" s="566" t="s">
        <v>66</v>
      </c>
      <c r="B75" s="592">
        <v>2920</v>
      </c>
      <c r="C75" s="592">
        <v>3060</v>
      </c>
      <c r="D75" s="577">
        <f>((C75/B75)  -           1)*100</f>
        <v>4.7945205479452024</v>
      </c>
      <c r="E75" s="401" t="s">
        <v>423</v>
      </c>
      <c r="F75" s="521" t="s">
        <v>423</v>
      </c>
      <c r="G75" s="373" t="s">
        <v>49</v>
      </c>
      <c r="H75" s="401" t="s">
        <v>423</v>
      </c>
      <c r="I75" s="371" t="s">
        <v>409</v>
      </c>
      <c r="J75" s="580" t="s">
        <v>410</v>
      </c>
    </row>
    <row r="76" spans="1:10" ht="12.95" customHeight="1" x14ac:dyDescent="0.2">
      <c r="A76" s="568" t="s">
        <v>35</v>
      </c>
      <c r="B76" s="514">
        <f>AVERAGE(B77:B79)</f>
        <v>3086.6666666666665</v>
      </c>
      <c r="C76" s="514">
        <f>AVERAGE(C77:C79)</f>
        <v>3236.6666666666665</v>
      </c>
      <c r="D76" s="600">
        <f>((C76/B76) -     1)*100</f>
        <v>4.8596112311015016</v>
      </c>
      <c r="E76" s="522">
        <f>AVERAGE(E77:E79)</f>
        <v>3111.6666666666665</v>
      </c>
      <c r="F76" s="522">
        <f>AVERAGE(F77:F79)</f>
        <v>2931.6666666666665</v>
      </c>
      <c r="G76" s="376">
        <f>((F76/E76) -     1)*100</f>
        <v>-5.7846813069094782</v>
      </c>
      <c r="H76" s="402" t="s">
        <v>423</v>
      </c>
      <c r="I76" s="374" t="s">
        <v>409</v>
      </c>
      <c r="J76" s="600" t="s">
        <v>410</v>
      </c>
    </row>
    <row r="77" spans="1:10" ht="12.95" customHeight="1" x14ac:dyDescent="0.2">
      <c r="A77" s="566" t="s">
        <v>36</v>
      </c>
      <c r="B77" s="592">
        <v>2965</v>
      </c>
      <c r="C77" s="592">
        <v>3190</v>
      </c>
      <c r="D77" s="580">
        <f>((C77/B77) -     1)*100</f>
        <v>7.5885328836424959</v>
      </c>
      <c r="E77" s="519">
        <v>2980</v>
      </c>
      <c r="F77" s="519">
        <v>2890</v>
      </c>
      <c r="G77" s="373">
        <f>((F77/E77) -     1)*100</f>
        <v>-3.0201342281879207</v>
      </c>
      <c r="H77" s="401" t="s">
        <v>423</v>
      </c>
      <c r="I77" s="371" t="s">
        <v>409</v>
      </c>
      <c r="J77" s="580" t="s">
        <v>410</v>
      </c>
    </row>
    <row r="78" spans="1:10" ht="12.95" customHeight="1" x14ac:dyDescent="0.2">
      <c r="A78" s="566" t="s">
        <v>37</v>
      </c>
      <c r="B78" s="592">
        <v>3215</v>
      </c>
      <c r="C78" s="592">
        <v>3310</v>
      </c>
      <c r="D78" s="580">
        <f>((C78/B78) -     1)*100</f>
        <v>2.9548989113530322</v>
      </c>
      <c r="E78" s="519">
        <v>3245</v>
      </c>
      <c r="F78" s="519">
        <v>2995</v>
      </c>
      <c r="G78" s="373">
        <f>((F78/E78) -     1)*100</f>
        <v>-7.7041602465331316</v>
      </c>
      <c r="H78" s="401" t="s">
        <v>423</v>
      </c>
      <c r="I78" s="371" t="s">
        <v>409</v>
      </c>
      <c r="J78" s="580" t="s">
        <v>410</v>
      </c>
    </row>
    <row r="79" spans="1:10" ht="12.95" customHeight="1" x14ac:dyDescent="0.2">
      <c r="A79" s="566" t="s">
        <v>38</v>
      </c>
      <c r="B79" s="592">
        <v>3080</v>
      </c>
      <c r="C79" s="592">
        <v>3210</v>
      </c>
      <c r="D79" s="580">
        <f>((C79/B79) -     1)*100</f>
        <v>4.2207792207792139</v>
      </c>
      <c r="E79" s="519">
        <v>3110</v>
      </c>
      <c r="F79" s="519">
        <v>2910</v>
      </c>
      <c r="G79" s="373">
        <f t="shared" ref="G79:G80" si="11">((F79/E79) -     1)*100</f>
        <v>-6.4308681672025747</v>
      </c>
      <c r="H79" s="401" t="s">
        <v>423</v>
      </c>
      <c r="I79" s="371" t="s">
        <v>409</v>
      </c>
      <c r="J79" s="580" t="s">
        <v>410</v>
      </c>
    </row>
    <row r="80" spans="1:10" ht="12.95" customHeight="1" x14ac:dyDescent="0.2">
      <c r="A80" s="568" t="s">
        <v>189</v>
      </c>
      <c r="B80" s="514">
        <v>3251.6</v>
      </c>
      <c r="C80" s="514">
        <v>3210</v>
      </c>
      <c r="D80" s="600">
        <f>((C80/B80) -     1)*100</f>
        <v>-1.2793701562307747</v>
      </c>
      <c r="E80" s="522">
        <v>2937.6</v>
      </c>
      <c r="F80" s="522">
        <v>2410</v>
      </c>
      <c r="G80" s="376">
        <f t="shared" si="11"/>
        <v>-17.960239651416121</v>
      </c>
      <c r="H80" s="514">
        <v>1800</v>
      </c>
      <c r="I80" s="514">
        <v>2000</v>
      </c>
      <c r="J80" s="600">
        <f>((I80/H80) -     1)*100</f>
        <v>11.111111111111116</v>
      </c>
    </row>
    <row r="81" spans="1:10" ht="12.95" customHeight="1" x14ac:dyDescent="0.2">
      <c r="A81" s="568" t="s">
        <v>194</v>
      </c>
      <c r="B81" s="514">
        <f>AVERAGE(B82:B83)</f>
        <v>3273.3</v>
      </c>
      <c r="C81" s="514">
        <f>AVERAGE(C82:C83)</f>
        <v>3466.7</v>
      </c>
      <c r="D81" s="576">
        <f t="shared" ref="D81:D83" si="12">((C81/B81) -     1)*100</f>
        <v>5.9084104726117248</v>
      </c>
      <c r="E81" s="522">
        <f>AVERAGE(E82:E83)</f>
        <v>2480</v>
      </c>
      <c r="F81" s="522">
        <f>AVERAGE(F82:F83)</f>
        <v>2500</v>
      </c>
      <c r="G81" s="376" t="s">
        <v>49</v>
      </c>
      <c r="H81" s="402" t="s">
        <v>423</v>
      </c>
      <c r="I81" s="514">
        <f>AVERAGE(I82:I83)</f>
        <v>1200</v>
      </c>
      <c r="J81" s="600" t="s">
        <v>410</v>
      </c>
    </row>
    <row r="82" spans="1:10" ht="12.95" customHeight="1" x14ac:dyDescent="0.2">
      <c r="A82" s="566" t="s">
        <v>196</v>
      </c>
      <c r="B82" s="592">
        <v>3500</v>
      </c>
      <c r="C82" s="592">
        <v>3500</v>
      </c>
      <c r="D82" s="577">
        <f>((C82/B82) -     1)*100</f>
        <v>0</v>
      </c>
      <c r="E82" s="401" t="s">
        <v>423</v>
      </c>
      <c r="F82" s="521" t="s">
        <v>423</v>
      </c>
      <c r="G82" s="373" t="s">
        <v>49</v>
      </c>
      <c r="H82" s="401" t="s">
        <v>423</v>
      </c>
      <c r="I82" s="371" t="s">
        <v>409</v>
      </c>
      <c r="J82" s="580" t="s">
        <v>410</v>
      </c>
    </row>
    <row r="83" spans="1:10" ht="12.95" customHeight="1" x14ac:dyDescent="0.2">
      <c r="A83" s="566" t="s">
        <v>197</v>
      </c>
      <c r="B83" s="592">
        <v>3046.6</v>
      </c>
      <c r="C83" s="592">
        <v>3433.4</v>
      </c>
      <c r="D83" s="577">
        <f t="shared" si="12"/>
        <v>12.696120265213695</v>
      </c>
      <c r="E83" s="519">
        <v>2480</v>
      </c>
      <c r="F83" s="519">
        <v>2500</v>
      </c>
      <c r="G83" s="373" t="s">
        <v>49</v>
      </c>
      <c r="H83" s="401" t="s">
        <v>423</v>
      </c>
      <c r="I83" s="592">
        <v>1200</v>
      </c>
      <c r="J83" s="580" t="s">
        <v>410</v>
      </c>
    </row>
    <row r="84" spans="1:10" ht="12.95" customHeight="1" x14ac:dyDescent="0.2">
      <c r="A84" s="568" t="s">
        <v>39</v>
      </c>
      <c r="B84" s="514">
        <f>AVERAGE(B85:B87)</f>
        <v>3365</v>
      </c>
      <c r="C84" s="514">
        <f>AVERAGE(C85:C87)</f>
        <v>3257.2000000000003</v>
      </c>
      <c r="D84" s="600">
        <f t="shared" ref="D84:D102" si="13">((C84/B84)  -           1)*100</f>
        <v>-3.2035661218424827</v>
      </c>
      <c r="E84" s="522">
        <f>AVERAGE(E85:E87)</f>
        <v>2826.6666666666665</v>
      </c>
      <c r="F84" s="522">
        <f>AVERAGE(F85:F87)</f>
        <v>2934.7999999999997</v>
      </c>
      <c r="G84" s="376">
        <f>((F84/E84)  -           1)*100</f>
        <v>3.8254716981132031</v>
      </c>
      <c r="H84" s="514">
        <f>AVERAGE(H85:H87)</f>
        <v>900</v>
      </c>
      <c r="I84" s="514">
        <f>AVERAGE(I85:I87)</f>
        <v>864</v>
      </c>
      <c r="J84" s="576">
        <f>((I84/H84)  -           1)*100</f>
        <v>-4.0000000000000036</v>
      </c>
    </row>
    <row r="85" spans="1:10" ht="12.95" customHeight="1" x14ac:dyDescent="0.2">
      <c r="A85" s="566" t="s">
        <v>40</v>
      </c>
      <c r="B85" s="592">
        <v>3750</v>
      </c>
      <c r="C85" s="592">
        <v>3303.6</v>
      </c>
      <c r="D85" s="580">
        <f t="shared" si="13"/>
        <v>-11.904000000000003</v>
      </c>
      <c r="E85" s="519">
        <v>2840</v>
      </c>
      <c r="F85" s="519">
        <v>3000</v>
      </c>
      <c r="G85" s="373">
        <f>((F85/E85)  -           1)*100</f>
        <v>5.6338028169014009</v>
      </c>
      <c r="H85" s="592">
        <v>900</v>
      </c>
      <c r="I85" s="592">
        <v>864</v>
      </c>
      <c r="J85" s="580">
        <f>((I85/H85)  -           1)*100</f>
        <v>-4.0000000000000036</v>
      </c>
    </row>
    <row r="86" spans="1:10" ht="12.95" customHeight="1" x14ac:dyDescent="0.2">
      <c r="A86" s="566" t="s">
        <v>415</v>
      </c>
      <c r="B86" s="592">
        <v>3000</v>
      </c>
      <c r="C86" s="592">
        <v>3200</v>
      </c>
      <c r="D86" s="580">
        <f t="shared" si="13"/>
        <v>6.6666666666666652</v>
      </c>
      <c r="E86" s="519">
        <v>2500</v>
      </c>
      <c r="F86" s="519">
        <v>2700</v>
      </c>
      <c r="G86" s="373">
        <f>((F86/E86)  -           1)*100</f>
        <v>8.0000000000000071</v>
      </c>
      <c r="H86" s="401" t="s">
        <v>423</v>
      </c>
      <c r="I86" s="371" t="s">
        <v>409</v>
      </c>
      <c r="J86" s="580" t="s">
        <v>410</v>
      </c>
    </row>
    <row r="87" spans="1:10" ht="12.95" customHeight="1" x14ac:dyDescent="0.2">
      <c r="A87" s="566" t="s">
        <v>41</v>
      </c>
      <c r="B87" s="592">
        <v>3345</v>
      </c>
      <c r="C87" s="592">
        <v>3268</v>
      </c>
      <c r="D87" s="580">
        <f t="shared" si="13"/>
        <v>-2.3019431988041905</v>
      </c>
      <c r="E87" s="519">
        <v>3140</v>
      </c>
      <c r="F87" s="519">
        <v>3104.4</v>
      </c>
      <c r="G87" s="373">
        <f>((F87/E87)  -           1)*100</f>
        <v>-1.1337579617834326</v>
      </c>
      <c r="H87" s="401" t="s">
        <v>423</v>
      </c>
      <c r="I87" s="371" t="s">
        <v>409</v>
      </c>
      <c r="J87" s="580" t="s">
        <v>410</v>
      </c>
    </row>
    <row r="88" spans="1:10" ht="12.95" customHeight="1" x14ac:dyDescent="0.2">
      <c r="A88" s="570" t="s">
        <v>42</v>
      </c>
      <c r="B88" s="514">
        <f>AVERAGE(B89:B90)</f>
        <v>3566.7</v>
      </c>
      <c r="C88" s="514">
        <f>AVERAGE(C89:C90)</f>
        <v>3090</v>
      </c>
      <c r="D88" s="600">
        <f t="shared" si="13"/>
        <v>-13.36529565144251</v>
      </c>
      <c r="E88" s="402" t="s">
        <v>423</v>
      </c>
      <c r="F88" s="534" t="s">
        <v>423</v>
      </c>
      <c r="G88" s="376" t="s">
        <v>49</v>
      </c>
      <c r="H88" s="402" t="s">
        <v>423</v>
      </c>
      <c r="I88" s="374" t="s">
        <v>409</v>
      </c>
      <c r="J88" s="600" t="s">
        <v>410</v>
      </c>
    </row>
    <row r="89" spans="1:10" ht="12.95" customHeight="1" x14ac:dyDescent="0.2">
      <c r="A89" s="566" t="s">
        <v>44</v>
      </c>
      <c r="B89" s="592">
        <v>4133.3999999999996</v>
      </c>
      <c r="C89" s="592">
        <v>3200</v>
      </c>
      <c r="D89" s="580">
        <f t="shared" si="13"/>
        <v>-22.58189384042192</v>
      </c>
      <c r="E89" s="401" t="s">
        <v>423</v>
      </c>
      <c r="F89" s="521" t="s">
        <v>423</v>
      </c>
      <c r="G89" s="373" t="s">
        <v>49</v>
      </c>
      <c r="H89" s="401" t="s">
        <v>423</v>
      </c>
      <c r="I89" s="371" t="s">
        <v>409</v>
      </c>
      <c r="J89" s="580" t="s">
        <v>410</v>
      </c>
    </row>
    <row r="90" spans="1:10" ht="12.95" customHeight="1" x14ac:dyDescent="0.2">
      <c r="A90" s="566" t="s">
        <v>427</v>
      </c>
      <c r="B90" s="592">
        <v>3000</v>
      </c>
      <c r="C90" s="592">
        <v>2980</v>
      </c>
      <c r="D90" s="580">
        <f t="shared" si="13"/>
        <v>-0.66666666666667096</v>
      </c>
      <c r="E90" s="521" t="s">
        <v>423</v>
      </c>
      <c r="F90" s="521" t="s">
        <v>423</v>
      </c>
      <c r="G90" s="373" t="s">
        <v>49</v>
      </c>
      <c r="H90" s="401" t="s">
        <v>423</v>
      </c>
      <c r="I90" s="371" t="s">
        <v>409</v>
      </c>
      <c r="J90" s="580" t="s">
        <v>410</v>
      </c>
    </row>
    <row r="91" spans="1:10" ht="12.95" customHeight="1" x14ac:dyDescent="0.2">
      <c r="A91" s="421" t="s">
        <v>198</v>
      </c>
      <c r="B91" s="447" t="s">
        <v>423</v>
      </c>
      <c r="C91" s="514">
        <f>AVERAGE(C92:C94)</f>
        <v>3162.6666666666665</v>
      </c>
      <c r="D91" s="453" t="s">
        <v>49</v>
      </c>
      <c r="E91" s="447" t="s">
        <v>423</v>
      </c>
      <c r="F91" s="522">
        <f>AVERAGE(F92:F94)</f>
        <v>2567</v>
      </c>
      <c r="G91" s="453" t="s">
        <v>49</v>
      </c>
      <c r="H91" s="402" t="s">
        <v>423</v>
      </c>
      <c r="I91" s="436">
        <f>AVERAGE(I92:I94)</f>
        <v>1285</v>
      </c>
      <c r="J91" s="600" t="s">
        <v>410</v>
      </c>
    </row>
    <row r="92" spans="1:10" ht="12.95" customHeight="1" x14ac:dyDescent="0.25">
      <c r="A92" s="370" t="s">
        <v>65</v>
      </c>
      <c r="B92" s="439" t="s">
        <v>423</v>
      </c>
      <c r="C92" s="592">
        <v>3320</v>
      </c>
      <c r="D92" s="440" t="s">
        <v>49</v>
      </c>
      <c r="E92" s="439" t="s">
        <v>423</v>
      </c>
      <c r="F92" s="439" t="s">
        <v>423</v>
      </c>
      <c r="G92" s="440" t="s">
        <v>49</v>
      </c>
      <c r="H92" s="401" t="s">
        <v>423</v>
      </c>
      <c r="I92" s="526">
        <v>1270</v>
      </c>
      <c r="J92" s="580" t="s">
        <v>410</v>
      </c>
    </row>
    <row r="93" spans="1:10" ht="12.95" customHeight="1" x14ac:dyDescent="0.25">
      <c r="A93" s="370" t="s">
        <v>201</v>
      </c>
      <c r="B93" s="439" t="s">
        <v>423</v>
      </c>
      <c r="C93" s="592">
        <v>3035</v>
      </c>
      <c r="D93" s="440" t="s">
        <v>49</v>
      </c>
      <c r="E93" s="439" t="s">
        <v>423</v>
      </c>
      <c r="F93" s="439" t="s">
        <v>423</v>
      </c>
      <c r="G93" s="440" t="s">
        <v>49</v>
      </c>
      <c r="H93" s="401" t="s">
        <v>423</v>
      </c>
      <c r="I93" s="526">
        <v>1300</v>
      </c>
      <c r="J93" s="580" t="s">
        <v>410</v>
      </c>
    </row>
    <row r="94" spans="1:10" ht="12.95" customHeight="1" x14ac:dyDescent="0.2">
      <c r="A94" s="370" t="s">
        <v>199</v>
      </c>
      <c r="B94" s="439" t="s">
        <v>423</v>
      </c>
      <c r="C94" s="592">
        <v>3133</v>
      </c>
      <c r="D94" s="440" t="s">
        <v>49</v>
      </c>
      <c r="E94" s="439" t="s">
        <v>423</v>
      </c>
      <c r="F94" s="519">
        <v>2567</v>
      </c>
      <c r="G94" s="440" t="s">
        <v>49</v>
      </c>
      <c r="H94" s="401" t="s">
        <v>423</v>
      </c>
      <c r="I94" s="371" t="s">
        <v>409</v>
      </c>
      <c r="J94" s="580" t="s">
        <v>410</v>
      </c>
    </row>
    <row r="95" spans="1:10" ht="12.95" customHeight="1" x14ac:dyDescent="0.2">
      <c r="A95" s="570" t="s">
        <v>84</v>
      </c>
      <c r="B95" s="514">
        <f>AVERAGE(B96:B97)</f>
        <v>3081.7</v>
      </c>
      <c r="C95" s="514">
        <f>AVERAGE(C96:C97)</f>
        <v>3345</v>
      </c>
      <c r="D95" s="600">
        <f t="shared" si="13"/>
        <v>8.5439854625693599</v>
      </c>
      <c r="E95" s="534" t="s">
        <v>423</v>
      </c>
      <c r="F95" s="534" t="s">
        <v>423</v>
      </c>
      <c r="G95" s="376" t="s">
        <v>49</v>
      </c>
      <c r="H95" s="402" t="s">
        <v>423</v>
      </c>
      <c r="I95" s="436">
        <f>AVERAGE(I96:I97)</f>
        <v>635</v>
      </c>
      <c r="J95" s="600" t="s">
        <v>410</v>
      </c>
    </row>
    <row r="96" spans="1:10" ht="12.95" customHeight="1" x14ac:dyDescent="0.25">
      <c r="A96" s="566" t="s">
        <v>499</v>
      </c>
      <c r="B96" s="592">
        <v>3130</v>
      </c>
      <c r="C96" s="592">
        <v>3340</v>
      </c>
      <c r="D96" s="580">
        <f t="shared" si="13"/>
        <v>6.7092651757188593</v>
      </c>
      <c r="E96" s="401" t="s">
        <v>423</v>
      </c>
      <c r="F96" s="521" t="s">
        <v>423</v>
      </c>
      <c r="G96" s="373" t="s">
        <v>49</v>
      </c>
      <c r="H96" s="401" t="s">
        <v>423</v>
      </c>
      <c r="I96" s="526">
        <v>650</v>
      </c>
      <c r="J96" s="580" t="s">
        <v>410</v>
      </c>
    </row>
    <row r="97" spans="1:10" ht="12.95" customHeight="1" x14ac:dyDescent="0.25">
      <c r="A97" s="566" t="s">
        <v>60</v>
      </c>
      <c r="B97" s="592">
        <v>3033.4</v>
      </c>
      <c r="C97" s="592">
        <v>3350</v>
      </c>
      <c r="D97" s="580">
        <f t="shared" si="13"/>
        <v>10.437133249818675</v>
      </c>
      <c r="E97" s="401" t="s">
        <v>423</v>
      </c>
      <c r="F97" s="521" t="s">
        <v>423</v>
      </c>
      <c r="G97" s="373" t="s">
        <v>49</v>
      </c>
      <c r="H97" s="401" t="s">
        <v>423</v>
      </c>
      <c r="I97" s="526">
        <v>620</v>
      </c>
      <c r="J97" s="580" t="s">
        <v>410</v>
      </c>
    </row>
    <row r="98" spans="1:10" ht="12.95" customHeight="1" x14ac:dyDescent="0.2">
      <c r="A98" s="565" t="s">
        <v>89</v>
      </c>
      <c r="B98" s="514">
        <f>AVERAGE(B100:B100)</f>
        <v>3067</v>
      </c>
      <c r="C98" s="514">
        <f>AVERAGE(C99:C101)</f>
        <v>3040</v>
      </c>
      <c r="D98" s="376">
        <f t="shared" si="13"/>
        <v>-0.88033909357678741</v>
      </c>
      <c r="E98" s="402" t="s">
        <v>423</v>
      </c>
      <c r="F98" s="534">
        <f>AVERAGE(F99:F101)</f>
        <v>2900</v>
      </c>
      <c r="G98" s="376" t="s">
        <v>49</v>
      </c>
      <c r="H98" s="402" t="s">
        <v>423</v>
      </c>
      <c r="I98" s="374" t="s">
        <v>409</v>
      </c>
      <c r="J98" s="600" t="s">
        <v>410</v>
      </c>
    </row>
    <row r="99" spans="1:10" ht="12.95" customHeight="1" x14ac:dyDescent="0.2">
      <c r="A99" s="566" t="s">
        <v>466</v>
      </c>
      <c r="B99" s="439" t="s">
        <v>423</v>
      </c>
      <c r="C99" s="592">
        <v>3120</v>
      </c>
      <c r="D99" s="373" t="s">
        <v>410</v>
      </c>
      <c r="E99" s="401" t="s">
        <v>423</v>
      </c>
      <c r="F99" s="521" t="s">
        <v>423</v>
      </c>
      <c r="G99" s="373" t="s">
        <v>410</v>
      </c>
      <c r="H99" s="401" t="s">
        <v>423</v>
      </c>
      <c r="I99" s="371" t="s">
        <v>409</v>
      </c>
      <c r="J99" s="580" t="s">
        <v>410</v>
      </c>
    </row>
    <row r="100" spans="1:10" ht="12.95" customHeight="1" x14ac:dyDescent="0.2">
      <c r="A100" s="566" t="s">
        <v>90</v>
      </c>
      <c r="B100" s="592">
        <v>3067</v>
      </c>
      <c r="C100" s="592">
        <v>3100</v>
      </c>
      <c r="D100" s="373">
        <f t="shared" si="13"/>
        <v>1.0759700032605179</v>
      </c>
      <c r="E100" s="401" t="s">
        <v>423</v>
      </c>
      <c r="F100" s="521" t="s">
        <v>423</v>
      </c>
      <c r="G100" s="373" t="s">
        <v>49</v>
      </c>
      <c r="H100" s="401" t="s">
        <v>423</v>
      </c>
      <c r="I100" s="371" t="s">
        <v>409</v>
      </c>
      <c r="J100" s="580" t="s">
        <v>410</v>
      </c>
    </row>
    <row r="101" spans="1:10" ht="12.95" customHeight="1" x14ac:dyDescent="0.2">
      <c r="A101" s="566" t="s">
        <v>546</v>
      </c>
      <c r="B101" s="439" t="s">
        <v>423</v>
      </c>
      <c r="C101" s="592">
        <v>2900</v>
      </c>
      <c r="D101" s="567" t="s">
        <v>410</v>
      </c>
      <c r="E101" s="401" t="s">
        <v>423</v>
      </c>
      <c r="F101" s="521">
        <v>2900</v>
      </c>
      <c r="G101" s="373" t="s">
        <v>410</v>
      </c>
      <c r="H101" s="401" t="s">
        <v>423</v>
      </c>
      <c r="I101" s="371" t="s">
        <v>409</v>
      </c>
      <c r="J101" s="1" t="s">
        <v>410</v>
      </c>
    </row>
    <row r="102" spans="1:10" ht="12.95" customHeight="1" x14ac:dyDescent="0.2">
      <c r="A102" s="565" t="s">
        <v>71</v>
      </c>
      <c r="B102" s="514">
        <f>AVERAGE(B103:B105)</f>
        <v>3136.6666666666665</v>
      </c>
      <c r="C102" s="514">
        <f>AVERAGE(C103:C105)</f>
        <v>3280</v>
      </c>
      <c r="D102" s="600">
        <f t="shared" si="13"/>
        <v>4.56960680127525</v>
      </c>
      <c r="E102" s="402" t="s">
        <v>423</v>
      </c>
      <c r="F102" s="534">
        <f>AVERAGE(F103:F105)</f>
        <v>2800</v>
      </c>
      <c r="G102" s="600" t="s">
        <v>410</v>
      </c>
      <c r="H102" s="402" t="s">
        <v>423</v>
      </c>
      <c r="I102" s="374" t="s">
        <v>409</v>
      </c>
      <c r="J102" s="600" t="s">
        <v>410</v>
      </c>
    </row>
    <row r="103" spans="1:10" ht="12.95" customHeight="1" x14ac:dyDescent="0.2">
      <c r="A103" s="566" t="s">
        <v>468</v>
      </c>
      <c r="B103" s="592">
        <v>3360</v>
      </c>
      <c r="C103" s="592">
        <v>3360</v>
      </c>
      <c r="D103" s="373">
        <f>((C103/B103)  -           1)*100</f>
        <v>0</v>
      </c>
      <c r="E103" s="401" t="s">
        <v>423</v>
      </c>
      <c r="F103" s="521" t="s">
        <v>423</v>
      </c>
      <c r="G103" s="580" t="s">
        <v>410</v>
      </c>
      <c r="H103" s="401" t="s">
        <v>423</v>
      </c>
      <c r="I103" s="371" t="s">
        <v>409</v>
      </c>
      <c r="J103" s="580" t="s">
        <v>410</v>
      </c>
    </row>
    <row r="104" spans="1:10" ht="12.95" customHeight="1" x14ac:dyDescent="0.2">
      <c r="A104" s="566" t="s">
        <v>72</v>
      </c>
      <c r="B104" s="592">
        <v>3050</v>
      </c>
      <c r="C104" s="592">
        <v>3280</v>
      </c>
      <c r="D104" s="373">
        <f>((C104/B104)  -           1)*100</f>
        <v>7.5409836065573721</v>
      </c>
      <c r="E104" s="521" t="s">
        <v>423</v>
      </c>
      <c r="G104" s="580" t="s">
        <v>410</v>
      </c>
      <c r="H104" s="401" t="s">
        <v>423</v>
      </c>
      <c r="I104" s="371" t="s">
        <v>409</v>
      </c>
      <c r="J104" s="580" t="s">
        <v>410</v>
      </c>
    </row>
    <row r="105" spans="1:10" ht="12.95" customHeight="1" x14ac:dyDescent="0.2">
      <c r="A105" s="566" t="s">
        <v>73</v>
      </c>
      <c r="B105" s="592">
        <v>3000</v>
      </c>
      <c r="C105" s="592">
        <v>3200</v>
      </c>
      <c r="D105" s="373">
        <f>((C105/B105)  -           1)*100</f>
        <v>6.6666666666666652</v>
      </c>
      <c r="E105" s="401" t="s">
        <v>423</v>
      </c>
      <c r="F105" s="521">
        <v>2800</v>
      </c>
      <c r="G105" s="580" t="s">
        <v>410</v>
      </c>
      <c r="H105" s="401" t="s">
        <v>423</v>
      </c>
      <c r="I105" s="371" t="s">
        <v>409</v>
      </c>
      <c r="J105" s="580" t="s">
        <v>410</v>
      </c>
    </row>
    <row r="106" spans="1:10" ht="12.95" customHeight="1" x14ac:dyDescent="0.2">
      <c r="A106" s="565" t="s">
        <v>46</v>
      </c>
      <c r="B106" s="514">
        <f>AVERAGE(B107:B107)</f>
        <v>3070</v>
      </c>
      <c r="C106" s="514">
        <f>AVERAGE(C107:C107)</f>
        <v>3286.6</v>
      </c>
      <c r="D106" s="376">
        <f t="shared" ref="D106:D107" si="14">((C106/B106)  -           1)*100</f>
        <v>7.055374592833874</v>
      </c>
      <c r="E106" s="606">
        <f>AVERAGE(E107:E107)</f>
        <v>3340</v>
      </c>
      <c r="F106" s="534" t="s">
        <v>423</v>
      </c>
      <c r="G106" s="600" t="s">
        <v>410</v>
      </c>
      <c r="H106" s="514">
        <f>AVERAGE(H107:H107)</f>
        <v>930</v>
      </c>
      <c r="I106" s="436">
        <f>AVERAGE(I107:I107)</f>
        <v>800</v>
      </c>
      <c r="J106" s="600">
        <f t="shared" ref="J106:J107" si="15">((I106/H106)  -           1)*100</f>
        <v>-13.978494623655912</v>
      </c>
    </row>
    <row r="107" spans="1:10" ht="12.95" customHeight="1" x14ac:dyDescent="0.25">
      <c r="A107" s="528" t="s">
        <v>47</v>
      </c>
      <c r="B107" s="515">
        <v>3070</v>
      </c>
      <c r="C107" s="592">
        <v>3286.6</v>
      </c>
      <c r="D107" s="607">
        <f t="shared" si="14"/>
        <v>7.055374592833874</v>
      </c>
      <c r="E107" s="583">
        <v>3340</v>
      </c>
      <c r="F107" s="521" t="s">
        <v>423</v>
      </c>
      <c r="G107" s="373" t="s">
        <v>49</v>
      </c>
      <c r="H107" s="515">
        <v>930</v>
      </c>
      <c r="I107" s="526">
        <v>800</v>
      </c>
      <c r="J107" s="608">
        <f t="shared" si="15"/>
        <v>-13.978494623655912</v>
      </c>
    </row>
    <row r="108" spans="1:10" ht="9" customHeight="1" x14ac:dyDescent="0.2">
      <c r="A108" s="609" t="s">
        <v>87</v>
      </c>
      <c r="C108" s="4"/>
      <c r="F108" s="4"/>
      <c r="G108" s="4"/>
      <c r="I108" s="533"/>
    </row>
    <row r="109" spans="1:10" ht="9" customHeight="1" x14ac:dyDescent="0.2">
      <c r="A109" s="586" t="s">
        <v>569</v>
      </c>
      <c r="I109" s="404"/>
    </row>
    <row r="110" spans="1:10" ht="9" customHeight="1" x14ac:dyDescent="0.2">
      <c r="A110" s="586" t="s">
        <v>68</v>
      </c>
      <c r="I110" s="404"/>
    </row>
    <row r="111" spans="1:10" ht="12.75" customHeight="1" x14ac:dyDescent="0.2"/>
    <row r="112" spans="1:10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</sheetData>
  <mergeCells count="9">
    <mergeCell ref="A57:A58"/>
    <mergeCell ref="B57:D57"/>
    <mergeCell ref="E57:G57"/>
    <mergeCell ref="H57:J57"/>
    <mergeCell ref="A5:A6"/>
    <mergeCell ref="B5:D5"/>
    <mergeCell ref="E5:G5"/>
    <mergeCell ref="H5:J5"/>
    <mergeCell ref="A56:F56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J395"/>
  <sheetViews>
    <sheetView showGridLines="0" topLeftCell="A19" zoomScaleNormal="100" workbookViewId="0">
      <selection activeCell="A53" sqref="A53:J106"/>
    </sheetView>
  </sheetViews>
  <sheetFormatPr baseColWidth="10" defaultColWidth="12.7109375" defaultRowHeight="15" customHeight="1" x14ac:dyDescent="0.2"/>
  <cols>
    <col min="1" max="1" width="14.85546875" style="2" customWidth="1"/>
    <col min="2" max="3" width="7.28515625" style="2" customWidth="1"/>
    <col min="4" max="4" width="6.7109375" style="2" customWidth="1"/>
    <col min="5" max="6" width="7.28515625" style="2" customWidth="1"/>
    <col min="7" max="7" width="6.7109375" style="2" customWidth="1"/>
    <col min="8" max="9" width="7.28515625" style="2" customWidth="1"/>
    <col min="10" max="10" width="6.7109375" style="2" customWidth="1"/>
    <col min="11" max="16384" width="12.7109375" style="2"/>
  </cols>
  <sheetData>
    <row r="1" spans="1:10" ht="21.75" customHeight="1" x14ac:dyDescent="0.25">
      <c r="A1" s="382" t="s">
        <v>420</v>
      </c>
      <c r="B1" s="383"/>
      <c r="C1" s="383"/>
      <c r="D1" s="360"/>
      <c r="E1" s="384"/>
      <c r="F1" s="360"/>
      <c r="G1" s="360"/>
      <c r="H1" s="360"/>
      <c r="I1" s="360"/>
      <c r="J1" s="360"/>
    </row>
    <row r="2" spans="1:10" ht="12" customHeight="1" x14ac:dyDescent="0.25">
      <c r="A2" s="385" t="s">
        <v>565</v>
      </c>
      <c r="B2" s="383"/>
      <c r="C2" s="383"/>
      <c r="D2" s="360"/>
      <c r="E2" s="384"/>
      <c r="F2" s="360"/>
      <c r="G2" s="360"/>
      <c r="H2" s="360"/>
      <c r="I2" s="360"/>
      <c r="J2" s="360"/>
    </row>
    <row r="3" spans="1:10" ht="12" customHeight="1" x14ac:dyDescent="0.25">
      <c r="A3" s="386" t="s">
        <v>405</v>
      </c>
      <c r="B3" s="383"/>
      <c r="C3" s="383"/>
      <c r="D3" s="360"/>
      <c r="E3" s="384"/>
      <c r="F3" s="360"/>
      <c r="G3" s="360"/>
      <c r="H3" s="360"/>
      <c r="I3" s="360"/>
      <c r="J3" s="360"/>
    </row>
    <row r="4" spans="1:10" ht="5.0999999999999996" customHeight="1" x14ac:dyDescent="0.2">
      <c r="A4" s="360"/>
      <c r="B4" s="360"/>
      <c r="C4" s="360"/>
      <c r="D4" s="360"/>
      <c r="E4" s="384"/>
      <c r="F4" s="360"/>
      <c r="G4" s="360"/>
      <c r="H4" s="360"/>
      <c r="I4" s="360"/>
      <c r="J4" s="360"/>
    </row>
    <row r="5" spans="1:10" ht="14.1" customHeight="1" x14ac:dyDescent="0.2">
      <c r="A5" s="686" t="s">
        <v>0</v>
      </c>
      <c r="B5" s="688" t="s">
        <v>50</v>
      </c>
      <c r="C5" s="689"/>
      <c r="D5" s="690"/>
      <c r="E5" s="688" t="s">
        <v>51</v>
      </c>
      <c r="F5" s="689"/>
      <c r="G5" s="690"/>
      <c r="H5" s="688" t="s">
        <v>421</v>
      </c>
      <c r="I5" s="689"/>
      <c r="J5" s="690"/>
    </row>
    <row r="6" spans="1:10" ht="14.1" customHeight="1" x14ac:dyDescent="0.2">
      <c r="A6" s="687"/>
      <c r="B6" s="363">
        <v>2024</v>
      </c>
      <c r="C6" s="363">
        <v>2025</v>
      </c>
      <c r="D6" s="363" t="s">
        <v>1</v>
      </c>
      <c r="E6" s="363">
        <v>2024</v>
      </c>
      <c r="F6" s="363">
        <v>2025</v>
      </c>
      <c r="G6" s="363" t="s">
        <v>1</v>
      </c>
      <c r="H6" s="363">
        <v>2024</v>
      </c>
      <c r="I6" s="363">
        <v>2025</v>
      </c>
      <c r="J6" s="363" t="s">
        <v>1</v>
      </c>
    </row>
    <row r="7" spans="1:10" ht="12.95" customHeight="1" x14ac:dyDescent="0.2">
      <c r="A7" s="565" t="s">
        <v>490</v>
      </c>
      <c r="B7" s="588">
        <f>AVERAGE(B8:B10)</f>
        <v>2405</v>
      </c>
      <c r="C7" s="588">
        <f>AVERAGE(C8:C10)</f>
        <v>2410</v>
      </c>
      <c r="D7" s="376">
        <f>((C7/B7) -      1)*100</f>
        <v>0.20790020790020236</v>
      </c>
      <c r="E7" s="436">
        <f>AVERAGE(E8:E10)</f>
        <v>2665</v>
      </c>
      <c r="F7" s="436">
        <f>AVERAGE(F8:F10)</f>
        <v>2630</v>
      </c>
      <c r="G7" s="376">
        <f>((F7/E7) -      1)*100</f>
        <v>-1.3133208255159512</v>
      </c>
      <c r="H7" s="436">
        <f>AVERAGE(H8:H10)</f>
        <v>2600</v>
      </c>
      <c r="I7" s="436">
        <f>AVERAGE(I8:I10)</f>
        <v>2645</v>
      </c>
      <c r="J7" s="369">
        <f>((I7/H7) -      1)*100</f>
        <v>1.7307692307692246</v>
      </c>
    </row>
    <row r="8" spans="1:10" ht="12.95" customHeight="1" x14ac:dyDescent="0.2">
      <c r="A8" s="579" t="s">
        <v>491</v>
      </c>
      <c r="B8" s="529">
        <v>2500</v>
      </c>
      <c r="C8" s="529">
        <v>2480</v>
      </c>
      <c r="D8" s="373">
        <f>((C8/B8) -      1)*100</f>
        <v>-0.80000000000000071</v>
      </c>
      <c r="E8" s="437">
        <v>2750</v>
      </c>
      <c r="F8" s="529">
        <v>1960</v>
      </c>
      <c r="G8" s="373">
        <f>((F8/E8) -      1)*100</f>
        <v>-28.727272727272723</v>
      </c>
      <c r="H8" s="439" t="s">
        <v>417</v>
      </c>
      <c r="I8" s="439" t="s">
        <v>417</v>
      </c>
      <c r="J8" s="1" t="s">
        <v>410</v>
      </c>
    </row>
    <row r="9" spans="1:10" ht="12.95" customHeight="1" x14ac:dyDescent="0.2">
      <c r="A9" s="579" t="s">
        <v>492</v>
      </c>
      <c r="B9" s="529" t="s">
        <v>423</v>
      </c>
      <c r="C9" s="529">
        <v>2650</v>
      </c>
      <c r="D9" s="373" t="s">
        <v>410</v>
      </c>
      <c r="E9" s="529" t="s">
        <v>423</v>
      </c>
      <c r="F9" s="529" t="s">
        <v>423</v>
      </c>
      <c r="G9" s="373" t="s">
        <v>410</v>
      </c>
      <c r="H9" s="439" t="s">
        <v>417</v>
      </c>
      <c r="I9" s="437">
        <v>2600</v>
      </c>
      <c r="J9" s="1" t="s">
        <v>410</v>
      </c>
    </row>
    <row r="10" spans="1:10" ht="12.95" customHeight="1" x14ac:dyDescent="0.2">
      <c r="A10" s="579" t="s">
        <v>493</v>
      </c>
      <c r="B10" s="529">
        <v>2310</v>
      </c>
      <c r="C10" s="529">
        <v>2100</v>
      </c>
      <c r="D10" s="373">
        <f>((C10/B10) -      1)*100</f>
        <v>-9.0909090909090935</v>
      </c>
      <c r="E10" s="437">
        <v>2580</v>
      </c>
      <c r="F10" s="529">
        <v>3300</v>
      </c>
      <c r="G10" s="373">
        <f>((F10/E10) -      1)*100</f>
        <v>27.906976744186053</v>
      </c>
      <c r="H10" s="437">
        <v>2600</v>
      </c>
      <c r="I10" s="437">
        <v>2690</v>
      </c>
      <c r="J10" s="1">
        <f t="shared" ref="J10" si="0">((I10/H10) -      1)*100</f>
        <v>3.4615384615384714</v>
      </c>
    </row>
    <row r="11" spans="1:10" ht="12.95" customHeight="1" x14ac:dyDescent="0.2">
      <c r="A11" s="411" t="s">
        <v>441</v>
      </c>
      <c r="B11" s="645" t="s">
        <v>423</v>
      </c>
      <c r="C11" s="387">
        <f>AVERAGE(C12:C15)</f>
        <v>2159.9766666666669</v>
      </c>
      <c r="D11" s="376" t="s">
        <v>410</v>
      </c>
      <c r="E11" s="645" t="s">
        <v>423</v>
      </c>
      <c r="F11" s="588" t="s">
        <v>423</v>
      </c>
      <c r="G11" s="376" t="s">
        <v>410</v>
      </c>
      <c r="H11" s="645" t="s">
        <v>423</v>
      </c>
      <c r="I11" s="436">
        <f>AVERAGE(I12:I15)</f>
        <v>3200</v>
      </c>
      <c r="J11" s="369" t="s">
        <v>410</v>
      </c>
    </row>
    <row r="12" spans="1:10" ht="12.95" customHeight="1" x14ac:dyDescent="0.2">
      <c r="A12" s="370" t="s">
        <v>443</v>
      </c>
      <c r="B12" s="183" t="s">
        <v>423</v>
      </c>
      <c r="C12" s="391">
        <v>2113.33</v>
      </c>
      <c r="D12" s="409" t="s">
        <v>3</v>
      </c>
      <c r="E12" s="183" t="s">
        <v>423</v>
      </c>
      <c r="F12" s="529" t="s">
        <v>423</v>
      </c>
      <c r="G12" s="373" t="s">
        <v>410</v>
      </c>
      <c r="H12" s="183" t="s">
        <v>423</v>
      </c>
      <c r="I12" s="439" t="s">
        <v>417</v>
      </c>
      <c r="J12" s="1" t="s">
        <v>410</v>
      </c>
    </row>
    <row r="13" spans="1:10" ht="12.95" customHeight="1" x14ac:dyDescent="0.2">
      <c r="A13" s="370" t="s">
        <v>444</v>
      </c>
      <c r="B13" s="183" t="s">
        <v>423</v>
      </c>
      <c r="C13" s="391">
        <v>2400</v>
      </c>
      <c r="D13" s="373" t="s">
        <v>410</v>
      </c>
      <c r="E13" s="183" t="s">
        <v>423</v>
      </c>
      <c r="F13" s="529" t="s">
        <v>423</v>
      </c>
      <c r="G13" s="373" t="s">
        <v>410</v>
      </c>
      <c r="H13" s="183" t="s">
        <v>423</v>
      </c>
      <c r="I13" s="439" t="s">
        <v>417</v>
      </c>
      <c r="J13" s="1" t="s">
        <v>410</v>
      </c>
    </row>
    <row r="14" spans="1:10" ht="12.95" customHeight="1" x14ac:dyDescent="0.2">
      <c r="A14" s="412" t="s">
        <v>572</v>
      </c>
      <c r="B14" s="529" t="s">
        <v>423</v>
      </c>
      <c r="C14" s="529" t="s">
        <v>423</v>
      </c>
      <c r="D14" s="373" t="s">
        <v>410</v>
      </c>
      <c r="E14" s="529" t="s">
        <v>423</v>
      </c>
      <c r="F14" s="529" t="s">
        <v>423</v>
      </c>
      <c r="G14" s="373" t="s">
        <v>410</v>
      </c>
      <c r="H14" s="439" t="s">
        <v>417</v>
      </c>
      <c r="I14" s="437">
        <v>3200</v>
      </c>
      <c r="J14" s="1" t="s">
        <v>410</v>
      </c>
    </row>
    <row r="15" spans="1:10" ht="12.95" customHeight="1" x14ac:dyDescent="0.2">
      <c r="A15" s="370" t="s">
        <v>465</v>
      </c>
      <c r="B15" s="183" t="s">
        <v>423</v>
      </c>
      <c r="C15" s="391">
        <v>1966.6</v>
      </c>
      <c r="D15" s="409" t="s">
        <v>3</v>
      </c>
      <c r="E15" s="183" t="s">
        <v>423</v>
      </c>
      <c r="F15" s="529" t="s">
        <v>423</v>
      </c>
      <c r="G15" s="373" t="s">
        <v>410</v>
      </c>
      <c r="H15" s="183" t="s">
        <v>423</v>
      </c>
      <c r="I15" s="439" t="s">
        <v>417</v>
      </c>
      <c r="J15" s="1" t="s">
        <v>410</v>
      </c>
    </row>
    <row r="16" spans="1:10" ht="12.95" customHeight="1" x14ac:dyDescent="0.2">
      <c r="A16" s="442" t="s">
        <v>77</v>
      </c>
      <c r="B16" s="588">
        <f>AVERAGE(B17:B19)</f>
        <v>2964</v>
      </c>
      <c r="C16" s="588">
        <f>AVERAGE(C17:C19)</f>
        <v>2778</v>
      </c>
      <c r="D16" s="376">
        <f t="shared" ref="D16:D28" si="1">((C16/B16) -      1)*100</f>
        <v>-6.2753036437246941</v>
      </c>
      <c r="E16" s="436">
        <f t="shared" ref="E16:F16" si="2">AVERAGE(E17:E19)</f>
        <v>4386.5</v>
      </c>
      <c r="F16" s="436">
        <f t="shared" si="2"/>
        <v>4433.5</v>
      </c>
      <c r="G16" s="376">
        <f t="shared" ref="G16:G18" si="3">((F16/E16) -      1)*100</f>
        <v>1.0714692807477499</v>
      </c>
      <c r="H16" s="523">
        <f t="shared" ref="H16:I16" si="4">AVERAGE(H17:H19)</f>
        <v>3785.5</v>
      </c>
      <c r="I16" s="523">
        <f t="shared" si="4"/>
        <v>3699</v>
      </c>
      <c r="J16" s="369">
        <f t="shared" ref="J16:J18" si="5">((I16/H16) -      1)*100</f>
        <v>-2.2850350019812393</v>
      </c>
    </row>
    <row r="17" spans="1:10" ht="12.95" customHeight="1" x14ac:dyDescent="0.2">
      <c r="A17" s="579" t="s">
        <v>155</v>
      </c>
      <c r="B17" s="529">
        <v>3048</v>
      </c>
      <c r="C17" s="529">
        <v>3240</v>
      </c>
      <c r="D17" s="373">
        <f t="shared" si="1"/>
        <v>6.2992125984252079</v>
      </c>
      <c r="E17" s="437">
        <v>4353</v>
      </c>
      <c r="F17" s="437">
        <v>4447</v>
      </c>
      <c r="G17" s="373">
        <f t="shared" si="3"/>
        <v>2.1594302779692098</v>
      </c>
      <c r="H17" s="437">
        <v>3933</v>
      </c>
      <c r="I17" s="437">
        <v>3760</v>
      </c>
      <c r="J17" s="1">
        <f t="shared" si="5"/>
        <v>-4.3986778540554328</v>
      </c>
    </row>
    <row r="18" spans="1:10" ht="12.95" customHeight="1" x14ac:dyDescent="0.2">
      <c r="A18" s="579" t="s">
        <v>566</v>
      </c>
      <c r="B18" s="529">
        <v>2494</v>
      </c>
      <c r="C18" s="529">
        <v>2494</v>
      </c>
      <c r="D18" s="373">
        <f t="shared" si="1"/>
        <v>0</v>
      </c>
      <c r="E18" s="437">
        <v>4420</v>
      </c>
      <c r="F18" s="437">
        <v>4420</v>
      </c>
      <c r="G18" s="373">
        <f t="shared" si="3"/>
        <v>0</v>
      </c>
      <c r="H18" s="437">
        <v>3638</v>
      </c>
      <c r="I18" s="437">
        <v>3638</v>
      </c>
      <c r="J18" s="1">
        <f t="shared" si="5"/>
        <v>0</v>
      </c>
    </row>
    <row r="19" spans="1:10" ht="12.95" customHeight="1" x14ac:dyDescent="0.2">
      <c r="A19" s="579" t="s">
        <v>411</v>
      </c>
      <c r="B19" s="529">
        <v>3350</v>
      </c>
      <c r="C19" s="529">
        <v>2600</v>
      </c>
      <c r="D19" s="373">
        <f t="shared" si="1"/>
        <v>-22.388059701492537</v>
      </c>
      <c r="E19" s="529" t="s">
        <v>423</v>
      </c>
      <c r="F19" s="529" t="s">
        <v>423</v>
      </c>
      <c r="G19" s="373" t="s">
        <v>410</v>
      </c>
      <c r="H19" s="439" t="s">
        <v>417</v>
      </c>
      <c r="I19" s="439" t="s">
        <v>423</v>
      </c>
      <c r="J19" s="1" t="s">
        <v>410</v>
      </c>
    </row>
    <row r="20" spans="1:10" ht="12.95" customHeight="1" x14ac:dyDescent="0.2">
      <c r="A20" s="442" t="s">
        <v>2</v>
      </c>
      <c r="B20" s="588">
        <f>AVERAGE(B21:B24)</f>
        <v>2328.25</v>
      </c>
      <c r="C20" s="588">
        <f>AVERAGE(C21:C24)</f>
        <v>1997.5</v>
      </c>
      <c r="D20" s="392">
        <f t="shared" si="1"/>
        <v>-14.205948673896707</v>
      </c>
      <c r="E20" s="436">
        <f>AVERAGE(E21:E24)</f>
        <v>3166.6666666666665</v>
      </c>
      <c r="F20" s="436">
        <f>AVERAGE(F21:F24)</f>
        <v>3353.3333333333335</v>
      </c>
      <c r="G20" s="376">
        <f t="shared" ref="G20:G22" si="6">((F20/E20) -      1)*100</f>
        <v>5.8947368421052637</v>
      </c>
      <c r="H20" s="523">
        <f>AVERAGE(H21:H24)</f>
        <v>2640</v>
      </c>
      <c r="I20" s="523">
        <f>AVERAGE(I21:I24)</f>
        <v>2540</v>
      </c>
      <c r="J20" s="369">
        <f t="shared" ref="J20:J21" si="7">((I20/H20) -      1)*100</f>
        <v>-3.7878787878787845</v>
      </c>
    </row>
    <row r="21" spans="1:10" ht="12.95" customHeight="1" x14ac:dyDescent="0.2">
      <c r="A21" s="579" t="s">
        <v>5</v>
      </c>
      <c r="B21" s="529">
        <v>2150</v>
      </c>
      <c r="C21" s="529">
        <v>2190</v>
      </c>
      <c r="D21" s="394">
        <f t="shared" si="1"/>
        <v>1.8604651162790642</v>
      </c>
      <c r="E21" s="437">
        <v>3670</v>
      </c>
      <c r="F21" s="437">
        <v>3770</v>
      </c>
      <c r="G21" s="373">
        <f t="shared" si="6"/>
        <v>2.7247956403269713</v>
      </c>
      <c r="H21" s="437">
        <v>2640</v>
      </c>
      <c r="I21" s="437">
        <v>2540</v>
      </c>
      <c r="J21" s="1">
        <f t="shared" si="7"/>
        <v>-3.7878787878787845</v>
      </c>
    </row>
    <row r="22" spans="1:10" ht="12.95" customHeight="1" x14ac:dyDescent="0.2">
      <c r="A22" s="579" t="s">
        <v>78</v>
      </c>
      <c r="B22" s="529">
        <v>2475</v>
      </c>
      <c r="C22" s="529">
        <v>1850</v>
      </c>
      <c r="D22" s="394">
        <f t="shared" si="1"/>
        <v>-25.252525252525249</v>
      </c>
      <c r="E22" s="437">
        <v>2450</v>
      </c>
      <c r="F22" s="437">
        <v>3200</v>
      </c>
      <c r="G22" s="373">
        <f t="shared" si="6"/>
        <v>30.612244897959172</v>
      </c>
      <c r="H22" s="439" t="s">
        <v>423</v>
      </c>
      <c r="I22" s="439" t="s">
        <v>423</v>
      </c>
      <c r="J22" s="1" t="s">
        <v>410</v>
      </c>
    </row>
    <row r="23" spans="1:10" ht="12.95" customHeight="1" x14ac:dyDescent="0.2">
      <c r="A23" s="579" t="s">
        <v>61</v>
      </c>
      <c r="B23" s="529">
        <v>2588</v>
      </c>
      <c r="C23" s="529">
        <v>2090</v>
      </c>
      <c r="D23" s="373" t="s">
        <v>3</v>
      </c>
      <c r="E23" s="529" t="s">
        <v>423</v>
      </c>
      <c r="F23" s="529" t="s">
        <v>423</v>
      </c>
      <c r="G23" s="373" t="s">
        <v>3</v>
      </c>
      <c r="H23" s="439" t="s">
        <v>423</v>
      </c>
      <c r="I23" s="439" t="s">
        <v>423</v>
      </c>
      <c r="J23" s="394" t="s">
        <v>410</v>
      </c>
    </row>
    <row r="24" spans="1:10" ht="12.95" customHeight="1" x14ac:dyDescent="0.2">
      <c r="A24" s="579" t="s">
        <v>190</v>
      </c>
      <c r="B24" s="529">
        <v>2100</v>
      </c>
      <c r="C24" s="529">
        <v>1860</v>
      </c>
      <c r="D24" s="394">
        <f t="shared" si="1"/>
        <v>-11.428571428571432</v>
      </c>
      <c r="E24" s="437">
        <v>3380</v>
      </c>
      <c r="F24" s="437">
        <v>3090</v>
      </c>
      <c r="G24" s="373">
        <f t="shared" ref="G24" si="8">((F24/E24) -      1)*100</f>
        <v>-8.5798816568047336</v>
      </c>
      <c r="H24" s="439" t="s">
        <v>423</v>
      </c>
      <c r="I24" s="439" t="s">
        <v>423</v>
      </c>
      <c r="J24" s="1" t="s">
        <v>410</v>
      </c>
    </row>
    <row r="25" spans="1:10" ht="12.95" customHeight="1" x14ac:dyDescent="0.2">
      <c r="A25" s="442" t="s">
        <v>6</v>
      </c>
      <c r="B25" s="447">
        <f>AVERAGE(B27:B30)</f>
        <v>2660</v>
      </c>
      <c r="C25" s="447">
        <f>AVERAGE(C27:C30)</f>
        <v>2659.75</v>
      </c>
      <c r="D25" s="392">
        <f t="shared" si="1"/>
        <v>-9.3984962405979644E-3</v>
      </c>
      <c r="E25" s="436">
        <f>AVERAGE(E27:E30)</f>
        <v>3646.5</v>
      </c>
      <c r="F25" s="436">
        <f>AVERAGE(F27:F30)</f>
        <v>3443.5</v>
      </c>
      <c r="G25" s="392">
        <f>((F25/E25) -      1)*100</f>
        <v>-5.5669820375702788</v>
      </c>
      <c r="H25" s="523">
        <f>AVERAGE(H27:H30)</f>
        <v>3400</v>
      </c>
      <c r="I25" s="523">
        <f>AVERAGE(I27:I30)</f>
        <v>4167</v>
      </c>
      <c r="J25" s="392">
        <f>((I25/H25) -      1)*100</f>
        <v>22.558823529411764</v>
      </c>
    </row>
    <row r="26" spans="1:10" ht="12.95" customHeight="1" x14ac:dyDescent="0.2">
      <c r="A26" s="579" t="s">
        <v>7</v>
      </c>
      <c r="B26" s="529">
        <v>3165</v>
      </c>
      <c r="C26" s="529">
        <v>2550</v>
      </c>
      <c r="D26" s="394">
        <f>((C26/B26) -      1)*100</f>
        <v>-19.431279620853083</v>
      </c>
      <c r="E26" s="529" t="s">
        <v>423</v>
      </c>
      <c r="F26" s="529" t="s">
        <v>423</v>
      </c>
      <c r="G26" s="373" t="s">
        <v>410</v>
      </c>
      <c r="H26" s="439" t="s">
        <v>417</v>
      </c>
      <c r="I26" s="439" t="s">
        <v>417</v>
      </c>
      <c r="J26" s="1" t="s">
        <v>410</v>
      </c>
    </row>
    <row r="27" spans="1:10" ht="12.95" customHeight="1" x14ac:dyDescent="0.2">
      <c r="A27" s="579" t="s">
        <v>8</v>
      </c>
      <c r="B27" s="529">
        <v>2133</v>
      </c>
      <c r="C27" s="529">
        <v>2267</v>
      </c>
      <c r="D27" s="394">
        <f t="shared" si="1"/>
        <v>6.2822315986873045</v>
      </c>
      <c r="E27" s="437">
        <v>3480</v>
      </c>
      <c r="F27" s="437">
        <v>3347</v>
      </c>
      <c r="G27" s="373">
        <f t="shared" ref="G27:G28" si="9">((F27/E27) -      1)*100</f>
        <v>-3.8218390804597657</v>
      </c>
      <c r="H27" s="437">
        <v>3400</v>
      </c>
      <c r="I27" s="437">
        <v>4167</v>
      </c>
      <c r="J27" s="1">
        <f t="shared" ref="J27" si="10">((I27/H27) -      1)*100</f>
        <v>22.558823529411764</v>
      </c>
    </row>
    <row r="28" spans="1:10" ht="12.95" customHeight="1" x14ac:dyDescent="0.2">
      <c r="A28" s="579" t="s">
        <v>9</v>
      </c>
      <c r="B28" s="529">
        <v>2507</v>
      </c>
      <c r="C28" s="529">
        <v>2272</v>
      </c>
      <c r="D28" s="394">
        <f t="shared" si="1"/>
        <v>-9.3737534902273651</v>
      </c>
      <c r="E28" s="437">
        <v>3813</v>
      </c>
      <c r="F28" s="437">
        <v>3540</v>
      </c>
      <c r="G28" s="373">
        <f t="shared" si="9"/>
        <v>-7.1597167584579129</v>
      </c>
      <c r="H28" s="439" t="s">
        <v>417</v>
      </c>
      <c r="I28" s="439" t="s">
        <v>417</v>
      </c>
      <c r="J28" s="1" t="s">
        <v>410</v>
      </c>
    </row>
    <row r="29" spans="1:10" ht="12.95" customHeight="1" x14ac:dyDescent="0.2">
      <c r="A29" s="579" t="s">
        <v>11</v>
      </c>
      <c r="B29" s="529">
        <v>3413</v>
      </c>
      <c r="C29" s="529">
        <v>3500</v>
      </c>
      <c r="D29" s="394">
        <f>((C29/B29) -      1)*100</f>
        <v>2.5490770583064704</v>
      </c>
      <c r="E29" s="529" t="s">
        <v>423</v>
      </c>
      <c r="F29" s="529" t="s">
        <v>423</v>
      </c>
      <c r="G29" s="373" t="s">
        <v>410</v>
      </c>
      <c r="H29" s="439" t="s">
        <v>417</v>
      </c>
      <c r="I29" s="439" t="s">
        <v>417</v>
      </c>
      <c r="J29" s="1" t="s">
        <v>410</v>
      </c>
    </row>
    <row r="30" spans="1:10" ht="12.95" customHeight="1" x14ac:dyDescent="0.2">
      <c r="A30" s="579" t="s">
        <v>412</v>
      </c>
      <c r="B30" s="529">
        <v>2587</v>
      </c>
      <c r="C30" s="529">
        <v>2600</v>
      </c>
      <c r="D30" s="394">
        <f t="shared" ref="D30" si="11">((C30/B30) -      1)*100</f>
        <v>0.50251256281406143</v>
      </c>
      <c r="E30" s="439" t="s">
        <v>423</v>
      </c>
      <c r="F30" s="439" t="s">
        <v>423</v>
      </c>
      <c r="G30" s="373" t="s">
        <v>410</v>
      </c>
      <c r="H30" s="439" t="s">
        <v>417</v>
      </c>
      <c r="I30" s="439" t="s">
        <v>417</v>
      </c>
      <c r="J30" s="1" t="s">
        <v>410</v>
      </c>
    </row>
    <row r="31" spans="1:10" ht="12.95" customHeight="1" x14ac:dyDescent="0.2">
      <c r="A31" s="444" t="s">
        <v>15</v>
      </c>
      <c r="B31" s="447" t="s">
        <v>423</v>
      </c>
      <c r="C31" s="447">
        <f>AVERAGE(C32:C33)</f>
        <v>2755</v>
      </c>
      <c r="D31" s="587" t="s">
        <v>3</v>
      </c>
      <c r="E31" s="447" t="s">
        <v>423</v>
      </c>
      <c r="F31" s="436">
        <f>AVERAGE(F32:F33)</f>
        <v>3500</v>
      </c>
      <c r="G31" s="587" t="s">
        <v>3</v>
      </c>
      <c r="H31" s="447" t="s">
        <v>423</v>
      </c>
      <c r="I31" s="436">
        <f>AVERAGE(I32:I33)</f>
        <v>4700</v>
      </c>
      <c r="J31" s="587" t="s">
        <v>3</v>
      </c>
    </row>
    <row r="32" spans="1:10" ht="12.95" customHeight="1" x14ac:dyDescent="0.2">
      <c r="A32" s="566" t="s">
        <v>70</v>
      </c>
      <c r="B32" s="439" t="s">
        <v>423</v>
      </c>
      <c r="C32" s="529">
        <v>2510</v>
      </c>
      <c r="D32" s="569" t="s">
        <v>3</v>
      </c>
      <c r="E32" s="591" t="s">
        <v>423</v>
      </c>
      <c r="F32" s="437">
        <v>3700</v>
      </c>
      <c r="G32" s="569" t="s">
        <v>3</v>
      </c>
      <c r="H32" s="439" t="s">
        <v>423</v>
      </c>
      <c r="I32" s="437">
        <v>4700</v>
      </c>
      <c r="J32" s="1" t="s">
        <v>410</v>
      </c>
    </row>
    <row r="33" spans="1:10" ht="12.95" customHeight="1" x14ac:dyDescent="0.2">
      <c r="A33" s="566" t="s">
        <v>69</v>
      </c>
      <c r="B33" s="439" t="s">
        <v>423</v>
      </c>
      <c r="C33" s="529">
        <v>3000</v>
      </c>
      <c r="D33" s="569" t="s">
        <v>3</v>
      </c>
      <c r="E33" s="591" t="s">
        <v>423</v>
      </c>
      <c r="F33" s="437">
        <v>3300</v>
      </c>
      <c r="G33" s="569" t="s">
        <v>3</v>
      </c>
      <c r="H33" s="439" t="s">
        <v>423</v>
      </c>
      <c r="I33" s="592" t="s">
        <v>423</v>
      </c>
      <c r="J33" s="1" t="s">
        <v>410</v>
      </c>
    </row>
    <row r="34" spans="1:10" ht="12.95" customHeight="1" x14ac:dyDescent="0.2">
      <c r="A34" s="442" t="s">
        <v>16</v>
      </c>
      <c r="B34" s="447">
        <f>AVERAGE(B35:B37)</f>
        <v>2914.3333333333335</v>
      </c>
      <c r="C34" s="447">
        <f>AVERAGE(C35:C37)</f>
        <v>2650</v>
      </c>
      <c r="D34" s="392">
        <f t="shared" ref="D34:D48" si="12">((C34/B34) -      1)*100</f>
        <v>-9.0701132334438999</v>
      </c>
      <c r="E34" s="529" t="s">
        <v>423</v>
      </c>
      <c r="F34" s="529" t="s">
        <v>423</v>
      </c>
      <c r="G34" s="392" t="s">
        <v>410</v>
      </c>
      <c r="H34" s="646" t="s">
        <v>423</v>
      </c>
      <c r="I34" s="522">
        <f>AVERAGE(I35:I37)</f>
        <v>2900</v>
      </c>
      <c r="J34" s="392" t="s">
        <v>410</v>
      </c>
    </row>
    <row r="35" spans="1:10" ht="12.95" customHeight="1" x14ac:dyDescent="0.2">
      <c r="A35" s="579" t="s">
        <v>544</v>
      </c>
      <c r="B35" s="529">
        <v>2613</v>
      </c>
      <c r="C35" s="529">
        <v>2280</v>
      </c>
      <c r="D35" s="394" t="s">
        <v>410</v>
      </c>
      <c r="E35" s="529" t="s">
        <v>423</v>
      </c>
      <c r="F35" s="529" t="s">
        <v>423</v>
      </c>
      <c r="G35" s="373" t="s">
        <v>410</v>
      </c>
      <c r="H35" s="646" t="s">
        <v>423</v>
      </c>
      <c r="I35" s="437">
        <v>2900</v>
      </c>
      <c r="J35" s="1" t="s">
        <v>410</v>
      </c>
    </row>
    <row r="36" spans="1:10" ht="12.95" customHeight="1" x14ac:dyDescent="0.2">
      <c r="A36" s="579" t="s">
        <v>489</v>
      </c>
      <c r="B36" s="529">
        <v>2963</v>
      </c>
      <c r="C36" s="529">
        <v>3250</v>
      </c>
      <c r="D36" s="394">
        <f t="shared" si="12"/>
        <v>9.6861289233884484</v>
      </c>
      <c r="E36" s="529" t="s">
        <v>423</v>
      </c>
      <c r="F36" s="529" t="s">
        <v>423</v>
      </c>
      <c r="G36" s="373" t="s">
        <v>410</v>
      </c>
      <c r="H36" s="646" t="s">
        <v>423</v>
      </c>
      <c r="I36" s="439" t="s">
        <v>417</v>
      </c>
      <c r="J36" s="1" t="s">
        <v>410</v>
      </c>
    </row>
    <row r="37" spans="1:10" ht="12.95" customHeight="1" x14ac:dyDescent="0.2">
      <c r="A37" s="579" t="s">
        <v>17</v>
      </c>
      <c r="B37" s="529">
        <v>3167</v>
      </c>
      <c r="C37" s="529">
        <v>2420</v>
      </c>
      <c r="D37" s="394">
        <f t="shared" si="12"/>
        <v>-23.586990843069156</v>
      </c>
      <c r="E37" s="529" t="s">
        <v>423</v>
      </c>
      <c r="F37" s="529" t="s">
        <v>423</v>
      </c>
      <c r="G37" s="373" t="s">
        <v>410</v>
      </c>
      <c r="H37" s="646" t="s">
        <v>423</v>
      </c>
      <c r="I37" s="439" t="s">
        <v>417</v>
      </c>
      <c r="J37" s="1" t="s">
        <v>410</v>
      </c>
    </row>
    <row r="38" spans="1:10" ht="12.95" customHeight="1" x14ac:dyDescent="0.2">
      <c r="A38" s="452" t="s">
        <v>18</v>
      </c>
      <c r="B38" s="447">
        <f>AVERAGE(B39:B45)</f>
        <v>2433.8571428571427</v>
      </c>
      <c r="C38" s="447">
        <f>AVERAGE(C39:C45)</f>
        <v>2493.4285714285716</v>
      </c>
      <c r="D38" s="392">
        <f t="shared" si="12"/>
        <v>2.4476140165522242</v>
      </c>
      <c r="E38" s="436">
        <f>AVERAGE(E39:E45)</f>
        <v>3257</v>
      </c>
      <c r="F38" s="436">
        <f>AVERAGE(F39:F45)</f>
        <v>3208.25</v>
      </c>
      <c r="G38" s="392">
        <f>((F38/E38) -      1)*100</f>
        <v>-1.4967761743936103</v>
      </c>
      <c r="H38" s="447">
        <f>AVERAGE(H39:H45)</f>
        <v>2902.5</v>
      </c>
      <c r="I38" s="447">
        <f>AVERAGE(I39:I45)</f>
        <v>3058.25</v>
      </c>
      <c r="J38" s="392">
        <f>((I38/H38) -      1)*100</f>
        <v>5.3660637381567566</v>
      </c>
    </row>
    <row r="39" spans="1:10" ht="12.95" customHeight="1" x14ac:dyDescent="0.2">
      <c r="A39" s="579" t="s">
        <v>19</v>
      </c>
      <c r="B39" s="529">
        <v>2240</v>
      </c>
      <c r="C39" s="529">
        <v>2067</v>
      </c>
      <c r="D39" s="394">
        <f t="shared" si="12"/>
        <v>-7.7232142857142865</v>
      </c>
      <c r="E39" s="437">
        <v>3575</v>
      </c>
      <c r="F39" s="437">
        <v>3533</v>
      </c>
      <c r="G39" s="373">
        <f>((F39/E39) -      1)*100</f>
        <v>-1.1748251748251781</v>
      </c>
      <c r="H39" s="439">
        <v>3325</v>
      </c>
      <c r="I39" s="439">
        <v>3000</v>
      </c>
      <c r="J39" s="1">
        <f>((I39/H39) -      1)*100</f>
        <v>-9.7744360902255689</v>
      </c>
    </row>
    <row r="40" spans="1:10" ht="12.95" customHeight="1" x14ac:dyDescent="0.2">
      <c r="A40" s="579" t="s">
        <v>419</v>
      </c>
      <c r="B40" s="529">
        <v>2100</v>
      </c>
      <c r="C40" s="529">
        <v>2400</v>
      </c>
      <c r="D40" s="394">
        <f t="shared" si="12"/>
        <v>14.285714285714279</v>
      </c>
      <c r="E40" s="529" t="s">
        <v>423</v>
      </c>
      <c r="F40" s="529" t="s">
        <v>423</v>
      </c>
      <c r="G40" s="373" t="s">
        <v>410</v>
      </c>
      <c r="H40" s="439" t="s">
        <v>423</v>
      </c>
      <c r="I40" s="439" t="s">
        <v>423</v>
      </c>
      <c r="J40" s="1" t="s">
        <v>410</v>
      </c>
    </row>
    <row r="41" spans="1:10" ht="12.95" customHeight="1" x14ac:dyDescent="0.2">
      <c r="A41" s="579" t="s">
        <v>80</v>
      </c>
      <c r="B41" s="529">
        <v>2650</v>
      </c>
      <c r="C41" s="529">
        <v>2467</v>
      </c>
      <c r="D41" s="394">
        <f t="shared" si="12"/>
        <v>-6.9056603773584913</v>
      </c>
      <c r="E41" s="529" t="s">
        <v>423</v>
      </c>
      <c r="F41" s="529" t="s">
        <v>423</v>
      </c>
      <c r="G41" s="373" t="s">
        <v>410</v>
      </c>
      <c r="H41" s="439">
        <v>3150</v>
      </c>
      <c r="I41" s="439">
        <v>3500</v>
      </c>
      <c r="J41" s="1">
        <f>((I41/H41) -      1)*100</f>
        <v>11.111111111111116</v>
      </c>
    </row>
    <row r="42" spans="1:10" ht="12.95" customHeight="1" x14ac:dyDescent="0.2">
      <c r="A42" s="579" t="s">
        <v>21</v>
      </c>
      <c r="B42" s="529">
        <v>2187</v>
      </c>
      <c r="C42" s="529">
        <v>2067</v>
      </c>
      <c r="D42" s="394">
        <f t="shared" si="12"/>
        <v>-5.4869684499314175</v>
      </c>
      <c r="E42" s="437">
        <v>3313</v>
      </c>
      <c r="F42" s="437">
        <v>3187</v>
      </c>
      <c r="G42" s="373">
        <f>((F42/E42) -      1)*100</f>
        <v>-3.8031995170540345</v>
      </c>
      <c r="H42" s="439">
        <v>2455</v>
      </c>
      <c r="I42" s="439">
        <v>3080</v>
      </c>
      <c r="J42" s="1">
        <f>((I42/H42) -      1)*100</f>
        <v>25.458248472505083</v>
      </c>
    </row>
    <row r="43" spans="1:10" ht="12.95" customHeight="1" x14ac:dyDescent="0.2">
      <c r="A43" s="579" t="s">
        <v>22</v>
      </c>
      <c r="B43" s="529">
        <v>2700</v>
      </c>
      <c r="C43" s="529">
        <v>2653</v>
      </c>
      <c r="D43" s="394">
        <f t="shared" si="12"/>
        <v>-1.7407407407407427</v>
      </c>
      <c r="E43" s="437">
        <v>3700</v>
      </c>
      <c r="F43" s="437">
        <v>3673</v>
      </c>
      <c r="G43" s="373">
        <f>((F43/E43) -      1)*100</f>
        <v>-0.72972972972973338</v>
      </c>
      <c r="H43" s="439">
        <v>2680</v>
      </c>
      <c r="I43" s="439">
        <v>2653</v>
      </c>
      <c r="J43" s="1">
        <f>((I43/H43) -      1)*100</f>
        <v>-1.0074626865671621</v>
      </c>
    </row>
    <row r="44" spans="1:10" ht="12.95" customHeight="1" x14ac:dyDescent="0.2">
      <c r="A44" s="579" t="s">
        <v>23</v>
      </c>
      <c r="B44" s="529">
        <v>3000</v>
      </c>
      <c r="C44" s="529">
        <v>3200</v>
      </c>
      <c r="D44" s="394">
        <f t="shared" si="12"/>
        <v>6.6666666666666652</v>
      </c>
      <c r="E44" s="529" t="s">
        <v>423</v>
      </c>
      <c r="F44" s="529" t="s">
        <v>423</v>
      </c>
      <c r="G44" s="373" t="s">
        <v>410</v>
      </c>
      <c r="H44" s="439" t="s">
        <v>423</v>
      </c>
      <c r="I44" s="439" t="s">
        <v>423</v>
      </c>
      <c r="J44" s="1" t="s">
        <v>410</v>
      </c>
    </row>
    <row r="45" spans="1:10" ht="12.95" customHeight="1" x14ac:dyDescent="0.2">
      <c r="A45" s="579" t="s">
        <v>63</v>
      </c>
      <c r="B45" s="529">
        <v>2160</v>
      </c>
      <c r="C45" s="529">
        <v>2600</v>
      </c>
      <c r="D45" s="373">
        <f t="shared" si="12"/>
        <v>20.370370370370374</v>
      </c>
      <c r="E45" s="437">
        <v>2440</v>
      </c>
      <c r="F45" s="437">
        <v>2440</v>
      </c>
      <c r="G45" s="373">
        <f t="shared" ref="G45:G48" si="13">((F45/E45) -      1)*100</f>
        <v>0</v>
      </c>
      <c r="H45" s="439" t="s">
        <v>423</v>
      </c>
      <c r="I45" s="439" t="s">
        <v>423</v>
      </c>
      <c r="J45" s="373" t="s">
        <v>410</v>
      </c>
    </row>
    <row r="46" spans="1:10" ht="12.95" customHeight="1" x14ac:dyDescent="0.2">
      <c r="A46" s="442" t="s">
        <v>25</v>
      </c>
      <c r="B46" s="447">
        <f>AVERAGE(B47:B48)</f>
        <v>3071.5</v>
      </c>
      <c r="C46" s="447">
        <f>AVERAGE(C47:C48)</f>
        <v>2665</v>
      </c>
      <c r="D46" s="588">
        <f t="shared" si="12"/>
        <v>-13.234575940094418</v>
      </c>
      <c r="E46" s="436">
        <f>AVERAGE(E47:E48)</f>
        <v>4456.5</v>
      </c>
      <c r="F46" s="436">
        <f>AVERAGE(F47:F48)</f>
        <v>3670.5</v>
      </c>
      <c r="G46" s="445">
        <f t="shared" si="13"/>
        <v>-17.637159205654662</v>
      </c>
      <c r="H46" s="447">
        <f>AVERAGE(H47:H48)</f>
        <v>3491.5</v>
      </c>
      <c r="I46" s="447">
        <f>AVERAGE(I47:I48)</f>
        <v>3145</v>
      </c>
      <c r="J46" s="377">
        <f t="shared" ref="J46:J48" si="14">((I46/H46) -      1)*100</f>
        <v>-9.9241013890877809</v>
      </c>
    </row>
    <row r="47" spans="1:10" ht="12.95" customHeight="1" x14ac:dyDescent="0.2">
      <c r="A47" s="579" t="s">
        <v>53</v>
      </c>
      <c r="B47" s="439">
        <v>3130</v>
      </c>
      <c r="C47" s="439">
        <v>2830</v>
      </c>
      <c r="D47" s="375">
        <f t="shared" si="12"/>
        <v>-9.5846645367412169</v>
      </c>
      <c r="E47" s="437">
        <v>4480</v>
      </c>
      <c r="F47" s="437">
        <v>4041</v>
      </c>
      <c r="G47" s="446">
        <f t="shared" si="13"/>
        <v>-9.7991071428571441</v>
      </c>
      <c r="H47" s="439">
        <v>3270</v>
      </c>
      <c r="I47" s="439">
        <v>3390</v>
      </c>
      <c r="J47" s="375">
        <f t="shared" si="14"/>
        <v>3.669724770642202</v>
      </c>
    </row>
    <row r="48" spans="1:10" ht="12.95" customHeight="1" x14ac:dyDescent="0.2">
      <c r="A48" s="579" t="s">
        <v>58</v>
      </c>
      <c r="B48" s="439">
        <v>3013</v>
      </c>
      <c r="C48" s="439">
        <v>2500</v>
      </c>
      <c r="D48" s="375">
        <f t="shared" si="12"/>
        <v>-17.0262197145702</v>
      </c>
      <c r="E48" s="437">
        <v>4433</v>
      </c>
      <c r="F48" s="437">
        <v>3300</v>
      </c>
      <c r="G48" s="446">
        <f t="shared" si="13"/>
        <v>-25.558312655086844</v>
      </c>
      <c r="H48" s="439">
        <v>3713</v>
      </c>
      <c r="I48" s="439">
        <v>2900</v>
      </c>
      <c r="J48" s="375">
        <f t="shared" si="14"/>
        <v>-21.896040937247506</v>
      </c>
    </row>
    <row r="49" spans="1:10" ht="12.95" customHeight="1" x14ac:dyDescent="0.2">
      <c r="A49" s="452" t="s">
        <v>81</v>
      </c>
      <c r="B49" s="447">
        <f>AVERAGE(B50:B51)</f>
        <v>2200</v>
      </c>
      <c r="C49" s="447">
        <f>AVERAGE(C50:C51)</f>
        <v>2120</v>
      </c>
      <c r="D49" s="392">
        <f>((C49/B49) -      1)*100</f>
        <v>-3.6363636363636376</v>
      </c>
      <c r="E49" s="436">
        <f>AVERAGE(E50:E51)</f>
        <v>3750</v>
      </c>
      <c r="F49" s="439" t="s">
        <v>423</v>
      </c>
      <c r="G49" s="394" t="s">
        <v>410</v>
      </c>
      <c r="H49" s="436">
        <f>AVERAGE(H50:H51)</f>
        <v>3070</v>
      </c>
      <c r="I49" s="439" t="s">
        <v>423</v>
      </c>
      <c r="J49" s="394" t="s">
        <v>410</v>
      </c>
    </row>
    <row r="50" spans="1:10" ht="12.95" customHeight="1" x14ac:dyDescent="0.2">
      <c r="A50" s="579" t="s">
        <v>424</v>
      </c>
      <c r="B50" s="439">
        <v>2100</v>
      </c>
      <c r="C50" s="439">
        <v>2100</v>
      </c>
      <c r="D50" s="394">
        <f>((C50/B50) -      1)*100</f>
        <v>0</v>
      </c>
      <c r="E50" s="437">
        <v>3800</v>
      </c>
      <c r="F50" s="439" t="s">
        <v>423</v>
      </c>
      <c r="G50" s="394" t="s">
        <v>410</v>
      </c>
      <c r="H50" s="437">
        <v>2640</v>
      </c>
      <c r="I50" s="439" t="s">
        <v>423</v>
      </c>
      <c r="J50" s="394" t="s">
        <v>410</v>
      </c>
    </row>
    <row r="51" spans="1:10" ht="12.95" customHeight="1" x14ac:dyDescent="0.2">
      <c r="A51" s="579" t="s">
        <v>413</v>
      </c>
      <c r="B51" s="439">
        <v>2300</v>
      </c>
      <c r="C51" s="439">
        <v>2140</v>
      </c>
      <c r="D51" s="394">
        <f>((C51/B51) -      1)*100</f>
        <v>-6.956521739130439</v>
      </c>
      <c r="E51" s="437">
        <v>3700</v>
      </c>
      <c r="F51" s="439" t="s">
        <v>423</v>
      </c>
      <c r="G51" s="394" t="s">
        <v>410</v>
      </c>
      <c r="H51" s="437">
        <v>3500</v>
      </c>
      <c r="I51" s="439" t="s">
        <v>423</v>
      </c>
      <c r="J51" s="394" t="s">
        <v>410</v>
      </c>
    </row>
    <row r="52" spans="1:10" ht="12.75" customHeight="1" x14ac:dyDescent="0.2">
      <c r="A52" s="572"/>
      <c r="B52" s="573"/>
      <c r="C52" s="574"/>
      <c r="D52" s="574"/>
      <c r="E52" s="574"/>
      <c r="F52" s="574"/>
      <c r="G52" s="574"/>
      <c r="H52" s="574"/>
      <c r="I52" s="574"/>
      <c r="J52" s="575" t="s">
        <v>26</v>
      </c>
    </row>
    <row r="53" spans="1:10" ht="12.75" customHeight="1" x14ac:dyDescent="0.25">
      <c r="A53" s="695" t="s">
        <v>425</v>
      </c>
      <c r="B53" s="695"/>
      <c r="C53" s="695"/>
      <c r="D53" s="695"/>
      <c r="E53" s="695"/>
      <c r="F53" s="695"/>
      <c r="G53" s="399"/>
      <c r="H53" s="399"/>
      <c r="I53" s="400"/>
      <c r="J53" s="400"/>
    </row>
    <row r="54" spans="1:10" ht="14.1" customHeight="1" x14ac:dyDescent="0.2">
      <c r="A54" s="686" t="s">
        <v>0</v>
      </c>
      <c r="B54" s="688" t="s">
        <v>50</v>
      </c>
      <c r="C54" s="689"/>
      <c r="D54" s="690"/>
      <c r="E54" s="688" t="s">
        <v>51</v>
      </c>
      <c r="F54" s="689"/>
      <c r="G54" s="690"/>
      <c r="H54" s="688" t="s">
        <v>421</v>
      </c>
      <c r="I54" s="689"/>
      <c r="J54" s="690"/>
    </row>
    <row r="55" spans="1:10" ht="14.1" customHeight="1" x14ac:dyDescent="0.2">
      <c r="A55" s="687"/>
      <c r="B55" s="363">
        <v>2024</v>
      </c>
      <c r="C55" s="363">
        <v>2025</v>
      </c>
      <c r="D55" s="363" t="s">
        <v>1</v>
      </c>
      <c r="E55" s="363">
        <v>2024</v>
      </c>
      <c r="F55" s="363">
        <v>2025</v>
      </c>
      <c r="G55" s="363" t="s">
        <v>1</v>
      </c>
      <c r="H55" s="363">
        <v>2024</v>
      </c>
      <c r="I55" s="363">
        <v>2025</v>
      </c>
      <c r="J55" s="363" t="s">
        <v>1</v>
      </c>
    </row>
    <row r="56" spans="1:10" ht="5.0999999999999996" customHeight="1" x14ac:dyDescent="0.2"/>
    <row r="57" spans="1:10" ht="12.95" customHeight="1" x14ac:dyDescent="0.2">
      <c r="A57" s="452" t="s">
        <v>414</v>
      </c>
      <c r="B57" s="447">
        <f>AVERAGE(B58:B69)</f>
        <v>2332.8727272727269</v>
      </c>
      <c r="C57" s="447">
        <f>AVERAGE(C58:C69)</f>
        <v>2095.9833333333336</v>
      </c>
      <c r="D57" s="392">
        <f t="shared" ref="D57:D69" si="15">((C57/B57) -      1)*100</f>
        <v>-10.154407103739938</v>
      </c>
      <c r="E57" s="436">
        <f t="shared" ref="E57:F57" si="16">AVERAGE(E58:E69)</f>
        <v>3562.5</v>
      </c>
      <c r="F57" s="436">
        <f t="shared" si="16"/>
        <v>3414.4666666666667</v>
      </c>
      <c r="G57" s="392">
        <f>((F57/E57) -      1)*100</f>
        <v>-4.1553216374269013</v>
      </c>
      <c r="H57" s="436">
        <f t="shared" ref="H57:I57" si="17">AVERAGE(H58:H69)</f>
        <v>2550</v>
      </c>
      <c r="I57" s="436">
        <f t="shared" si="17"/>
        <v>2663.0666666666666</v>
      </c>
      <c r="J57" s="392">
        <f>((I57/H57) -      1)*100</f>
        <v>4.4339869281045718</v>
      </c>
    </row>
    <row r="58" spans="1:10" ht="12.95" customHeight="1" x14ac:dyDescent="0.2">
      <c r="A58" s="579" t="s">
        <v>28</v>
      </c>
      <c r="B58" s="439">
        <v>2086.6</v>
      </c>
      <c r="C58" s="439">
        <v>1860</v>
      </c>
      <c r="D58" s="394">
        <f t="shared" si="15"/>
        <v>-10.859771877695767</v>
      </c>
      <c r="E58" s="437">
        <v>3750</v>
      </c>
      <c r="F58" s="437">
        <v>3500</v>
      </c>
      <c r="G58" s="394">
        <f>((F58/E58) -      1)*100</f>
        <v>-6.6666666666666652</v>
      </c>
      <c r="H58" s="437">
        <v>2500</v>
      </c>
      <c r="I58" s="439" t="s">
        <v>423</v>
      </c>
      <c r="J58" s="394" t="s">
        <v>410</v>
      </c>
    </row>
    <row r="59" spans="1:10" ht="12.95" customHeight="1" x14ac:dyDescent="0.2">
      <c r="A59" s="579" t="s">
        <v>82</v>
      </c>
      <c r="B59" s="439">
        <v>2700</v>
      </c>
      <c r="C59" s="439">
        <v>2500</v>
      </c>
      <c r="D59" s="394">
        <f t="shared" si="15"/>
        <v>-7.4074074074074066</v>
      </c>
      <c r="E59" s="439" t="s">
        <v>423</v>
      </c>
      <c r="F59" s="439" t="s">
        <v>423</v>
      </c>
      <c r="G59" s="394" t="s">
        <v>410</v>
      </c>
      <c r="H59" s="439" t="s">
        <v>423</v>
      </c>
      <c r="I59" s="439" t="s">
        <v>423</v>
      </c>
      <c r="J59" s="394" t="s">
        <v>410</v>
      </c>
    </row>
    <row r="60" spans="1:10" ht="12.95" customHeight="1" x14ac:dyDescent="0.2">
      <c r="A60" s="579" t="s">
        <v>29</v>
      </c>
      <c r="B60" s="439">
        <v>2010</v>
      </c>
      <c r="C60" s="439">
        <v>1800</v>
      </c>
      <c r="D60" s="394">
        <f t="shared" si="15"/>
        <v>-10.447761194029848</v>
      </c>
      <c r="E60" s="437">
        <v>3215</v>
      </c>
      <c r="F60" s="437">
        <v>3193.4</v>
      </c>
      <c r="G60" s="394">
        <f>((F60/E60) -      1)*100</f>
        <v>-0.67185069984447843</v>
      </c>
      <c r="H60" s="437">
        <v>2400</v>
      </c>
      <c r="I60" s="437">
        <v>2540</v>
      </c>
      <c r="J60" s="394">
        <f>((I60/H60) -      1)*100</f>
        <v>5.8333333333333348</v>
      </c>
    </row>
    <row r="61" spans="1:10" ht="12.95" customHeight="1" x14ac:dyDescent="0.2">
      <c r="A61" s="579" t="s">
        <v>30</v>
      </c>
      <c r="B61" s="439">
        <v>2480</v>
      </c>
      <c r="C61" s="439">
        <v>2150</v>
      </c>
      <c r="D61" s="394">
        <f t="shared" si="15"/>
        <v>-13.306451612903224</v>
      </c>
      <c r="E61" s="437">
        <v>4053.4</v>
      </c>
      <c r="F61" s="437">
        <v>3680</v>
      </c>
      <c r="G61" s="394">
        <f>((F61/E61) -      1)*100</f>
        <v>-9.2120195391523154</v>
      </c>
      <c r="H61" s="437">
        <v>3000</v>
      </c>
      <c r="I61" s="437">
        <v>2805</v>
      </c>
      <c r="J61" s="394">
        <f>((I61/H61) -      1)*100</f>
        <v>-6.4999999999999947</v>
      </c>
    </row>
    <row r="62" spans="1:10" ht="12.95" customHeight="1" x14ac:dyDescent="0.2">
      <c r="A62" s="579" t="s">
        <v>64</v>
      </c>
      <c r="B62" s="439">
        <v>2150</v>
      </c>
      <c r="C62" s="439">
        <v>2050</v>
      </c>
      <c r="D62" s="394">
        <f t="shared" si="15"/>
        <v>-4.651162790697672</v>
      </c>
      <c r="E62" s="439" t="s">
        <v>423</v>
      </c>
      <c r="F62" s="439" t="s">
        <v>423</v>
      </c>
      <c r="G62" s="394" t="s">
        <v>410</v>
      </c>
      <c r="H62" s="439" t="s">
        <v>423</v>
      </c>
      <c r="I62" s="439" t="s">
        <v>423</v>
      </c>
      <c r="J62" s="394" t="s">
        <v>410</v>
      </c>
    </row>
    <row r="63" spans="1:10" ht="12.95" customHeight="1" x14ac:dyDescent="0.2">
      <c r="A63" s="579" t="s">
        <v>31</v>
      </c>
      <c r="B63" s="439">
        <v>2100</v>
      </c>
      <c r="C63" s="439">
        <v>1933.4</v>
      </c>
      <c r="D63" s="394">
        <f t="shared" si="15"/>
        <v>-7.9333333333333256</v>
      </c>
      <c r="E63" s="439" t="s">
        <v>423</v>
      </c>
      <c r="F63" s="439" t="s">
        <v>423</v>
      </c>
      <c r="G63" s="394" t="s">
        <v>410</v>
      </c>
      <c r="H63" s="439" t="s">
        <v>423</v>
      </c>
      <c r="I63" s="439" t="s">
        <v>423</v>
      </c>
      <c r="J63" s="394" t="s">
        <v>410</v>
      </c>
    </row>
    <row r="64" spans="1:10" ht="12.95" customHeight="1" x14ac:dyDescent="0.2">
      <c r="A64" s="579" t="s">
        <v>54</v>
      </c>
      <c r="B64" s="439" t="s">
        <v>423</v>
      </c>
      <c r="C64" s="439">
        <v>1900</v>
      </c>
      <c r="D64" s="394" t="s">
        <v>410</v>
      </c>
      <c r="E64" s="437">
        <v>3246.6</v>
      </c>
      <c r="F64" s="437">
        <v>3253.4</v>
      </c>
      <c r="G64" s="394">
        <f>((F64/E64) -      1)*100</f>
        <v>0.20944988603461834</v>
      </c>
      <c r="H64" s="437">
        <v>2400</v>
      </c>
      <c r="I64" s="437">
        <v>2413.4</v>
      </c>
      <c r="J64" s="394">
        <f>((I64/H64) -      1)*100</f>
        <v>0.55833333333332735</v>
      </c>
    </row>
    <row r="65" spans="1:10" ht="12.95" customHeight="1" x14ac:dyDescent="0.2">
      <c r="A65" s="579" t="s">
        <v>83</v>
      </c>
      <c r="B65" s="439">
        <v>3000</v>
      </c>
      <c r="C65" s="439">
        <v>2800</v>
      </c>
      <c r="D65" s="394">
        <f t="shared" si="15"/>
        <v>-6.6666666666666652</v>
      </c>
      <c r="E65" s="439" t="s">
        <v>423</v>
      </c>
      <c r="F65" s="439" t="s">
        <v>423</v>
      </c>
      <c r="G65" s="394" t="s">
        <v>410</v>
      </c>
      <c r="H65" s="437">
        <v>2400</v>
      </c>
      <c r="I65" s="437">
        <v>3200</v>
      </c>
      <c r="J65" s="394">
        <f>((I65/H65) -      1)*100</f>
        <v>33.333333333333329</v>
      </c>
    </row>
    <row r="66" spans="1:10" ht="12.95" customHeight="1" x14ac:dyDescent="0.2">
      <c r="A66" s="579" t="s">
        <v>32</v>
      </c>
      <c r="B66" s="439">
        <v>2240</v>
      </c>
      <c r="C66" s="439">
        <v>1965</v>
      </c>
      <c r="D66" s="394">
        <f t="shared" si="15"/>
        <v>-12.27678571428571</v>
      </c>
      <c r="E66" s="439" t="s">
        <v>423</v>
      </c>
      <c r="F66" s="439" t="s">
        <v>423</v>
      </c>
      <c r="G66" s="394" t="s">
        <v>410</v>
      </c>
      <c r="H66" s="439" t="s">
        <v>423</v>
      </c>
      <c r="I66" s="439" t="s">
        <v>423</v>
      </c>
      <c r="J66" s="394" t="s">
        <v>410</v>
      </c>
    </row>
    <row r="67" spans="1:10" ht="12.95" customHeight="1" x14ac:dyDescent="0.2">
      <c r="A67" s="579" t="s">
        <v>33</v>
      </c>
      <c r="B67" s="439">
        <v>2550</v>
      </c>
      <c r="C67" s="439">
        <v>2433.4</v>
      </c>
      <c r="D67" s="394">
        <f t="shared" si="15"/>
        <v>-4.5725490196078411</v>
      </c>
      <c r="E67" s="439" t="s">
        <v>423</v>
      </c>
      <c r="F67" s="439" t="s">
        <v>423</v>
      </c>
      <c r="G67" s="394" t="s">
        <v>410</v>
      </c>
      <c r="H67" s="439" t="s">
        <v>423</v>
      </c>
      <c r="I67" s="439" t="s">
        <v>423</v>
      </c>
      <c r="J67" s="394" t="s">
        <v>410</v>
      </c>
    </row>
    <row r="68" spans="1:10" ht="12.95" customHeight="1" x14ac:dyDescent="0.2">
      <c r="A68" s="579" t="s">
        <v>34</v>
      </c>
      <c r="B68" s="439">
        <v>2195</v>
      </c>
      <c r="C68" s="439">
        <v>1910</v>
      </c>
      <c r="D68" s="394">
        <f t="shared" si="15"/>
        <v>-12.98405466970387</v>
      </c>
      <c r="E68" s="437">
        <v>3600</v>
      </c>
      <c r="F68" s="437">
        <v>3360</v>
      </c>
      <c r="G68" s="394">
        <f>((F68/E68) -      1)*100</f>
        <v>-6.6666666666666652</v>
      </c>
      <c r="H68" s="437">
        <v>2600</v>
      </c>
      <c r="I68" s="437">
        <v>2620</v>
      </c>
      <c r="J68" s="394">
        <f>((I68/H68) -      1)*100</f>
        <v>0.7692307692307665</v>
      </c>
    </row>
    <row r="69" spans="1:10" ht="12.95" customHeight="1" x14ac:dyDescent="0.2">
      <c r="A69" s="579" t="s">
        <v>66</v>
      </c>
      <c r="B69" s="439">
        <v>2150</v>
      </c>
      <c r="C69" s="439">
        <v>1850</v>
      </c>
      <c r="D69" s="394">
        <f t="shared" si="15"/>
        <v>-13.953488372093027</v>
      </c>
      <c r="E69" s="437">
        <v>3510</v>
      </c>
      <c r="F69" s="437">
        <v>3500</v>
      </c>
      <c r="G69" s="394">
        <f>((F69/E69) -      1)*100</f>
        <v>-0.28490028490028019</v>
      </c>
      <c r="H69" s="439" t="s">
        <v>423</v>
      </c>
      <c r="I69" s="437">
        <v>2400</v>
      </c>
      <c r="J69" s="394" t="s">
        <v>410</v>
      </c>
    </row>
    <row r="70" spans="1:10" ht="12.95" customHeight="1" x14ac:dyDescent="0.2">
      <c r="A70" s="452" t="s">
        <v>35</v>
      </c>
      <c r="B70" s="447">
        <f>AVERAGE(B71:B73)</f>
        <v>2220</v>
      </c>
      <c r="C70" s="447">
        <f>AVERAGE(C71:C73)</f>
        <v>1966.6666666666667</v>
      </c>
      <c r="D70" s="392">
        <f t="shared" ref="D70:D74" si="18">((C70/B70)-    1)*100</f>
        <v>-11.411411411411409</v>
      </c>
      <c r="E70" s="436">
        <f t="shared" ref="E70" si="19">AVERAGE(E71:E73)</f>
        <v>3499</v>
      </c>
      <c r="F70" s="436">
        <f>AVERAGE(F71:F73)</f>
        <v>3241.6666666666665</v>
      </c>
      <c r="G70" s="392">
        <f>((F70/E70)-    1)*100</f>
        <v>-7.3544822330189668</v>
      </c>
      <c r="H70" s="436">
        <f t="shared" ref="H70" si="20">AVERAGE(H71:H73)</f>
        <v>2870</v>
      </c>
      <c r="I70" s="436">
        <f>AVERAGE(I71:I73)</f>
        <v>2698.3333333333335</v>
      </c>
      <c r="J70" s="392">
        <f t="shared" ref="J70:J74" si="21">((I70/H70)-    1)*100</f>
        <v>-5.9814169570267079</v>
      </c>
    </row>
    <row r="71" spans="1:10" ht="12.95" customHeight="1" x14ac:dyDescent="0.2">
      <c r="A71" s="579" t="s">
        <v>36</v>
      </c>
      <c r="B71" s="439">
        <v>2110</v>
      </c>
      <c r="C71" s="439">
        <v>1930</v>
      </c>
      <c r="D71" s="394">
        <f t="shared" si="18"/>
        <v>-8.5308056872037916</v>
      </c>
      <c r="E71" s="437">
        <v>3390</v>
      </c>
      <c r="F71" s="437">
        <v>3205</v>
      </c>
      <c r="G71" s="394">
        <f>((F71/E71)-    1)*100</f>
        <v>-5.4572271386430726</v>
      </c>
      <c r="H71" s="437">
        <v>2715</v>
      </c>
      <c r="I71" s="437">
        <v>2670</v>
      </c>
      <c r="J71" s="394">
        <f t="shared" si="21"/>
        <v>-1.6574585635359074</v>
      </c>
    </row>
    <row r="72" spans="1:10" ht="12.95" customHeight="1" x14ac:dyDescent="0.2">
      <c r="A72" s="579" t="s">
        <v>37</v>
      </c>
      <c r="B72" s="439">
        <v>2320</v>
      </c>
      <c r="C72" s="439">
        <v>2020</v>
      </c>
      <c r="D72" s="394">
        <f t="shared" si="18"/>
        <v>-12.931034482758619</v>
      </c>
      <c r="E72" s="437">
        <v>3620</v>
      </c>
      <c r="F72" s="437">
        <v>3315</v>
      </c>
      <c r="G72" s="394">
        <f>((F72/E72)-    1)*100</f>
        <v>-8.4254143646408828</v>
      </c>
      <c r="H72" s="437">
        <v>3035</v>
      </c>
      <c r="I72" s="437">
        <v>2755</v>
      </c>
      <c r="J72" s="394">
        <f t="shared" si="21"/>
        <v>-9.2257001647446444</v>
      </c>
    </row>
    <row r="73" spans="1:10" ht="12.95" customHeight="1" x14ac:dyDescent="0.2">
      <c r="A73" s="579" t="s">
        <v>38</v>
      </c>
      <c r="B73" s="439">
        <v>2230</v>
      </c>
      <c r="C73" s="439">
        <v>1950</v>
      </c>
      <c r="D73" s="394">
        <f t="shared" si="18"/>
        <v>-12.556053811659195</v>
      </c>
      <c r="E73" s="437">
        <v>3487</v>
      </c>
      <c r="F73" s="437">
        <v>3205</v>
      </c>
      <c r="G73" s="394">
        <f>((F73/E73)-    1)*100</f>
        <v>-8.0871809578434206</v>
      </c>
      <c r="H73" s="437">
        <v>2860</v>
      </c>
      <c r="I73" s="437">
        <v>2670</v>
      </c>
      <c r="J73" s="394">
        <f t="shared" si="21"/>
        <v>-6.643356643356646</v>
      </c>
    </row>
    <row r="74" spans="1:10" ht="12.95" customHeight="1" x14ac:dyDescent="0.2">
      <c r="A74" s="565" t="s">
        <v>189</v>
      </c>
      <c r="B74" s="514">
        <v>2487</v>
      </c>
      <c r="C74" s="514">
        <v>1970</v>
      </c>
      <c r="D74" s="376">
        <f t="shared" si="18"/>
        <v>-20.788098110172903</v>
      </c>
      <c r="E74" s="436">
        <v>3502</v>
      </c>
      <c r="F74" s="436">
        <v>3490</v>
      </c>
      <c r="G74" s="392">
        <f t="shared" ref="G74" si="22">((F74/E74)-    1)*100</f>
        <v>-0.34266133637921303</v>
      </c>
      <c r="H74" s="522">
        <v>2794</v>
      </c>
      <c r="I74" s="522">
        <v>3050</v>
      </c>
      <c r="J74" s="376">
        <f t="shared" si="21"/>
        <v>9.1624910522548397</v>
      </c>
    </row>
    <row r="75" spans="1:10" ht="12.95" customHeight="1" x14ac:dyDescent="0.2">
      <c r="A75" s="568" t="s">
        <v>194</v>
      </c>
      <c r="B75" s="514">
        <f>AVERAGE(B76:B77)</f>
        <v>2500</v>
      </c>
      <c r="C75" s="514">
        <f>AVERAGE(C76:C77)</f>
        <v>2850</v>
      </c>
      <c r="D75" s="576">
        <f>((C75/B75) -     1)*100</f>
        <v>13.999999999999989</v>
      </c>
      <c r="E75" s="436">
        <f t="shared" ref="E75" si="23">AVERAGE(E76:E77)</f>
        <v>3600</v>
      </c>
      <c r="F75" s="436">
        <f>AVERAGE(F76:F77)</f>
        <v>3466.7</v>
      </c>
      <c r="G75" s="376">
        <f>((F75/E75) -     1)*100</f>
        <v>-3.7027777777777882</v>
      </c>
      <c r="H75" s="436">
        <f t="shared" ref="H75" si="24">AVERAGE(H76:H77)</f>
        <v>3233</v>
      </c>
      <c r="I75" s="436">
        <f>AVERAGE(I76:I77)</f>
        <v>2900</v>
      </c>
      <c r="J75" s="376">
        <f>((I75/H75) -     1)*100</f>
        <v>-10.300030931023818</v>
      </c>
    </row>
    <row r="76" spans="1:10" ht="12.95" customHeight="1" x14ac:dyDescent="0.2">
      <c r="A76" s="579" t="s">
        <v>197</v>
      </c>
      <c r="B76" s="592">
        <v>2500</v>
      </c>
      <c r="C76" s="592">
        <v>2200</v>
      </c>
      <c r="D76" s="577">
        <f>((C76/B76) -     1)*100</f>
        <v>-12</v>
      </c>
      <c r="E76" s="437">
        <v>3600</v>
      </c>
      <c r="F76" s="437">
        <v>3433.4</v>
      </c>
      <c r="G76" s="373">
        <f>((F76/E76) -     1)*100</f>
        <v>-4.6277777777777747</v>
      </c>
      <c r="H76" s="437">
        <v>3233</v>
      </c>
      <c r="I76" s="437">
        <v>2900</v>
      </c>
      <c r="J76" s="580">
        <f>((I76/H76) -     1)*100</f>
        <v>-10.300030931023818</v>
      </c>
    </row>
    <row r="77" spans="1:10" ht="12.95" customHeight="1" x14ac:dyDescent="0.2">
      <c r="A77" s="579" t="s">
        <v>196</v>
      </c>
      <c r="B77" s="439" t="s">
        <v>423</v>
      </c>
      <c r="C77" s="439">
        <v>3500</v>
      </c>
      <c r="D77" s="394" t="s">
        <v>410</v>
      </c>
      <c r="E77" s="439" t="s">
        <v>423</v>
      </c>
      <c r="F77" s="437">
        <v>3500</v>
      </c>
      <c r="G77" s="394" t="s">
        <v>410</v>
      </c>
      <c r="H77" s="439" t="s">
        <v>423</v>
      </c>
      <c r="I77" s="439" t="s">
        <v>423</v>
      </c>
      <c r="J77" s="580" t="s">
        <v>49</v>
      </c>
    </row>
    <row r="78" spans="1:10" ht="12.95" customHeight="1" x14ac:dyDescent="0.2">
      <c r="A78" s="452" t="s">
        <v>39</v>
      </c>
      <c r="B78" s="447">
        <f>AVERAGE(B79:B81)</f>
        <v>2718.3333333333335</v>
      </c>
      <c r="C78" s="447">
        <f>AVERAGE(C79:C81)</f>
        <v>2423.6666666666665</v>
      </c>
      <c r="D78" s="392">
        <f t="shared" ref="D78:D90" si="25">((C78/B78) -      1)*100</f>
        <v>-10.839975475168618</v>
      </c>
      <c r="E78" s="436">
        <f t="shared" ref="E78:F78" si="26">AVERAGE(E79:E81)</f>
        <v>2970</v>
      </c>
      <c r="F78" s="436">
        <f t="shared" si="26"/>
        <v>3396.5</v>
      </c>
      <c r="G78" s="392">
        <f>((F78/E78) -      1)*100</f>
        <v>14.360269360269351</v>
      </c>
      <c r="H78" s="436">
        <f t="shared" ref="H78:I78" si="27">AVERAGE(H79:H81)</f>
        <v>3525</v>
      </c>
      <c r="I78" s="436">
        <f t="shared" si="27"/>
        <v>2898</v>
      </c>
      <c r="J78" s="392">
        <f>((I78/H78) -      1)*100</f>
        <v>-17.787234042553191</v>
      </c>
    </row>
    <row r="79" spans="1:10" ht="12.95" customHeight="1" x14ac:dyDescent="0.2">
      <c r="A79" s="579" t="s">
        <v>415</v>
      </c>
      <c r="B79" s="592">
        <v>2500</v>
      </c>
      <c r="C79" s="592">
        <v>2700</v>
      </c>
      <c r="D79" s="394">
        <f>((C79/B79) -      1)*100</f>
        <v>8.0000000000000071</v>
      </c>
      <c r="E79" s="439" t="s">
        <v>423</v>
      </c>
      <c r="F79" s="439" t="s">
        <v>423</v>
      </c>
      <c r="G79" s="593" t="s">
        <v>426</v>
      </c>
      <c r="H79" s="439" t="s">
        <v>423</v>
      </c>
      <c r="I79" s="439" t="s">
        <v>423</v>
      </c>
      <c r="J79" s="593" t="s">
        <v>426</v>
      </c>
    </row>
    <row r="80" spans="1:10" ht="12.95" customHeight="1" x14ac:dyDescent="0.2">
      <c r="A80" s="579" t="s">
        <v>40</v>
      </c>
      <c r="B80" s="439">
        <v>2800</v>
      </c>
      <c r="C80" s="439">
        <v>2302</v>
      </c>
      <c r="D80" s="394">
        <f t="shared" si="25"/>
        <v>-17.785714285714281</v>
      </c>
      <c r="E80" s="437">
        <v>3440</v>
      </c>
      <c r="F80" s="437">
        <v>3448</v>
      </c>
      <c r="G80" s="394">
        <f>((F80/E80) -      1)*100</f>
        <v>0.23255813953488857</v>
      </c>
      <c r="H80" s="437">
        <v>3750</v>
      </c>
      <c r="I80" s="437">
        <v>2996</v>
      </c>
      <c r="J80" s="394">
        <f>((I80/H80) -      1)*100</f>
        <v>-20.106666666666662</v>
      </c>
    </row>
    <row r="81" spans="1:10" ht="12.95" customHeight="1" x14ac:dyDescent="0.2">
      <c r="A81" s="579" t="s">
        <v>41</v>
      </c>
      <c r="B81" s="439">
        <v>2855</v>
      </c>
      <c r="C81" s="439">
        <v>2269</v>
      </c>
      <c r="D81" s="394">
        <f t="shared" si="25"/>
        <v>-20.525394045534149</v>
      </c>
      <c r="E81" s="437">
        <v>2500</v>
      </c>
      <c r="F81" s="437">
        <v>3345</v>
      </c>
      <c r="G81" s="394">
        <f t="shared" ref="G81" si="28">((F81/E81) -      1)*100</f>
        <v>33.800000000000011</v>
      </c>
      <c r="H81" s="437">
        <v>3300</v>
      </c>
      <c r="I81" s="437">
        <v>2800</v>
      </c>
      <c r="J81" s="394">
        <f>((I81/H81) -      1)*100</f>
        <v>-15.151515151515149</v>
      </c>
    </row>
    <row r="82" spans="1:10" ht="12.95" customHeight="1" x14ac:dyDescent="0.2">
      <c r="A82" s="452" t="s">
        <v>42</v>
      </c>
      <c r="B82" s="447">
        <f>AVERAGE(B83:B84)</f>
        <v>3216.5</v>
      </c>
      <c r="C82" s="447">
        <f>AVERAGE(C83:C84)</f>
        <v>3050</v>
      </c>
      <c r="D82" s="392">
        <f t="shared" si="25"/>
        <v>-5.1764340121249752</v>
      </c>
      <c r="E82" s="436">
        <f>AVERAGE(E83:E84)</f>
        <v>3167</v>
      </c>
      <c r="F82" s="436">
        <f>AVERAGE(F83:F84)</f>
        <v>3280</v>
      </c>
      <c r="G82" s="392">
        <f>((F82/E82) -      1)*100</f>
        <v>3.5680454688980179</v>
      </c>
      <c r="H82" s="436">
        <f>AVERAGE(H83:H84)</f>
        <v>2267</v>
      </c>
      <c r="I82" s="436">
        <f>AVERAGE(I83:I84)</f>
        <v>2850</v>
      </c>
      <c r="J82" s="392">
        <f>((I82/H82) -      1)*100</f>
        <v>25.716806352007062</v>
      </c>
    </row>
    <row r="83" spans="1:10" ht="12.95" customHeight="1" x14ac:dyDescent="0.2">
      <c r="A83" s="579" t="s">
        <v>44</v>
      </c>
      <c r="B83" s="439">
        <v>3633</v>
      </c>
      <c r="C83" s="439">
        <v>3800</v>
      </c>
      <c r="D83" s="394">
        <f t="shared" si="25"/>
        <v>4.5967519955959268</v>
      </c>
      <c r="E83" s="439" t="s">
        <v>423</v>
      </c>
      <c r="F83" s="439" t="s">
        <v>423</v>
      </c>
      <c r="G83" s="394" t="s">
        <v>410</v>
      </c>
      <c r="H83" s="439" t="s">
        <v>423</v>
      </c>
      <c r="I83" s="439" t="s">
        <v>423</v>
      </c>
      <c r="J83" s="394" t="s">
        <v>410</v>
      </c>
    </row>
    <row r="84" spans="1:10" ht="12.95" customHeight="1" x14ac:dyDescent="0.2">
      <c r="A84" s="579" t="s">
        <v>427</v>
      </c>
      <c r="B84" s="592">
        <v>2800</v>
      </c>
      <c r="C84" s="592">
        <v>2300</v>
      </c>
      <c r="D84" s="394">
        <f t="shared" si="25"/>
        <v>-17.857142857142861</v>
      </c>
      <c r="E84" s="439">
        <v>3167</v>
      </c>
      <c r="F84" s="439">
        <v>3280</v>
      </c>
      <c r="G84" s="394">
        <f>((F84/E84) -      1)*100</f>
        <v>3.5680454688980179</v>
      </c>
      <c r="H84" s="437">
        <v>2267</v>
      </c>
      <c r="I84" s="437">
        <v>2850</v>
      </c>
      <c r="J84" s="394">
        <f>((I84/H84) -      1)*100</f>
        <v>25.716806352007062</v>
      </c>
    </row>
    <row r="85" spans="1:10" ht="12.95" customHeight="1" x14ac:dyDescent="0.25">
      <c r="A85" s="421" t="s">
        <v>198</v>
      </c>
      <c r="B85" s="389" t="s">
        <v>422</v>
      </c>
      <c r="C85" s="447">
        <f>AVERAGE(C86:C88)</f>
        <v>2663.3333333333335</v>
      </c>
      <c r="D85" s="377" t="s">
        <v>410</v>
      </c>
      <c r="E85" s="389" t="s">
        <v>423</v>
      </c>
      <c r="F85" s="447" t="s">
        <v>423</v>
      </c>
      <c r="G85" s="453" t="s">
        <v>410</v>
      </c>
      <c r="H85" s="594" t="s">
        <v>467</v>
      </c>
      <c r="I85" s="594" t="s">
        <v>467</v>
      </c>
      <c r="J85" s="403" t="s">
        <v>410</v>
      </c>
    </row>
    <row r="86" spans="1:10" ht="12.95" customHeight="1" x14ac:dyDescent="0.25">
      <c r="A86" s="378" t="s">
        <v>65</v>
      </c>
      <c r="B86" s="388" t="s">
        <v>422</v>
      </c>
      <c r="C86" s="592">
        <v>2450</v>
      </c>
      <c r="D86" s="375" t="s">
        <v>410</v>
      </c>
      <c r="E86" s="388" t="s">
        <v>423</v>
      </c>
      <c r="F86" s="439" t="s">
        <v>423</v>
      </c>
      <c r="G86" s="440" t="s">
        <v>410</v>
      </c>
      <c r="H86" s="531" t="s">
        <v>467</v>
      </c>
      <c r="I86" s="531" t="s">
        <v>467</v>
      </c>
      <c r="J86" s="449" t="s">
        <v>410</v>
      </c>
    </row>
    <row r="87" spans="1:10" ht="12.95" customHeight="1" x14ac:dyDescent="0.25">
      <c r="A87" s="378" t="s">
        <v>199</v>
      </c>
      <c r="B87" s="388" t="s">
        <v>422</v>
      </c>
      <c r="C87" s="592">
        <v>2500</v>
      </c>
      <c r="D87" s="375" t="s">
        <v>410</v>
      </c>
      <c r="E87" s="388" t="s">
        <v>423</v>
      </c>
      <c r="F87" s="439" t="s">
        <v>423</v>
      </c>
      <c r="G87" s="440" t="s">
        <v>410</v>
      </c>
      <c r="H87" s="531" t="s">
        <v>467</v>
      </c>
      <c r="I87" s="531" t="s">
        <v>467</v>
      </c>
      <c r="J87" s="449" t="s">
        <v>410</v>
      </c>
    </row>
    <row r="88" spans="1:10" ht="12.95" customHeight="1" x14ac:dyDescent="0.25">
      <c r="A88" s="378" t="s">
        <v>201</v>
      </c>
      <c r="B88" s="388" t="s">
        <v>422</v>
      </c>
      <c r="C88" s="592">
        <v>3040</v>
      </c>
      <c r="D88" s="375" t="s">
        <v>410</v>
      </c>
      <c r="E88" s="388" t="s">
        <v>423</v>
      </c>
      <c r="F88" s="439" t="s">
        <v>423</v>
      </c>
      <c r="G88" s="440" t="s">
        <v>410</v>
      </c>
      <c r="H88" s="531" t="s">
        <v>467</v>
      </c>
      <c r="I88" s="531" t="s">
        <v>467</v>
      </c>
      <c r="J88" s="449" t="s">
        <v>410</v>
      </c>
    </row>
    <row r="89" spans="1:10" ht="12.95" customHeight="1" x14ac:dyDescent="0.25">
      <c r="A89" s="532" t="s">
        <v>84</v>
      </c>
      <c r="B89" s="447">
        <f>AVERAGE(B90:B91)</f>
        <v>2176.6999999999998</v>
      </c>
      <c r="C89" s="447">
        <f>AVERAGE(C90:C91)</f>
        <v>2110</v>
      </c>
      <c r="D89" s="403">
        <f t="shared" si="25"/>
        <v>-3.0642716038039142</v>
      </c>
      <c r="E89" s="447">
        <f>AVERAGE(E90:E91)</f>
        <v>3460</v>
      </c>
      <c r="F89" s="447">
        <f>AVERAGE(F90:F91)</f>
        <v>3460</v>
      </c>
      <c r="G89" s="403">
        <f>((F89/E89) -      1)*100</f>
        <v>0</v>
      </c>
      <c r="H89" s="436">
        <f>AVERAGE(H90:H91)</f>
        <v>2853.4</v>
      </c>
      <c r="I89" s="436">
        <f>AVERAGE(I90:I91)</f>
        <v>2890</v>
      </c>
      <c r="J89" s="403">
        <f>((I89/H89) -      1)*100</f>
        <v>1.2826803112076846</v>
      </c>
    </row>
    <row r="90" spans="1:10" ht="12.95" customHeight="1" x14ac:dyDescent="0.25">
      <c r="A90" s="579" t="s">
        <v>499</v>
      </c>
      <c r="B90" s="439">
        <v>2080</v>
      </c>
      <c r="C90" s="439">
        <v>2160</v>
      </c>
      <c r="D90" s="449">
        <f t="shared" si="25"/>
        <v>3.8461538461538547</v>
      </c>
      <c r="E90" s="439" t="s">
        <v>423</v>
      </c>
      <c r="F90" s="439" t="s">
        <v>423</v>
      </c>
      <c r="G90" s="440" t="s">
        <v>410</v>
      </c>
      <c r="H90" s="439" t="s">
        <v>423</v>
      </c>
      <c r="I90" s="439" t="s">
        <v>423</v>
      </c>
      <c r="J90" s="449" t="s">
        <v>410</v>
      </c>
    </row>
    <row r="91" spans="1:10" ht="12.95" customHeight="1" x14ac:dyDescent="0.25">
      <c r="A91" s="579" t="s">
        <v>60</v>
      </c>
      <c r="B91" s="527">
        <v>2273.4</v>
      </c>
      <c r="C91" s="527">
        <v>2060</v>
      </c>
      <c r="D91" s="449">
        <f>((C91/B91) -      1)*100</f>
        <v>-9.386821500835751</v>
      </c>
      <c r="E91" s="439">
        <v>3460</v>
      </c>
      <c r="F91" s="439">
        <v>3460</v>
      </c>
      <c r="G91" s="449">
        <f t="shared" ref="G91:G93" si="29">((F91/E91) -      1)*100</f>
        <v>0</v>
      </c>
      <c r="H91" s="437">
        <v>2853.4</v>
      </c>
      <c r="I91" s="437">
        <v>2890</v>
      </c>
      <c r="J91" s="449">
        <f>((I91/H91) -      1)*100</f>
        <v>1.2826803112076846</v>
      </c>
    </row>
    <row r="92" spans="1:10" ht="12.95" customHeight="1" x14ac:dyDescent="0.25">
      <c r="A92" s="565" t="s">
        <v>89</v>
      </c>
      <c r="B92" s="514">
        <f>AVERAGE(B93:B93)</f>
        <v>3400</v>
      </c>
      <c r="C92" s="514">
        <f>AVERAGE(C93:C94)</f>
        <v>2800</v>
      </c>
      <c r="D92" s="377">
        <f t="shared" ref="D92:D93" si="30">((C92/B92) -      1)*100</f>
        <v>-17.647058823529417</v>
      </c>
      <c r="E92" s="514">
        <f t="shared" ref="E92" si="31">AVERAGE(E93:E93)</f>
        <v>3433</v>
      </c>
      <c r="F92" s="514">
        <f>AVERAGE(F93:F93)</f>
        <v>2550</v>
      </c>
      <c r="G92" s="377">
        <f t="shared" si="29"/>
        <v>-25.720943780949611</v>
      </c>
      <c r="H92" s="436">
        <f t="shared" ref="H92" si="32">AVERAGE(H93:H93)</f>
        <v>2600</v>
      </c>
      <c r="I92" s="436">
        <f>AVERAGE(I93:I93)</f>
        <v>2800</v>
      </c>
      <c r="J92" s="403" t="s">
        <v>410</v>
      </c>
    </row>
    <row r="93" spans="1:10" ht="12.95" customHeight="1" x14ac:dyDescent="0.25">
      <c r="A93" s="579" t="s">
        <v>90</v>
      </c>
      <c r="B93" s="592">
        <v>3400</v>
      </c>
      <c r="C93" s="592">
        <v>2800</v>
      </c>
      <c r="D93" s="375">
        <f t="shared" si="30"/>
        <v>-17.647058823529417</v>
      </c>
      <c r="E93" s="592">
        <v>3433</v>
      </c>
      <c r="F93" s="592">
        <v>2550</v>
      </c>
      <c r="G93" s="375">
        <f t="shared" si="29"/>
        <v>-25.720943780949611</v>
      </c>
      <c r="H93" s="437">
        <v>2600</v>
      </c>
      <c r="I93" s="437">
        <v>2800</v>
      </c>
      <c r="J93" s="449" t="s">
        <v>410</v>
      </c>
    </row>
    <row r="94" spans="1:10" ht="12.95" customHeight="1" x14ac:dyDescent="0.25">
      <c r="A94" s="579" t="s">
        <v>546</v>
      </c>
      <c r="B94" s="388" t="s">
        <v>422</v>
      </c>
      <c r="C94" s="592">
        <v>2800</v>
      </c>
      <c r="D94" s="375" t="s">
        <v>410</v>
      </c>
      <c r="E94" s="388" t="s">
        <v>423</v>
      </c>
      <c r="F94" s="439" t="s">
        <v>423</v>
      </c>
      <c r="G94" s="440" t="s">
        <v>410</v>
      </c>
      <c r="H94" s="531" t="s">
        <v>467</v>
      </c>
      <c r="I94" s="531" t="s">
        <v>467</v>
      </c>
      <c r="J94" s="449" t="s">
        <v>410</v>
      </c>
    </row>
    <row r="95" spans="1:10" ht="12.95" customHeight="1" x14ac:dyDescent="0.2">
      <c r="A95" s="452" t="s">
        <v>71</v>
      </c>
      <c r="B95" s="447">
        <f>AVERAGE(B97:B98)</f>
        <v>2400</v>
      </c>
      <c r="C95" s="447">
        <f>AVERAGE(C97:C98)</f>
        <v>2215</v>
      </c>
      <c r="D95" s="392">
        <f>((C95/B95) -      1)*100</f>
        <v>-7.7083333333333286</v>
      </c>
      <c r="E95" s="447">
        <f t="shared" ref="E95" si="33">AVERAGE(E96:E98)</f>
        <v>3579</v>
      </c>
      <c r="F95" s="447">
        <f>AVERAGE(F96:F98)</f>
        <v>3360</v>
      </c>
      <c r="G95" s="392">
        <f>((F95/E95) -      1)*100</f>
        <v>-6.1190276613579231</v>
      </c>
      <c r="H95" s="436">
        <f t="shared" ref="H95" si="34">AVERAGE(H96:H98)</f>
        <v>3198.3333333333335</v>
      </c>
      <c r="I95" s="436">
        <f>AVERAGE(I96:I98)</f>
        <v>2662.3333333333335</v>
      </c>
      <c r="J95" s="392">
        <f>((I95/H95) -      1)*100</f>
        <v>-16.758728504429389</v>
      </c>
    </row>
    <row r="96" spans="1:10" ht="12.95" customHeight="1" x14ac:dyDescent="0.2">
      <c r="A96" s="579" t="s">
        <v>468</v>
      </c>
      <c r="B96" s="439" t="s">
        <v>423</v>
      </c>
      <c r="C96" s="439" t="s">
        <v>423</v>
      </c>
      <c r="D96" s="375" t="s">
        <v>410</v>
      </c>
      <c r="E96" s="439" t="s">
        <v>423</v>
      </c>
      <c r="F96" s="439" t="s">
        <v>423</v>
      </c>
      <c r="G96" s="394" t="s">
        <v>410</v>
      </c>
      <c r="H96" s="437">
        <v>3000</v>
      </c>
      <c r="I96" s="437">
        <v>2840</v>
      </c>
      <c r="J96" s="394">
        <f>((I96/H96) -      1)*100</f>
        <v>-5.3333333333333339</v>
      </c>
    </row>
    <row r="97" spans="1:10" ht="12.95" customHeight="1" x14ac:dyDescent="0.2">
      <c r="A97" s="579" t="s">
        <v>72</v>
      </c>
      <c r="B97" s="439">
        <v>2400</v>
      </c>
      <c r="C97" s="439">
        <v>1930</v>
      </c>
      <c r="D97" s="394">
        <f>((C97/B97) -      1)*100</f>
        <v>-19.583333333333329</v>
      </c>
      <c r="E97" s="592">
        <v>3433</v>
      </c>
      <c r="F97" s="592">
        <v>3220</v>
      </c>
      <c r="G97" s="394">
        <f t="shared" ref="G97:G100" si="35">((F97/E97) -      1)*100</f>
        <v>-6.2044858724148</v>
      </c>
      <c r="H97" s="437">
        <v>3220</v>
      </c>
      <c r="I97" s="437">
        <v>2647</v>
      </c>
      <c r="J97" s="394">
        <f>((I97/H97) -      1)*100</f>
        <v>-17.795031055900623</v>
      </c>
    </row>
    <row r="98" spans="1:10" ht="12.95" customHeight="1" x14ac:dyDescent="0.2">
      <c r="A98" s="579" t="s">
        <v>73</v>
      </c>
      <c r="B98" s="439">
        <v>2400</v>
      </c>
      <c r="C98" s="439">
        <v>2500</v>
      </c>
      <c r="D98" s="394">
        <f>((C98/B98) -      1)*100</f>
        <v>4.1666666666666741</v>
      </c>
      <c r="E98" s="439">
        <v>3725</v>
      </c>
      <c r="F98" s="439">
        <v>3500</v>
      </c>
      <c r="G98" s="394">
        <f t="shared" si="35"/>
        <v>-6.0402684563758413</v>
      </c>
      <c r="H98" s="520">
        <v>3375</v>
      </c>
      <c r="I98" s="520">
        <v>2500</v>
      </c>
      <c r="J98" s="394">
        <f>((I98/H98) -      1)*100</f>
        <v>-25.925925925925931</v>
      </c>
    </row>
    <row r="99" spans="1:10" ht="12.95" customHeight="1" x14ac:dyDescent="0.2">
      <c r="A99" s="452" t="s">
        <v>46</v>
      </c>
      <c r="B99" s="447">
        <f>AVERAGE(B100:B100)</f>
        <v>2230</v>
      </c>
      <c r="C99" s="447">
        <f>AVERAGE(C100:C100)</f>
        <v>2007</v>
      </c>
      <c r="D99" s="392">
        <f t="shared" ref="D99:D100" si="36">((C99/B99) -      1)*100</f>
        <v>-9.9999999999999982</v>
      </c>
      <c r="E99" s="447">
        <f>AVERAGE(E100:E100)</f>
        <v>3760</v>
      </c>
      <c r="F99" s="447">
        <f>AVERAGE(F100:F100)</f>
        <v>3500</v>
      </c>
      <c r="G99" s="392">
        <f t="shared" si="35"/>
        <v>-6.9148936170212778</v>
      </c>
      <c r="H99" s="447" t="s">
        <v>423</v>
      </c>
      <c r="I99" s="447" t="s">
        <v>423</v>
      </c>
      <c r="J99" s="392" t="s">
        <v>410</v>
      </c>
    </row>
    <row r="100" spans="1:10" ht="12.95" customHeight="1" x14ac:dyDescent="0.2">
      <c r="A100" s="595" t="s">
        <v>47</v>
      </c>
      <c r="B100" s="596">
        <v>2230</v>
      </c>
      <c r="C100" s="596">
        <v>2007</v>
      </c>
      <c r="D100" s="394">
        <f t="shared" si="36"/>
        <v>-9.9999999999999982</v>
      </c>
      <c r="E100" s="439">
        <v>3760</v>
      </c>
      <c r="F100" s="439">
        <v>3500</v>
      </c>
      <c r="G100" s="394">
        <f t="shared" si="35"/>
        <v>-6.9148936170212778</v>
      </c>
      <c r="H100" s="439" t="s">
        <v>423</v>
      </c>
      <c r="I100" s="439" t="s">
        <v>423</v>
      </c>
      <c r="J100" s="394" t="s">
        <v>410</v>
      </c>
    </row>
    <row r="101" spans="1:10" ht="9" customHeight="1" x14ac:dyDescent="0.2">
      <c r="A101" s="585" t="s">
        <v>87</v>
      </c>
      <c r="D101" s="4"/>
      <c r="E101" s="533"/>
      <c r="F101" s="533"/>
      <c r="G101" s="4"/>
      <c r="H101" s="533"/>
      <c r="I101" s="533"/>
      <c r="J101" s="4"/>
    </row>
    <row r="102" spans="1:10" ht="9" customHeight="1" x14ac:dyDescent="0.2">
      <c r="A102" s="586" t="s">
        <v>569</v>
      </c>
      <c r="E102" s="404"/>
      <c r="F102" s="404"/>
      <c r="H102" s="404"/>
      <c r="I102" s="404"/>
    </row>
    <row r="103" spans="1:10" ht="9" customHeight="1" x14ac:dyDescent="0.2">
      <c r="A103" s="586" t="s">
        <v>68</v>
      </c>
      <c r="E103" s="404"/>
      <c r="F103" s="404"/>
      <c r="H103" s="404"/>
      <c r="I103" s="404"/>
    </row>
    <row r="104" spans="1:10" ht="9" customHeight="1" x14ac:dyDescent="0.2"/>
    <row r="105" spans="1:10" ht="12.75" customHeight="1" x14ac:dyDescent="0.2"/>
    <row r="106" spans="1:10" ht="12.75" customHeight="1" x14ac:dyDescent="0.2"/>
    <row r="107" spans="1:10" ht="12.75" customHeight="1" x14ac:dyDescent="0.2"/>
    <row r="108" spans="1:10" ht="12.75" customHeight="1" x14ac:dyDescent="0.2"/>
    <row r="109" spans="1:10" ht="12.75" customHeight="1" x14ac:dyDescent="0.2"/>
    <row r="110" spans="1:10" ht="12.75" customHeight="1" x14ac:dyDescent="0.2"/>
    <row r="111" spans="1:10" ht="12.75" customHeight="1" x14ac:dyDescent="0.2"/>
    <row r="112" spans="1:10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</sheetData>
  <mergeCells count="9">
    <mergeCell ref="A54:A55"/>
    <mergeCell ref="B54:D54"/>
    <mergeCell ref="E54:G54"/>
    <mergeCell ref="H54:J54"/>
    <mergeCell ref="A5:A6"/>
    <mergeCell ref="B5:D5"/>
    <mergeCell ref="E5:G5"/>
    <mergeCell ref="H5:J5"/>
    <mergeCell ref="A53:F53"/>
  </mergeCells>
  <pageMargins left="0.27559055118110237" right="0.27559055118110237" top="0.39370078740157483" bottom="0.39370078740157483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618"/>
  <sheetViews>
    <sheetView showGridLines="0" zoomScaleNormal="100" workbookViewId="0">
      <selection sqref="A1:K73"/>
    </sheetView>
  </sheetViews>
  <sheetFormatPr baseColWidth="10" defaultColWidth="12.7109375" defaultRowHeight="15" customHeight="1" x14ac:dyDescent="0.2"/>
  <cols>
    <col min="1" max="1" width="16.28515625" style="2" customWidth="1"/>
    <col min="2" max="3" width="7.28515625" style="2" customWidth="1"/>
    <col min="4" max="4" width="6.7109375" style="2" customWidth="1"/>
    <col min="5" max="6" width="7.28515625" style="2" customWidth="1"/>
    <col min="7" max="7" width="6.7109375" style="2" customWidth="1"/>
    <col min="8" max="9" width="7.28515625" style="2" customWidth="1"/>
    <col min="10" max="10" width="6.7109375" style="2" customWidth="1"/>
    <col min="11" max="16384" width="12.7109375" style="2"/>
  </cols>
  <sheetData>
    <row r="1" spans="1:10" ht="21.75" customHeight="1" x14ac:dyDescent="0.25">
      <c r="A1" s="358" t="s">
        <v>599</v>
      </c>
      <c r="B1" s="359"/>
      <c r="C1" s="359"/>
      <c r="D1" s="360"/>
      <c r="E1" s="360"/>
      <c r="F1" s="360"/>
      <c r="G1" s="360"/>
      <c r="H1" s="360"/>
      <c r="I1" s="360"/>
      <c r="J1" s="360"/>
    </row>
    <row r="2" spans="1:10" ht="12" customHeight="1" x14ac:dyDescent="0.25">
      <c r="A2" s="361" t="s">
        <v>405</v>
      </c>
      <c r="B2" s="359"/>
      <c r="C2" s="359"/>
      <c r="D2" s="360"/>
      <c r="E2" s="360"/>
      <c r="F2" s="360"/>
      <c r="G2" s="360"/>
      <c r="H2" s="360"/>
      <c r="I2" s="360"/>
      <c r="J2" s="360"/>
    </row>
    <row r="3" spans="1:10" ht="5.0999999999999996" customHeight="1" x14ac:dyDescent="0.2">
      <c r="A3" s="360"/>
      <c r="B3" s="362"/>
      <c r="C3" s="362"/>
      <c r="D3" s="360"/>
      <c r="E3" s="360"/>
      <c r="F3" s="360"/>
      <c r="G3" s="360"/>
      <c r="H3" s="360"/>
      <c r="I3" s="360"/>
      <c r="J3" s="360"/>
    </row>
    <row r="4" spans="1:10" ht="14.1" customHeight="1" x14ac:dyDescent="0.2">
      <c r="A4" s="686" t="s">
        <v>0</v>
      </c>
      <c r="B4" s="688" t="s">
        <v>406</v>
      </c>
      <c r="C4" s="697"/>
      <c r="D4" s="698"/>
      <c r="E4" s="688" t="s">
        <v>407</v>
      </c>
      <c r="F4" s="697"/>
      <c r="G4" s="698"/>
      <c r="H4" s="688" t="s">
        <v>408</v>
      </c>
      <c r="I4" s="697"/>
      <c r="J4" s="698"/>
    </row>
    <row r="5" spans="1:10" ht="14.1" customHeight="1" x14ac:dyDescent="0.2">
      <c r="A5" s="696"/>
      <c r="B5" s="363">
        <v>2024</v>
      </c>
      <c r="C5" s="363">
        <v>2025</v>
      </c>
      <c r="D5" s="363" t="s">
        <v>1</v>
      </c>
      <c r="E5" s="363">
        <v>2024</v>
      </c>
      <c r="F5" s="363">
        <v>2025</v>
      </c>
      <c r="G5" s="363" t="s">
        <v>1</v>
      </c>
      <c r="H5" s="363">
        <v>2024</v>
      </c>
      <c r="I5" s="363">
        <v>2025</v>
      </c>
      <c r="J5" s="363" t="s">
        <v>1</v>
      </c>
    </row>
    <row r="6" spans="1:10" ht="3" customHeight="1" x14ac:dyDescent="0.2">
      <c r="A6" s="9"/>
      <c r="B6" s="9"/>
      <c r="C6" s="9"/>
      <c r="D6" s="9"/>
      <c r="E6" s="9"/>
      <c r="F6" s="364"/>
      <c r="G6" s="9"/>
      <c r="H6" s="9"/>
      <c r="I6" s="9"/>
      <c r="J6" s="365"/>
    </row>
    <row r="7" spans="1:10" ht="11.1" customHeight="1" x14ac:dyDescent="0.2">
      <c r="A7" s="565" t="s">
        <v>490</v>
      </c>
      <c r="B7" s="522">
        <f>AVERAGE(B8:B10)</f>
        <v>1110</v>
      </c>
      <c r="C7" s="522">
        <f>AVERAGE(C8:C10)</f>
        <v>1200</v>
      </c>
      <c r="D7" s="376">
        <f t="shared" ref="D7" si="0">((C7/B7) -      1)*100</f>
        <v>8.1081081081081141</v>
      </c>
      <c r="E7" s="522">
        <f>AVERAGE(E8:E10)</f>
        <v>400</v>
      </c>
      <c r="F7" s="522">
        <f>AVERAGE(F8:F10)</f>
        <v>1000</v>
      </c>
      <c r="G7" s="376">
        <f t="shared" ref="G7" si="1">((F7/E7) -      1)*100</f>
        <v>150</v>
      </c>
      <c r="H7" s="522">
        <f>AVERAGE(H8:H10)</f>
        <v>1570</v>
      </c>
      <c r="I7" s="522">
        <f>AVERAGE(I8:I10)</f>
        <v>986.66666666666663</v>
      </c>
      <c r="J7" s="368">
        <f t="shared" ref="J7:J8" si="2">((I7/H7) -      1)*100</f>
        <v>-37.154989384288747</v>
      </c>
    </row>
    <row r="8" spans="1:10" ht="11.1" customHeight="1" x14ac:dyDescent="0.2">
      <c r="A8" s="566" t="s">
        <v>491</v>
      </c>
      <c r="B8" s="521" t="s">
        <v>469</v>
      </c>
      <c r="C8" s="519">
        <v>1200</v>
      </c>
      <c r="D8" s="373" t="s">
        <v>410</v>
      </c>
      <c r="E8" s="401" t="s">
        <v>423</v>
      </c>
      <c r="F8" s="521" t="s">
        <v>469</v>
      </c>
      <c r="G8" s="373" t="s">
        <v>410</v>
      </c>
      <c r="H8" s="519">
        <v>1570</v>
      </c>
      <c r="I8" s="521">
        <v>1360</v>
      </c>
      <c r="J8" s="567">
        <f t="shared" si="2"/>
        <v>-13.375796178343947</v>
      </c>
    </row>
    <row r="9" spans="1:10" ht="11.1" customHeight="1" x14ac:dyDescent="0.2">
      <c r="A9" s="566" t="s">
        <v>492</v>
      </c>
      <c r="B9" s="519">
        <v>1200</v>
      </c>
      <c r="C9" s="519">
        <v>1200</v>
      </c>
      <c r="D9" s="373">
        <f t="shared" ref="D9:D10" si="3">((C9/B9) -      1)*100</f>
        <v>0</v>
      </c>
      <c r="E9" s="519">
        <v>400</v>
      </c>
      <c r="F9" s="519">
        <v>600</v>
      </c>
      <c r="G9" s="373">
        <f t="shared" ref="G9" si="4">((F9/E9) -      1)*100</f>
        <v>50</v>
      </c>
      <c r="H9" s="521" t="s">
        <v>469</v>
      </c>
      <c r="I9" s="372">
        <v>800</v>
      </c>
      <c r="J9" s="1" t="s">
        <v>410</v>
      </c>
    </row>
    <row r="10" spans="1:10" ht="11.1" customHeight="1" x14ac:dyDescent="0.2">
      <c r="A10" s="566" t="s">
        <v>493</v>
      </c>
      <c r="B10" s="519">
        <v>1020</v>
      </c>
      <c r="C10" s="519">
        <v>1200</v>
      </c>
      <c r="D10" s="373">
        <f t="shared" si="3"/>
        <v>17.647058823529417</v>
      </c>
      <c r="E10" s="401" t="s">
        <v>423</v>
      </c>
      <c r="F10" s="521">
        <v>1400</v>
      </c>
      <c r="G10" s="1" t="s">
        <v>410</v>
      </c>
      <c r="H10" s="521" t="s">
        <v>469</v>
      </c>
      <c r="I10" s="372">
        <v>800</v>
      </c>
      <c r="J10" s="1" t="s">
        <v>410</v>
      </c>
    </row>
    <row r="11" spans="1:10" ht="11.1" customHeight="1" x14ac:dyDescent="0.2">
      <c r="A11" s="411" t="s">
        <v>441</v>
      </c>
      <c r="B11" s="438" t="s">
        <v>469</v>
      </c>
      <c r="C11" s="407">
        <f>AVERAGE(C12:C12)</f>
        <v>1200</v>
      </c>
      <c r="D11" s="376" t="s">
        <v>410</v>
      </c>
      <c r="E11" s="402" t="s">
        <v>423</v>
      </c>
      <c r="F11" s="407">
        <f>AVERAGE(F12:F12)</f>
        <v>800</v>
      </c>
      <c r="G11" s="376" t="s">
        <v>410</v>
      </c>
      <c r="H11" s="534" t="s">
        <v>469</v>
      </c>
      <c r="I11" s="408">
        <f>AVERAGE(I12:I12)</f>
        <v>600</v>
      </c>
      <c r="J11" s="369" t="s">
        <v>410</v>
      </c>
    </row>
    <row r="12" spans="1:10" ht="11.1" customHeight="1" x14ac:dyDescent="0.2">
      <c r="A12" s="370" t="s">
        <v>444</v>
      </c>
      <c r="B12" s="438" t="s">
        <v>469</v>
      </c>
      <c r="C12" s="372">
        <v>1200</v>
      </c>
      <c r="D12" s="373" t="s">
        <v>410</v>
      </c>
      <c r="E12" s="401" t="s">
        <v>423</v>
      </c>
      <c r="F12" s="372">
        <v>800</v>
      </c>
      <c r="G12" s="373" t="s">
        <v>410</v>
      </c>
      <c r="H12" s="521" t="s">
        <v>469</v>
      </c>
      <c r="I12" s="372">
        <v>600</v>
      </c>
      <c r="J12" s="1" t="s">
        <v>410</v>
      </c>
    </row>
    <row r="13" spans="1:10" ht="11.1" customHeight="1" x14ac:dyDescent="0.2">
      <c r="A13" s="565" t="s">
        <v>77</v>
      </c>
      <c r="B13" s="522">
        <f>AVERAGE(B14:B16)</f>
        <v>1516.6666666666667</v>
      </c>
      <c r="C13" s="522">
        <f>AVERAGE(C14:C17)</f>
        <v>1601.5</v>
      </c>
      <c r="D13" s="522">
        <f t="shared" ref="D13:D16" si="5">((C13/B13) -      1)*100</f>
        <v>5.5934065934065913</v>
      </c>
      <c r="E13" s="522">
        <f>AVERAGE(E14:E16)</f>
        <v>945</v>
      </c>
      <c r="F13" s="522">
        <f>AVERAGE(F14:F16)</f>
        <v>1346</v>
      </c>
      <c r="G13" s="522">
        <f t="shared" ref="G13:G14" si="6">((F13/E13) -      1)*100</f>
        <v>42.433862433862423</v>
      </c>
      <c r="H13" s="522">
        <f>AVERAGE(H14:H16)</f>
        <v>487</v>
      </c>
      <c r="I13" s="522">
        <f>AVERAGE(I14:I16)</f>
        <v>631.5</v>
      </c>
      <c r="J13" s="369">
        <f t="shared" ref="J13:J14" si="7">((I13/H13) -      1)*100</f>
        <v>29.671457905544152</v>
      </c>
    </row>
    <row r="14" spans="1:10" ht="11.1" customHeight="1" x14ac:dyDescent="0.2">
      <c r="A14" s="566" t="s">
        <v>155</v>
      </c>
      <c r="B14" s="519">
        <v>1200</v>
      </c>
      <c r="C14" s="519">
        <v>1310</v>
      </c>
      <c r="D14" s="373">
        <f t="shared" si="5"/>
        <v>9.1666666666666572</v>
      </c>
      <c r="E14" s="519">
        <v>540</v>
      </c>
      <c r="F14" s="519">
        <v>1062</v>
      </c>
      <c r="G14" s="373">
        <f t="shared" si="6"/>
        <v>96.666666666666657</v>
      </c>
      <c r="H14" s="519">
        <v>487</v>
      </c>
      <c r="I14" s="519">
        <v>570</v>
      </c>
      <c r="J14" s="1">
        <f t="shared" si="7"/>
        <v>17.043121149897324</v>
      </c>
    </row>
    <row r="15" spans="1:10" ht="11.1" customHeight="1" x14ac:dyDescent="0.2">
      <c r="A15" s="566" t="s">
        <v>570</v>
      </c>
      <c r="B15" s="519">
        <v>1500</v>
      </c>
      <c r="C15" s="519">
        <v>1580</v>
      </c>
      <c r="D15" s="373">
        <f t="shared" si="5"/>
        <v>5.3333333333333233</v>
      </c>
      <c r="E15" s="401" t="s">
        <v>423</v>
      </c>
      <c r="F15" s="521" t="s">
        <v>469</v>
      </c>
      <c r="G15" s="1" t="s">
        <v>410</v>
      </c>
      <c r="H15" s="521" t="s">
        <v>469</v>
      </c>
      <c r="I15" s="521">
        <v>693</v>
      </c>
      <c r="J15" s="1" t="s">
        <v>410</v>
      </c>
    </row>
    <row r="16" spans="1:10" ht="11.1" customHeight="1" x14ac:dyDescent="0.2">
      <c r="A16" s="566" t="s">
        <v>411</v>
      </c>
      <c r="B16" s="519">
        <v>1850</v>
      </c>
      <c r="C16" s="519">
        <v>1923</v>
      </c>
      <c r="D16" s="1">
        <f t="shared" si="5"/>
        <v>3.9459459459459501</v>
      </c>
      <c r="E16" s="519">
        <v>1350</v>
      </c>
      <c r="F16" s="519">
        <v>1630</v>
      </c>
      <c r="G16" s="1">
        <f>((F16/E16) -      1)*100</f>
        <v>20.740740740740748</v>
      </c>
      <c r="H16" s="521" t="s">
        <v>469</v>
      </c>
      <c r="I16" s="521" t="s">
        <v>469</v>
      </c>
      <c r="J16" s="1" t="s">
        <v>410</v>
      </c>
    </row>
    <row r="17" spans="1:10" ht="11.1" customHeight="1" x14ac:dyDescent="0.2">
      <c r="A17" s="566" t="s">
        <v>161</v>
      </c>
      <c r="B17" s="521" t="s">
        <v>469</v>
      </c>
      <c r="C17" s="519">
        <v>1593</v>
      </c>
      <c r="D17" s="373" t="s">
        <v>410</v>
      </c>
      <c r="E17" s="401" t="s">
        <v>423</v>
      </c>
      <c r="F17" s="521" t="s">
        <v>469</v>
      </c>
      <c r="G17" s="1" t="s">
        <v>410</v>
      </c>
      <c r="H17" s="521" t="s">
        <v>469</v>
      </c>
      <c r="I17" s="521" t="s">
        <v>469</v>
      </c>
      <c r="J17" s="1" t="s">
        <v>410</v>
      </c>
    </row>
    <row r="18" spans="1:10" ht="11.1" customHeight="1" x14ac:dyDescent="0.2">
      <c r="A18" s="565" t="s">
        <v>2</v>
      </c>
      <c r="B18" s="522">
        <f>AVERAGE(B19:B19)</f>
        <v>980</v>
      </c>
      <c r="C18" s="522">
        <f>AVERAGE(C19:C20)</f>
        <v>1205</v>
      </c>
      <c r="D18" s="369">
        <f t="shared" ref="D18:D19" si="8">((C18/B18) -      1)*100</f>
        <v>22.959183673469386</v>
      </c>
      <c r="E18" s="401" t="s">
        <v>423</v>
      </c>
      <c r="F18" s="522">
        <f>AVERAGE(F19:F19)</f>
        <v>600</v>
      </c>
      <c r="G18" s="1" t="s">
        <v>410</v>
      </c>
      <c r="H18" s="522">
        <f>AVERAGE(H19:H19)</f>
        <v>870</v>
      </c>
      <c r="I18" s="522">
        <f>AVERAGE(I19:I19)</f>
        <v>950</v>
      </c>
      <c r="J18" s="369">
        <f>((I18/H18) -      1)*100</f>
        <v>9.1954022988505848</v>
      </c>
    </row>
    <row r="19" spans="1:10" ht="11.1" customHeight="1" x14ac:dyDescent="0.2">
      <c r="A19" s="566" t="s">
        <v>5</v>
      </c>
      <c r="B19" s="519">
        <v>980</v>
      </c>
      <c r="C19" s="519">
        <v>1210</v>
      </c>
      <c r="D19" s="1">
        <f t="shared" si="8"/>
        <v>23.469387755102034</v>
      </c>
      <c r="E19" s="401" t="s">
        <v>423</v>
      </c>
      <c r="F19" s="519">
        <v>600</v>
      </c>
      <c r="G19" s="1" t="s">
        <v>410</v>
      </c>
      <c r="H19" s="519">
        <v>870</v>
      </c>
      <c r="I19" s="519">
        <v>950</v>
      </c>
      <c r="J19" s="1">
        <f t="shared" ref="J19" si="9">((I19/H19) -      1)*100</f>
        <v>9.1954022988505848</v>
      </c>
    </row>
    <row r="20" spans="1:10" ht="11.1" customHeight="1" x14ac:dyDescent="0.2">
      <c r="A20" s="566" t="s">
        <v>128</v>
      </c>
      <c r="B20" s="521" t="s">
        <v>469</v>
      </c>
      <c r="C20" s="519">
        <v>1200</v>
      </c>
      <c r="D20" s="373" t="s">
        <v>410</v>
      </c>
      <c r="E20" s="401" t="s">
        <v>423</v>
      </c>
      <c r="F20" s="521" t="s">
        <v>469</v>
      </c>
      <c r="G20" s="1" t="s">
        <v>410</v>
      </c>
      <c r="H20" s="521" t="s">
        <v>469</v>
      </c>
      <c r="I20" s="521" t="s">
        <v>469</v>
      </c>
      <c r="J20" s="1" t="s">
        <v>410</v>
      </c>
    </row>
    <row r="21" spans="1:10" ht="11.1" customHeight="1" x14ac:dyDescent="0.2">
      <c r="A21" s="565" t="s">
        <v>6</v>
      </c>
      <c r="B21" s="522">
        <f>AVERAGE(B23:B28)</f>
        <v>1630</v>
      </c>
      <c r="C21" s="522">
        <f>AVERAGE(C23:C28)</f>
        <v>1657.7666666666667</v>
      </c>
      <c r="D21" s="368">
        <f t="shared" ref="D21:D28" si="10">((C21/B21) -      1)*100</f>
        <v>1.7034764826175941</v>
      </c>
      <c r="E21" s="522">
        <f>AVERAGE(E23:E28)</f>
        <v>400</v>
      </c>
      <c r="F21" s="522">
        <f>AVERAGE(F23:F28)</f>
        <v>400</v>
      </c>
      <c r="G21" s="368">
        <f>((F21/E21) -      1)*100</f>
        <v>0</v>
      </c>
      <c r="H21" s="534" t="s">
        <v>469</v>
      </c>
      <c r="I21" s="534" t="s">
        <v>469</v>
      </c>
      <c r="J21" s="369" t="s">
        <v>410</v>
      </c>
    </row>
    <row r="22" spans="1:10" ht="11.1" customHeight="1" x14ac:dyDescent="0.2">
      <c r="A22" s="566" t="s">
        <v>7</v>
      </c>
      <c r="B22" s="521" t="s">
        <v>469</v>
      </c>
      <c r="C22" s="519">
        <v>1650</v>
      </c>
      <c r="D22" s="373" t="s">
        <v>410</v>
      </c>
      <c r="E22" s="401" t="s">
        <v>423</v>
      </c>
      <c r="F22" s="521" t="s">
        <v>469</v>
      </c>
      <c r="G22" s="1" t="s">
        <v>410</v>
      </c>
      <c r="H22" s="521" t="s">
        <v>469</v>
      </c>
      <c r="I22" s="521" t="s">
        <v>469</v>
      </c>
      <c r="J22" s="1" t="s">
        <v>410</v>
      </c>
    </row>
    <row r="23" spans="1:10" ht="11.1" customHeight="1" x14ac:dyDescent="0.2">
      <c r="A23" s="566" t="s">
        <v>11</v>
      </c>
      <c r="B23" s="519">
        <v>1507</v>
      </c>
      <c r="C23" s="519">
        <v>1473.4</v>
      </c>
      <c r="D23" s="373">
        <f t="shared" si="10"/>
        <v>-2.2295952222959436</v>
      </c>
      <c r="E23" s="401" t="s">
        <v>423</v>
      </c>
      <c r="F23" s="521" t="s">
        <v>469</v>
      </c>
      <c r="G23" s="373" t="s">
        <v>410</v>
      </c>
      <c r="H23" s="521" t="s">
        <v>469</v>
      </c>
      <c r="I23" s="521" t="s">
        <v>469</v>
      </c>
      <c r="J23" s="1" t="s">
        <v>410</v>
      </c>
    </row>
    <row r="24" spans="1:10" ht="11.1" customHeight="1" x14ac:dyDescent="0.2">
      <c r="A24" s="566" t="s">
        <v>12</v>
      </c>
      <c r="B24" s="519">
        <v>1650</v>
      </c>
      <c r="C24" s="519">
        <v>1666.6</v>
      </c>
      <c r="D24" s="1">
        <f t="shared" si="10"/>
        <v>1.0060606060606103</v>
      </c>
      <c r="E24" s="401" t="s">
        <v>423</v>
      </c>
      <c r="F24" s="521" t="s">
        <v>469</v>
      </c>
      <c r="G24" s="373" t="s">
        <v>410</v>
      </c>
      <c r="H24" s="521" t="s">
        <v>469</v>
      </c>
      <c r="I24" s="521" t="s">
        <v>469</v>
      </c>
      <c r="J24" s="1" t="s">
        <v>410</v>
      </c>
    </row>
    <row r="25" spans="1:10" ht="11.1" customHeight="1" x14ac:dyDescent="0.2">
      <c r="A25" s="566" t="s">
        <v>13</v>
      </c>
      <c r="B25" s="519">
        <v>2000</v>
      </c>
      <c r="C25" s="519">
        <v>2400</v>
      </c>
      <c r="D25" s="1">
        <f t="shared" si="10"/>
        <v>19.999999999999996</v>
      </c>
      <c r="E25" s="401" t="s">
        <v>423</v>
      </c>
      <c r="F25" s="521" t="s">
        <v>469</v>
      </c>
      <c r="G25" s="373" t="s">
        <v>410</v>
      </c>
      <c r="H25" s="521" t="s">
        <v>469</v>
      </c>
      <c r="I25" s="521" t="s">
        <v>469</v>
      </c>
      <c r="J25" s="1" t="s">
        <v>410</v>
      </c>
    </row>
    <row r="26" spans="1:10" ht="11.1" customHeight="1" x14ac:dyDescent="0.2">
      <c r="A26" s="566" t="s">
        <v>14</v>
      </c>
      <c r="B26" s="521" t="s">
        <v>469</v>
      </c>
      <c r="C26" s="519">
        <v>1500</v>
      </c>
      <c r="D26" s="373" t="s">
        <v>410</v>
      </c>
      <c r="E26" s="401" t="s">
        <v>423</v>
      </c>
      <c r="F26" s="521" t="s">
        <v>469</v>
      </c>
      <c r="G26" s="1" t="s">
        <v>410</v>
      </c>
      <c r="H26" s="521" t="s">
        <v>469</v>
      </c>
      <c r="I26" s="521" t="s">
        <v>469</v>
      </c>
      <c r="J26" s="1" t="s">
        <v>410</v>
      </c>
    </row>
    <row r="27" spans="1:10" ht="11.1" customHeight="1" x14ac:dyDescent="0.2">
      <c r="A27" s="566" t="s">
        <v>79</v>
      </c>
      <c r="B27" s="519">
        <v>1600</v>
      </c>
      <c r="C27" s="519">
        <v>1600</v>
      </c>
      <c r="D27" s="1">
        <f t="shared" si="10"/>
        <v>0</v>
      </c>
      <c r="E27" s="401" t="s">
        <v>423</v>
      </c>
      <c r="F27" s="521" t="s">
        <v>469</v>
      </c>
      <c r="G27" s="1" t="s">
        <v>410</v>
      </c>
      <c r="H27" s="521" t="s">
        <v>469</v>
      </c>
      <c r="I27" s="521" t="s">
        <v>469</v>
      </c>
      <c r="J27" s="1" t="s">
        <v>410</v>
      </c>
    </row>
    <row r="28" spans="1:10" ht="11.1" customHeight="1" x14ac:dyDescent="0.2">
      <c r="A28" s="566" t="s">
        <v>412</v>
      </c>
      <c r="B28" s="519">
        <v>1393</v>
      </c>
      <c r="C28" s="519">
        <v>1306.5999999999999</v>
      </c>
      <c r="D28" s="373">
        <f t="shared" si="10"/>
        <v>-6.2024407753051065</v>
      </c>
      <c r="E28" s="519">
        <v>400</v>
      </c>
      <c r="F28" s="519">
        <v>400</v>
      </c>
      <c r="G28" s="1">
        <f>((F28/E28) -      1)*100</f>
        <v>0</v>
      </c>
      <c r="H28" s="521" t="s">
        <v>469</v>
      </c>
      <c r="I28" s="521" t="s">
        <v>469</v>
      </c>
      <c r="J28" s="1" t="s">
        <v>410</v>
      </c>
    </row>
    <row r="29" spans="1:10" ht="11.1" customHeight="1" x14ac:dyDescent="0.2">
      <c r="A29" s="568" t="s">
        <v>15</v>
      </c>
      <c r="B29" s="534" t="s">
        <v>469</v>
      </c>
      <c r="C29" s="522">
        <f>AVERAGE(C30:C31)</f>
        <v>1800</v>
      </c>
      <c r="D29" s="569" t="s">
        <v>3</v>
      </c>
      <c r="E29" s="521" t="s">
        <v>409</v>
      </c>
      <c r="F29" s="522">
        <f>AVERAGE(F30:F31)</f>
        <v>600</v>
      </c>
      <c r="G29" s="587" t="s">
        <v>3</v>
      </c>
      <c r="H29" s="534" t="s">
        <v>469</v>
      </c>
      <c r="I29" s="534" t="s">
        <v>469</v>
      </c>
      <c r="J29" s="369" t="s">
        <v>410</v>
      </c>
    </row>
    <row r="30" spans="1:10" ht="11.1" customHeight="1" x14ac:dyDescent="0.2">
      <c r="A30" s="566" t="s">
        <v>571</v>
      </c>
      <c r="B30" s="521" t="s">
        <v>469</v>
      </c>
      <c r="C30" s="519">
        <v>2600</v>
      </c>
      <c r="D30" s="569" t="s">
        <v>3</v>
      </c>
      <c r="E30" s="521" t="s">
        <v>409</v>
      </c>
      <c r="F30" s="519">
        <v>600</v>
      </c>
      <c r="G30" s="569" t="s">
        <v>3</v>
      </c>
      <c r="H30" s="521" t="s">
        <v>469</v>
      </c>
      <c r="I30" s="521" t="s">
        <v>469</v>
      </c>
      <c r="J30" s="1" t="s">
        <v>410</v>
      </c>
    </row>
    <row r="31" spans="1:10" ht="11.1" customHeight="1" x14ac:dyDescent="0.2">
      <c r="A31" s="566" t="s">
        <v>69</v>
      </c>
      <c r="B31" s="521" t="s">
        <v>469</v>
      </c>
      <c r="C31" s="519">
        <v>1000</v>
      </c>
      <c r="D31" s="569" t="s">
        <v>3</v>
      </c>
      <c r="E31" s="521" t="s">
        <v>409</v>
      </c>
      <c r="F31" s="519">
        <v>600</v>
      </c>
      <c r="G31" s="569" t="s">
        <v>3</v>
      </c>
      <c r="H31" s="521" t="s">
        <v>469</v>
      </c>
      <c r="I31" s="521" t="s">
        <v>469</v>
      </c>
      <c r="J31" s="1" t="s">
        <v>410</v>
      </c>
    </row>
    <row r="32" spans="1:10" ht="11.1" customHeight="1" x14ac:dyDescent="0.2">
      <c r="A32" s="570" t="s">
        <v>16</v>
      </c>
      <c r="B32" s="522">
        <f>AVERAGE(B33:B33)</f>
        <v>1180</v>
      </c>
      <c r="C32" s="522">
        <f>AVERAGE(C33:C33)</f>
        <v>1300</v>
      </c>
      <c r="D32" s="368">
        <f t="shared" ref="D32" si="11">((C32/B32 -1)*100)</f>
        <v>10.169491525423723</v>
      </c>
      <c r="E32" s="534" t="s">
        <v>469</v>
      </c>
      <c r="F32" s="534" t="s">
        <v>469</v>
      </c>
      <c r="G32" s="369" t="s">
        <v>410</v>
      </c>
      <c r="H32" s="534" t="s">
        <v>469</v>
      </c>
      <c r="I32" s="534" t="s">
        <v>469</v>
      </c>
      <c r="J32" s="369" t="s">
        <v>410</v>
      </c>
    </row>
    <row r="33" spans="1:10" ht="11.1" customHeight="1" x14ac:dyDescent="0.2">
      <c r="A33" s="566" t="s">
        <v>489</v>
      </c>
      <c r="B33" s="519">
        <v>1180</v>
      </c>
      <c r="C33" s="519">
        <v>1300</v>
      </c>
      <c r="D33" s="1">
        <f>((C33/B33 -1)*100)</f>
        <v>10.169491525423723</v>
      </c>
      <c r="E33" s="521" t="s">
        <v>469</v>
      </c>
      <c r="F33" s="521" t="s">
        <v>469</v>
      </c>
      <c r="G33" s="1" t="s">
        <v>410</v>
      </c>
      <c r="H33" s="521" t="s">
        <v>469</v>
      </c>
      <c r="I33" s="521" t="s">
        <v>469</v>
      </c>
      <c r="J33" s="1" t="s">
        <v>410</v>
      </c>
    </row>
    <row r="34" spans="1:10" ht="11.1" customHeight="1" x14ac:dyDescent="0.2">
      <c r="A34" s="568" t="s">
        <v>18</v>
      </c>
      <c r="B34" s="571">
        <f>AVERAGE(B35:B37)</f>
        <v>1375</v>
      </c>
      <c r="C34" s="571">
        <f>AVERAGE(C35:C37)</f>
        <v>1300</v>
      </c>
      <c r="D34" s="368">
        <f>((C34/B34 -1)*100)</f>
        <v>-5.4545454545454568</v>
      </c>
      <c r="E34" s="522">
        <f>AVERAGE(E35:E37)</f>
        <v>435</v>
      </c>
      <c r="F34" s="522">
        <f>AVERAGE(F35:F37)</f>
        <v>600</v>
      </c>
      <c r="G34" s="368">
        <f>((F34/E34 -1)*100)</f>
        <v>37.931034482758633</v>
      </c>
      <c r="H34" s="571">
        <f>AVERAGE(H35:H37)</f>
        <v>1013.4</v>
      </c>
      <c r="I34" s="571">
        <f>AVERAGE(I35:I37)</f>
        <v>1000</v>
      </c>
      <c r="J34" s="369" t="s">
        <v>410</v>
      </c>
    </row>
    <row r="35" spans="1:10" ht="11.1" customHeight="1" x14ac:dyDescent="0.2">
      <c r="A35" s="566" t="s">
        <v>62</v>
      </c>
      <c r="B35" s="521" t="s">
        <v>469</v>
      </c>
      <c r="C35" s="519">
        <v>1400</v>
      </c>
      <c r="D35" s="1" t="s">
        <v>410</v>
      </c>
      <c r="E35" s="521" t="s">
        <v>409</v>
      </c>
      <c r="F35" s="521" t="s">
        <v>469</v>
      </c>
      <c r="G35" s="1" t="s">
        <v>410</v>
      </c>
      <c r="H35" s="521" t="s">
        <v>469</v>
      </c>
      <c r="I35" s="521" t="s">
        <v>469</v>
      </c>
      <c r="J35" s="1" t="s">
        <v>410</v>
      </c>
    </row>
    <row r="36" spans="1:10" ht="11.1" customHeight="1" x14ac:dyDescent="0.2">
      <c r="A36" s="566" t="s">
        <v>21</v>
      </c>
      <c r="B36" s="519">
        <v>1375</v>
      </c>
      <c r="C36" s="519">
        <v>1300</v>
      </c>
      <c r="D36" s="1" t="s">
        <v>410</v>
      </c>
      <c r="E36" s="519">
        <v>435</v>
      </c>
      <c r="F36" s="519">
        <v>600</v>
      </c>
      <c r="G36" s="1">
        <f>((F36/E36 -1)*100)</f>
        <v>37.931034482758633</v>
      </c>
      <c r="H36" s="519">
        <v>1013.4</v>
      </c>
      <c r="I36" s="519">
        <v>1000</v>
      </c>
      <c r="J36" s="1" t="s">
        <v>410</v>
      </c>
    </row>
    <row r="37" spans="1:10" ht="11.1" customHeight="1" x14ac:dyDescent="0.2">
      <c r="A37" s="566" t="s">
        <v>80</v>
      </c>
      <c r="B37" s="521" t="s">
        <v>469</v>
      </c>
      <c r="C37" s="519">
        <v>1200</v>
      </c>
      <c r="D37" s="1" t="s">
        <v>410</v>
      </c>
      <c r="E37" s="521" t="s">
        <v>409</v>
      </c>
      <c r="F37" s="521" t="s">
        <v>469</v>
      </c>
      <c r="G37" s="1" t="s">
        <v>410</v>
      </c>
      <c r="H37" s="521" t="s">
        <v>469</v>
      </c>
      <c r="I37" s="521" t="s">
        <v>469</v>
      </c>
      <c r="J37" s="1" t="s">
        <v>410</v>
      </c>
    </row>
    <row r="38" spans="1:10" ht="11.1" customHeight="1" x14ac:dyDescent="0.2">
      <c r="A38" s="442" t="s">
        <v>25</v>
      </c>
      <c r="B38" s="523">
        <f>AVERAGE(B39:B40)</f>
        <v>1166.5</v>
      </c>
      <c r="C38" s="523">
        <f>AVERAGE(C39:C40)</f>
        <v>1133</v>
      </c>
      <c r="D38" s="368">
        <f>((C38/B38)-   1)*100</f>
        <v>-2.8718388341191559</v>
      </c>
      <c r="E38" s="447" t="s">
        <v>423</v>
      </c>
      <c r="F38" s="534" t="s">
        <v>469</v>
      </c>
      <c r="G38" s="445" t="s">
        <v>410</v>
      </c>
      <c r="H38" s="522">
        <f>AVERAGE(H39:H40)</f>
        <v>787</v>
      </c>
      <c r="I38" s="522">
        <f>AVERAGE(I39:I40)</f>
        <v>1300</v>
      </c>
      <c r="J38" s="377">
        <f>((I38/H38)-   1)*100</f>
        <v>65.184243964421867</v>
      </c>
    </row>
    <row r="39" spans="1:10" ht="11.1" customHeight="1" x14ac:dyDescent="0.2">
      <c r="A39" s="566" t="s">
        <v>53</v>
      </c>
      <c r="B39" s="524">
        <v>1166</v>
      </c>
      <c r="C39" s="524">
        <v>1166</v>
      </c>
      <c r="D39" s="1">
        <f>((C39/B39)-   1)*100</f>
        <v>0</v>
      </c>
      <c r="E39" s="439" t="s">
        <v>423</v>
      </c>
      <c r="F39" s="521" t="s">
        <v>469</v>
      </c>
      <c r="G39" s="446" t="s">
        <v>410</v>
      </c>
      <c r="H39" s="521" t="s">
        <v>469</v>
      </c>
      <c r="I39" s="439" t="s">
        <v>423</v>
      </c>
      <c r="J39" s="375" t="s">
        <v>410</v>
      </c>
    </row>
    <row r="40" spans="1:10" ht="11.1" customHeight="1" x14ac:dyDescent="0.2">
      <c r="A40" s="566" t="s">
        <v>58</v>
      </c>
      <c r="B40" s="524">
        <v>1167</v>
      </c>
      <c r="C40" s="524">
        <v>1100</v>
      </c>
      <c r="D40" s="375">
        <f>((C40/B40)-   1)*100</f>
        <v>-5.7412167952013764</v>
      </c>
      <c r="E40" s="439" t="s">
        <v>423</v>
      </c>
      <c r="F40" s="521" t="s">
        <v>469</v>
      </c>
      <c r="G40" s="446" t="s">
        <v>410</v>
      </c>
      <c r="H40" s="519">
        <v>787</v>
      </c>
      <c r="I40" s="519">
        <v>1300</v>
      </c>
      <c r="J40" s="375">
        <f>((I40/H40)-   1)*100</f>
        <v>65.184243964421867</v>
      </c>
    </row>
    <row r="41" spans="1:10" ht="11.1" customHeight="1" x14ac:dyDescent="0.2">
      <c r="A41" s="452" t="s">
        <v>81</v>
      </c>
      <c r="B41" s="523">
        <f>AVERAGE(B42:B42)</f>
        <v>1200</v>
      </c>
      <c r="C41" s="523">
        <f>AVERAGE(C42:C42)</f>
        <v>1200</v>
      </c>
      <c r="D41" s="368">
        <v>0</v>
      </c>
      <c r="E41" s="534" t="s">
        <v>469</v>
      </c>
      <c r="F41" s="534" t="s">
        <v>469</v>
      </c>
      <c r="G41" s="445" t="s">
        <v>410</v>
      </c>
      <c r="H41" s="534" t="s">
        <v>469</v>
      </c>
      <c r="I41" s="534" t="s">
        <v>469</v>
      </c>
      <c r="J41" s="392" t="s">
        <v>410</v>
      </c>
    </row>
    <row r="42" spans="1:10" ht="11.1" customHeight="1" x14ac:dyDescent="0.2">
      <c r="A42" s="566" t="s">
        <v>413</v>
      </c>
      <c r="B42" s="524">
        <v>1200</v>
      </c>
      <c r="C42" s="524">
        <v>1200</v>
      </c>
      <c r="D42" s="1">
        <f t="shared" ref="D42" si="12">((C42/B42)-   1)*100</f>
        <v>0</v>
      </c>
      <c r="E42" s="521" t="s">
        <v>469</v>
      </c>
      <c r="G42" s="446" t="s">
        <v>410</v>
      </c>
      <c r="H42" s="521" t="s">
        <v>469</v>
      </c>
      <c r="J42" s="394" t="s">
        <v>410</v>
      </c>
    </row>
    <row r="43" spans="1:10" ht="11.1" customHeight="1" x14ac:dyDescent="0.2">
      <c r="A43" s="565" t="s">
        <v>414</v>
      </c>
      <c r="B43" s="523">
        <f>AVERAGE(B44:B52)</f>
        <v>1700</v>
      </c>
      <c r="C43" s="523">
        <f>AVERAGE(C44:C52)</f>
        <v>2133</v>
      </c>
      <c r="D43" s="376">
        <f>((C43/B43)-   1)*100</f>
        <v>25.470588235294112</v>
      </c>
      <c r="E43" s="522">
        <f>AVERAGE(E44:E52)</f>
        <v>443.66666666666669</v>
      </c>
      <c r="F43" s="522">
        <f>AVERAGE(F44:F52)</f>
        <v>440.77777777777777</v>
      </c>
      <c r="G43" s="576">
        <f>((F43/E43)-   1)*100</f>
        <v>-0.65113949411470529</v>
      </c>
      <c r="H43" s="522">
        <f>AVERAGE(H44:H52)</f>
        <v>843.33333333333337</v>
      </c>
      <c r="I43" s="522">
        <f>AVERAGE(I44:I52)</f>
        <v>800</v>
      </c>
      <c r="J43" s="576">
        <f>((I43/H43)-   1)*100</f>
        <v>-5.1383399209486207</v>
      </c>
    </row>
    <row r="44" spans="1:10" ht="11.1" customHeight="1" x14ac:dyDescent="0.2">
      <c r="A44" s="566" t="s">
        <v>28</v>
      </c>
      <c r="B44" s="521" t="s">
        <v>469</v>
      </c>
      <c r="C44" s="521" t="s">
        <v>469</v>
      </c>
      <c r="D44" s="373" t="s">
        <v>410</v>
      </c>
      <c r="E44" s="519">
        <v>300</v>
      </c>
      <c r="F44" s="519">
        <v>300</v>
      </c>
      <c r="G44" s="577">
        <f>((F44/E44)-   1)*100</f>
        <v>0</v>
      </c>
      <c r="H44" s="521" t="s">
        <v>469</v>
      </c>
      <c r="I44" s="521" t="s">
        <v>469</v>
      </c>
      <c r="J44" s="1" t="s">
        <v>410</v>
      </c>
    </row>
    <row r="45" spans="1:10" ht="11.1" customHeight="1" x14ac:dyDescent="0.2">
      <c r="A45" s="566" t="s">
        <v>82</v>
      </c>
      <c r="B45" s="521" t="s">
        <v>469</v>
      </c>
      <c r="C45" s="521" t="s">
        <v>469</v>
      </c>
      <c r="D45" s="373" t="s">
        <v>410</v>
      </c>
      <c r="E45" s="519">
        <v>613</v>
      </c>
      <c r="F45" s="519">
        <v>687</v>
      </c>
      <c r="G45" s="577">
        <f>((F45/E45)-   1)*100</f>
        <v>12.071778140293631</v>
      </c>
      <c r="H45" s="519">
        <v>1030</v>
      </c>
      <c r="I45" s="519">
        <v>1000</v>
      </c>
      <c r="J45" s="373">
        <f>((I45/H45)-   1)*100</f>
        <v>-2.9126213592232997</v>
      </c>
    </row>
    <row r="46" spans="1:10" ht="11.1" customHeight="1" x14ac:dyDescent="0.2">
      <c r="A46" s="566" t="s">
        <v>30</v>
      </c>
      <c r="B46" s="521" t="s">
        <v>469</v>
      </c>
      <c r="C46" s="521" t="s">
        <v>469</v>
      </c>
      <c r="D46" s="373" t="s">
        <v>410</v>
      </c>
      <c r="E46" s="519">
        <v>400</v>
      </c>
      <c r="F46" s="519">
        <v>400</v>
      </c>
      <c r="G46" s="577">
        <f>((F46/E46)-   1)*100</f>
        <v>0</v>
      </c>
      <c r="H46" s="519">
        <v>700</v>
      </c>
      <c r="I46" s="519">
        <v>700</v>
      </c>
      <c r="J46" s="373">
        <f>((I46/H46)-   1)*100</f>
        <v>0</v>
      </c>
    </row>
    <row r="47" spans="1:10" ht="11.1" customHeight="1" x14ac:dyDescent="0.2">
      <c r="A47" s="566" t="s">
        <v>31</v>
      </c>
      <c r="B47" s="521" t="s">
        <v>469</v>
      </c>
      <c r="C47" s="521" t="s">
        <v>469</v>
      </c>
      <c r="D47" s="373" t="s">
        <v>410</v>
      </c>
      <c r="E47" s="519">
        <v>400</v>
      </c>
      <c r="F47" s="519">
        <v>400</v>
      </c>
      <c r="G47" s="577">
        <f t="shared" ref="G47" si="13">((F47/E47)-   1)*100</f>
        <v>0</v>
      </c>
      <c r="H47" s="521" t="s">
        <v>469</v>
      </c>
      <c r="I47" s="521" t="s">
        <v>469</v>
      </c>
      <c r="J47" s="1" t="s">
        <v>410</v>
      </c>
    </row>
    <row r="48" spans="1:10" ht="11.1" customHeight="1" x14ac:dyDescent="0.2">
      <c r="A48" s="566" t="s">
        <v>83</v>
      </c>
      <c r="B48" s="524">
        <v>1700</v>
      </c>
      <c r="C48" s="524">
        <v>2133</v>
      </c>
      <c r="D48" s="373">
        <f>((C48/B48)-   1)*100</f>
        <v>25.470588235294112</v>
      </c>
      <c r="E48" s="519">
        <v>800</v>
      </c>
      <c r="F48" s="519">
        <v>700</v>
      </c>
      <c r="G48" s="577">
        <f>((F48/E48)-   1)*100</f>
        <v>-12.5</v>
      </c>
      <c r="H48" s="521" t="s">
        <v>469</v>
      </c>
      <c r="I48" s="521" t="s">
        <v>469</v>
      </c>
      <c r="J48" s="1" t="s">
        <v>410</v>
      </c>
    </row>
    <row r="49" spans="1:10" ht="11.1" customHeight="1" x14ac:dyDescent="0.2">
      <c r="A49" s="566" t="s">
        <v>32</v>
      </c>
      <c r="B49" s="521" t="s">
        <v>469</v>
      </c>
      <c r="C49" s="521" t="s">
        <v>469</v>
      </c>
      <c r="D49" s="373" t="s">
        <v>410</v>
      </c>
      <c r="E49" s="519">
        <v>440</v>
      </c>
      <c r="F49" s="519">
        <v>440</v>
      </c>
      <c r="G49" s="577">
        <f>((F49/E49)-   1)*100</f>
        <v>0</v>
      </c>
      <c r="H49" s="521" t="s">
        <v>469</v>
      </c>
      <c r="I49" s="521" t="s">
        <v>469</v>
      </c>
      <c r="J49" s="1" t="s">
        <v>410</v>
      </c>
    </row>
    <row r="50" spans="1:10" ht="11.1" customHeight="1" x14ac:dyDescent="0.2">
      <c r="A50" s="566" t="s">
        <v>33</v>
      </c>
      <c r="B50" s="521" t="s">
        <v>469</v>
      </c>
      <c r="C50" s="521" t="s">
        <v>469</v>
      </c>
      <c r="D50" s="373" t="s">
        <v>410</v>
      </c>
      <c r="E50" s="519">
        <v>440</v>
      </c>
      <c r="F50" s="519">
        <v>440</v>
      </c>
      <c r="G50" s="577">
        <f>((F50/E50)-   1)*100</f>
        <v>0</v>
      </c>
      <c r="H50" s="521" t="s">
        <v>469</v>
      </c>
      <c r="I50" s="521" t="s">
        <v>469</v>
      </c>
      <c r="J50" s="1" t="s">
        <v>410</v>
      </c>
    </row>
    <row r="51" spans="1:10" ht="11.1" customHeight="1" x14ac:dyDescent="0.2">
      <c r="A51" s="566" t="s">
        <v>34</v>
      </c>
      <c r="B51" s="521" t="s">
        <v>469</v>
      </c>
      <c r="C51" s="521" t="s">
        <v>469</v>
      </c>
      <c r="D51" s="373" t="s">
        <v>410</v>
      </c>
      <c r="E51" s="519">
        <v>300</v>
      </c>
      <c r="F51" s="519">
        <v>300</v>
      </c>
      <c r="G51" s="577">
        <f>((F51/E51)-   1)*100</f>
        <v>0</v>
      </c>
      <c r="H51" s="519">
        <v>800</v>
      </c>
      <c r="I51" s="519">
        <v>700</v>
      </c>
      <c r="J51" s="577">
        <f>((I51/H51)-   1)*100</f>
        <v>-12.5</v>
      </c>
    </row>
    <row r="52" spans="1:10" ht="11.1" customHeight="1" x14ac:dyDescent="0.2">
      <c r="A52" s="566" t="s">
        <v>66</v>
      </c>
      <c r="B52" s="521" t="s">
        <v>469</v>
      </c>
      <c r="C52" s="521" t="s">
        <v>469</v>
      </c>
      <c r="D52" s="373" t="s">
        <v>410</v>
      </c>
      <c r="E52" s="519">
        <v>300</v>
      </c>
      <c r="F52" s="519">
        <v>300</v>
      </c>
      <c r="G52" s="577">
        <f>((F52/E52)-   1)*100</f>
        <v>0</v>
      </c>
      <c r="H52" s="521" t="s">
        <v>469</v>
      </c>
      <c r="I52" s="521" t="s">
        <v>469</v>
      </c>
      <c r="J52" s="1" t="s">
        <v>410</v>
      </c>
    </row>
    <row r="53" spans="1:10" ht="11.1" customHeight="1" x14ac:dyDescent="0.2">
      <c r="A53" s="565" t="s">
        <v>189</v>
      </c>
      <c r="B53" s="534" t="s">
        <v>469</v>
      </c>
      <c r="C53" s="534" t="s">
        <v>469</v>
      </c>
      <c r="D53" s="376" t="s">
        <v>410</v>
      </c>
      <c r="E53" s="402" t="s">
        <v>423</v>
      </c>
      <c r="F53" s="534" t="s">
        <v>469</v>
      </c>
      <c r="G53" s="376" t="s">
        <v>410</v>
      </c>
      <c r="H53" s="522">
        <v>600</v>
      </c>
      <c r="I53" s="522">
        <v>600</v>
      </c>
      <c r="J53" s="369">
        <f t="shared" ref="J53" si="14">((I53/H53)-   1)*100</f>
        <v>0</v>
      </c>
    </row>
    <row r="54" spans="1:10" ht="11.1" customHeight="1" x14ac:dyDescent="0.2">
      <c r="A54" s="578" t="s">
        <v>194</v>
      </c>
      <c r="B54" s="534" t="s">
        <v>469</v>
      </c>
      <c r="C54" s="571">
        <f>AVERAGE(C55:C56)</f>
        <v>1200</v>
      </c>
      <c r="D54" s="376" t="s">
        <v>410</v>
      </c>
      <c r="E54" s="402" t="s">
        <v>423</v>
      </c>
      <c r="F54" s="534" t="s">
        <v>469</v>
      </c>
      <c r="G54" s="369" t="s">
        <v>410</v>
      </c>
      <c r="H54" s="522">
        <f>AVERAGE(H55:H56)</f>
        <v>833</v>
      </c>
      <c r="I54" s="522">
        <f>AVERAGE(I55:I56)</f>
        <v>875</v>
      </c>
      <c r="J54" s="369">
        <f>((I54/H54)-   1)*100</f>
        <v>5.0420168067226934</v>
      </c>
    </row>
    <row r="55" spans="1:10" ht="11.1" customHeight="1" x14ac:dyDescent="0.2">
      <c r="A55" s="579" t="s">
        <v>197</v>
      </c>
      <c r="B55" s="521" t="s">
        <v>469</v>
      </c>
      <c r="C55" s="521" t="s">
        <v>469</v>
      </c>
      <c r="D55" s="373" t="s">
        <v>410</v>
      </c>
      <c r="E55" s="401" t="s">
        <v>423</v>
      </c>
      <c r="F55" s="521" t="s">
        <v>469</v>
      </c>
      <c r="G55" s="1" t="s">
        <v>410</v>
      </c>
      <c r="H55" s="517">
        <v>833</v>
      </c>
      <c r="I55" s="437">
        <v>950</v>
      </c>
      <c r="J55" s="580">
        <f>((I55/H55) -     1)*100</f>
        <v>14.045618247298929</v>
      </c>
    </row>
    <row r="56" spans="1:10" ht="11.1" customHeight="1" x14ac:dyDescent="0.2">
      <c r="A56" s="579" t="s">
        <v>196</v>
      </c>
      <c r="B56" s="521" t="s">
        <v>469</v>
      </c>
      <c r="C56" s="524">
        <v>1200</v>
      </c>
      <c r="D56" s="394" t="s">
        <v>410</v>
      </c>
      <c r="E56" s="401" t="s">
        <v>423</v>
      </c>
      <c r="F56" s="521" t="s">
        <v>469</v>
      </c>
      <c r="G56" s="394" t="s">
        <v>410</v>
      </c>
      <c r="H56" s="521" t="s">
        <v>469</v>
      </c>
      <c r="I56" s="437">
        <v>800</v>
      </c>
      <c r="J56" s="580" t="s">
        <v>49</v>
      </c>
    </row>
    <row r="57" spans="1:10" ht="11.1" customHeight="1" x14ac:dyDescent="0.2">
      <c r="A57" s="565" t="s">
        <v>39</v>
      </c>
      <c r="B57" s="571">
        <f>AVERAGE(B59:B60)</f>
        <v>1200</v>
      </c>
      <c r="C57" s="571">
        <f>AVERAGE(C58:C60)</f>
        <v>1260</v>
      </c>
      <c r="D57" s="376">
        <f t="shared" ref="D57:D59" si="15">((C57/B57 -1)*100)</f>
        <v>5.0000000000000044</v>
      </c>
      <c r="E57" s="522">
        <f t="shared" ref="E57:F57" si="16">AVERAGE(E59:E60)</f>
        <v>438.5</v>
      </c>
      <c r="F57" s="522">
        <f t="shared" si="16"/>
        <v>506</v>
      </c>
      <c r="G57" s="576">
        <f>((F57/E57 -1)*100)</f>
        <v>15.393386545039899</v>
      </c>
      <c r="H57" s="534" t="s">
        <v>469</v>
      </c>
      <c r="I57" s="534" t="s">
        <v>469</v>
      </c>
      <c r="J57" s="369" t="s">
        <v>410</v>
      </c>
    </row>
    <row r="58" spans="1:10" ht="11.1" customHeight="1" x14ac:dyDescent="0.2">
      <c r="A58" s="579" t="s">
        <v>415</v>
      </c>
      <c r="B58" s="521" t="s">
        <v>469</v>
      </c>
      <c r="C58" s="581">
        <v>1600</v>
      </c>
      <c r="D58" s="373" t="s">
        <v>410</v>
      </c>
      <c r="E58" s="439" t="s">
        <v>423</v>
      </c>
      <c r="F58" s="521" t="s">
        <v>469</v>
      </c>
      <c r="G58" s="394" t="s">
        <v>410</v>
      </c>
      <c r="H58" s="521" t="s">
        <v>469</v>
      </c>
      <c r="I58" s="521" t="s">
        <v>469</v>
      </c>
      <c r="J58" s="1" t="s">
        <v>410</v>
      </c>
    </row>
    <row r="59" spans="1:10" ht="11.1" customHeight="1" x14ac:dyDescent="0.2">
      <c r="A59" s="566" t="s">
        <v>41</v>
      </c>
      <c r="B59" s="581">
        <v>1200</v>
      </c>
      <c r="C59" s="581">
        <v>1200</v>
      </c>
      <c r="D59" s="373">
        <f t="shared" si="15"/>
        <v>0</v>
      </c>
      <c r="E59" s="519">
        <v>410</v>
      </c>
      <c r="F59" s="519">
        <v>460</v>
      </c>
      <c r="G59" s="577">
        <f>((F59/E59 -1)*100)</f>
        <v>12.195121951219523</v>
      </c>
      <c r="H59" s="521" t="s">
        <v>469</v>
      </c>
      <c r="I59" s="521" t="s">
        <v>469</v>
      </c>
      <c r="J59" s="1" t="s">
        <v>410</v>
      </c>
    </row>
    <row r="60" spans="1:10" ht="11.1" customHeight="1" x14ac:dyDescent="0.2">
      <c r="A60" s="566" t="s">
        <v>40</v>
      </c>
      <c r="B60" s="521" t="s">
        <v>469</v>
      </c>
      <c r="C60" s="581">
        <v>980</v>
      </c>
      <c r="D60" s="373" t="s">
        <v>410</v>
      </c>
      <c r="E60" s="519">
        <v>467</v>
      </c>
      <c r="F60" s="519">
        <v>552</v>
      </c>
      <c r="G60" s="577">
        <f>((F60/E60 -1)*100)</f>
        <v>18.20128479657388</v>
      </c>
      <c r="H60" s="521" t="s">
        <v>469</v>
      </c>
      <c r="I60" s="521" t="s">
        <v>469</v>
      </c>
      <c r="J60" s="1" t="s">
        <v>410</v>
      </c>
    </row>
    <row r="61" spans="1:10" ht="11.1" customHeight="1" x14ac:dyDescent="0.2">
      <c r="A61" s="452" t="s">
        <v>198</v>
      </c>
      <c r="B61" s="534" t="s">
        <v>469</v>
      </c>
      <c r="C61" s="367">
        <f>AVERAGE(C62:C63)</f>
        <v>1373.5</v>
      </c>
      <c r="D61" s="376" t="s">
        <v>410</v>
      </c>
      <c r="E61" s="402" t="s">
        <v>423</v>
      </c>
      <c r="F61" s="443" t="s">
        <v>469</v>
      </c>
      <c r="G61" s="369" t="s">
        <v>410</v>
      </c>
      <c r="H61" s="443" t="s">
        <v>409</v>
      </c>
      <c r="I61" s="436">
        <f>AVERAGE(I62:I63)</f>
        <v>1315</v>
      </c>
      <c r="J61" s="377" t="s">
        <v>410</v>
      </c>
    </row>
    <row r="62" spans="1:10" ht="11.1" customHeight="1" x14ac:dyDescent="0.2">
      <c r="A62" s="370" t="s">
        <v>65</v>
      </c>
      <c r="B62" s="521" t="s">
        <v>469</v>
      </c>
      <c r="C62" s="372">
        <v>1380</v>
      </c>
      <c r="D62" s="373" t="s">
        <v>410</v>
      </c>
      <c r="E62" s="401" t="s">
        <v>423</v>
      </c>
      <c r="F62" s="438" t="s">
        <v>469</v>
      </c>
      <c r="G62" s="1" t="s">
        <v>410</v>
      </c>
      <c r="H62" s="438" t="s">
        <v>409</v>
      </c>
      <c r="I62" s="437">
        <v>1510</v>
      </c>
      <c r="J62" s="375" t="s">
        <v>410</v>
      </c>
    </row>
    <row r="63" spans="1:10" ht="11.1" customHeight="1" x14ac:dyDescent="0.2">
      <c r="A63" s="370" t="s">
        <v>201</v>
      </c>
      <c r="B63" s="521" t="s">
        <v>469</v>
      </c>
      <c r="C63" s="372">
        <v>1367</v>
      </c>
      <c r="D63" s="373" t="s">
        <v>410</v>
      </c>
      <c r="E63" s="401" t="s">
        <v>423</v>
      </c>
      <c r="F63" s="438" t="s">
        <v>469</v>
      </c>
      <c r="G63" s="1" t="s">
        <v>410</v>
      </c>
      <c r="H63" s="438" t="s">
        <v>409</v>
      </c>
      <c r="I63" s="437">
        <v>1120</v>
      </c>
      <c r="J63" s="375" t="s">
        <v>410</v>
      </c>
    </row>
    <row r="64" spans="1:10" ht="11.1" customHeight="1" x14ac:dyDescent="0.25">
      <c r="A64" s="366" t="s">
        <v>89</v>
      </c>
      <c r="B64" s="534" t="s">
        <v>469</v>
      </c>
      <c r="C64" s="367">
        <f>AVERAGE(C65:C65)</f>
        <v>1200</v>
      </c>
      <c r="D64" s="377" t="s">
        <v>410</v>
      </c>
      <c r="E64" s="401" t="s">
        <v>423</v>
      </c>
      <c r="F64" s="443" t="s">
        <v>469</v>
      </c>
      <c r="G64" s="380" t="s">
        <v>410</v>
      </c>
      <c r="H64" s="374" t="s">
        <v>409</v>
      </c>
      <c r="I64" s="436">
        <f>AVERAGE(I65:I65)</f>
        <v>600</v>
      </c>
      <c r="J64" s="380" t="s">
        <v>410</v>
      </c>
    </row>
    <row r="65" spans="1:10" ht="11.1" customHeight="1" x14ac:dyDescent="0.25">
      <c r="A65" s="370" t="s">
        <v>546</v>
      </c>
      <c r="B65" s="521" t="s">
        <v>469</v>
      </c>
      <c r="C65" s="372">
        <v>1200</v>
      </c>
      <c r="D65" s="375" t="s">
        <v>410</v>
      </c>
      <c r="E65" s="401" t="s">
        <v>423</v>
      </c>
      <c r="F65" s="438" t="s">
        <v>469</v>
      </c>
      <c r="G65" s="379" t="s">
        <v>410</v>
      </c>
      <c r="H65" s="371" t="s">
        <v>409</v>
      </c>
      <c r="I65" s="437">
        <v>600</v>
      </c>
      <c r="J65" s="379" t="s">
        <v>410</v>
      </c>
    </row>
    <row r="66" spans="1:10" ht="11.1" customHeight="1" x14ac:dyDescent="0.25">
      <c r="A66" s="565" t="s">
        <v>71</v>
      </c>
      <c r="B66" s="571">
        <f>AVERAGE(B67:B68)</f>
        <v>1300</v>
      </c>
      <c r="C66" s="571">
        <f>AVERAGE(C67:C68)</f>
        <v>1300</v>
      </c>
      <c r="D66" s="376">
        <f t="shared" ref="D66" si="17">((C66/B66 -1)*100)</f>
        <v>0</v>
      </c>
      <c r="E66" s="402" t="s">
        <v>423</v>
      </c>
      <c r="F66" s="534" t="s">
        <v>469</v>
      </c>
      <c r="G66" s="380" t="s">
        <v>410</v>
      </c>
      <c r="H66" s="522" t="s">
        <v>502</v>
      </c>
      <c r="I66" s="522" t="s">
        <v>502</v>
      </c>
      <c r="J66" s="369" t="s">
        <v>410</v>
      </c>
    </row>
    <row r="67" spans="1:10" ht="11.1" customHeight="1" x14ac:dyDescent="0.2">
      <c r="A67" s="566" t="s">
        <v>468</v>
      </c>
      <c r="B67" s="524">
        <v>1200</v>
      </c>
      <c r="C67" s="372">
        <v>1200</v>
      </c>
      <c r="D67" s="567">
        <f t="shared" ref="D67:D70" si="18">((C67/B67 -1)*100)</f>
        <v>0</v>
      </c>
      <c r="E67" s="401" t="s">
        <v>423</v>
      </c>
      <c r="F67" s="521" t="s">
        <v>469</v>
      </c>
      <c r="G67" s="394" t="s">
        <v>410</v>
      </c>
      <c r="H67" s="521" t="s">
        <v>469</v>
      </c>
      <c r="I67" s="521" t="s">
        <v>469</v>
      </c>
      <c r="J67" s="1" t="s">
        <v>410</v>
      </c>
    </row>
    <row r="68" spans="1:10" ht="11.1" customHeight="1" x14ac:dyDescent="0.2">
      <c r="A68" s="566" t="s">
        <v>73</v>
      </c>
      <c r="B68" s="524">
        <v>1400</v>
      </c>
      <c r="C68" s="524">
        <v>1400</v>
      </c>
      <c r="D68" s="567">
        <f t="shared" si="18"/>
        <v>0</v>
      </c>
      <c r="E68" s="401" t="s">
        <v>423</v>
      </c>
      <c r="F68" s="521" t="s">
        <v>469</v>
      </c>
      <c r="G68" s="1" t="s">
        <v>410</v>
      </c>
      <c r="H68" s="521" t="s">
        <v>469</v>
      </c>
      <c r="I68" s="521" t="s">
        <v>469</v>
      </c>
      <c r="J68" s="1" t="s">
        <v>410</v>
      </c>
    </row>
    <row r="69" spans="1:10" ht="11.1" customHeight="1" x14ac:dyDescent="0.2">
      <c r="A69" s="578" t="s">
        <v>46</v>
      </c>
      <c r="B69" s="571">
        <f>AVERAGE(B70:B70)</f>
        <v>1200</v>
      </c>
      <c r="C69" s="571">
        <f>AVERAGE(C70:C70)</f>
        <v>1200</v>
      </c>
      <c r="D69" s="368">
        <f t="shared" si="18"/>
        <v>0</v>
      </c>
      <c r="E69" s="402" t="s">
        <v>423</v>
      </c>
      <c r="F69" s="534" t="s">
        <v>469</v>
      </c>
      <c r="G69" s="369" t="s">
        <v>410</v>
      </c>
      <c r="H69" s="534" t="s">
        <v>469</v>
      </c>
      <c r="I69" s="534" t="s">
        <v>469</v>
      </c>
      <c r="J69" s="369" t="s">
        <v>410</v>
      </c>
    </row>
    <row r="70" spans="1:10" ht="11.1" customHeight="1" x14ac:dyDescent="0.2">
      <c r="A70" s="528" t="s">
        <v>568</v>
      </c>
      <c r="B70" s="582">
        <v>1200</v>
      </c>
      <c r="C70" s="582">
        <v>1200</v>
      </c>
      <c r="D70" s="373">
        <f t="shared" si="18"/>
        <v>0</v>
      </c>
      <c r="E70" s="521" t="s">
        <v>469</v>
      </c>
      <c r="F70" s="521" t="s">
        <v>469</v>
      </c>
      <c r="G70" s="584" t="s">
        <v>410</v>
      </c>
      <c r="H70" s="583" t="s">
        <v>469</v>
      </c>
      <c r="I70" s="583" t="s">
        <v>469</v>
      </c>
      <c r="J70" s="584" t="s">
        <v>410</v>
      </c>
    </row>
    <row r="71" spans="1:10" ht="9" customHeight="1" x14ac:dyDescent="0.2">
      <c r="A71" s="585" t="s">
        <v>87</v>
      </c>
      <c r="B71" s="535"/>
      <c r="D71" s="4"/>
      <c r="E71" s="4"/>
      <c r="F71" s="4"/>
    </row>
    <row r="72" spans="1:10" ht="9" customHeight="1" x14ac:dyDescent="0.25">
      <c r="A72" s="586" t="s">
        <v>569</v>
      </c>
      <c r="B72" s="381"/>
    </row>
    <row r="73" spans="1:10" ht="9" customHeight="1" x14ac:dyDescent="0.25">
      <c r="A73" s="586" t="s">
        <v>68</v>
      </c>
      <c r="B73" s="381"/>
    </row>
    <row r="74" spans="1:10" ht="12.75" customHeight="1" x14ac:dyDescent="0.2"/>
    <row r="75" spans="1:10" ht="12.75" customHeight="1" x14ac:dyDescent="0.2"/>
    <row r="76" spans="1:10" ht="12.75" customHeight="1" x14ac:dyDescent="0.2"/>
    <row r="77" spans="1:10" ht="12.75" customHeight="1" x14ac:dyDescent="0.2"/>
    <row r="78" spans="1:10" ht="12.75" customHeight="1" x14ac:dyDescent="0.2"/>
    <row r="79" spans="1:10" ht="12.75" customHeight="1" x14ac:dyDescent="0.2"/>
    <row r="80" spans="1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</sheetData>
  <mergeCells count="4">
    <mergeCell ref="A4:A5"/>
    <mergeCell ref="B4:D4"/>
    <mergeCell ref="E4:G4"/>
    <mergeCell ref="H4:J4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3"/>
  <dimension ref="A1:K735"/>
  <sheetViews>
    <sheetView showGridLines="0" zoomScaleNormal="100" workbookViewId="0">
      <selection activeCell="E59" sqref="E59"/>
    </sheetView>
  </sheetViews>
  <sheetFormatPr baseColWidth="10" defaultColWidth="12.42578125" defaultRowHeight="15" customHeight="1" x14ac:dyDescent="0.2"/>
  <cols>
    <col min="1" max="1" width="12.85546875" style="2" customWidth="1"/>
    <col min="2" max="2" width="9.140625" style="2" customWidth="1"/>
    <col min="3" max="3" width="8.140625" style="2" customWidth="1"/>
    <col min="4" max="4" width="8.28515625" style="2" customWidth="1"/>
    <col min="5" max="5" width="6.42578125" style="2" customWidth="1"/>
    <col min="6" max="6" width="2.42578125" style="2" customWidth="1"/>
    <col min="7" max="7" width="12.85546875" style="2" customWidth="1"/>
    <col min="8" max="8" width="9.28515625" style="2" customWidth="1"/>
    <col min="9" max="9" width="8" style="2" customWidth="1"/>
    <col min="10" max="10" width="8.140625" style="2" customWidth="1"/>
    <col min="11" max="11" width="6.28515625" style="2" customWidth="1"/>
    <col min="12" max="23" width="12.7109375" style="2" customWidth="1"/>
    <col min="24" max="16384" width="12.42578125" style="2"/>
  </cols>
  <sheetData>
    <row r="1" spans="1:11" ht="12.75" customHeight="1" x14ac:dyDescent="0.25">
      <c r="A1" s="424" t="s">
        <v>600</v>
      </c>
    </row>
    <row r="2" spans="1:11" ht="10.5" customHeight="1" x14ac:dyDescent="0.2">
      <c r="A2" s="291" t="s">
        <v>455</v>
      </c>
      <c r="G2" s="699" t="s">
        <v>579</v>
      </c>
    </row>
    <row r="3" spans="1:11" ht="9.9499999999999993" customHeight="1" x14ac:dyDescent="0.25">
      <c r="A3" s="291"/>
      <c r="G3" s="700"/>
      <c r="H3" s="470"/>
      <c r="I3" s="470"/>
      <c r="J3" s="470"/>
      <c r="K3" s="470"/>
    </row>
    <row r="4" spans="1:11" ht="23.1" customHeight="1" x14ac:dyDescent="0.2">
      <c r="A4" s="456" t="s">
        <v>601</v>
      </c>
      <c r="B4" s="456" t="s">
        <v>602</v>
      </c>
      <c r="C4" s="456" t="s">
        <v>603</v>
      </c>
      <c r="D4" s="456" t="s">
        <v>604</v>
      </c>
      <c r="E4" s="456" t="s">
        <v>605</v>
      </c>
      <c r="G4" s="456" t="s">
        <v>601</v>
      </c>
      <c r="H4" s="456" t="s">
        <v>602</v>
      </c>
      <c r="I4" s="456" t="s">
        <v>603</v>
      </c>
      <c r="J4" s="456" t="s">
        <v>604</v>
      </c>
      <c r="K4" s="456" t="s">
        <v>605</v>
      </c>
    </row>
    <row r="5" spans="1:11" ht="12" customHeight="1" x14ac:dyDescent="0.25">
      <c r="A5" s="459" t="s">
        <v>490</v>
      </c>
      <c r="B5" s="460">
        <f t="shared" ref="B5:C5" si="0">AVERAGE(B6:B9)</f>
        <v>68.833333333333329</v>
      </c>
      <c r="C5" s="460">
        <f t="shared" si="0"/>
        <v>67</v>
      </c>
      <c r="D5" s="460">
        <f>AVERAGE(D6:D8)</f>
        <v>113.5</v>
      </c>
      <c r="E5" s="460" t="s">
        <v>4</v>
      </c>
      <c r="G5" s="465" t="s">
        <v>501</v>
      </c>
      <c r="H5" s="460" t="s">
        <v>4</v>
      </c>
      <c r="I5" s="460">
        <v>68.33</v>
      </c>
      <c r="J5" s="460" t="s">
        <v>4</v>
      </c>
      <c r="K5" s="460" t="s">
        <v>4</v>
      </c>
    </row>
    <row r="6" spans="1:11" ht="12" customHeight="1" x14ac:dyDescent="0.25">
      <c r="A6" s="461" t="s">
        <v>505</v>
      </c>
      <c r="B6" s="462">
        <v>65</v>
      </c>
      <c r="C6" s="462">
        <v>70</v>
      </c>
      <c r="D6" s="462">
        <v>127.5</v>
      </c>
      <c r="E6" s="462" t="s">
        <v>423</v>
      </c>
      <c r="G6" s="464" t="s">
        <v>88</v>
      </c>
      <c r="H6" s="462" t="s">
        <v>423</v>
      </c>
      <c r="I6" s="462">
        <v>68.33</v>
      </c>
      <c r="J6" s="462" t="s">
        <v>423</v>
      </c>
      <c r="K6" s="462" t="s">
        <v>423</v>
      </c>
    </row>
    <row r="7" spans="1:11" ht="12" customHeight="1" x14ac:dyDescent="0.25">
      <c r="A7" s="461" t="s">
        <v>492</v>
      </c>
      <c r="B7" s="462">
        <v>77.5</v>
      </c>
      <c r="C7" s="462">
        <v>75</v>
      </c>
      <c r="D7" s="462" t="s">
        <v>423</v>
      </c>
      <c r="E7" s="462" t="s">
        <v>423</v>
      </c>
      <c r="G7" s="465" t="s">
        <v>86</v>
      </c>
      <c r="H7" s="460">
        <f t="shared" ref="H7:K7" si="1">AVERAGE(H8:H19)</f>
        <v>54.81818181818182</v>
      </c>
      <c r="I7" s="460">
        <f t="shared" si="1"/>
        <v>53.103749999999998</v>
      </c>
      <c r="J7" s="460">
        <f t="shared" si="1"/>
        <v>89.866</v>
      </c>
      <c r="K7" s="460">
        <f t="shared" si="1"/>
        <v>48.5</v>
      </c>
    </row>
    <row r="8" spans="1:11" ht="12" customHeight="1" x14ac:dyDescent="0.25">
      <c r="A8" s="461" t="s">
        <v>493</v>
      </c>
      <c r="B8" s="462" t="s">
        <v>423</v>
      </c>
      <c r="C8" s="462">
        <v>63</v>
      </c>
      <c r="D8" s="462">
        <v>99.5</v>
      </c>
      <c r="E8" s="462" t="s">
        <v>423</v>
      </c>
      <c r="G8" s="464" t="s">
        <v>28</v>
      </c>
      <c r="H8" s="462">
        <v>66</v>
      </c>
      <c r="I8" s="462">
        <v>55</v>
      </c>
      <c r="J8" s="462" t="s">
        <v>423</v>
      </c>
      <c r="K8" s="462" t="s">
        <v>423</v>
      </c>
    </row>
    <row r="9" spans="1:11" ht="12" customHeight="1" x14ac:dyDescent="0.25">
      <c r="A9" s="461" t="s">
        <v>491</v>
      </c>
      <c r="B9" s="462">
        <v>64</v>
      </c>
      <c r="C9" s="462">
        <v>60</v>
      </c>
      <c r="D9" s="462" t="s">
        <v>423</v>
      </c>
      <c r="E9" s="462" t="s">
        <v>423</v>
      </c>
      <c r="G9" s="464" t="s">
        <v>30</v>
      </c>
      <c r="H9" s="462">
        <v>56</v>
      </c>
      <c r="I9" s="462">
        <v>55.5</v>
      </c>
      <c r="J9" s="462">
        <v>112</v>
      </c>
      <c r="K9" s="462" t="s">
        <v>423</v>
      </c>
    </row>
    <row r="10" spans="1:11" ht="12" customHeight="1" x14ac:dyDescent="0.25">
      <c r="A10" s="459" t="s">
        <v>441</v>
      </c>
      <c r="B10" s="460">
        <f>AVERAGE(B11:B16)</f>
        <v>54.2</v>
      </c>
      <c r="C10" s="460" t="s">
        <v>4</v>
      </c>
      <c r="D10" s="460" t="s">
        <v>4</v>
      </c>
      <c r="E10" s="460">
        <f>AVERAGE(E11:E16)</f>
        <v>60</v>
      </c>
      <c r="G10" s="464" t="s">
        <v>64</v>
      </c>
      <c r="H10" s="462">
        <v>50</v>
      </c>
      <c r="I10" s="462">
        <v>60</v>
      </c>
      <c r="J10" s="462" t="s">
        <v>423</v>
      </c>
      <c r="K10" s="462" t="s">
        <v>423</v>
      </c>
    </row>
    <row r="11" spans="1:11" ht="12" customHeight="1" x14ac:dyDescent="0.25">
      <c r="A11" s="461" t="s">
        <v>444</v>
      </c>
      <c r="B11" s="462">
        <v>60</v>
      </c>
      <c r="C11" s="462" t="s">
        <v>423</v>
      </c>
      <c r="D11" s="462" t="s">
        <v>423</v>
      </c>
      <c r="E11" s="462" t="s">
        <v>423</v>
      </c>
      <c r="G11" s="464" t="s">
        <v>31</v>
      </c>
      <c r="H11" s="462">
        <v>49.25</v>
      </c>
      <c r="I11" s="462">
        <v>54.5</v>
      </c>
      <c r="J11" s="462" t="s">
        <v>423</v>
      </c>
      <c r="K11" s="462" t="s">
        <v>423</v>
      </c>
    </row>
    <row r="12" spans="1:11" ht="12" customHeight="1" x14ac:dyDescent="0.25">
      <c r="A12" s="461" t="s">
        <v>578</v>
      </c>
      <c r="B12" s="462" t="s">
        <v>423</v>
      </c>
      <c r="C12" s="462" t="s">
        <v>423</v>
      </c>
      <c r="D12" s="462" t="s">
        <v>423</v>
      </c>
      <c r="E12" s="462">
        <v>60</v>
      </c>
      <c r="G12" s="464" t="s">
        <v>83</v>
      </c>
      <c r="H12" s="462">
        <v>70</v>
      </c>
      <c r="I12" s="462" t="s">
        <v>417</v>
      </c>
      <c r="J12" s="462" t="s">
        <v>423</v>
      </c>
      <c r="K12" s="462">
        <v>51.67</v>
      </c>
    </row>
    <row r="13" spans="1:11" ht="12" customHeight="1" x14ac:dyDescent="0.25">
      <c r="A13" s="461" t="s">
        <v>443</v>
      </c>
      <c r="B13" s="462">
        <v>56.67</v>
      </c>
      <c r="C13" s="462" t="s">
        <v>423</v>
      </c>
      <c r="D13" s="462" t="s">
        <v>423</v>
      </c>
      <c r="E13" s="462" t="s">
        <v>423</v>
      </c>
      <c r="G13" s="464" t="s">
        <v>54</v>
      </c>
      <c r="H13" s="462" t="s">
        <v>417</v>
      </c>
      <c r="I13" s="462">
        <v>45.33</v>
      </c>
      <c r="J13" s="462">
        <v>90.33</v>
      </c>
      <c r="K13" s="462" t="s">
        <v>423</v>
      </c>
    </row>
    <row r="14" spans="1:11" ht="12" customHeight="1" x14ac:dyDescent="0.25">
      <c r="A14" s="461" t="s">
        <v>572</v>
      </c>
      <c r="B14" s="462">
        <v>60</v>
      </c>
      <c r="C14" s="462" t="s">
        <v>423</v>
      </c>
      <c r="D14" s="462" t="s">
        <v>423</v>
      </c>
      <c r="E14" s="462" t="s">
        <v>423</v>
      </c>
      <c r="G14" s="464" t="s">
        <v>32</v>
      </c>
      <c r="H14" s="462">
        <v>46.5</v>
      </c>
      <c r="I14" s="462" t="s">
        <v>417</v>
      </c>
      <c r="J14" s="462" t="s">
        <v>423</v>
      </c>
      <c r="K14" s="462" t="s">
        <v>423</v>
      </c>
    </row>
    <row r="15" spans="1:11" ht="12" customHeight="1" x14ac:dyDescent="0.25">
      <c r="A15" s="461" t="s">
        <v>465</v>
      </c>
      <c r="B15" s="462">
        <v>49.33</v>
      </c>
      <c r="C15" s="462" t="s">
        <v>423</v>
      </c>
      <c r="D15" s="462" t="s">
        <v>423</v>
      </c>
      <c r="E15" s="462" t="s">
        <v>423</v>
      </c>
      <c r="G15" s="464" t="s">
        <v>33</v>
      </c>
      <c r="H15" s="462">
        <v>55.25</v>
      </c>
      <c r="I15" s="462" t="s">
        <v>417</v>
      </c>
      <c r="J15" s="462" t="s">
        <v>423</v>
      </c>
      <c r="K15" s="462" t="s">
        <v>423</v>
      </c>
    </row>
    <row r="16" spans="1:11" ht="12" customHeight="1" x14ac:dyDescent="0.25">
      <c r="A16" s="461" t="s">
        <v>442</v>
      </c>
      <c r="B16" s="462">
        <v>45</v>
      </c>
      <c r="C16" s="462" t="s">
        <v>423</v>
      </c>
      <c r="D16" s="462" t="s">
        <v>423</v>
      </c>
      <c r="E16" s="462" t="s">
        <v>423</v>
      </c>
      <c r="G16" s="464" t="s">
        <v>29</v>
      </c>
      <c r="H16" s="462">
        <v>50</v>
      </c>
      <c r="I16" s="462">
        <v>50</v>
      </c>
      <c r="J16" s="462">
        <v>85</v>
      </c>
      <c r="K16" s="462" t="s">
        <v>423</v>
      </c>
    </row>
    <row r="17" spans="1:11" ht="12" customHeight="1" x14ac:dyDescent="0.25">
      <c r="A17" s="459" t="s">
        <v>77</v>
      </c>
      <c r="B17" s="460">
        <f t="shared" ref="B17:C17" si="2">AVERAGE(B18:B19)</f>
        <v>48.125</v>
      </c>
      <c r="C17" s="460">
        <f t="shared" si="2"/>
        <v>55.295000000000002</v>
      </c>
      <c r="D17" s="460" t="s">
        <v>4</v>
      </c>
      <c r="E17" s="460">
        <f>AVERAGE(E18:E19)</f>
        <v>45</v>
      </c>
      <c r="G17" s="464" t="s">
        <v>34</v>
      </c>
      <c r="H17" s="462">
        <v>41.5</v>
      </c>
      <c r="I17" s="462">
        <v>54</v>
      </c>
      <c r="J17" s="462">
        <v>70</v>
      </c>
      <c r="K17" s="462" t="s">
        <v>423</v>
      </c>
    </row>
    <row r="18" spans="1:11" ht="12" customHeight="1" x14ac:dyDescent="0.25">
      <c r="A18" s="461" t="s">
        <v>155</v>
      </c>
      <c r="B18" s="463">
        <v>55.25</v>
      </c>
      <c r="C18" s="462">
        <v>60.34</v>
      </c>
      <c r="D18" s="462" t="s">
        <v>423</v>
      </c>
      <c r="E18" s="462">
        <v>45</v>
      </c>
      <c r="G18" s="464" t="s">
        <v>463</v>
      </c>
      <c r="H18" s="462">
        <v>64.5</v>
      </c>
      <c r="I18" s="462" t="s">
        <v>423</v>
      </c>
      <c r="J18" s="462" t="s">
        <v>423</v>
      </c>
      <c r="K18" s="462">
        <v>45.33</v>
      </c>
    </row>
    <row r="19" spans="1:11" ht="12" customHeight="1" x14ac:dyDescent="0.25">
      <c r="A19" s="461" t="s">
        <v>158</v>
      </c>
      <c r="B19" s="463">
        <v>41</v>
      </c>
      <c r="C19" s="462">
        <v>50.25</v>
      </c>
      <c r="D19" s="462" t="s">
        <v>423</v>
      </c>
      <c r="E19" s="462" t="s">
        <v>423</v>
      </c>
      <c r="G19" s="464" t="s">
        <v>66</v>
      </c>
      <c r="H19" s="462">
        <v>54</v>
      </c>
      <c r="I19" s="462">
        <v>50.5</v>
      </c>
      <c r="J19" s="462">
        <v>92</v>
      </c>
      <c r="K19" s="462" t="s">
        <v>423</v>
      </c>
    </row>
    <row r="20" spans="1:11" ht="12" customHeight="1" x14ac:dyDescent="0.25">
      <c r="A20" s="459" t="s">
        <v>2</v>
      </c>
      <c r="B20" s="460">
        <f t="shared" ref="B20:D20" si="3">AVERAGE(B21:B26)</f>
        <v>48.355000000000004</v>
      </c>
      <c r="C20" s="460">
        <f t="shared" si="3"/>
        <v>49.471666666666664</v>
      </c>
      <c r="D20" s="460">
        <f t="shared" si="3"/>
        <v>96.332499999999996</v>
      </c>
      <c r="E20" s="460" t="s">
        <v>4</v>
      </c>
      <c r="G20" s="465" t="s">
        <v>35</v>
      </c>
      <c r="H20" s="460">
        <f t="shared" ref="H20:J20" si="4">AVERAGE(H21:H23)</f>
        <v>47.890000000000008</v>
      </c>
      <c r="I20" s="460">
        <f t="shared" si="4"/>
        <v>51.5</v>
      </c>
      <c r="J20" s="460">
        <f t="shared" si="4"/>
        <v>77.5</v>
      </c>
      <c r="K20" s="472" t="s">
        <v>4</v>
      </c>
    </row>
    <row r="21" spans="1:11" ht="12" customHeight="1" x14ac:dyDescent="0.2">
      <c r="A21" s="464" t="s">
        <v>5</v>
      </c>
      <c r="B21" s="462">
        <v>48.5</v>
      </c>
      <c r="C21" s="462">
        <v>51</v>
      </c>
      <c r="D21" s="462">
        <v>79</v>
      </c>
      <c r="E21" s="462" t="s">
        <v>423</v>
      </c>
      <c r="G21" s="464" t="s">
        <v>36</v>
      </c>
      <c r="H21" s="462">
        <v>44.67</v>
      </c>
      <c r="I21" s="462">
        <v>50</v>
      </c>
      <c r="J21" s="462">
        <v>75</v>
      </c>
      <c r="K21" s="462" t="s">
        <v>423</v>
      </c>
    </row>
    <row r="22" spans="1:11" ht="12" customHeight="1" x14ac:dyDescent="0.2">
      <c r="A22" s="464" t="s">
        <v>85</v>
      </c>
      <c r="B22" s="462">
        <v>46.5</v>
      </c>
      <c r="C22" s="462">
        <v>53.5</v>
      </c>
      <c r="D22" s="462" t="s">
        <v>423</v>
      </c>
      <c r="E22" s="462" t="s">
        <v>423</v>
      </c>
      <c r="G22" s="464" t="s">
        <v>38</v>
      </c>
      <c r="H22" s="462">
        <v>48.5</v>
      </c>
      <c r="I22" s="462">
        <v>53</v>
      </c>
      <c r="J22" s="462">
        <v>80</v>
      </c>
      <c r="K22" s="462" t="s">
        <v>423</v>
      </c>
    </row>
    <row r="23" spans="1:11" ht="12" customHeight="1" x14ac:dyDescent="0.2">
      <c r="A23" s="464" t="s">
        <v>78</v>
      </c>
      <c r="B23" s="462">
        <v>46.75</v>
      </c>
      <c r="C23" s="462">
        <v>45</v>
      </c>
      <c r="D23" s="462">
        <v>105</v>
      </c>
      <c r="E23" s="462" t="s">
        <v>423</v>
      </c>
      <c r="G23" s="464" t="s">
        <v>37</v>
      </c>
      <c r="H23" s="462">
        <v>50.5</v>
      </c>
      <c r="I23" s="462" t="s">
        <v>417</v>
      </c>
      <c r="J23" s="462" t="s">
        <v>423</v>
      </c>
      <c r="K23" s="462" t="s">
        <v>423</v>
      </c>
    </row>
    <row r="24" spans="1:11" ht="12" customHeight="1" x14ac:dyDescent="0.2">
      <c r="A24" s="464" t="s">
        <v>190</v>
      </c>
      <c r="B24" s="462" t="s">
        <v>423</v>
      </c>
      <c r="C24" s="462">
        <v>45</v>
      </c>
      <c r="D24" s="462" t="s">
        <v>423</v>
      </c>
      <c r="E24" s="462" t="s">
        <v>423</v>
      </c>
      <c r="G24" s="465" t="s">
        <v>194</v>
      </c>
      <c r="H24" s="460">
        <v>49.67</v>
      </c>
      <c r="I24" s="460">
        <v>50</v>
      </c>
      <c r="J24" s="460" t="s">
        <v>4</v>
      </c>
      <c r="K24" s="460" t="s">
        <v>4</v>
      </c>
    </row>
    <row r="25" spans="1:11" ht="12" customHeight="1" x14ac:dyDescent="0.2">
      <c r="A25" s="464" t="s">
        <v>61</v>
      </c>
      <c r="B25" s="462">
        <v>51.67</v>
      </c>
      <c r="C25" s="462">
        <v>48.33</v>
      </c>
      <c r="D25" s="462">
        <v>92.33</v>
      </c>
      <c r="E25" s="462" t="s">
        <v>423</v>
      </c>
      <c r="G25" s="464" t="s">
        <v>197</v>
      </c>
      <c r="H25" s="462">
        <v>49.67</v>
      </c>
      <c r="I25" s="462">
        <v>50</v>
      </c>
      <c r="J25" s="462" t="s">
        <v>423</v>
      </c>
      <c r="K25" s="462" t="s">
        <v>423</v>
      </c>
    </row>
    <row r="26" spans="1:11" ht="12" customHeight="1" x14ac:dyDescent="0.2">
      <c r="A26" s="464" t="s">
        <v>418</v>
      </c>
      <c r="B26" s="462" t="s">
        <v>423</v>
      </c>
      <c r="C26" s="462">
        <v>54</v>
      </c>
      <c r="D26" s="462">
        <v>109</v>
      </c>
      <c r="E26" s="462" t="s">
        <v>423</v>
      </c>
      <c r="G26" s="465" t="s">
        <v>39</v>
      </c>
      <c r="H26" s="460">
        <f t="shared" ref="H26:I26" si="5">AVERAGE(H27:H28)</f>
        <v>59.555</v>
      </c>
      <c r="I26" s="460">
        <f t="shared" si="5"/>
        <v>62.354999999999997</v>
      </c>
      <c r="J26" s="460" t="s">
        <v>4</v>
      </c>
      <c r="K26" s="460" t="s">
        <v>4</v>
      </c>
    </row>
    <row r="27" spans="1:11" ht="12" customHeight="1" x14ac:dyDescent="0.2">
      <c r="A27" s="465" t="s">
        <v>6</v>
      </c>
      <c r="B27" s="460">
        <f t="shared" ref="B27:C27" si="6">AVERAGE(B28:B32)</f>
        <v>74.193333333333328</v>
      </c>
      <c r="C27" s="460">
        <f t="shared" si="6"/>
        <v>64.707499999999996</v>
      </c>
      <c r="D27" s="460" t="s">
        <v>4</v>
      </c>
      <c r="E27" s="460" t="s">
        <v>4</v>
      </c>
      <c r="G27" s="464" t="s">
        <v>41</v>
      </c>
      <c r="H27" s="462">
        <v>60</v>
      </c>
      <c r="I27" s="462">
        <v>60</v>
      </c>
      <c r="J27" s="462" t="s">
        <v>423</v>
      </c>
      <c r="K27" s="462" t="s">
        <v>423</v>
      </c>
    </row>
    <row r="28" spans="1:11" ht="12" customHeight="1" x14ac:dyDescent="0.2">
      <c r="A28" s="464" t="s">
        <v>11</v>
      </c>
      <c r="B28" s="462">
        <v>80</v>
      </c>
      <c r="C28" s="462">
        <v>87.5</v>
      </c>
      <c r="D28" s="462" t="s">
        <v>423</v>
      </c>
      <c r="E28" s="462" t="s">
        <v>423</v>
      </c>
      <c r="G28" s="464" t="s">
        <v>40</v>
      </c>
      <c r="H28" s="462">
        <v>59.11</v>
      </c>
      <c r="I28" s="462">
        <v>64.709999999999994</v>
      </c>
      <c r="J28" s="462" t="s">
        <v>423</v>
      </c>
      <c r="K28" s="462" t="s">
        <v>423</v>
      </c>
    </row>
    <row r="29" spans="1:11" ht="12" customHeight="1" x14ac:dyDescent="0.2">
      <c r="A29" s="464" t="s">
        <v>8</v>
      </c>
      <c r="B29" s="462" t="s">
        <v>423</v>
      </c>
      <c r="C29" s="462">
        <v>67.33</v>
      </c>
      <c r="D29" s="462" t="s">
        <v>423</v>
      </c>
      <c r="E29" s="462" t="s">
        <v>423</v>
      </c>
      <c r="G29" s="465" t="s">
        <v>42</v>
      </c>
      <c r="H29" s="460">
        <f t="shared" ref="H29:K29" si="7">AVERAGE(H30:H33)</f>
        <v>59.776666666666664</v>
      </c>
      <c r="I29" s="460">
        <f t="shared" si="7"/>
        <v>53.5</v>
      </c>
      <c r="J29" s="460">
        <f t="shared" si="7"/>
        <v>79</v>
      </c>
      <c r="K29" s="460">
        <f t="shared" si="7"/>
        <v>68.33</v>
      </c>
    </row>
    <row r="30" spans="1:11" ht="12" customHeight="1" x14ac:dyDescent="0.2">
      <c r="A30" s="464" t="s">
        <v>13</v>
      </c>
      <c r="B30" s="462">
        <v>85</v>
      </c>
      <c r="C30" s="462" t="s">
        <v>423</v>
      </c>
      <c r="D30" s="462" t="s">
        <v>423</v>
      </c>
      <c r="E30" s="462" t="s">
        <v>423</v>
      </c>
      <c r="G30" s="464" t="s">
        <v>45</v>
      </c>
      <c r="H30" s="462">
        <v>57.33</v>
      </c>
      <c r="I30" s="462" t="s">
        <v>423</v>
      </c>
      <c r="J30" s="462" t="s">
        <v>423</v>
      </c>
      <c r="K30" s="462" t="s">
        <v>423</v>
      </c>
    </row>
    <row r="31" spans="1:11" ht="12" customHeight="1" x14ac:dyDescent="0.2">
      <c r="A31" s="464" t="s">
        <v>79</v>
      </c>
      <c r="B31" s="462" t="s">
        <v>417</v>
      </c>
      <c r="C31" s="462">
        <v>50</v>
      </c>
      <c r="D31" s="462" t="s">
        <v>423</v>
      </c>
      <c r="E31" s="462" t="s">
        <v>423</v>
      </c>
      <c r="G31" s="464" t="s">
        <v>427</v>
      </c>
      <c r="H31" s="462" t="s">
        <v>423</v>
      </c>
      <c r="I31" s="462">
        <v>52</v>
      </c>
      <c r="J31" s="462">
        <v>79</v>
      </c>
      <c r="K31" s="462" t="s">
        <v>423</v>
      </c>
    </row>
    <row r="32" spans="1:11" ht="12" customHeight="1" x14ac:dyDescent="0.2">
      <c r="A32" s="464" t="s">
        <v>9</v>
      </c>
      <c r="B32" s="462">
        <v>57.58</v>
      </c>
      <c r="C32" s="462">
        <v>54</v>
      </c>
      <c r="D32" s="462" t="s">
        <v>423</v>
      </c>
      <c r="E32" s="462" t="s">
        <v>423</v>
      </c>
      <c r="G32" s="464" t="s">
        <v>416</v>
      </c>
      <c r="H32" s="462">
        <v>65</v>
      </c>
      <c r="I32" s="462" t="s">
        <v>423</v>
      </c>
      <c r="J32" s="462" t="s">
        <v>423</v>
      </c>
      <c r="K32" s="462" t="s">
        <v>423</v>
      </c>
    </row>
    <row r="33" spans="1:11" ht="12" customHeight="1" x14ac:dyDescent="0.2">
      <c r="A33" s="465" t="s">
        <v>15</v>
      </c>
      <c r="B33" s="460">
        <f t="shared" ref="B33:D33" si="8">AVERAGE(B34:B35)</f>
        <v>70</v>
      </c>
      <c r="C33" s="460">
        <f t="shared" si="8"/>
        <v>78</v>
      </c>
      <c r="D33" s="460">
        <f t="shared" si="8"/>
        <v>72</v>
      </c>
      <c r="E33" s="460" t="s">
        <v>4</v>
      </c>
      <c r="G33" s="464" t="s">
        <v>44</v>
      </c>
      <c r="H33" s="462">
        <v>57</v>
      </c>
      <c r="I33" s="462">
        <v>55</v>
      </c>
      <c r="J33" s="462" t="s">
        <v>423</v>
      </c>
      <c r="K33" s="462">
        <v>68.33</v>
      </c>
    </row>
    <row r="34" spans="1:11" ht="12" customHeight="1" x14ac:dyDescent="0.2">
      <c r="A34" s="464" t="s">
        <v>69</v>
      </c>
      <c r="B34" s="462" t="s">
        <v>423</v>
      </c>
      <c r="C34" s="462">
        <v>83</v>
      </c>
      <c r="D34" s="462" t="s">
        <v>423</v>
      </c>
      <c r="E34" s="462" t="s">
        <v>423</v>
      </c>
      <c r="G34" s="465" t="s">
        <v>198</v>
      </c>
      <c r="H34" s="460">
        <f t="shared" ref="H34:I34" si="9">AVERAGE(H35:H38)</f>
        <v>66.723333333333343</v>
      </c>
      <c r="I34" s="460">
        <f t="shared" si="9"/>
        <v>60.666666666666664</v>
      </c>
      <c r="J34" s="460" t="s">
        <v>4</v>
      </c>
      <c r="K34" s="460" t="s">
        <v>4</v>
      </c>
    </row>
    <row r="35" spans="1:11" ht="12" customHeight="1" x14ac:dyDescent="0.2">
      <c r="A35" s="464" t="s">
        <v>543</v>
      </c>
      <c r="B35" s="462">
        <v>70</v>
      </c>
      <c r="C35" s="462">
        <v>73</v>
      </c>
      <c r="D35" s="462">
        <v>72</v>
      </c>
      <c r="E35" s="462" t="s">
        <v>423</v>
      </c>
      <c r="G35" s="464" t="s">
        <v>201</v>
      </c>
      <c r="H35" s="462">
        <v>51.67</v>
      </c>
      <c r="I35" s="462">
        <v>55</v>
      </c>
      <c r="J35" s="462" t="s">
        <v>423</v>
      </c>
      <c r="K35" s="462" t="s">
        <v>423</v>
      </c>
    </row>
    <row r="36" spans="1:11" ht="12" customHeight="1" x14ac:dyDescent="0.2">
      <c r="A36" s="465" t="s">
        <v>16</v>
      </c>
      <c r="B36" s="460">
        <f t="shared" ref="B36:C36" si="10">AVERAGE(B37:B39)</f>
        <v>65</v>
      </c>
      <c r="C36" s="460">
        <f t="shared" si="10"/>
        <v>51.333333333333336</v>
      </c>
      <c r="D36" s="460" t="s">
        <v>4</v>
      </c>
      <c r="E36" s="460" t="s">
        <v>4</v>
      </c>
      <c r="G36" s="464" t="s">
        <v>65</v>
      </c>
      <c r="H36" s="462">
        <v>88.5</v>
      </c>
      <c r="I36" s="462">
        <v>87</v>
      </c>
      <c r="J36" s="462" t="s">
        <v>423</v>
      </c>
      <c r="K36" s="462" t="s">
        <v>423</v>
      </c>
    </row>
    <row r="37" spans="1:11" ht="12" customHeight="1" x14ac:dyDescent="0.2">
      <c r="A37" s="464" t="s">
        <v>489</v>
      </c>
      <c r="B37" s="462" t="s">
        <v>423</v>
      </c>
      <c r="C37" s="462">
        <v>44</v>
      </c>
      <c r="D37" s="462" t="s">
        <v>423</v>
      </c>
      <c r="E37" s="462" t="s">
        <v>423</v>
      </c>
      <c r="G37" s="464" t="s">
        <v>200</v>
      </c>
      <c r="H37" s="462" t="s">
        <v>423</v>
      </c>
      <c r="I37" s="462">
        <v>40</v>
      </c>
      <c r="J37" s="462" t="s">
        <v>423</v>
      </c>
      <c r="K37" s="462" t="s">
        <v>423</v>
      </c>
    </row>
    <row r="38" spans="1:11" ht="12" customHeight="1" x14ac:dyDescent="0.2">
      <c r="A38" s="464" t="s">
        <v>544</v>
      </c>
      <c r="B38" s="462">
        <v>65</v>
      </c>
      <c r="C38" s="462">
        <v>65</v>
      </c>
      <c r="D38" s="462" t="s">
        <v>423</v>
      </c>
      <c r="E38" s="462" t="s">
        <v>423</v>
      </c>
      <c r="G38" s="464" t="s">
        <v>206</v>
      </c>
      <c r="H38" s="462">
        <v>60</v>
      </c>
      <c r="I38" s="462" t="s">
        <v>423</v>
      </c>
      <c r="J38" s="462" t="s">
        <v>423</v>
      </c>
      <c r="K38" s="462" t="s">
        <v>423</v>
      </c>
    </row>
    <row r="39" spans="1:11" ht="12" customHeight="1" x14ac:dyDescent="0.2">
      <c r="A39" s="464" t="s">
        <v>497</v>
      </c>
      <c r="B39" s="462" t="s">
        <v>423</v>
      </c>
      <c r="C39" s="462">
        <v>45</v>
      </c>
      <c r="D39" s="462" t="s">
        <v>423</v>
      </c>
      <c r="E39" s="462" t="s">
        <v>423</v>
      </c>
      <c r="G39" s="465" t="s">
        <v>84</v>
      </c>
      <c r="H39" s="460">
        <f t="shared" ref="H39:J39" si="11">AVERAGE(H40:H42)</f>
        <v>56.333333333333336</v>
      </c>
      <c r="I39" s="460">
        <f t="shared" si="11"/>
        <v>58.666666666666664</v>
      </c>
      <c r="J39" s="460">
        <f t="shared" si="11"/>
        <v>80</v>
      </c>
      <c r="K39" s="460" t="s">
        <v>4</v>
      </c>
    </row>
    <row r="40" spans="1:11" ht="12" customHeight="1" x14ac:dyDescent="0.2">
      <c r="A40" s="465" t="s">
        <v>18</v>
      </c>
      <c r="B40" s="460">
        <f t="shared" ref="B40:C40" si="12">AVERAGE(B41:B48)</f>
        <v>59.81</v>
      </c>
      <c r="C40" s="460">
        <f t="shared" si="12"/>
        <v>67</v>
      </c>
      <c r="D40" s="460" t="s">
        <v>4</v>
      </c>
      <c r="E40" s="460" t="s">
        <v>4</v>
      </c>
      <c r="G40" s="464" t="s">
        <v>499</v>
      </c>
      <c r="H40" s="462">
        <v>55</v>
      </c>
      <c r="I40" s="462">
        <v>55</v>
      </c>
      <c r="J40" s="462" t="s">
        <v>423</v>
      </c>
      <c r="K40" s="462" t="s">
        <v>423</v>
      </c>
    </row>
    <row r="41" spans="1:11" ht="12" customHeight="1" x14ac:dyDescent="0.2">
      <c r="A41" s="464" t="s">
        <v>19</v>
      </c>
      <c r="B41" s="462">
        <v>60</v>
      </c>
      <c r="C41" s="462">
        <v>60</v>
      </c>
      <c r="D41" s="462" t="s">
        <v>423</v>
      </c>
      <c r="E41" s="462" t="s">
        <v>423</v>
      </c>
      <c r="G41" s="464" t="s">
        <v>59</v>
      </c>
      <c r="H41" s="462">
        <v>65</v>
      </c>
      <c r="I41" s="462">
        <v>67.5</v>
      </c>
      <c r="J41" s="462" t="s">
        <v>423</v>
      </c>
      <c r="K41" s="462" t="s">
        <v>423</v>
      </c>
    </row>
    <row r="42" spans="1:11" ht="12" customHeight="1" x14ac:dyDescent="0.2">
      <c r="A42" s="464" t="s">
        <v>23</v>
      </c>
      <c r="B42" s="462">
        <v>69</v>
      </c>
      <c r="C42" s="462">
        <v>70</v>
      </c>
      <c r="D42" s="462" t="s">
        <v>423</v>
      </c>
      <c r="E42" s="462" t="s">
        <v>423</v>
      </c>
      <c r="G42" s="464" t="s">
        <v>60</v>
      </c>
      <c r="H42" s="462">
        <v>49</v>
      </c>
      <c r="I42" s="462">
        <v>53.5</v>
      </c>
      <c r="J42" s="462">
        <v>80</v>
      </c>
      <c r="K42" s="462" t="s">
        <v>423</v>
      </c>
    </row>
    <row r="43" spans="1:11" ht="12" customHeight="1" x14ac:dyDescent="0.2">
      <c r="A43" s="464" t="s">
        <v>20</v>
      </c>
      <c r="B43" s="462" t="s">
        <v>423</v>
      </c>
      <c r="C43" s="462">
        <v>72</v>
      </c>
      <c r="D43" s="462" t="s">
        <v>423</v>
      </c>
      <c r="E43" s="462" t="s">
        <v>423</v>
      </c>
      <c r="G43" s="465" t="s">
        <v>89</v>
      </c>
      <c r="H43" s="460">
        <f>AVERAGE(H44)</f>
        <v>50</v>
      </c>
      <c r="I43" s="460">
        <f>AVERAGE(I44)</f>
        <v>50.5</v>
      </c>
      <c r="J43" s="460" t="s">
        <v>4</v>
      </c>
      <c r="K43" s="460" t="s">
        <v>4</v>
      </c>
    </row>
    <row r="44" spans="1:11" ht="12" customHeight="1" x14ac:dyDescent="0.2">
      <c r="A44" s="464" t="s">
        <v>62</v>
      </c>
      <c r="B44" s="462">
        <v>60</v>
      </c>
      <c r="C44" s="462">
        <v>65</v>
      </c>
      <c r="D44" s="462" t="s">
        <v>423</v>
      </c>
      <c r="E44" s="462" t="s">
        <v>423</v>
      </c>
      <c r="G44" s="464" t="s">
        <v>90</v>
      </c>
      <c r="H44" s="462">
        <v>50</v>
      </c>
      <c r="I44" s="462">
        <v>50.5</v>
      </c>
      <c r="J44" s="462" t="s">
        <v>423</v>
      </c>
      <c r="K44" s="462" t="s">
        <v>423</v>
      </c>
    </row>
    <row r="45" spans="1:11" ht="12" customHeight="1" x14ac:dyDescent="0.2">
      <c r="A45" s="464" t="s">
        <v>21</v>
      </c>
      <c r="B45" s="462">
        <v>45.67</v>
      </c>
      <c r="C45" s="462" t="s">
        <v>423</v>
      </c>
      <c r="D45" s="462" t="s">
        <v>423</v>
      </c>
      <c r="E45" s="462" t="s">
        <v>423</v>
      </c>
      <c r="G45" s="465" t="s">
        <v>71</v>
      </c>
      <c r="H45" s="460" t="s">
        <v>4</v>
      </c>
      <c r="I45" s="460">
        <v>60</v>
      </c>
      <c r="J45" s="460" t="s">
        <v>4</v>
      </c>
      <c r="K45" s="460" t="s">
        <v>4</v>
      </c>
    </row>
    <row r="46" spans="1:11" ht="12" customHeight="1" x14ac:dyDescent="0.2">
      <c r="A46" s="464" t="s">
        <v>80</v>
      </c>
      <c r="B46" s="462">
        <v>55</v>
      </c>
      <c r="C46" s="462">
        <v>60</v>
      </c>
      <c r="D46" s="462" t="s">
        <v>423</v>
      </c>
      <c r="E46" s="462" t="s">
        <v>423</v>
      </c>
      <c r="G46" s="464" t="s">
        <v>72</v>
      </c>
      <c r="H46" s="462" t="s">
        <v>423</v>
      </c>
      <c r="I46" s="462">
        <v>60</v>
      </c>
      <c r="J46" s="462" t="s">
        <v>423</v>
      </c>
      <c r="K46" s="462" t="s">
        <v>423</v>
      </c>
    </row>
    <row r="47" spans="1:11" ht="12" customHeight="1" x14ac:dyDescent="0.2">
      <c r="A47" s="464" t="s">
        <v>22</v>
      </c>
      <c r="B47" s="462">
        <v>59</v>
      </c>
      <c r="C47" s="462" t="s">
        <v>423</v>
      </c>
      <c r="D47" s="462" t="s">
        <v>423</v>
      </c>
      <c r="E47" s="462" t="s">
        <v>423</v>
      </c>
      <c r="G47" s="465" t="s">
        <v>46</v>
      </c>
      <c r="H47" s="460">
        <f t="shared" ref="H47:I47" si="13">AVERAGE(H48)</f>
        <v>51</v>
      </c>
      <c r="I47" s="460">
        <f t="shared" si="13"/>
        <v>55</v>
      </c>
      <c r="J47" s="460" t="s">
        <v>4</v>
      </c>
      <c r="K47" s="460" t="s">
        <v>4</v>
      </c>
    </row>
    <row r="48" spans="1:11" ht="12" customHeight="1" x14ac:dyDescent="0.2">
      <c r="A48" s="464" t="s">
        <v>63</v>
      </c>
      <c r="B48" s="462">
        <v>70</v>
      </c>
      <c r="C48" s="462">
        <v>75</v>
      </c>
      <c r="D48" s="462" t="s">
        <v>423</v>
      </c>
      <c r="E48" s="462" t="s">
        <v>423</v>
      </c>
      <c r="G48" s="473" t="s">
        <v>47</v>
      </c>
      <c r="H48" s="474">
        <v>51</v>
      </c>
      <c r="I48" s="474">
        <v>55</v>
      </c>
      <c r="J48" s="474" t="s">
        <v>423</v>
      </c>
      <c r="K48" s="474" t="s">
        <v>423</v>
      </c>
    </row>
    <row r="49" spans="1:11" ht="12" customHeight="1" x14ac:dyDescent="0.25">
      <c r="A49" s="465" t="s">
        <v>25</v>
      </c>
      <c r="B49" s="460">
        <f>AVERAGE(B50:B51)</f>
        <v>59.05</v>
      </c>
      <c r="C49" s="460">
        <f>AVERAGE(C50:C51)</f>
        <v>62.8</v>
      </c>
      <c r="D49" s="460">
        <f>AVERAGE(D50:D51)</f>
        <v>105.35</v>
      </c>
      <c r="E49" s="460">
        <f>AVERAGE(E50:E51)</f>
        <v>61.1</v>
      </c>
      <c r="G49" s="647" t="s">
        <v>87</v>
      </c>
      <c r="H49" s="536"/>
      <c r="I49" s="537"/>
      <c r="J49" s="537"/>
      <c r="K49" s="537"/>
    </row>
    <row r="50" spans="1:11" ht="12" customHeight="1" x14ac:dyDescent="0.25">
      <c r="A50" s="464" t="s">
        <v>53</v>
      </c>
      <c r="B50" s="462">
        <v>59.05</v>
      </c>
      <c r="C50" s="462">
        <v>60.6</v>
      </c>
      <c r="D50" s="462">
        <v>95.7</v>
      </c>
      <c r="E50" s="462">
        <v>67.2</v>
      </c>
      <c r="G50" s="538" t="s">
        <v>67</v>
      </c>
      <c r="H50" s="482"/>
      <c r="I50" s="537"/>
      <c r="J50" s="537"/>
      <c r="K50" s="537"/>
    </row>
    <row r="51" spans="1:11" ht="12" customHeight="1" x14ac:dyDescent="0.2">
      <c r="A51" s="466" t="s">
        <v>58</v>
      </c>
      <c r="B51" s="462" t="s">
        <v>417</v>
      </c>
      <c r="C51" s="462">
        <v>65</v>
      </c>
      <c r="D51" s="462">
        <v>115</v>
      </c>
      <c r="E51" s="462">
        <v>55</v>
      </c>
      <c r="G51" s="648" t="s">
        <v>68</v>
      </c>
      <c r="H51" s="540"/>
      <c r="I51" s="540"/>
      <c r="J51" s="540"/>
      <c r="K51" s="540"/>
    </row>
    <row r="52" spans="1:11" ht="15.75" customHeight="1" x14ac:dyDescent="0.2">
      <c r="A52" s="467"/>
      <c r="B52" s="468"/>
      <c r="C52" s="469"/>
      <c r="D52" s="469"/>
      <c r="E52" s="469" t="s">
        <v>26</v>
      </c>
    </row>
    <row r="53" spans="1:11" ht="15.75" customHeight="1" x14ac:dyDescent="0.2"/>
    <row r="54" spans="1:11" ht="36" customHeight="1" x14ac:dyDescent="0.2"/>
    <row r="55" spans="1:11" ht="15.75" customHeight="1" x14ac:dyDescent="0.2"/>
    <row r="56" spans="1:11" ht="15.75" customHeight="1" x14ac:dyDescent="0.2"/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9" customHeight="1" x14ac:dyDescent="0.2"/>
    <row r="101" ht="9" customHeight="1" x14ac:dyDescent="0.2"/>
    <row r="102" ht="9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</sheetData>
  <mergeCells count="1">
    <mergeCell ref="G2:G3"/>
  </mergeCells>
  <pageMargins left="0.27559055118110237" right="0.27559055118110237" top="0.39370078740157483" bottom="0.39370078740157483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/>
  <dimension ref="A1:Z631"/>
  <sheetViews>
    <sheetView showGridLines="0" tabSelected="1" topLeftCell="A17" zoomScaleNormal="100" workbookViewId="0">
      <selection activeCell="D80" sqref="D80"/>
    </sheetView>
  </sheetViews>
  <sheetFormatPr baseColWidth="10" defaultColWidth="12.42578125" defaultRowHeight="15" customHeight="1" x14ac:dyDescent="0.2"/>
  <cols>
    <col min="1" max="1" width="17.7109375" style="2" customWidth="1"/>
    <col min="2" max="5" width="10.85546875" style="2" customWidth="1"/>
    <col min="6" max="6" width="6.140625" style="2" customWidth="1"/>
    <col min="7" max="25" width="11.42578125" style="2" customWidth="1"/>
    <col min="26" max="16384" width="12.42578125" style="2"/>
  </cols>
  <sheetData>
    <row r="1" spans="1:26" ht="12.75" customHeight="1" x14ac:dyDescent="0.25">
      <c r="A1" s="424" t="s">
        <v>459</v>
      </c>
      <c r="B1" s="430"/>
      <c r="C1" s="427"/>
      <c r="D1" s="430"/>
      <c r="E1" s="430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</row>
    <row r="2" spans="1:26" ht="12.75" customHeight="1" x14ac:dyDescent="0.2">
      <c r="A2" s="426" t="s">
        <v>611</v>
      </c>
      <c r="B2" s="430"/>
      <c r="C2" s="427"/>
      <c r="D2" s="430"/>
      <c r="E2" s="430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</row>
    <row r="3" spans="1:26" ht="5.0999999999999996" customHeight="1" x14ac:dyDescent="0.2">
      <c r="A3" s="291"/>
      <c r="B3" s="428"/>
      <c r="C3" s="431"/>
      <c r="D3" s="428"/>
      <c r="E3" s="428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</row>
    <row r="4" spans="1:26" ht="15.95" customHeight="1" x14ac:dyDescent="0.2">
      <c r="A4" s="455" t="s">
        <v>0</v>
      </c>
      <c r="B4" s="455" t="s">
        <v>460</v>
      </c>
      <c r="C4" s="455" t="s">
        <v>461</v>
      </c>
      <c r="D4" s="455" t="s">
        <v>462</v>
      </c>
      <c r="E4" s="455" t="s">
        <v>484</v>
      </c>
    </row>
    <row r="5" spans="1:26" ht="3" customHeight="1" x14ac:dyDescent="0.2">
      <c r="A5" s="457"/>
      <c r="B5" s="457"/>
      <c r="C5" s="457"/>
      <c r="D5" s="457"/>
      <c r="E5" s="457"/>
    </row>
    <row r="6" spans="1:26" ht="12" customHeight="1" x14ac:dyDescent="0.25">
      <c r="A6" s="459" t="s">
        <v>490</v>
      </c>
      <c r="B6" s="475" t="s">
        <v>4</v>
      </c>
      <c r="C6" s="475" t="s">
        <v>4</v>
      </c>
      <c r="D6" s="475">
        <f t="shared" ref="D6:E6" si="0">AVERAGE(D7:D9)</f>
        <v>87.166666666666671</v>
      </c>
      <c r="E6" s="475">
        <f t="shared" si="0"/>
        <v>24</v>
      </c>
    </row>
    <row r="7" spans="1:26" ht="12" customHeight="1" x14ac:dyDescent="0.25">
      <c r="A7" s="461" t="s">
        <v>492</v>
      </c>
      <c r="B7" s="476" t="s">
        <v>423</v>
      </c>
      <c r="C7" s="476" t="s">
        <v>423</v>
      </c>
      <c r="D7" s="476">
        <v>76.5</v>
      </c>
      <c r="E7" s="476" t="s">
        <v>423</v>
      </c>
    </row>
    <row r="8" spans="1:26" ht="12" customHeight="1" x14ac:dyDescent="0.25">
      <c r="A8" s="461" t="s">
        <v>505</v>
      </c>
      <c r="B8" s="476" t="s">
        <v>423</v>
      </c>
      <c r="C8" s="476" t="s">
        <v>423</v>
      </c>
      <c r="D8" s="476">
        <v>100</v>
      </c>
      <c r="E8" s="476" t="s">
        <v>423</v>
      </c>
    </row>
    <row r="9" spans="1:26" ht="12" customHeight="1" x14ac:dyDescent="0.25">
      <c r="A9" s="461" t="s">
        <v>491</v>
      </c>
      <c r="B9" s="476" t="s">
        <v>423</v>
      </c>
      <c r="C9" s="476" t="s">
        <v>423</v>
      </c>
      <c r="D9" s="476">
        <v>85</v>
      </c>
      <c r="E9" s="476">
        <v>24</v>
      </c>
    </row>
    <row r="10" spans="1:26" ht="12" customHeight="1" x14ac:dyDescent="0.25">
      <c r="A10" s="459" t="s">
        <v>441</v>
      </c>
      <c r="B10" s="477">
        <f>AVERAGE(B11:B15)</f>
        <v>20.335000000000001</v>
      </c>
      <c r="C10" s="477" t="s">
        <v>4</v>
      </c>
      <c r="D10" s="477">
        <f t="shared" ref="D10:E10" si="1">AVERAGE(D11:D15)</f>
        <v>84.02</v>
      </c>
      <c r="E10" s="477">
        <f t="shared" si="1"/>
        <v>24.33</v>
      </c>
    </row>
    <row r="11" spans="1:26" ht="12" customHeight="1" x14ac:dyDescent="0.25">
      <c r="A11" s="461" t="s">
        <v>444</v>
      </c>
      <c r="B11" s="462" t="s">
        <v>423</v>
      </c>
      <c r="C11" s="462" t="s">
        <v>423</v>
      </c>
      <c r="D11" s="476">
        <v>72</v>
      </c>
      <c r="E11" s="476" t="s">
        <v>423</v>
      </c>
    </row>
    <row r="12" spans="1:26" ht="12" customHeight="1" x14ac:dyDescent="0.25">
      <c r="A12" s="461" t="s">
        <v>578</v>
      </c>
      <c r="B12" s="476">
        <v>20</v>
      </c>
      <c r="C12" s="462" t="s">
        <v>423</v>
      </c>
      <c r="D12" s="476">
        <v>82.5</v>
      </c>
      <c r="E12" s="476" t="s">
        <v>423</v>
      </c>
    </row>
    <row r="13" spans="1:26" ht="12" customHeight="1" x14ac:dyDescent="0.25">
      <c r="A13" s="461" t="s">
        <v>443</v>
      </c>
      <c r="B13" s="476" t="s">
        <v>423</v>
      </c>
      <c r="C13" s="476" t="s">
        <v>423</v>
      </c>
      <c r="D13" s="476">
        <v>82.33</v>
      </c>
      <c r="E13" s="476">
        <v>24.33</v>
      </c>
    </row>
    <row r="14" spans="1:26" ht="12" customHeight="1" x14ac:dyDescent="0.25">
      <c r="A14" s="461" t="s">
        <v>465</v>
      </c>
      <c r="B14" s="476">
        <v>20.67</v>
      </c>
      <c r="C14" s="476" t="s">
        <v>423</v>
      </c>
      <c r="D14" s="476" t="s">
        <v>423</v>
      </c>
      <c r="E14" s="476" t="s">
        <v>423</v>
      </c>
    </row>
    <row r="15" spans="1:26" ht="12" customHeight="1" x14ac:dyDescent="0.25">
      <c r="A15" s="461" t="s">
        <v>442</v>
      </c>
      <c r="B15" s="476" t="s">
        <v>423</v>
      </c>
      <c r="C15" s="476" t="s">
        <v>423</v>
      </c>
      <c r="D15" s="476">
        <v>99.25</v>
      </c>
      <c r="E15" s="476" t="s">
        <v>423</v>
      </c>
    </row>
    <row r="16" spans="1:26" ht="12" customHeight="1" x14ac:dyDescent="0.25">
      <c r="A16" s="459" t="s">
        <v>77</v>
      </c>
      <c r="B16" s="477">
        <f t="shared" ref="B16:E16" si="2">AVERAGE(B17:B18)</f>
        <v>61.33</v>
      </c>
      <c r="C16" s="477">
        <f t="shared" si="2"/>
        <v>85.67</v>
      </c>
      <c r="D16" s="477">
        <f t="shared" si="2"/>
        <v>70.414999999999992</v>
      </c>
      <c r="E16" s="477">
        <f t="shared" si="2"/>
        <v>49.33</v>
      </c>
    </row>
    <row r="17" spans="1:5" ht="12" customHeight="1" x14ac:dyDescent="0.25">
      <c r="A17" s="461" t="s">
        <v>155</v>
      </c>
      <c r="B17" s="478">
        <v>61.33</v>
      </c>
      <c r="C17" s="476">
        <v>85.67</v>
      </c>
      <c r="D17" s="476">
        <v>90.33</v>
      </c>
      <c r="E17" s="476">
        <v>44</v>
      </c>
    </row>
    <row r="18" spans="1:5" ht="12" customHeight="1" x14ac:dyDescent="0.25">
      <c r="A18" s="461" t="s">
        <v>158</v>
      </c>
      <c r="B18" s="476" t="s">
        <v>423</v>
      </c>
      <c r="C18" s="475" t="s">
        <v>423</v>
      </c>
      <c r="D18" s="476">
        <v>50.5</v>
      </c>
      <c r="E18" s="476">
        <v>54.66</v>
      </c>
    </row>
    <row r="19" spans="1:5" ht="12" customHeight="1" x14ac:dyDescent="0.25">
      <c r="A19" s="459" t="s">
        <v>2</v>
      </c>
      <c r="B19" s="475" t="s">
        <v>4</v>
      </c>
      <c r="C19" s="475" t="s">
        <v>4</v>
      </c>
      <c r="D19" s="475">
        <f t="shared" ref="D19:E19" si="3">AVERAGE(D20:D24)</f>
        <v>80.068000000000012</v>
      </c>
      <c r="E19" s="475">
        <f t="shared" si="3"/>
        <v>25.556666666666668</v>
      </c>
    </row>
    <row r="20" spans="1:5" ht="12" customHeight="1" x14ac:dyDescent="0.2">
      <c r="A20" s="479" t="s">
        <v>78</v>
      </c>
      <c r="B20" s="476" t="s">
        <v>423</v>
      </c>
      <c r="C20" s="476" t="s">
        <v>423</v>
      </c>
      <c r="D20" s="476">
        <v>79</v>
      </c>
      <c r="E20" s="476">
        <v>23</v>
      </c>
    </row>
    <row r="21" spans="1:5" ht="12" customHeight="1" x14ac:dyDescent="0.2">
      <c r="A21" s="479" t="s">
        <v>61</v>
      </c>
      <c r="B21" s="476" t="s">
        <v>423</v>
      </c>
      <c r="C21" s="476" t="s">
        <v>423</v>
      </c>
      <c r="D21" s="476">
        <v>84.17</v>
      </c>
      <c r="E21" s="476">
        <v>26.67</v>
      </c>
    </row>
    <row r="22" spans="1:5" ht="12" customHeight="1" x14ac:dyDescent="0.2">
      <c r="A22" s="479" t="s">
        <v>418</v>
      </c>
      <c r="B22" s="476" t="s">
        <v>423</v>
      </c>
      <c r="C22" s="476" t="s">
        <v>423</v>
      </c>
      <c r="D22" s="476">
        <v>84.67</v>
      </c>
      <c r="E22" s="476" t="s">
        <v>423</v>
      </c>
    </row>
    <row r="23" spans="1:5" ht="12" customHeight="1" x14ac:dyDescent="0.2">
      <c r="A23" s="479" t="s">
        <v>190</v>
      </c>
      <c r="B23" s="476" t="s">
        <v>423</v>
      </c>
      <c r="C23" s="476" t="s">
        <v>423</v>
      </c>
      <c r="D23" s="476">
        <v>76</v>
      </c>
      <c r="E23" s="476" t="s">
        <v>423</v>
      </c>
    </row>
    <row r="24" spans="1:5" ht="12" customHeight="1" x14ac:dyDescent="0.2">
      <c r="A24" s="479" t="s">
        <v>85</v>
      </c>
      <c r="B24" s="476" t="s">
        <v>423</v>
      </c>
      <c r="C24" s="476" t="s">
        <v>423</v>
      </c>
      <c r="D24" s="476">
        <v>76.5</v>
      </c>
      <c r="E24" s="476">
        <v>27</v>
      </c>
    </row>
    <row r="25" spans="1:5" ht="12" customHeight="1" x14ac:dyDescent="0.2">
      <c r="A25" s="480" t="s">
        <v>6</v>
      </c>
      <c r="B25" s="475" t="s">
        <v>4</v>
      </c>
      <c r="C25" s="475" t="s">
        <v>4</v>
      </c>
      <c r="D25" s="475">
        <f t="shared" ref="D25:E25" si="4">AVERAGE(D26:D29)</f>
        <v>96.5625</v>
      </c>
      <c r="E25" s="475">
        <f t="shared" si="4"/>
        <v>38.25</v>
      </c>
    </row>
    <row r="26" spans="1:5" ht="12" customHeight="1" x14ac:dyDescent="0.2">
      <c r="A26" s="464" t="s">
        <v>11</v>
      </c>
      <c r="B26" s="476" t="s">
        <v>423</v>
      </c>
      <c r="C26" s="476" t="s">
        <v>423</v>
      </c>
      <c r="D26" s="476">
        <v>96.67</v>
      </c>
      <c r="E26" s="476" t="s">
        <v>423</v>
      </c>
    </row>
    <row r="27" spans="1:5" ht="12" customHeight="1" x14ac:dyDescent="0.2">
      <c r="A27" s="464" t="s">
        <v>8</v>
      </c>
      <c r="B27" s="476" t="s">
        <v>423</v>
      </c>
      <c r="C27" s="476" t="s">
        <v>423</v>
      </c>
      <c r="D27" s="476">
        <v>88.75</v>
      </c>
      <c r="E27" s="476">
        <v>38.25</v>
      </c>
    </row>
    <row r="28" spans="1:5" ht="12" customHeight="1" x14ac:dyDescent="0.2">
      <c r="A28" s="464" t="s">
        <v>9</v>
      </c>
      <c r="B28" s="476" t="s">
        <v>423</v>
      </c>
      <c r="C28" s="476" t="s">
        <v>423</v>
      </c>
      <c r="D28" s="476">
        <v>92.5</v>
      </c>
      <c r="E28" s="476" t="s">
        <v>423</v>
      </c>
    </row>
    <row r="29" spans="1:5" ht="12" customHeight="1" x14ac:dyDescent="0.2">
      <c r="A29" s="464" t="s">
        <v>92</v>
      </c>
      <c r="B29" s="476" t="s">
        <v>423</v>
      </c>
      <c r="C29" s="476" t="s">
        <v>423</v>
      </c>
      <c r="D29" s="476">
        <v>108.33</v>
      </c>
      <c r="E29" s="476" t="s">
        <v>454</v>
      </c>
    </row>
    <row r="30" spans="1:5" ht="12" customHeight="1" x14ac:dyDescent="0.2">
      <c r="A30" s="465" t="s">
        <v>15</v>
      </c>
      <c r="B30" s="475" t="s">
        <v>4</v>
      </c>
      <c r="C30" s="475" t="s">
        <v>4</v>
      </c>
      <c r="D30" s="475">
        <f t="shared" ref="D30:E30" si="5">AVERAGE(D31:D34)</f>
        <v>78</v>
      </c>
      <c r="E30" s="475">
        <f t="shared" si="5"/>
        <v>69</v>
      </c>
    </row>
    <row r="31" spans="1:5" ht="12" customHeight="1" x14ac:dyDescent="0.2">
      <c r="A31" s="464" t="s">
        <v>191</v>
      </c>
      <c r="B31" s="476" t="s">
        <v>423</v>
      </c>
      <c r="C31" s="476" t="s">
        <v>423</v>
      </c>
      <c r="D31" s="476">
        <v>85</v>
      </c>
      <c r="E31" s="476" t="s">
        <v>423</v>
      </c>
    </row>
    <row r="32" spans="1:5" ht="12" customHeight="1" x14ac:dyDescent="0.2">
      <c r="A32" s="464" t="s">
        <v>543</v>
      </c>
      <c r="B32" s="476" t="s">
        <v>423</v>
      </c>
      <c r="C32" s="476" t="s">
        <v>423</v>
      </c>
      <c r="D32" s="476">
        <v>70</v>
      </c>
      <c r="E32" s="476" t="s">
        <v>423</v>
      </c>
    </row>
    <row r="33" spans="1:5" ht="12" customHeight="1" x14ac:dyDescent="0.2">
      <c r="A33" s="464" t="s">
        <v>70</v>
      </c>
      <c r="B33" s="476" t="s">
        <v>423</v>
      </c>
      <c r="C33" s="476" t="s">
        <v>454</v>
      </c>
      <c r="D33" s="476">
        <v>79</v>
      </c>
      <c r="E33" s="476" t="s">
        <v>423</v>
      </c>
    </row>
    <row r="34" spans="1:5" ht="12" customHeight="1" x14ac:dyDescent="0.2">
      <c r="A34" s="464" t="s">
        <v>69</v>
      </c>
      <c r="B34" s="476" t="s">
        <v>423</v>
      </c>
      <c r="C34" s="476" t="s">
        <v>423</v>
      </c>
      <c r="D34" s="476" t="s">
        <v>454</v>
      </c>
      <c r="E34" s="476">
        <v>69</v>
      </c>
    </row>
    <row r="35" spans="1:5" ht="12" customHeight="1" x14ac:dyDescent="0.2">
      <c r="A35" s="465" t="s">
        <v>16</v>
      </c>
      <c r="B35" s="475" t="s">
        <v>4</v>
      </c>
      <c r="C35" s="475" t="s">
        <v>4</v>
      </c>
      <c r="D35" s="475">
        <f t="shared" ref="D35:E35" si="6">AVERAGE(D36:D39)</f>
        <v>110</v>
      </c>
      <c r="E35" s="475">
        <f t="shared" si="6"/>
        <v>46</v>
      </c>
    </row>
    <row r="36" spans="1:5" ht="12" customHeight="1" x14ac:dyDescent="0.2">
      <c r="A36" s="464" t="s">
        <v>192</v>
      </c>
      <c r="B36" s="476" t="s">
        <v>423</v>
      </c>
      <c r="C36" s="476" t="s">
        <v>423</v>
      </c>
      <c r="D36" s="476">
        <v>95.5</v>
      </c>
      <c r="E36" s="476">
        <v>46</v>
      </c>
    </row>
    <row r="37" spans="1:5" ht="12" customHeight="1" x14ac:dyDescent="0.2">
      <c r="A37" s="464" t="s">
        <v>544</v>
      </c>
      <c r="B37" s="476" t="s">
        <v>423</v>
      </c>
      <c r="C37" s="476" t="s">
        <v>423</v>
      </c>
      <c r="D37" s="476">
        <v>90</v>
      </c>
      <c r="E37" s="476" t="s">
        <v>423</v>
      </c>
    </row>
    <row r="38" spans="1:5" ht="12" customHeight="1" x14ac:dyDescent="0.2">
      <c r="A38" s="464" t="s">
        <v>497</v>
      </c>
      <c r="B38" s="476" t="s">
        <v>423</v>
      </c>
      <c r="C38" s="476" t="s">
        <v>423</v>
      </c>
      <c r="D38" s="476">
        <v>162.5</v>
      </c>
      <c r="E38" s="476" t="s">
        <v>423</v>
      </c>
    </row>
    <row r="39" spans="1:5" ht="12" customHeight="1" x14ac:dyDescent="0.2">
      <c r="A39" s="464" t="s">
        <v>17</v>
      </c>
      <c r="B39" s="476" t="s">
        <v>423</v>
      </c>
      <c r="C39" s="476" t="s">
        <v>423</v>
      </c>
      <c r="D39" s="476">
        <v>92</v>
      </c>
      <c r="E39" s="476" t="s">
        <v>423</v>
      </c>
    </row>
    <row r="40" spans="1:5" ht="12" customHeight="1" x14ac:dyDescent="0.2">
      <c r="A40" s="480" t="s">
        <v>18</v>
      </c>
      <c r="B40" s="475" t="s">
        <v>4</v>
      </c>
      <c r="C40" s="475" t="s">
        <v>4</v>
      </c>
      <c r="D40" s="475">
        <f t="shared" ref="D40:E40" si="7">AVERAGE(D41:D48)</f>
        <v>81.572499999999991</v>
      </c>
      <c r="E40" s="475">
        <f t="shared" si="7"/>
        <v>28.67</v>
      </c>
    </row>
    <row r="41" spans="1:5" ht="12" customHeight="1" x14ac:dyDescent="0.2">
      <c r="A41" s="464" t="s">
        <v>19</v>
      </c>
      <c r="B41" s="476" t="s">
        <v>423</v>
      </c>
      <c r="C41" s="476" t="s">
        <v>423</v>
      </c>
      <c r="D41" s="476">
        <v>81.33</v>
      </c>
      <c r="E41" s="476">
        <v>28.67</v>
      </c>
    </row>
    <row r="42" spans="1:5" ht="12" customHeight="1" x14ac:dyDescent="0.2">
      <c r="A42" s="464" t="s">
        <v>62</v>
      </c>
      <c r="B42" s="476" t="s">
        <v>423</v>
      </c>
      <c r="C42" s="476" t="s">
        <v>423</v>
      </c>
      <c r="D42" s="476">
        <v>100</v>
      </c>
      <c r="E42" s="476" t="s">
        <v>423</v>
      </c>
    </row>
    <row r="43" spans="1:5" ht="12" customHeight="1" x14ac:dyDescent="0.2">
      <c r="A43" s="464" t="s">
        <v>80</v>
      </c>
      <c r="B43" s="476" t="s">
        <v>454</v>
      </c>
      <c r="C43" s="476" t="s">
        <v>454</v>
      </c>
      <c r="D43" s="476">
        <v>90</v>
      </c>
      <c r="E43" s="476" t="s">
        <v>454</v>
      </c>
    </row>
    <row r="44" spans="1:5" ht="12" customHeight="1" x14ac:dyDescent="0.2">
      <c r="A44" s="464" t="s">
        <v>23</v>
      </c>
      <c r="B44" s="476" t="s">
        <v>423</v>
      </c>
      <c r="C44" s="476" t="s">
        <v>423</v>
      </c>
      <c r="D44" s="476">
        <v>90</v>
      </c>
      <c r="E44" s="476" t="s">
        <v>423</v>
      </c>
    </row>
    <row r="45" spans="1:5" ht="12" customHeight="1" x14ac:dyDescent="0.2">
      <c r="A45" s="464" t="s">
        <v>125</v>
      </c>
      <c r="B45" s="476" t="s">
        <v>423</v>
      </c>
      <c r="C45" s="476" t="s">
        <v>423</v>
      </c>
      <c r="D45" s="476">
        <v>65</v>
      </c>
      <c r="E45" s="476" t="s">
        <v>423</v>
      </c>
    </row>
    <row r="46" spans="1:5" ht="12" customHeight="1" x14ac:dyDescent="0.2">
      <c r="A46" s="464" t="s">
        <v>63</v>
      </c>
      <c r="B46" s="476" t="s">
        <v>423</v>
      </c>
      <c r="C46" s="476" t="s">
        <v>423</v>
      </c>
      <c r="D46" s="476">
        <v>65</v>
      </c>
      <c r="E46" s="476" t="s">
        <v>423</v>
      </c>
    </row>
    <row r="47" spans="1:5" ht="12" customHeight="1" x14ac:dyDescent="0.2">
      <c r="A47" s="464" t="s">
        <v>22</v>
      </c>
      <c r="B47" s="476" t="s">
        <v>423</v>
      </c>
      <c r="C47" s="476" t="s">
        <v>423</v>
      </c>
      <c r="D47" s="476">
        <v>91.25</v>
      </c>
      <c r="E47" s="476" t="s">
        <v>423</v>
      </c>
    </row>
    <row r="48" spans="1:5" ht="12" customHeight="1" x14ac:dyDescent="0.2">
      <c r="A48" s="464" t="s">
        <v>21</v>
      </c>
      <c r="B48" s="476" t="s">
        <v>423</v>
      </c>
      <c r="C48" s="476" t="s">
        <v>454</v>
      </c>
      <c r="D48" s="476">
        <v>70</v>
      </c>
      <c r="E48" s="476" t="s">
        <v>454</v>
      </c>
    </row>
    <row r="49" spans="1:5" ht="15.75" customHeight="1" x14ac:dyDescent="0.2">
      <c r="A49" s="467"/>
      <c r="B49" s="468"/>
      <c r="C49" s="468"/>
      <c r="D49" s="468"/>
      <c r="E49" s="469" t="s">
        <v>26</v>
      </c>
    </row>
    <row r="50" spans="1:5" ht="15.75" customHeight="1" x14ac:dyDescent="0.25">
      <c r="A50" s="470" t="s">
        <v>580</v>
      </c>
      <c r="B50" s="470"/>
      <c r="C50" s="470"/>
      <c r="D50" s="482"/>
      <c r="E50" s="482"/>
    </row>
    <row r="51" spans="1:5" ht="15.95" customHeight="1" x14ac:dyDescent="0.2">
      <c r="A51" s="455" t="s">
        <v>0</v>
      </c>
      <c r="B51" s="455" t="s">
        <v>460</v>
      </c>
      <c r="C51" s="455" t="s">
        <v>461</v>
      </c>
      <c r="D51" s="455" t="s">
        <v>462</v>
      </c>
      <c r="E51" s="455" t="s">
        <v>484</v>
      </c>
    </row>
    <row r="52" spans="1:5" ht="3" customHeight="1" x14ac:dyDescent="0.2">
      <c r="A52" s="483"/>
      <c r="B52" s="482"/>
      <c r="C52" s="482"/>
      <c r="D52" s="482"/>
      <c r="E52" s="482"/>
    </row>
    <row r="53" spans="1:5" ht="12" customHeight="1" x14ac:dyDescent="0.2">
      <c r="A53" s="480" t="s">
        <v>25</v>
      </c>
      <c r="B53" s="475" t="s">
        <v>4</v>
      </c>
      <c r="C53" s="475" t="s">
        <v>4</v>
      </c>
      <c r="D53" s="475">
        <f t="shared" ref="D53:E53" si="8">AVERAGE(D54:D55)</f>
        <v>98.85</v>
      </c>
      <c r="E53" s="475">
        <f t="shared" si="8"/>
        <v>32.5</v>
      </c>
    </row>
    <row r="54" spans="1:5" ht="12" customHeight="1" x14ac:dyDescent="0.2">
      <c r="A54" s="464" t="s">
        <v>53</v>
      </c>
      <c r="B54" s="476" t="s">
        <v>454</v>
      </c>
      <c r="C54" s="476" t="s">
        <v>454</v>
      </c>
      <c r="D54" s="476">
        <v>87.7</v>
      </c>
      <c r="E54" s="476">
        <v>35</v>
      </c>
    </row>
    <row r="55" spans="1:5" ht="12" customHeight="1" x14ac:dyDescent="0.25">
      <c r="A55" s="481" t="s">
        <v>58</v>
      </c>
      <c r="B55" s="476" t="s">
        <v>454</v>
      </c>
      <c r="C55" s="476" t="s">
        <v>454</v>
      </c>
      <c r="D55" s="476">
        <v>110</v>
      </c>
      <c r="E55" s="476">
        <v>30</v>
      </c>
    </row>
    <row r="56" spans="1:5" ht="12" customHeight="1" x14ac:dyDescent="0.2">
      <c r="A56" s="480" t="s">
        <v>81</v>
      </c>
      <c r="B56" s="475" t="s">
        <v>4</v>
      </c>
      <c r="C56" s="475" t="s">
        <v>4</v>
      </c>
      <c r="D56" s="475">
        <v>83.33</v>
      </c>
      <c r="E56" s="475" t="s">
        <v>4</v>
      </c>
    </row>
    <row r="57" spans="1:5" ht="12" customHeight="1" x14ac:dyDescent="0.2">
      <c r="A57" s="464" t="s">
        <v>88</v>
      </c>
      <c r="B57" s="476" t="s">
        <v>423</v>
      </c>
      <c r="C57" s="476" t="s">
        <v>423</v>
      </c>
      <c r="D57" s="476">
        <v>83.33</v>
      </c>
      <c r="E57" s="476" t="s">
        <v>423</v>
      </c>
    </row>
    <row r="58" spans="1:5" ht="12" customHeight="1" x14ac:dyDescent="0.2">
      <c r="A58" s="480" t="s">
        <v>86</v>
      </c>
      <c r="B58" s="475">
        <f t="shared" ref="B58:E58" si="9">AVERAGE(B59:B69)</f>
        <v>89.975714285714275</v>
      </c>
      <c r="C58" s="475">
        <f t="shared" si="9"/>
        <v>68.5625</v>
      </c>
      <c r="D58" s="475">
        <f t="shared" si="9"/>
        <v>89.566999999999993</v>
      </c>
      <c r="E58" s="475">
        <f t="shared" si="9"/>
        <v>26.25</v>
      </c>
    </row>
    <row r="59" spans="1:5" ht="12" customHeight="1" x14ac:dyDescent="0.2">
      <c r="A59" s="464" t="s">
        <v>28</v>
      </c>
      <c r="B59" s="476">
        <v>89.5</v>
      </c>
      <c r="C59" s="476">
        <v>70</v>
      </c>
      <c r="D59" s="476">
        <v>89</v>
      </c>
      <c r="E59" s="476">
        <v>23</v>
      </c>
    </row>
    <row r="60" spans="1:5" ht="12" customHeight="1" x14ac:dyDescent="0.2">
      <c r="A60" s="464" t="s">
        <v>29</v>
      </c>
      <c r="B60" s="476">
        <v>77.5</v>
      </c>
      <c r="C60" s="476">
        <v>65</v>
      </c>
      <c r="D60" s="476">
        <v>85</v>
      </c>
      <c r="E60" s="476" t="s">
        <v>423</v>
      </c>
    </row>
    <row r="61" spans="1:5" ht="12" customHeight="1" x14ac:dyDescent="0.2">
      <c r="A61" s="464" t="s">
        <v>30</v>
      </c>
      <c r="B61" s="476">
        <v>110</v>
      </c>
      <c r="C61" s="476">
        <v>70</v>
      </c>
      <c r="D61" s="476">
        <v>91.5</v>
      </c>
      <c r="E61" s="476">
        <v>27</v>
      </c>
    </row>
    <row r="62" spans="1:5" ht="12" customHeight="1" x14ac:dyDescent="0.2">
      <c r="A62" s="464" t="s">
        <v>32</v>
      </c>
      <c r="B62" s="476" t="s">
        <v>454</v>
      </c>
      <c r="C62" s="476">
        <v>65.5</v>
      </c>
      <c r="D62" s="476">
        <v>86.75</v>
      </c>
      <c r="E62" s="476" t="s">
        <v>454</v>
      </c>
    </row>
    <row r="63" spans="1:5" ht="12" customHeight="1" x14ac:dyDescent="0.2">
      <c r="A63" s="464" t="s">
        <v>83</v>
      </c>
      <c r="B63" s="476">
        <v>100</v>
      </c>
      <c r="C63" s="476">
        <v>90</v>
      </c>
      <c r="D63" s="476">
        <v>95</v>
      </c>
      <c r="E63" s="476" t="s">
        <v>454</v>
      </c>
    </row>
    <row r="64" spans="1:5" ht="12" customHeight="1" x14ac:dyDescent="0.2">
      <c r="A64" s="464" t="s">
        <v>54</v>
      </c>
      <c r="B64" s="476">
        <v>84.33</v>
      </c>
      <c r="C64" s="476" t="s">
        <v>423</v>
      </c>
      <c r="D64" s="476" t="s">
        <v>454</v>
      </c>
      <c r="E64" s="476" t="s">
        <v>454</v>
      </c>
    </row>
    <row r="65" spans="1:5" ht="12" customHeight="1" x14ac:dyDescent="0.2">
      <c r="A65" s="464" t="s">
        <v>31</v>
      </c>
      <c r="B65" s="476" t="s">
        <v>454</v>
      </c>
      <c r="C65" s="476">
        <v>65</v>
      </c>
      <c r="D65" s="476">
        <v>86</v>
      </c>
      <c r="E65" s="476" t="s">
        <v>454</v>
      </c>
    </row>
    <row r="66" spans="1:5" ht="12" customHeight="1" x14ac:dyDescent="0.2">
      <c r="A66" s="464" t="s">
        <v>64</v>
      </c>
      <c r="B66" s="476" t="s">
        <v>454</v>
      </c>
      <c r="C66" s="476" t="s">
        <v>454</v>
      </c>
      <c r="D66" s="476">
        <v>91.67</v>
      </c>
      <c r="E66" s="476" t="s">
        <v>423</v>
      </c>
    </row>
    <row r="67" spans="1:5" ht="12" customHeight="1" x14ac:dyDescent="0.2">
      <c r="A67" s="464" t="s">
        <v>33</v>
      </c>
      <c r="B67" s="476" t="s">
        <v>454</v>
      </c>
      <c r="C67" s="476" t="s">
        <v>454</v>
      </c>
      <c r="D67" s="476">
        <v>93.75</v>
      </c>
      <c r="E67" s="476" t="s">
        <v>454</v>
      </c>
    </row>
    <row r="68" spans="1:5" ht="12" customHeight="1" x14ac:dyDescent="0.2">
      <c r="A68" s="464" t="s">
        <v>34</v>
      </c>
      <c r="B68" s="476">
        <v>92.5</v>
      </c>
      <c r="C68" s="476">
        <v>62</v>
      </c>
      <c r="D68" s="476">
        <v>86</v>
      </c>
      <c r="E68" s="476">
        <v>28.75</v>
      </c>
    </row>
    <row r="69" spans="1:5" ht="12" customHeight="1" x14ac:dyDescent="0.2">
      <c r="A69" s="464" t="s">
        <v>66</v>
      </c>
      <c r="B69" s="476">
        <v>76</v>
      </c>
      <c r="C69" s="476">
        <v>61</v>
      </c>
      <c r="D69" s="476">
        <v>91</v>
      </c>
      <c r="E69" s="476" t="s">
        <v>423</v>
      </c>
    </row>
    <row r="70" spans="1:5" ht="12" customHeight="1" x14ac:dyDescent="0.2">
      <c r="A70" s="480" t="s">
        <v>35</v>
      </c>
      <c r="B70" s="475" t="s">
        <v>4</v>
      </c>
      <c r="C70" s="475">
        <f t="shared" ref="C70:D70" si="10">AVERAGE(C71:C73)</f>
        <v>58.166666666666664</v>
      </c>
      <c r="D70" s="475">
        <f t="shared" si="10"/>
        <v>85.666666666666671</v>
      </c>
      <c r="E70" s="476" t="s">
        <v>4</v>
      </c>
    </row>
    <row r="71" spans="1:5" ht="12" customHeight="1" x14ac:dyDescent="0.2">
      <c r="A71" s="464" t="s">
        <v>36</v>
      </c>
      <c r="B71" s="476" t="s">
        <v>423</v>
      </c>
      <c r="C71" s="476">
        <v>56.5</v>
      </c>
      <c r="D71" s="476">
        <v>84</v>
      </c>
      <c r="E71" s="476" t="s">
        <v>454</v>
      </c>
    </row>
    <row r="72" spans="1:5" ht="12" customHeight="1" x14ac:dyDescent="0.2">
      <c r="A72" s="464" t="s">
        <v>38</v>
      </c>
      <c r="B72" s="476" t="s">
        <v>423</v>
      </c>
      <c r="C72" s="476">
        <v>57.5</v>
      </c>
      <c r="D72" s="476">
        <v>85</v>
      </c>
      <c r="E72" s="476" t="s">
        <v>454</v>
      </c>
    </row>
    <row r="73" spans="1:5" ht="12" customHeight="1" x14ac:dyDescent="0.2">
      <c r="A73" s="464" t="s">
        <v>37</v>
      </c>
      <c r="B73" s="476" t="s">
        <v>423</v>
      </c>
      <c r="C73" s="476">
        <v>60.5</v>
      </c>
      <c r="D73" s="476">
        <v>88</v>
      </c>
      <c r="E73" s="476" t="s">
        <v>454</v>
      </c>
    </row>
    <row r="74" spans="1:5" ht="12" customHeight="1" x14ac:dyDescent="0.2">
      <c r="A74" s="480" t="s">
        <v>189</v>
      </c>
      <c r="B74" s="475" t="s">
        <v>4</v>
      </c>
      <c r="C74" s="475" t="s">
        <v>4</v>
      </c>
      <c r="D74" s="475">
        <v>96</v>
      </c>
      <c r="E74" s="475">
        <v>31</v>
      </c>
    </row>
    <row r="75" spans="1:5" ht="12" customHeight="1" x14ac:dyDescent="0.2">
      <c r="A75" s="479" t="s">
        <v>581</v>
      </c>
      <c r="B75" s="476" t="s">
        <v>423</v>
      </c>
      <c r="C75" s="476" t="s">
        <v>423</v>
      </c>
      <c r="D75" s="476">
        <v>96</v>
      </c>
      <c r="E75" s="476">
        <v>31</v>
      </c>
    </row>
    <row r="76" spans="1:5" ht="12" customHeight="1" x14ac:dyDescent="0.2">
      <c r="A76" s="480" t="s">
        <v>194</v>
      </c>
      <c r="B76" s="475">
        <f t="shared" ref="B76:E76" si="11">B77</f>
        <v>51.67</v>
      </c>
      <c r="C76" s="475">
        <f t="shared" si="11"/>
        <v>65</v>
      </c>
      <c r="D76" s="475">
        <f t="shared" si="11"/>
        <v>85</v>
      </c>
      <c r="E76" s="475">
        <f t="shared" si="11"/>
        <v>28</v>
      </c>
    </row>
    <row r="77" spans="1:5" ht="12" customHeight="1" x14ac:dyDescent="0.2">
      <c r="A77" s="464" t="s">
        <v>197</v>
      </c>
      <c r="B77" s="476">
        <v>51.67</v>
      </c>
      <c r="C77" s="476">
        <v>65</v>
      </c>
      <c r="D77" s="476">
        <v>85</v>
      </c>
      <c r="E77" s="476">
        <v>28</v>
      </c>
    </row>
    <row r="78" spans="1:5" ht="12" customHeight="1" x14ac:dyDescent="0.2">
      <c r="A78" s="480" t="s">
        <v>39</v>
      </c>
      <c r="B78" s="475">
        <f t="shared" ref="B78:E78" si="12">AVERAGE(B79:B81)</f>
        <v>68</v>
      </c>
      <c r="C78" s="475">
        <f t="shared" si="12"/>
        <v>65.495000000000005</v>
      </c>
      <c r="D78" s="475">
        <f t="shared" si="12"/>
        <v>88.773333333333326</v>
      </c>
      <c r="E78" s="475">
        <f t="shared" si="12"/>
        <v>28.81</v>
      </c>
    </row>
    <row r="79" spans="1:5" ht="12" customHeight="1" x14ac:dyDescent="0.2">
      <c r="A79" s="464" t="s">
        <v>41</v>
      </c>
      <c r="B79" s="476">
        <v>68</v>
      </c>
      <c r="C79" s="476">
        <v>69.89</v>
      </c>
      <c r="D79" s="476">
        <v>87.75</v>
      </c>
      <c r="E79" s="476">
        <v>27.33</v>
      </c>
    </row>
    <row r="80" spans="1:5" ht="12" customHeight="1" x14ac:dyDescent="0.2">
      <c r="A80" s="464" t="s">
        <v>40</v>
      </c>
      <c r="B80" s="476" t="s">
        <v>423</v>
      </c>
      <c r="C80" s="476">
        <v>61.1</v>
      </c>
      <c r="D80" s="476">
        <v>88.57</v>
      </c>
      <c r="E80" s="476">
        <v>30.29</v>
      </c>
    </row>
    <row r="81" spans="1:5" ht="12" customHeight="1" x14ac:dyDescent="0.2">
      <c r="A81" s="464" t="s">
        <v>415</v>
      </c>
      <c r="B81" s="476" t="s">
        <v>423</v>
      </c>
      <c r="C81" s="476" t="s">
        <v>423</v>
      </c>
      <c r="D81" s="476">
        <v>90</v>
      </c>
      <c r="E81" s="476" t="s">
        <v>423</v>
      </c>
    </row>
    <row r="82" spans="1:5" ht="12" customHeight="1" x14ac:dyDescent="0.2">
      <c r="A82" s="480" t="s">
        <v>42</v>
      </c>
      <c r="B82" s="475" t="s">
        <v>4</v>
      </c>
      <c r="C82" s="475">
        <f t="shared" ref="C82:E82" si="13">AVERAGE(C83:C86)</f>
        <v>61.5</v>
      </c>
      <c r="D82" s="475">
        <f t="shared" si="13"/>
        <v>93.542500000000004</v>
      </c>
      <c r="E82" s="475">
        <f t="shared" si="13"/>
        <v>20</v>
      </c>
    </row>
    <row r="83" spans="1:5" ht="12" customHeight="1" x14ac:dyDescent="0.2">
      <c r="A83" s="464" t="s">
        <v>45</v>
      </c>
      <c r="B83" s="476" t="s">
        <v>423</v>
      </c>
      <c r="C83" s="476" t="s">
        <v>423</v>
      </c>
      <c r="D83" s="476">
        <v>89.67</v>
      </c>
      <c r="E83" s="476" t="s">
        <v>423</v>
      </c>
    </row>
    <row r="84" spans="1:5" ht="12" customHeight="1" x14ac:dyDescent="0.2">
      <c r="A84" s="479" t="s">
        <v>427</v>
      </c>
      <c r="B84" s="476" t="s">
        <v>423</v>
      </c>
      <c r="C84" s="476">
        <v>61.5</v>
      </c>
      <c r="D84" s="476">
        <v>84.5</v>
      </c>
      <c r="E84" s="476" t="s">
        <v>423</v>
      </c>
    </row>
    <row r="85" spans="1:5" ht="12" customHeight="1" x14ac:dyDescent="0.2">
      <c r="A85" s="479" t="s">
        <v>44</v>
      </c>
      <c r="B85" s="476" t="s">
        <v>423</v>
      </c>
      <c r="C85" s="476" t="s">
        <v>423</v>
      </c>
      <c r="D85" s="476">
        <v>110</v>
      </c>
      <c r="E85" s="476" t="s">
        <v>423</v>
      </c>
    </row>
    <row r="86" spans="1:5" ht="12" customHeight="1" x14ac:dyDescent="0.2">
      <c r="A86" s="479" t="s">
        <v>416</v>
      </c>
      <c r="B86" s="476" t="s">
        <v>423</v>
      </c>
      <c r="C86" s="476" t="s">
        <v>423</v>
      </c>
      <c r="D86" s="476">
        <v>90</v>
      </c>
      <c r="E86" s="476">
        <v>20</v>
      </c>
    </row>
    <row r="87" spans="1:5" ht="12" customHeight="1" x14ac:dyDescent="0.2">
      <c r="A87" s="480" t="s">
        <v>198</v>
      </c>
      <c r="B87" s="475" t="s">
        <v>4</v>
      </c>
      <c r="C87" s="475">
        <f>AVERAGE(C88)</f>
        <v>76.5</v>
      </c>
      <c r="D87" s="475">
        <f t="shared" ref="D87:E87" si="14">AVERAGE(D88)</f>
        <v>89.5</v>
      </c>
      <c r="E87" s="475">
        <f t="shared" si="14"/>
        <v>65</v>
      </c>
    </row>
    <row r="88" spans="1:5" ht="12" customHeight="1" x14ac:dyDescent="0.2">
      <c r="A88" s="479" t="s">
        <v>201</v>
      </c>
      <c r="B88" s="476" t="s">
        <v>423</v>
      </c>
      <c r="C88" s="476">
        <v>76.5</v>
      </c>
      <c r="D88" s="476">
        <v>89.5</v>
      </c>
      <c r="E88" s="476">
        <v>65</v>
      </c>
    </row>
    <row r="89" spans="1:5" ht="12" customHeight="1" x14ac:dyDescent="0.2">
      <c r="A89" s="465" t="s">
        <v>89</v>
      </c>
      <c r="B89" s="460" t="s">
        <v>4</v>
      </c>
      <c r="C89" s="460" t="s">
        <v>4</v>
      </c>
      <c r="D89" s="475">
        <f t="shared" ref="D89:E89" si="15">AVERAGE(D90)</f>
        <v>85</v>
      </c>
      <c r="E89" s="475">
        <f t="shared" si="15"/>
        <v>25</v>
      </c>
    </row>
    <row r="90" spans="1:5" ht="12" customHeight="1" x14ac:dyDescent="0.2">
      <c r="A90" s="464" t="s">
        <v>90</v>
      </c>
      <c r="B90" s="462" t="s">
        <v>423</v>
      </c>
      <c r="C90" s="462" t="s">
        <v>423</v>
      </c>
      <c r="D90" s="476">
        <v>85</v>
      </c>
      <c r="E90" s="476">
        <v>25</v>
      </c>
    </row>
    <row r="91" spans="1:5" ht="12" customHeight="1" x14ac:dyDescent="0.2">
      <c r="A91" s="465" t="s">
        <v>71</v>
      </c>
      <c r="B91" s="475">
        <f>AVERAGE(B92)</f>
        <v>84</v>
      </c>
      <c r="C91" s="475" t="s">
        <v>4</v>
      </c>
      <c r="D91" s="475" t="s">
        <v>4</v>
      </c>
      <c r="E91" s="475" t="s">
        <v>4</v>
      </c>
    </row>
    <row r="92" spans="1:5" ht="12" customHeight="1" x14ac:dyDescent="0.2">
      <c r="A92" s="464" t="s">
        <v>74</v>
      </c>
      <c r="B92" s="476">
        <v>84</v>
      </c>
      <c r="C92" s="476" t="s">
        <v>423</v>
      </c>
      <c r="D92" s="476" t="s">
        <v>423</v>
      </c>
      <c r="E92" s="476" t="s">
        <v>423</v>
      </c>
    </row>
    <row r="93" spans="1:5" ht="12" customHeight="1" x14ac:dyDescent="0.2">
      <c r="A93" s="465" t="s">
        <v>46</v>
      </c>
      <c r="B93" s="475" t="s">
        <v>4</v>
      </c>
      <c r="C93" s="475" t="s">
        <v>4</v>
      </c>
      <c r="D93" s="475">
        <f>AVERAGE(D94)</f>
        <v>60</v>
      </c>
      <c r="E93" s="475" t="s">
        <v>4</v>
      </c>
    </row>
    <row r="94" spans="1:5" ht="12" customHeight="1" x14ac:dyDescent="0.2">
      <c r="A94" s="473" t="s">
        <v>47</v>
      </c>
      <c r="B94" s="476" t="s">
        <v>423</v>
      </c>
      <c r="C94" s="476" t="s">
        <v>423</v>
      </c>
      <c r="D94" s="476">
        <v>60</v>
      </c>
      <c r="E94" s="476" t="s">
        <v>423</v>
      </c>
    </row>
    <row r="95" spans="1:5" ht="9" customHeight="1" x14ac:dyDescent="0.25">
      <c r="A95" s="538" t="s">
        <v>87</v>
      </c>
      <c r="B95" s="541"/>
      <c r="C95" s="542"/>
      <c r="D95" s="543"/>
      <c r="E95" s="543"/>
    </row>
    <row r="96" spans="1:5" ht="9" customHeight="1" x14ac:dyDescent="0.2">
      <c r="A96" s="538" t="s">
        <v>67</v>
      </c>
      <c r="B96" s="544"/>
      <c r="C96" s="545"/>
      <c r="D96" s="544"/>
      <c r="E96" s="544"/>
    </row>
    <row r="97" spans="1:5" ht="9" customHeight="1" x14ac:dyDescent="0.2">
      <c r="A97" s="539" t="s">
        <v>68</v>
      </c>
      <c r="B97" s="498"/>
      <c r="C97" s="498"/>
      <c r="D97" s="498"/>
      <c r="E97" s="498"/>
    </row>
    <row r="98" spans="1:5" ht="15.75" customHeight="1" x14ac:dyDescent="0.2"/>
    <row r="99" spans="1:5" ht="15.75" customHeight="1" x14ac:dyDescent="0.2"/>
    <row r="100" spans="1:5" ht="15.75" customHeight="1" x14ac:dyDescent="0.2"/>
    <row r="101" spans="1:5" ht="15.75" customHeight="1" x14ac:dyDescent="0.2"/>
    <row r="102" spans="1:5" ht="15.75" customHeight="1" x14ac:dyDescent="0.2"/>
    <row r="103" spans="1:5" ht="15.75" customHeight="1" x14ac:dyDescent="0.2"/>
    <row r="104" spans="1:5" ht="15.75" customHeight="1" x14ac:dyDescent="0.2"/>
    <row r="105" spans="1:5" ht="15.75" customHeight="1" x14ac:dyDescent="0.2"/>
    <row r="106" spans="1:5" ht="15.75" customHeight="1" x14ac:dyDescent="0.2"/>
    <row r="107" spans="1:5" ht="15.75" customHeight="1" x14ac:dyDescent="0.2"/>
    <row r="108" spans="1:5" ht="15.75" customHeight="1" x14ac:dyDescent="0.2"/>
    <row r="109" spans="1:5" ht="15.75" customHeight="1" x14ac:dyDescent="0.2"/>
    <row r="110" spans="1:5" ht="15.75" customHeight="1" x14ac:dyDescent="0.2"/>
    <row r="111" spans="1:5" ht="15.75" customHeight="1" x14ac:dyDescent="0.2"/>
    <row r="112" spans="1:5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</sheetData>
  <pageMargins left="0.27559055118110237" right="0.27559055118110237" top="0.39370078740157483" bottom="0.39370078740157483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Z680"/>
  <sheetViews>
    <sheetView showGridLines="0" zoomScaleNormal="100" workbookViewId="0">
      <selection activeCell="A47" sqref="A47:D90"/>
    </sheetView>
  </sheetViews>
  <sheetFormatPr baseColWidth="10" defaultColWidth="12.42578125" defaultRowHeight="15" customHeight="1" x14ac:dyDescent="0.2"/>
  <cols>
    <col min="1" max="1" width="16.42578125" style="2" customWidth="1"/>
    <col min="2" max="4" width="11.85546875" style="2" customWidth="1"/>
    <col min="5" max="5" width="1" style="2" customWidth="1"/>
    <col min="6" max="24" width="11.42578125" style="2" customWidth="1"/>
    <col min="25" max="16384" width="12.42578125" style="2"/>
  </cols>
  <sheetData>
    <row r="1" spans="1:26" ht="12.75" customHeight="1" x14ac:dyDescent="0.25">
      <c r="A1" s="424" t="s">
        <v>457</v>
      </c>
      <c r="B1" s="427"/>
      <c r="C1" s="427"/>
      <c r="D1" s="427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</row>
    <row r="2" spans="1:26" ht="12" customHeight="1" x14ac:dyDescent="0.2">
      <c r="A2" s="291" t="s">
        <v>585</v>
      </c>
      <c r="B2" s="427"/>
      <c r="C2" s="427"/>
      <c r="D2" s="427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</row>
    <row r="3" spans="1:26" ht="12" customHeight="1" x14ac:dyDescent="0.2">
      <c r="A3" s="291" t="s">
        <v>455</v>
      </c>
      <c r="B3" s="427"/>
      <c r="C3" s="427"/>
      <c r="D3" s="427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</row>
    <row r="4" spans="1:26" ht="4.5" customHeight="1" x14ac:dyDescent="0.2">
      <c r="A4" s="291"/>
      <c r="B4" s="428"/>
      <c r="C4" s="429"/>
      <c r="D4" s="428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</row>
    <row r="5" spans="1:26" ht="18" customHeight="1" x14ac:dyDescent="0.2">
      <c r="A5" s="455" t="s">
        <v>0</v>
      </c>
      <c r="B5" s="455" t="s">
        <v>582</v>
      </c>
      <c r="C5" s="455" t="s">
        <v>458</v>
      </c>
      <c r="D5" s="455" t="s">
        <v>583</v>
      </c>
    </row>
    <row r="6" spans="1:26" ht="3.75" customHeight="1" x14ac:dyDescent="0.2">
      <c r="A6" s="457"/>
      <c r="B6" s="458"/>
      <c r="C6" s="458"/>
      <c r="D6" s="458"/>
    </row>
    <row r="7" spans="1:26" ht="12.95" customHeight="1" x14ac:dyDescent="0.2">
      <c r="A7" s="480" t="s">
        <v>490</v>
      </c>
      <c r="B7" s="475">
        <f>AVERAGE(B8:B10)</f>
        <v>24.333333333333332</v>
      </c>
      <c r="C7" s="475" t="s">
        <v>4</v>
      </c>
      <c r="D7" s="475" t="s">
        <v>4</v>
      </c>
    </row>
    <row r="8" spans="1:26" ht="12.95" customHeight="1" x14ac:dyDescent="0.2">
      <c r="A8" s="479" t="s">
        <v>493</v>
      </c>
      <c r="B8" s="476">
        <v>20</v>
      </c>
      <c r="C8" s="476" t="s">
        <v>423</v>
      </c>
      <c r="D8" s="476" t="s">
        <v>423</v>
      </c>
    </row>
    <row r="9" spans="1:26" ht="12.95" customHeight="1" x14ac:dyDescent="0.2">
      <c r="A9" s="479" t="s">
        <v>492</v>
      </c>
      <c r="B9" s="476">
        <v>28</v>
      </c>
      <c r="C9" s="476" t="s">
        <v>423</v>
      </c>
      <c r="D9" s="476" t="s">
        <v>423</v>
      </c>
    </row>
    <row r="10" spans="1:26" ht="12.95" customHeight="1" x14ac:dyDescent="0.2">
      <c r="A10" s="479" t="s">
        <v>491</v>
      </c>
      <c r="B10" s="476">
        <v>25</v>
      </c>
      <c r="C10" s="476" t="s">
        <v>423</v>
      </c>
      <c r="D10" s="476" t="s">
        <v>423</v>
      </c>
    </row>
    <row r="11" spans="1:26" ht="12.95" customHeight="1" x14ac:dyDescent="0.25">
      <c r="A11" s="459" t="s">
        <v>441</v>
      </c>
      <c r="B11" s="475">
        <f>AVERAGE(B12:B13)</f>
        <v>24</v>
      </c>
      <c r="C11" s="475" t="s">
        <v>4</v>
      </c>
      <c r="D11" s="475">
        <f>AVERAGE(D12:D13)</f>
        <v>131.25</v>
      </c>
    </row>
    <row r="12" spans="1:26" ht="12.95" customHeight="1" x14ac:dyDescent="0.25">
      <c r="A12" s="461" t="s">
        <v>578</v>
      </c>
      <c r="B12" s="462" t="s">
        <v>423</v>
      </c>
      <c r="C12" s="476" t="s">
        <v>423</v>
      </c>
      <c r="D12" s="476">
        <v>62.5</v>
      </c>
    </row>
    <row r="13" spans="1:26" ht="12.95" customHeight="1" x14ac:dyDescent="0.25">
      <c r="A13" s="461" t="s">
        <v>465</v>
      </c>
      <c r="B13" s="476">
        <v>24</v>
      </c>
      <c r="C13" s="476" t="s">
        <v>423</v>
      </c>
      <c r="D13" s="476">
        <v>200</v>
      </c>
    </row>
    <row r="14" spans="1:26" ht="12.95" customHeight="1" x14ac:dyDescent="0.25">
      <c r="A14" s="459" t="s">
        <v>77</v>
      </c>
      <c r="B14" s="475">
        <f>AVERAGE(B15:B17)</f>
        <v>42.335000000000001</v>
      </c>
      <c r="C14" s="475" t="s">
        <v>4</v>
      </c>
      <c r="D14" s="475">
        <f>AVERAGE(D15:D17)</f>
        <v>132.5</v>
      </c>
    </row>
    <row r="15" spans="1:26" ht="12.95" customHeight="1" x14ac:dyDescent="0.2">
      <c r="A15" s="479" t="s">
        <v>155</v>
      </c>
      <c r="B15" s="476">
        <v>35.17</v>
      </c>
      <c r="C15" s="476" t="s">
        <v>423</v>
      </c>
      <c r="D15" s="476">
        <v>112.5</v>
      </c>
    </row>
    <row r="16" spans="1:26" ht="12.95" customHeight="1" x14ac:dyDescent="0.2">
      <c r="A16" s="479" t="s">
        <v>156</v>
      </c>
      <c r="B16" s="476" t="s">
        <v>423</v>
      </c>
      <c r="C16" s="476" t="s">
        <v>423</v>
      </c>
      <c r="D16" s="476">
        <v>152.5</v>
      </c>
    </row>
    <row r="17" spans="1:4" ht="12.95" customHeight="1" x14ac:dyDescent="0.2">
      <c r="A17" s="479" t="s">
        <v>161</v>
      </c>
      <c r="B17" s="476">
        <v>49.5</v>
      </c>
      <c r="C17" s="476" t="s">
        <v>423</v>
      </c>
      <c r="D17" s="476" t="s">
        <v>423</v>
      </c>
    </row>
    <row r="18" spans="1:4" ht="12.95" customHeight="1" x14ac:dyDescent="0.2">
      <c r="A18" s="480" t="s">
        <v>2</v>
      </c>
      <c r="B18" s="475">
        <f t="shared" ref="B18:D18" si="0">AVERAGE(B19:B24)</f>
        <v>24.3325</v>
      </c>
      <c r="C18" s="475">
        <f t="shared" si="0"/>
        <v>48.666666666666664</v>
      </c>
      <c r="D18" s="475">
        <f t="shared" si="0"/>
        <v>178.03399999999999</v>
      </c>
    </row>
    <row r="19" spans="1:4" ht="12.95" customHeight="1" x14ac:dyDescent="0.2">
      <c r="A19" s="464" t="s">
        <v>190</v>
      </c>
      <c r="B19" s="476" t="s">
        <v>423</v>
      </c>
      <c r="C19" s="476" t="s">
        <v>454</v>
      </c>
      <c r="D19" s="476">
        <v>200</v>
      </c>
    </row>
    <row r="20" spans="1:4" ht="12.95" customHeight="1" x14ac:dyDescent="0.25">
      <c r="A20" s="461" t="s">
        <v>5</v>
      </c>
      <c r="B20" s="476">
        <v>23</v>
      </c>
      <c r="C20" s="476">
        <v>43</v>
      </c>
      <c r="D20" s="476">
        <v>176</v>
      </c>
    </row>
    <row r="21" spans="1:4" ht="12.95" customHeight="1" x14ac:dyDescent="0.25">
      <c r="A21" s="461" t="s">
        <v>78</v>
      </c>
      <c r="B21" s="476">
        <v>28</v>
      </c>
      <c r="C21" s="476">
        <v>60</v>
      </c>
      <c r="D21" s="476">
        <v>169.5</v>
      </c>
    </row>
    <row r="22" spans="1:4" ht="12.95" customHeight="1" x14ac:dyDescent="0.25">
      <c r="A22" s="461" t="s">
        <v>61</v>
      </c>
      <c r="B22" s="476">
        <v>24.33</v>
      </c>
      <c r="C22" s="476" t="s">
        <v>423</v>
      </c>
      <c r="D22" s="476">
        <v>177.67</v>
      </c>
    </row>
    <row r="23" spans="1:4" ht="12.95" customHeight="1" x14ac:dyDescent="0.25">
      <c r="A23" s="461" t="s">
        <v>418</v>
      </c>
      <c r="B23" s="476">
        <v>22</v>
      </c>
      <c r="C23" s="476">
        <v>43</v>
      </c>
      <c r="D23" s="476" t="s">
        <v>423</v>
      </c>
    </row>
    <row r="24" spans="1:4" ht="12.95" customHeight="1" x14ac:dyDescent="0.25">
      <c r="A24" s="461" t="s">
        <v>85</v>
      </c>
      <c r="B24" s="476" t="s">
        <v>423</v>
      </c>
      <c r="C24" s="476" t="s">
        <v>423</v>
      </c>
      <c r="D24" s="476">
        <v>167</v>
      </c>
    </row>
    <row r="25" spans="1:4" ht="12.95" customHeight="1" x14ac:dyDescent="0.2">
      <c r="A25" s="480" t="s">
        <v>6</v>
      </c>
      <c r="B25" s="475">
        <f>AVERAGE(B26:B29)</f>
        <v>44</v>
      </c>
      <c r="C25" s="475" t="s">
        <v>4</v>
      </c>
      <c r="D25" s="475">
        <f>AVERAGE(D26:D29)</f>
        <v>180.52</v>
      </c>
    </row>
    <row r="26" spans="1:4" ht="12.95" customHeight="1" x14ac:dyDescent="0.2">
      <c r="A26" s="464" t="s">
        <v>11</v>
      </c>
      <c r="B26" s="476">
        <v>52.5</v>
      </c>
      <c r="C26" s="476" t="s">
        <v>454</v>
      </c>
      <c r="D26" s="476">
        <v>193.33</v>
      </c>
    </row>
    <row r="27" spans="1:4" ht="12.95" customHeight="1" x14ac:dyDescent="0.2">
      <c r="A27" s="464" t="s">
        <v>8</v>
      </c>
      <c r="B27" s="476" t="s">
        <v>423</v>
      </c>
      <c r="C27" s="476" t="s">
        <v>423</v>
      </c>
      <c r="D27" s="476">
        <v>188.75</v>
      </c>
    </row>
    <row r="28" spans="1:4" ht="12.95" customHeight="1" x14ac:dyDescent="0.2">
      <c r="A28" s="464" t="s">
        <v>9</v>
      </c>
      <c r="B28" s="476">
        <v>35.5</v>
      </c>
      <c r="C28" s="476" t="s">
        <v>423</v>
      </c>
      <c r="D28" s="476">
        <v>181.67</v>
      </c>
    </row>
    <row r="29" spans="1:4" ht="12.95" customHeight="1" x14ac:dyDescent="0.2">
      <c r="A29" s="464" t="s">
        <v>92</v>
      </c>
      <c r="B29" s="476" t="s">
        <v>454</v>
      </c>
      <c r="C29" s="476" t="s">
        <v>454</v>
      </c>
      <c r="D29" s="476">
        <v>158.33000000000001</v>
      </c>
    </row>
    <row r="30" spans="1:4" ht="12.95" customHeight="1" x14ac:dyDescent="0.2">
      <c r="A30" s="465" t="s">
        <v>15</v>
      </c>
      <c r="B30" s="475">
        <f t="shared" ref="B30:D30" si="1">AVERAGE(B31:B34)</f>
        <v>35</v>
      </c>
      <c r="C30" s="475">
        <f t="shared" si="1"/>
        <v>38.5</v>
      </c>
      <c r="D30" s="475">
        <f t="shared" si="1"/>
        <v>110</v>
      </c>
    </row>
    <row r="31" spans="1:4" ht="12.95" customHeight="1" x14ac:dyDescent="0.2">
      <c r="A31" s="464" t="s">
        <v>191</v>
      </c>
      <c r="B31" s="476">
        <v>30</v>
      </c>
      <c r="C31" s="476" t="s">
        <v>423</v>
      </c>
      <c r="D31" s="476" t="s">
        <v>423</v>
      </c>
    </row>
    <row r="32" spans="1:4" ht="12.95" customHeight="1" x14ac:dyDescent="0.2">
      <c r="A32" s="464" t="s">
        <v>543</v>
      </c>
      <c r="B32" s="476">
        <v>34</v>
      </c>
      <c r="C32" s="476">
        <v>30</v>
      </c>
      <c r="D32" s="476">
        <v>55</v>
      </c>
    </row>
    <row r="33" spans="1:4" ht="12.95" customHeight="1" x14ac:dyDescent="0.2">
      <c r="A33" s="464" t="s">
        <v>70</v>
      </c>
      <c r="B33" s="476">
        <v>35</v>
      </c>
      <c r="C33" s="476" t="s">
        <v>454</v>
      </c>
      <c r="D33" s="476">
        <v>165</v>
      </c>
    </row>
    <row r="34" spans="1:4" ht="12.95" customHeight="1" x14ac:dyDescent="0.2">
      <c r="A34" s="464" t="s">
        <v>69</v>
      </c>
      <c r="B34" s="476">
        <v>41</v>
      </c>
      <c r="C34" s="476">
        <v>47</v>
      </c>
      <c r="D34" s="476" t="s">
        <v>454</v>
      </c>
    </row>
    <row r="35" spans="1:4" ht="12.95" customHeight="1" x14ac:dyDescent="0.2">
      <c r="A35" s="480" t="s">
        <v>16</v>
      </c>
      <c r="B35" s="475">
        <v>32.5</v>
      </c>
      <c r="C35" s="475" t="s">
        <v>4</v>
      </c>
      <c r="D35" s="475">
        <f>AVERAGE(D36)</f>
        <v>137</v>
      </c>
    </row>
    <row r="36" spans="1:4" ht="12.95" customHeight="1" x14ac:dyDescent="0.2">
      <c r="A36" s="464" t="s">
        <v>497</v>
      </c>
      <c r="B36" s="476">
        <v>32.5</v>
      </c>
      <c r="C36" s="476" t="s">
        <v>423</v>
      </c>
      <c r="D36" s="476">
        <v>137</v>
      </c>
    </row>
    <row r="37" spans="1:4" ht="12.95" customHeight="1" x14ac:dyDescent="0.2">
      <c r="A37" s="480" t="s">
        <v>18</v>
      </c>
      <c r="B37" s="475">
        <f>AVERAGE(B38:B45)</f>
        <v>25.44875</v>
      </c>
      <c r="C37" s="475" t="s">
        <v>4</v>
      </c>
      <c r="D37" s="475">
        <f>AVERAGE(D38:D45)</f>
        <v>125.88666666666667</v>
      </c>
    </row>
    <row r="38" spans="1:4" ht="12.95" customHeight="1" x14ac:dyDescent="0.2">
      <c r="A38" s="464" t="s">
        <v>19</v>
      </c>
      <c r="B38" s="476">
        <v>18.670000000000002</v>
      </c>
      <c r="C38" s="476" t="s">
        <v>454</v>
      </c>
      <c r="D38" s="476">
        <v>155</v>
      </c>
    </row>
    <row r="39" spans="1:4" ht="12.95" customHeight="1" x14ac:dyDescent="0.2">
      <c r="A39" s="464" t="s">
        <v>21</v>
      </c>
      <c r="B39" s="476">
        <v>17.670000000000002</v>
      </c>
      <c r="C39" s="476" t="s">
        <v>423</v>
      </c>
      <c r="D39" s="476">
        <v>164.33</v>
      </c>
    </row>
    <row r="40" spans="1:4" ht="12.95" customHeight="1" x14ac:dyDescent="0.2">
      <c r="A40" s="464" t="s">
        <v>20</v>
      </c>
      <c r="B40" s="476">
        <v>39.5</v>
      </c>
      <c r="C40" s="476" t="s">
        <v>423</v>
      </c>
      <c r="D40" s="476" t="s">
        <v>423</v>
      </c>
    </row>
    <row r="41" spans="1:4" ht="12.95" customHeight="1" x14ac:dyDescent="0.2">
      <c r="A41" s="464" t="s">
        <v>62</v>
      </c>
      <c r="B41" s="476">
        <v>35</v>
      </c>
      <c r="C41" s="476" t="s">
        <v>423</v>
      </c>
      <c r="D41" s="476" t="s">
        <v>423</v>
      </c>
    </row>
    <row r="42" spans="1:4" ht="12.95" customHeight="1" x14ac:dyDescent="0.2">
      <c r="A42" s="464" t="s">
        <v>80</v>
      </c>
      <c r="B42" s="476">
        <v>28</v>
      </c>
      <c r="C42" s="476" t="s">
        <v>454</v>
      </c>
      <c r="D42" s="476">
        <v>58.33</v>
      </c>
    </row>
    <row r="43" spans="1:4" ht="12.95" customHeight="1" x14ac:dyDescent="0.2">
      <c r="A43" s="464" t="s">
        <v>23</v>
      </c>
      <c r="B43" s="476">
        <v>25</v>
      </c>
      <c r="C43" s="476" t="s">
        <v>454</v>
      </c>
      <c r="D43" s="476" t="s">
        <v>454</v>
      </c>
    </row>
    <row r="44" spans="1:4" ht="12.95" customHeight="1" x14ac:dyDescent="0.2">
      <c r="A44" s="464" t="s">
        <v>63</v>
      </c>
      <c r="B44" s="476">
        <v>18</v>
      </c>
      <c r="C44" s="476" t="s">
        <v>423</v>
      </c>
      <c r="D44" s="476" t="s">
        <v>423</v>
      </c>
    </row>
    <row r="45" spans="1:4" ht="12.95" customHeight="1" x14ac:dyDescent="0.2">
      <c r="A45" s="464" t="s">
        <v>22</v>
      </c>
      <c r="B45" s="476">
        <v>21.75</v>
      </c>
      <c r="C45" s="476" t="s">
        <v>423</v>
      </c>
      <c r="D45" s="476" t="s">
        <v>423</v>
      </c>
    </row>
    <row r="46" spans="1:4" ht="15.75" customHeight="1" x14ac:dyDescent="0.2">
      <c r="A46" s="467"/>
      <c r="B46" s="468"/>
      <c r="C46" s="468"/>
      <c r="D46" s="469" t="s">
        <v>26</v>
      </c>
    </row>
    <row r="47" spans="1:4" ht="15.75" customHeight="1" x14ac:dyDescent="0.25">
      <c r="A47" s="470" t="s">
        <v>584</v>
      </c>
      <c r="B47" s="470"/>
      <c r="C47" s="470"/>
      <c r="D47" s="482"/>
    </row>
    <row r="48" spans="1:4" ht="18" customHeight="1" x14ac:dyDescent="0.2">
      <c r="A48" s="455" t="s">
        <v>0</v>
      </c>
      <c r="B48" s="455" t="s">
        <v>582</v>
      </c>
      <c r="C48" s="455" t="s">
        <v>458</v>
      </c>
      <c r="D48" s="455" t="s">
        <v>583</v>
      </c>
    </row>
    <row r="49" spans="1:4" ht="4.5" customHeight="1" x14ac:dyDescent="0.2">
      <c r="A49" s="483"/>
      <c r="B49" s="482"/>
      <c r="C49" s="482"/>
      <c r="D49" s="482"/>
    </row>
    <row r="50" spans="1:4" ht="12.95" customHeight="1" x14ac:dyDescent="0.2">
      <c r="A50" s="480" t="s">
        <v>25</v>
      </c>
      <c r="B50" s="475">
        <f>AVERAGE(B51:B52)</f>
        <v>40.325000000000003</v>
      </c>
      <c r="C50" s="475" t="s">
        <v>4</v>
      </c>
      <c r="D50" s="475">
        <f>AVERAGE(D51:D52)</f>
        <v>176.95</v>
      </c>
    </row>
    <row r="51" spans="1:4" ht="12.95" customHeight="1" x14ac:dyDescent="0.2">
      <c r="A51" s="464" t="s">
        <v>53</v>
      </c>
      <c r="B51" s="476">
        <v>47.65</v>
      </c>
      <c r="C51" s="476" t="s">
        <v>423</v>
      </c>
      <c r="D51" s="476">
        <v>176.95</v>
      </c>
    </row>
    <row r="52" spans="1:4" ht="12.95" customHeight="1" x14ac:dyDescent="0.2">
      <c r="A52" s="464" t="s">
        <v>58</v>
      </c>
      <c r="B52" s="476">
        <v>33</v>
      </c>
      <c r="C52" s="476" t="s">
        <v>423</v>
      </c>
      <c r="D52" s="476" t="s">
        <v>423</v>
      </c>
    </row>
    <row r="53" spans="1:4" ht="12.95" customHeight="1" x14ac:dyDescent="0.2">
      <c r="A53" s="480" t="s">
        <v>81</v>
      </c>
      <c r="B53" s="475" t="s">
        <v>4</v>
      </c>
      <c r="C53" s="475" t="s">
        <v>4</v>
      </c>
      <c r="D53" s="475">
        <v>183.33</v>
      </c>
    </row>
    <row r="54" spans="1:4" ht="12.95" customHeight="1" x14ac:dyDescent="0.2">
      <c r="A54" s="464" t="s">
        <v>88</v>
      </c>
      <c r="B54" s="476" t="s">
        <v>464</v>
      </c>
      <c r="C54" s="476" t="s">
        <v>454</v>
      </c>
      <c r="D54" s="476">
        <v>183.33</v>
      </c>
    </row>
    <row r="55" spans="1:4" ht="12.95" customHeight="1" x14ac:dyDescent="0.2">
      <c r="A55" s="480" t="s">
        <v>86</v>
      </c>
      <c r="B55" s="475">
        <f>AVERAGE(B56:B65)</f>
        <v>29.094285714285711</v>
      </c>
      <c r="C55" s="475" t="s">
        <v>4</v>
      </c>
      <c r="D55" s="475">
        <f>AVERAGE(D56:D65)</f>
        <v>209.54857142857145</v>
      </c>
    </row>
    <row r="56" spans="1:4" ht="12.95" customHeight="1" x14ac:dyDescent="0.2">
      <c r="A56" s="464" t="s">
        <v>28</v>
      </c>
      <c r="B56" s="476">
        <v>21</v>
      </c>
      <c r="C56" s="476" t="s">
        <v>454</v>
      </c>
      <c r="D56" s="476">
        <v>191</v>
      </c>
    </row>
    <row r="57" spans="1:4" ht="12.95" customHeight="1" x14ac:dyDescent="0.2">
      <c r="A57" s="464" t="s">
        <v>82</v>
      </c>
      <c r="B57" s="476">
        <v>46</v>
      </c>
      <c r="C57" s="476" t="s">
        <v>454</v>
      </c>
      <c r="D57" s="476" t="s">
        <v>454</v>
      </c>
    </row>
    <row r="58" spans="1:4" ht="12.95" customHeight="1" x14ac:dyDescent="0.2">
      <c r="A58" s="464" t="s">
        <v>30</v>
      </c>
      <c r="B58" s="476">
        <v>25</v>
      </c>
      <c r="C58" s="476" t="s">
        <v>454</v>
      </c>
      <c r="D58" s="476">
        <v>255</v>
      </c>
    </row>
    <row r="59" spans="1:4" ht="12.95" customHeight="1" x14ac:dyDescent="0.2">
      <c r="A59" s="464" t="s">
        <v>64</v>
      </c>
      <c r="B59" s="476" t="s">
        <v>423</v>
      </c>
      <c r="C59" s="476" t="s">
        <v>423</v>
      </c>
      <c r="D59" s="476">
        <v>280</v>
      </c>
    </row>
    <row r="60" spans="1:4" ht="12.95" customHeight="1" x14ac:dyDescent="0.2">
      <c r="A60" s="464" t="s">
        <v>83</v>
      </c>
      <c r="B60" s="476">
        <v>41.33</v>
      </c>
      <c r="C60" s="476" t="s">
        <v>454</v>
      </c>
      <c r="D60" s="476" t="s">
        <v>454</v>
      </c>
    </row>
    <row r="61" spans="1:4" ht="12.95" customHeight="1" x14ac:dyDescent="0.2">
      <c r="A61" s="464" t="s">
        <v>31</v>
      </c>
      <c r="B61" s="476">
        <v>30</v>
      </c>
      <c r="C61" s="476" t="s">
        <v>454</v>
      </c>
      <c r="D61" s="476">
        <v>181.67</v>
      </c>
    </row>
    <row r="62" spans="1:4" ht="12.95" customHeight="1" x14ac:dyDescent="0.2">
      <c r="A62" s="464" t="s">
        <v>54</v>
      </c>
      <c r="B62" s="476">
        <v>26.33</v>
      </c>
      <c r="C62" s="476" t="s">
        <v>454</v>
      </c>
      <c r="D62" s="476" t="s">
        <v>454</v>
      </c>
    </row>
    <row r="63" spans="1:4" ht="12.95" customHeight="1" x14ac:dyDescent="0.2">
      <c r="A63" s="464" t="s">
        <v>32</v>
      </c>
      <c r="B63" s="476" t="s">
        <v>454</v>
      </c>
      <c r="C63" s="476" t="s">
        <v>454</v>
      </c>
      <c r="D63" s="476">
        <v>189.5</v>
      </c>
    </row>
    <row r="64" spans="1:4" ht="12.95" customHeight="1" x14ac:dyDescent="0.2">
      <c r="A64" s="464" t="s">
        <v>34</v>
      </c>
      <c r="B64" s="476">
        <v>14</v>
      </c>
      <c r="C64" s="476" t="s">
        <v>454</v>
      </c>
      <c r="D64" s="476">
        <v>185.67</v>
      </c>
    </row>
    <row r="65" spans="1:4" ht="12.95" customHeight="1" x14ac:dyDescent="0.2">
      <c r="A65" s="464" t="s">
        <v>66</v>
      </c>
      <c r="B65" s="476" t="s">
        <v>423</v>
      </c>
      <c r="C65" s="476" t="s">
        <v>454</v>
      </c>
      <c r="D65" s="476">
        <v>184</v>
      </c>
    </row>
    <row r="66" spans="1:4" ht="12.95" customHeight="1" x14ac:dyDescent="0.2">
      <c r="A66" s="480" t="s">
        <v>35</v>
      </c>
      <c r="B66" s="475">
        <f>AVERAGE(B67:B69)</f>
        <v>25.666666666666668</v>
      </c>
      <c r="C66" s="475" t="s">
        <v>4</v>
      </c>
      <c r="D66" s="475">
        <f>AVERAGE(D67:D69)</f>
        <v>185.5</v>
      </c>
    </row>
    <row r="67" spans="1:4" ht="12.95" customHeight="1" x14ac:dyDescent="0.2">
      <c r="A67" s="464" t="s">
        <v>36</v>
      </c>
      <c r="B67" s="476">
        <v>24</v>
      </c>
      <c r="C67" s="476" t="s">
        <v>454</v>
      </c>
      <c r="D67" s="476">
        <v>182.5</v>
      </c>
    </row>
    <row r="68" spans="1:4" ht="12.95" customHeight="1" x14ac:dyDescent="0.2">
      <c r="A68" s="464" t="s">
        <v>38</v>
      </c>
      <c r="B68" s="476">
        <v>25.5</v>
      </c>
      <c r="C68" s="476" t="s">
        <v>454</v>
      </c>
      <c r="D68" s="476">
        <v>188.5</v>
      </c>
    </row>
    <row r="69" spans="1:4" ht="12.95" customHeight="1" x14ac:dyDescent="0.2">
      <c r="A69" s="464" t="s">
        <v>37</v>
      </c>
      <c r="B69" s="476">
        <v>27.5</v>
      </c>
      <c r="C69" s="476" t="s">
        <v>454</v>
      </c>
      <c r="D69" s="476" t="s">
        <v>423</v>
      </c>
    </row>
    <row r="70" spans="1:4" ht="12.95" customHeight="1" x14ac:dyDescent="0.2">
      <c r="A70" s="480" t="s">
        <v>194</v>
      </c>
      <c r="B70" s="475">
        <f t="shared" ref="B70:D70" si="2">AVERAGE(B71)</f>
        <v>25</v>
      </c>
      <c r="C70" s="475">
        <f t="shared" si="2"/>
        <v>56.67</v>
      </c>
      <c r="D70" s="475">
        <f t="shared" si="2"/>
        <v>183.33</v>
      </c>
    </row>
    <row r="71" spans="1:4" ht="12.95" customHeight="1" x14ac:dyDescent="0.2">
      <c r="A71" s="484" t="s">
        <v>197</v>
      </c>
      <c r="B71" s="476">
        <v>25</v>
      </c>
      <c r="C71" s="485">
        <v>56.67</v>
      </c>
      <c r="D71" s="485">
        <v>183.33</v>
      </c>
    </row>
    <row r="72" spans="1:4" ht="12.95" customHeight="1" x14ac:dyDescent="0.2">
      <c r="A72" s="480" t="s">
        <v>39</v>
      </c>
      <c r="B72" s="475">
        <f>AVERAGE(B73:B74)</f>
        <v>24.244999999999997</v>
      </c>
      <c r="C72" s="475" t="s">
        <v>4</v>
      </c>
      <c r="D72" s="475">
        <f>AVERAGE(D73:D74)</f>
        <v>130</v>
      </c>
    </row>
    <row r="73" spans="1:4" ht="12.95" customHeight="1" x14ac:dyDescent="0.2">
      <c r="A73" s="464" t="s">
        <v>41</v>
      </c>
      <c r="B73" s="476">
        <v>29.36</v>
      </c>
      <c r="C73" s="476" t="s">
        <v>423</v>
      </c>
      <c r="D73" s="476" t="s">
        <v>423</v>
      </c>
    </row>
    <row r="74" spans="1:4" ht="12.95" customHeight="1" x14ac:dyDescent="0.2">
      <c r="A74" s="464" t="s">
        <v>40</v>
      </c>
      <c r="B74" s="476">
        <v>19.13</v>
      </c>
      <c r="C74" s="476" t="s">
        <v>454</v>
      </c>
      <c r="D74" s="476">
        <v>130</v>
      </c>
    </row>
    <row r="75" spans="1:4" ht="12.95" customHeight="1" x14ac:dyDescent="0.2">
      <c r="A75" s="480" t="s">
        <v>42</v>
      </c>
      <c r="B75" s="475">
        <f t="shared" ref="B75:C75" si="3">AVERAGE(B76:B77)</f>
        <v>30</v>
      </c>
      <c r="C75" s="475">
        <f t="shared" si="3"/>
        <v>28</v>
      </c>
      <c r="D75" s="475" t="s">
        <v>4</v>
      </c>
    </row>
    <row r="76" spans="1:4" ht="12.95" customHeight="1" x14ac:dyDescent="0.2">
      <c r="A76" s="484" t="s">
        <v>416</v>
      </c>
      <c r="B76" s="475" t="s">
        <v>423</v>
      </c>
      <c r="C76" s="485">
        <v>28</v>
      </c>
      <c r="D76" s="485" t="s">
        <v>423</v>
      </c>
    </row>
    <row r="77" spans="1:4" ht="12.95" customHeight="1" x14ac:dyDescent="0.2">
      <c r="A77" s="479" t="s">
        <v>44</v>
      </c>
      <c r="B77" s="476">
        <v>30</v>
      </c>
      <c r="C77" s="476" t="s">
        <v>423</v>
      </c>
      <c r="D77" s="476" t="s">
        <v>423</v>
      </c>
    </row>
    <row r="78" spans="1:4" ht="12.95" customHeight="1" x14ac:dyDescent="0.2">
      <c r="A78" s="480" t="s">
        <v>198</v>
      </c>
      <c r="B78" s="475">
        <f>AVERAGE(B79)</f>
        <v>22.33</v>
      </c>
      <c r="C78" s="475" t="s">
        <v>4</v>
      </c>
      <c r="D78" s="475">
        <f>AVERAGE(D79)</f>
        <v>189</v>
      </c>
    </row>
    <row r="79" spans="1:4" ht="12.95" customHeight="1" x14ac:dyDescent="0.2">
      <c r="A79" s="479" t="s">
        <v>201</v>
      </c>
      <c r="B79" s="476">
        <v>22.33</v>
      </c>
      <c r="C79" s="476" t="s">
        <v>423</v>
      </c>
      <c r="D79" s="476">
        <v>189</v>
      </c>
    </row>
    <row r="80" spans="1:4" ht="12.95" customHeight="1" x14ac:dyDescent="0.2">
      <c r="A80" s="480" t="s">
        <v>84</v>
      </c>
      <c r="B80" s="475">
        <f>AVERAGE(B81:B83)</f>
        <v>19.416666666666668</v>
      </c>
      <c r="C80" s="475" t="s">
        <v>4</v>
      </c>
      <c r="D80" s="475" t="s">
        <v>4</v>
      </c>
    </row>
    <row r="81" spans="1:4" ht="12.95" customHeight="1" x14ac:dyDescent="0.2">
      <c r="A81" s="464" t="s">
        <v>59</v>
      </c>
      <c r="B81" s="476">
        <v>20</v>
      </c>
      <c r="C81" s="476" t="s">
        <v>423</v>
      </c>
      <c r="D81" s="476" t="s">
        <v>423</v>
      </c>
    </row>
    <row r="82" spans="1:4" ht="12.95" customHeight="1" x14ac:dyDescent="0.2">
      <c r="A82" s="464" t="s">
        <v>499</v>
      </c>
      <c r="B82" s="476">
        <v>19.25</v>
      </c>
      <c r="C82" s="476" t="s">
        <v>423</v>
      </c>
      <c r="D82" s="476" t="s">
        <v>423</v>
      </c>
    </row>
    <row r="83" spans="1:4" ht="12.95" customHeight="1" x14ac:dyDescent="0.2">
      <c r="A83" s="464" t="s">
        <v>60</v>
      </c>
      <c r="B83" s="476">
        <v>19</v>
      </c>
      <c r="C83" s="476" t="s">
        <v>454</v>
      </c>
      <c r="D83" s="476" t="s">
        <v>423</v>
      </c>
    </row>
    <row r="84" spans="1:4" ht="12.95" customHeight="1" x14ac:dyDescent="0.2">
      <c r="A84" s="465" t="s">
        <v>71</v>
      </c>
      <c r="B84" s="475">
        <v>20</v>
      </c>
      <c r="C84" s="475" t="s">
        <v>4</v>
      </c>
      <c r="D84" s="475" t="s">
        <v>4</v>
      </c>
    </row>
    <row r="85" spans="1:4" ht="12.95" customHeight="1" x14ac:dyDescent="0.2">
      <c r="A85" s="464" t="s">
        <v>72</v>
      </c>
      <c r="B85" s="476">
        <v>20</v>
      </c>
      <c r="C85" s="476" t="s">
        <v>423</v>
      </c>
      <c r="D85" s="476" t="s">
        <v>423</v>
      </c>
    </row>
    <row r="86" spans="1:4" ht="12.95" customHeight="1" x14ac:dyDescent="0.2">
      <c r="A86" s="465" t="s">
        <v>46</v>
      </c>
      <c r="B86" s="475">
        <f>AVERAGE(B87)</f>
        <v>16.670000000000002</v>
      </c>
      <c r="C86" s="475" t="s">
        <v>4</v>
      </c>
      <c r="D86" s="475" t="s">
        <v>4</v>
      </c>
    </row>
    <row r="87" spans="1:4" ht="12.95" customHeight="1" x14ac:dyDescent="0.2">
      <c r="A87" s="473" t="s">
        <v>47</v>
      </c>
      <c r="B87" s="476">
        <v>16.670000000000002</v>
      </c>
      <c r="C87" s="476" t="s">
        <v>423</v>
      </c>
      <c r="D87" s="476" t="s">
        <v>423</v>
      </c>
    </row>
    <row r="88" spans="1:4" ht="9" customHeight="1" x14ac:dyDescent="0.25">
      <c r="A88" s="538" t="s">
        <v>87</v>
      </c>
      <c r="B88" s="541"/>
      <c r="C88" s="542"/>
      <c r="D88" s="541"/>
    </row>
    <row r="89" spans="1:4" ht="9" customHeight="1" x14ac:dyDescent="0.2">
      <c r="A89" s="538" t="s">
        <v>67</v>
      </c>
      <c r="B89" s="544"/>
      <c r="C89" s="545"/>
      <c r="D89" s="544"/>
    </row>
    <row r="90" spans="1:4" ht="9" customHeight="1" x14ac:dyDescent="0.2">
      <c r="A90" s="539" t="s">
        <v>68</v>
      </c>
      <c r="B90" s="498"/>
      <c r="C90" s="498"/>
      <c r="D90" s="498"/>
    </row>
    <row r="91" spans="1:4" ht="15.75" customHeight="1" x14ac:dyDescent="0.2"/>
    <row r="92" spans="1:4" ht="15.75" customHeight="1" x14ac:dyDescent="0.2"/>
    <row r="93" spans="1:4" ht="15.75" customHeight="1" x14ac:dyDescent="0.2"/>
    <row r="94" spans="1:4" ht="15.75" customHeight="1" x14ac:dyDescent="0.2"/>
    <row r="95" spans="1:4" ht="15.75" customHeight="1" x14ac:dyDescent="0.2"/>
    <row r="96" spans="1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</sheetData>
  <pageMargins left="0.27559055118110237" right="0.27559055118110237" top="0.39370078740157483" bottom="0.39370078740157483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D721"/>
  <sheetViews>
    <sheetView showGridLines="0" zoomScaleNormal="100" workbookViewId="0">
      <selection sqref="A1:E78"/>
    </sheetView>
  </sheetViews>
  <sheetFormatPr baseColWidth="10" defaultColWidth="12.42578125" defaultRowHeight="15" customHeight="1" x14ac:dyDescent="0.2"/>
  <cols>
    <col min="1" max="1" width="20.28515625" style="636" customWidth="1"/>
    <col min="2" max="4" width="14.85546875" style="636" customWidth="1"/>
    <col min="5" max="5" width="14.140625" style="636" customWidth="1"/>
    <col min="6" max="22" width="11.42578125" style="636" customWidth="1"/>
    <col min="23" max="24" width="12.42578125" style="636" customWidth="1"/>
    <col min="25" max="16384" width="12.42578125" style="636"/>
  </cols>
  <sheetData>
    <row r="1" spans="1:4" ht="12.75" customHeight="1" x14ac:dyDescent="0.25">
      <c r="A1" s="634" t="s">
        <v>606</v>
      </c>
      <c r="B1" s="637"/>
    </row>
    <row r="2" spans="1:4" ht="12" customHeight="1" x14ac:dyDescent="0.25">
      <c r="A2" s="546" t="s">
        <v>456</v>
      </c>
      <c r="B2" s="637"/>
    </row>
    <row r="3" spans="1:4" ht="4.5" customHeight="1" x14ac:dyDescent="0.25">
      <c r="A3" s="638"/>
      <c r="B3" s="637"/>
    </row>
    <row r="4" spans="1:4" ht="23.1" customHeight="1" x14ac:dyDescent="0.2">
      <c r="A4" s="455" t="s">
        <v>0</v>
      </c>
      <c r="B4" s="486" t="s">
        <v>607</v>
      </c>
      <c r="C4" s="456" t="s">
        <v>608</v>
      </c>
      <c r="D4" s="487" t="s">
        <v>609</v>
      </c>
    </row>
    <row r="5" spans="1:4" ht="4.5" customHeight="1" x14ac:dyDescent="0.2">
      <c r="A5" s="457"/>
      <c r="B5" s="488"/>
      <c r="C5" s="458"/>
      <c r="D5" s="458"/>
    </row>
    <row r="6" spans="1:4" ht="9.9499999999999993" customHeight="1" x14ac:dyDescent="0.25">
      <c r="A6" s="489" t="s">
        <v>490</v>
      </c>
      <c r="B6" s="475">
        <f t="shared" ref="B6:D6" si="0">AVERAGE(B7:B10)</f>
        <v>39.707499999999996</v>
      </c>
      <c r="C6" s="475">
        <f t="shared" si="0"/>
        <v>52.5</v>
      </c>
      <c r="D6" s="475">
        <f t="shared" si="0"/>
        <v>27.5</v>
      </c>
    </row>
    <row r="7" spans="1:4" ht="9.9499999999999993" customHeight="1" x14ac:dyDescent="0.25">
      <c r="A7" s="481" t="s">
        <v>493</v>
      </c>
      <c r="B7" s="476">
        <v>25.5</v>
      </c>
      <c r="C7" s="476" t="s">
        <v>423</v>
      </c>
      <c r="D7" s="462" t="s">
        <v>423</v>
      </c>
    </row>
    <row r="8" spans="1:4" ht="9.9499999999999993" customHeight="1" x14ac:dyDescent="0.25">
      <c r="A8" s="481" t="s">
        <v>492</v>
      </c>
      <c r="B8" s="476">
        <v>65</v>
      </c>
      <c r="C8" s="476">
        <v>65</v>
      </c>
      <c r="D8" s="476">
        <v>27.5</v>
      </c>
    </row>
    <row r="9" spans="1:4" ht="9.9499999999999993" customHeight="1" x14ac:dyDescent="0.25">
      <c r="A9" s="481" t="s">
        <v>505</v>
      </c>
      <c r="B9" s="476">
        <v>43.33</v>
      </c>
      <c r="C9" s="476">
        <v>40</v>
      </c>
      <c r="D9" s="462" t="s">
        <v>423</v>
      </c>
    </row>
    <row r="10" spans="1:4" ht="9.9499999999999993" customHeight="1" x14ac:dyDescent="0.25">
      <c r="A10" s="481" t="s">
        <v>491</v>
      </c>
      <c r="B10" s="476">
        <v>25</v>
      </c>
      <c r="C10" s="476" t="s">
        <v>423</v>
      </c>
      <c r="D10" s="462" t="s">
        <v>423</v>
      </c>
    </row>
    <row r="11" spans="1:4" ht="9.9499999999999993" customHeight="1" x14ac:dyDescent="0.25">
      <c r="A11" s="459" t="s">
        <v>441</v>
      </c>
      <c r="B11" s="475">
        <f>AVERAGE(B12:B15)</f>
        <v>28.2</v>
      </c>
      <c r="C11" s="475" t="s">
        <v>4</v>
      </c>
      <c r="D11" s="475">
        <f>AVERAGE(D12:D15)</f>
        <v>50</v>
      </c>
    </row>
    <row r="12" spans="1:4" ht="9.9499999999999993" customHeight="1" x14ac:dyDescent="0.25">
      <c r="A12" s="461" t="s">
        <v>444</v>
      </c>
      <c r="B12" s="476">
        <v>60</v>
      </c>
      <c r="C12" s="476" t="s">
        <v>423</v>
      </c>
      <c r="D12" s="476">
        <v>50</v>
      </c>
    </row>
    <row r="13" spans="1:4" ht="9.9499999999999993" customHeight="1" x14ac:dyDescent="0.25">
      <c r="A13" s="461" t="s">
        <v>578</v>
      </c>
      <c r="B13" s="476">
        <v>25</v>
      </c>
      <c r="C13" s="476" t="s">
        <v>423</v>
      </c>
      <c r="D13" s="476" t="s">
        <v>423</v>
      </c>
    </row>
    <row r="14" spans="1:4" ht="9.9499999999999993" customHeight="1" x14ac:dyDescent="0.25">
      <c r="A14" s="461" t="s">
        <v>443</v>
      </c>
      <c r="B14" s="476">
        <v>10</v>
      </c>
      <c r="C14" s="476" t="s">
        <v>423</v>
      </c>
      <c r="D14" s="476" t="s">
        <v>423</v>
      </c>
    </row>
    <row r="15" spans="1:4" ht="9.9499999999999993" customHeight="1" x14ac:dyDescent="0.25">
      <c r="A15" s="461" t="s">
        <v>442</v>
      </c>
      <c r="B15" s="476">
        <v>17.8</v>
      </c>
      <c r="C15" s="476" t="s">
        <v>423</v>
      </c>
      <c r="D15" s="476" t="s">
        <v>586</v>
      </c>
    </row>
    <row r="16" spans="1:4" ht="9.9499999999999993" customHeight="1" x14ac:dyDescent="0.25">
      <c r="A16" s="459" t="s">
        <v>77</v>
      </c>
      <c r="B16" s="475">
        <f t="shared" ref="B16:D16" si="1">AVERAGE(B17:B19)</f>
        <v>42.61</v>
      </c>
      <c r="C16" s="475">
        <f t="shared" si="1"/>
        <v>46.335000000000001</v>
      </c>
      <c r="D16" s="475">
        <f t="shared" si="1"/>
        <v>36.335000000000001</v>
      </c>
    </row>
    <row r="17" spans="1:4" ht="9.9499999999999993" customHeight="1" x14ac:dyDescent="0.2">
      <c r="A17" s="479" t="s">
        <v>155</v>
      </c>
      <c r="B17" s="476">
        <v>30.33</v>
      </c>
      <c r="C17" s="476">
        <v>44.67</v>
      </c>
      <c r="D17" s="476">
        <v>25.67</v>
      </c>
    </row>
    <row r="18" spans="1:4" ht="9.9499999999999993" customHeight="1" x14ac:dyDescent="0.2">
      <c r="A18" s="479" t="s">
        <v>156</v>
      </c>
      <c r="B18" s="476">
        <v>49</v>
      </c>
      <c r="C18" s="476" t="s">
        <v>454</v>
      </c>
      <c r="D18" s="476" t="s">
        <v>454</v>
      </c>
    </row>
    <row r="19" spans="1:4" ht="9.9499999999999993" customHeight="1" x14ac:dyDescent="0.2">
      <c r="A19" s="479" t="s">
        <v>158</v>
      </c>
      <c r="B19" s="476">
        <v>48.5</v>
      </c>
      <c r="C19" s="476">
        <v>48</v>
      </c>
      <c r="D19" s="476">
        <v>47</v>
      </c>
    </row>
    <row r="20" spans="1:4" ht="9.9499999999999993" customHeight="1" x14ac:dyDescent="0.25">
      <c r="A20" s="489" t="s">
        <v>2</v>
      </c>
      <c r="B20" s="475">
        <f t="shared" ref="B20:C20" si="2">AVERAGE(B21:B24)</f>
        <v>24.833333333333332</v>
      </c>
      <c r="C20" s="475">
        <f t="shared" si="2"/>
        <v>25.875</v>
      </c>
      <c r="D20" s="475">
        <f>AVERAGE(D21:D23)</f>
        <v>57.164999999999999</v>
      </c>
    </row>
    <row r="21" spans="1:4" ht="9.9499999999999993" customHeight="1" x14ac:dyDescent="0.25">
      <c r="A21" s="461" t="s">
        <v>5</v>
      </c>
      <c r="B21" s="476">
        <v>29</v>
      </c>
      <c r="C21" s="476">
        <v>29.5</v>
      </c>
      <c r="D21" s="476">
        <v>32</v>
      </c>
    </row>
    <row r="22" spans="1:4" ht="9.9499999999999993" customHeight="1" x14ac:dyDescent="0.25">
      <c r="A22" s="461" t="s">
        <v>418</v>
      </c>
      <c r="B22" s="476">
        <v>22.5</v>
      </c>
      <c r="C22" s="476" t="s">
        <v>423</v>
      </c>
      <c r="D22" s="476" t="s">
        <v>423</v>
      </c>
    </row>
    <row r="23" spans="1:4" ht="9.9499999999999993" customHeight="1" x14ac:dyDescent="0.25">
      <c r="A23" s="461" t="s">
        <v>61</v>
      </c>
      <c r="B23" s="476" t="s">
        <v>423</v>
      </c>
      <c r="C23" s="476" t="s">
        <v>423</v>
      </c>
      <c r="D23" s="476">
        <v>82.33</v>
      </c>
    </row>
    <row r="24" spans="1:4" ht="9.9499999999999993" customHeight="1" x14ac:dyDescent="0.25">
      <c r="A24" s="461" t="s">
        <v>78</v>
      </c>
      <c r="B24" s="476">
        <v>23</v>
      </c>
      <c r="C24" s="476">
        <v>22.25</v>
      </c>
      <c r="D24" s="476" t="s">
        <v>423</v>
      </c>
    </row>
    <row r="25" spans="1:4" ht="9.9499999999999993" customHeight="1" x14ac:dyDescent="0.2">
      <c r="A25" s="480" t="s">
        <v>6</v>
      </c>
      <c r="B25" s="475">
        <f>AVERAGE(B26:B30)</f>
        <v>31.943333333333332</v>
      </c>
      <c r="C25" s="475" t="s">
        <v>4</v>
      </c>
      <c r="D25" s="475">
        <f>AVERAGE(D26:D30)</f>
        <v>31.914999999999999</v>
      </c>
    </row>
    <row r="26" spans="1:4" ht="9.9499999999999993" customHeight="1" x14ac:dyDescent="0.2">
      <c r="A26" s="464" t="s">
        <v>7</v>
      </c>
      <c r="B26" s="476">
        <v>32.5</v>
      </c>
      <c r="C26" s="476" t="s">
        <v>423</v>
      </c>
      <c r="D26" s="476">
        <v>32.5</v>
      </c>
    </row>
    <row r="27" spans="1:4" ht="9.9499999999999993" customHeight="1" x14ac:dyDescent="0.2">
      <c r="A27" s="464" t="s">
        <v>11</v>
      </c>
      <c r="B27" s="476">
        <v>35</v>
      </c>
      <c r="C27" s="476" t="s">
        <v>423</v>
      </c>
      <c r="D27" s="476" t="s">
        <v>423</v>
      </c>
    </row>
    <row r="28" spans="1:4" ht="9.9499999999999993" customHeight="1" x14ac:dyDescent="0.2">
      <c r="A28" s="464" t="s">
        <v>12</v>
      </c>
      <c r="B28" s="476" t="s">
        <v>423</v>
      </c>
      <c r="C28" s="476">
        <v>37</v>
      </c>
      <c r="D28" s="476" t="s">
        <v>423</v>
      </c>
    </row>
    <row r="29" spans="1:4" ht="9.9499999999999993" customHeight="1" x14ac:dyDescent="0.2">
      <c r="A29" s="464" t="s">
        <v>485</v>
      </c>
      <c r="B29" s="476" t="s">
        <v>423</v>
      </c>
      <c r="C29" s="476" t="s">
        <v>423</v>
      </c>
      <c r="D29" s="476">
        <v>31.33</v>
      </c>
    </row>
    <row r="30" spans="1:4" ht="9.9499999999999993" customHeight="1" x14ac:dyDescent="0.2">
      <c r="A30" s="464" t="s">
        <v>92</v>
      </c>
      <c r="B30" s="476">
        <v>28.33</v>
      </c>
      <c r="C30" s="476" t="s">
        <v>423</v>
      </c>
      <c r="D30" s="476" t="s">
        <v>423</v>
      </c>
    </row>
    <row r="31" spans="1:4" ht="9.9499999999999993" customHeight="1" x14ac:dyDescent="0.2">
      <c r="A31" s="465" t="s">
        <v>15</v>
      </c>
      <c r="B31" s="475">
        <f t="shared" ref="B31:D31" si="3">AVERAGE(B32:B35)</f>
        <v>29.75</v>
      </c>
      <c r="C31" s="475">
        <f t="shared" si="3"/>
        <v>80</v>
      </c>
      <c r="D31" s="475">
        <f t="shared" si="3"/>
        <v>54.75</v>
      </c>
    </row>
    <row r="32" spans="1:4" ht="9.9499999999999993" customHeight="1" x14ac:dyDescent="0.2">
      <c r="A32" s="464" t="s">
        <v>191</v>
      </c>
      <c r="B32" s="476">
        <v>30</v>
      </c>
      <c r="C32" s="476" t="s">
        <v>464</v>
      </c>
      <c r="D32" s="476" t="s">
        <v>423</v>
      </c>
    </row>
    <row r="33" spans="1:4" ht="9.9499999999999993" customHeight="1" x14ac:dyDescent="0.2">
      <c r="A33" s="464" t="s">
        <v>543</v>
      </c>
      <c r="B33" s="476">
        <v>33</v>
      </c>
      <c r="C33" s="476">
        <v>120</v>
      </c>
      <c r="D33" s="476">
        <v>50</v>
      </c>
    </row>
    <row r="34" spans="1:4" ht="9.9499999999999993" customHeight="1" x14ac:dyDescent="0.2">
      <c r="A34" s="464" t="s">
        <v>70</v>
      </c>
      <c r="B34" s="476">
        <v>30</v>
      </c>
      <c r="C34" s="476">
        <v>40</v>
      </c>
      <c r="D34" s="476" t="s">
        <v>454</v>
      </c>
    </row>
    <row r="35" spans="1:4" ht="9.9499999999999993" customHeight="1" x14ac:dyDescent="0.2">
      <c r="A35" s="464" t="s">
        <v>69</v>
      </c>
      <c r="B35" s="476">
        <v>26</v>
      </c>
      <c r="C35" s="476" t="s">
        <v>423</v>
      </c>
      <c r="D35" s="476">
        <v>59.5</v>
      </c>
    </row>
    <row r="36" spans="1:4" ht="9.9499999999999993" customHeight="1" x14ac:dyDescent="0.2">
      <c r="A36" s="480" t="s">
        <v>16</v>
      </c>
      <c r="B36" s="475">
        <f t="shared" ref="B36:D36" si="4">AVERAGE(B37:B40)</f>
        <v>36.5</v>
      </c>
      <c r="C36" s="475">
        <f t="shared" si="4"/>
        <v>28</v>
      </c>
      <c r="D36" s="475">
        <f t="shared" si="4"/>
        <v>32.5</v>
      </c>
    </row>
    <row r="37" spans="1:4" ht="9.9499999999999993" customHeight="1" x14ac:dyDescent="0.2">
      <c r="A37" s="464" t="s">
        <v>489</v>
      </c>
      <c r="B37" s="476" t="s">
        <v>423</v>
      </c>
      <c r="C37" s="476">
        <v>28</v>
      </c>
      <c r="D37" s="476" t="s">
        <v>423</v>
      </c>
    </row>
    <row r="38" spans="1:4" ht="9.9499999999999993" customHeight="1" x14ac:dyDescent="0.2">
      <c r="A38" s="464" t="s">
        <v>497</v>
      </c>
      <c r="B38" s="476">
        <v>41</v>
      </c>
      <c r="C38" s="476" t="s">
        <v>423</v>
      </c>
      <c r="D38" s="476" t="s">
        <v>423</v>
      </c>
    </row>
    <row r="39" spans="1:4" ht="9.9499999999999993" customHeight="1" x14ac:dyDescent="0.2">
      <c r="A39" s="464" t="s">
        <v>192</v>
      </c>
      <c r="B39" s="476" t="s">
        <v>423</v>
      </c>
      <c r="C39" s="476" t="s">
        <v>423</v>
      </c>
      <c r="D39" s="476">
        <v>32.5</v>
      </c>
    </row>
    <row r="40" spans="1:4" ht="9.9499999999999993" customHeight="1" x14ac:dyDescent="0.2">
      <c r="A40" s="464" t="s">
        <v>17</v>
      </c>
      <c r="B40" s="476">
        <v>32</v>
      </c>
      <c r="C40" s="476" t="s">
        <v>423</v>
      </c>
      <c r="D40" s="476" t="s">
        <v>423</v>
      </c>
    </row>
    <row r="41" spans="1:4" ht="9.9499999999999993" customHeight="1" x14ac:dyDescent="0.2">
      <c r="A41" s="480" t="s">
        <v>18</v>
      </c>
      <c r="B41" s="475">
        <f t="shared" ref="B41:D41" si="5">AVERAGE(B42:B48)</f>
        <v>19</v>
      </c>
      <c r="C41" s="475">
        <f t="shared" si="5"/>
        <v>30.61</v>
      </c>
      <c r="D41" s="475">
        <f t="shared" si="5"/>
        <v>32.291666666666664</v>
      </c>
    </row>
    <row r="42" spans="1:4" ht="9.9499999999999993" customHeight="1" x14ac:dyDescent="0.2">
      <c r="A42" s="464" t="s">
        <v>24</v>
      </c>
      <c r="B42" s="476" t="s">
        <v>454</v>
      </c>
      <c r="C42" s="476">
        <v>31.5</v>
      </c>
      <c r="D42" s="476">
        <v>52.25</v>
      </c>
    </row>
    <row r="43" spans="1:4" ht="9.9499999999999993" customHeight="1" x14ac:dyDescent="0.2">
      <c r="A43" s="464" t="s">
        <v>19</v>
      </c>
      <c r="B43" s="476" t="s">
        <v>423</v>
      </c>
      <c r="C43" s="476" t="s">
        <v>423</v>
      </c>
      <c r="D43" s="476">
        <v>31.33</v>
      </c>
    </row>
    <row r="44" spans="1:4" ht="9.9499999999999993" customHeight="1" x14ac:dyDescent="0.2">
      <c r="A44" s="464" t="s">
        <v>20</v>
      </c>
      <c r="B44" s="476" t="s">
        <v>423</v>
      </c>
      <c r="C44" s="476" t="s">
        <v>423</v>
      </c>
      <c r="D44" s="476">
        <v>36.67</v>
      </c>
    </row>
    <row r="45" spans="1:4" ht="9.9499999999999993" customHeight="1" x14ac:dyDescent="0.2">
      <c r="A45" s="464" t="s">
        <v>62</v>
      </c>
      <c r="B45" s="476" t="s">
        <v>423</v>
      </c>
      <c r="C45" s="476" t="s">
        <v>423</v>
      </c>
      <c r="D45" s="476">
        <v>20</v>
      </c>
    </row>
    <row r="46" spans="1:4" ht="9.9499999999999993" customHeight="1" x14ac:dyDescent="0.2">
      <c r="A46" s="464" t="s">
        <v>21</v>
      </c>
      <c r="B46" s="476" t="s">
        <v>423</v>
      </c>
      <c r="C46" s="476">
        <v>35.33</v>
      </c>
      <c r="D46" s="476">
        <v>27</v>
      </c>
    </row>
    <row r="47" spans="1:4" ht="9.9499999999999993" customHeight="1" x14ac:dyDescent="0.2">
      <c r="A47" s="464" t="s">
        <v>80</v>
      </c>
      <c r="B47" s="476" t="s">
        <v>423</v>
      </c>
      <c r="C47" s="476">
        <v>25</v>
      </c>
      <c r="D47" s="476">
        <v>26.5</v>
      </c>
    </row>
    <row r="48" spans="1:4" ht="9.9499999999999993" customHeight="1" x14ac:dyDescent="0.2">
      <c r="A48" s="464" t="s">
        <v>23</v>
      </c>
      <c r="B48" s="476">
        <v>19</v>
      </c>
      <c r="C48" s="476" t="s">
        <v>423</v>
      </c>
      <c r="D48" s="476" t="s">
        <v>423</v>
      </c>
    </row>
    <row r="49" spans="1:4" ht="9.9499999999999993" customHeight="1" x14ac:dyDescent="0.25">
      <c r="A49" s="489" t="s">
        <v>25</v>
      </c>
      <c r="B49" s="475">
        <f>AVERAGE(B50:B51)</f>
        <v>29.524999999999999</v>
      </c>
      <c r="C49" s="460" t="s">
        <v>4</v>
      </c>
      <c r="D49" s="475">
        <f>AVERAGE(D50:D51)</f>
        <v>28.824999999999999</v>
      </c>
    </row>
    <row r="50" spans="1:4" ht="9.9499999999999993" customHeight="1" x14ac:dyDescent="0.25">
      <c r="A50" s="481" t="s">
        <v>53</v>
      </c>
      <c r="B50" s="476">
        <v>31.05</v>
      </c>
      <c r="C50" s="476" t="s">
        <v>454</v>
      </c>
      <c r="D50" s="476">
        <v>27.65</v>
      </c>
    </row>
    <row r="51" spans="1:4" ht="9.9499999999999993" customHeight="1" x14ac:dyDescent="0.25">
      <c r="A51" s="481" t="s">
        <v>58</v>
      </c>
      <c r="B51" s="476">
        <v>28</v>
      </c>
      <c r="C51" s="476" t="s">
        <v>454</v>
      </c>
      <c r="D51" s="476">
        <v>30</v>
      </c>
    </row>
    <row r="52" spans="1:4" ht="9.9499999999999993" customHeight="1" x14ac:dyDescent="0.25">
      <c r="A52" s="489" t="s">
        <v>81</v>
      </c>
      <c r="B52" s="475">
        <v>25</v>
      </c>
      <c r="C52" s="475" t="s">
        <v>4</v>
      </c>
      <c r="D52" s="475" t="s">
        <v>4</v>
      </c>
    </row>
    <row r="53" spans="1:4" ht="9.9499999999999993" customHeight="1" x14ac:dyDescent="0.2">
      <c r="A53" s="464" t="s">
        <v>424</v>
      </c>
      <c r="B53" s="476">
        <v>25</v>
      </c>
      <c r="C53" s="476" t="s">
        <v>423</v>
      </c>
      <c r="D53" s="476" t="s">
        <v>423</v>
      </c>
    </row>
    <row r="54" spans="1:4" ht="9.9499999999999993" customHeight="1" x14ac:dyDescent="0.2">
      <c r="A54" s="480" t="s">
        <v>86</v>
      </c>
      <c r="B54" s="475">
        <f t="shared" ref="B54:D54" si="6">AVERAGE(B55:B57)</f>
        <v>32.5</v>
      </c>
      <c r="C54" s="475">
        <f t="shared" si="6"/>
        <v>30.5</v>
      </c>
      <c r="D54" s="475">
        <f t="shared" si="6"/>
        <v>42</v>
      </c>
    </row>
    <row r="55" spans="1:4" ht="9.9499999999999993" customHeight="1" x14ac:dyDescent="0.2">
      <c r="A55" s="464" t="s">
        <v>82</v>
      </c>
      <c r="B55" s="476" t="s">
        <v>423</v>
      </c>
      <c r="C55" s="476" t="s">
        <v>454</v>
      </c>
      <c r="D55" s="476">
        <v>42</v>
      </c>
    </row>
    <row r="56" spans="1:4" ht="9.9499999999999993" customHeight="1" x14ac:dyDescent="0.2">
      <c r="A56" s="464" t="s">
        <v>31</v>
      </c>
      <c r="B56" s="476">
        <v>25</v>
      </c>
      <c r="C56" s="476">
        <v>23</v>
      </c>
      <c r="D56" s="476" t="s">
        <v>454</v>
      </c>
    </row>
    <row r="57" spans="1:4" ht="9.9499999999999993" customHeight="1" x14ac:dyDescent="0.2">
      <c r="A57" s="464" t="s">
        <v>83</v>
      </c>
      <c r="B57" s="476">
        <v>40</v>
      </c>
      <c r="C57" s="476">
        <v>38</v>
      </c>
      <c r="D57" s="476" t="s">
        <v>423</v>
      </c>
    </row>
    <row r="58" spans="1:4" ht="9.9499999999999993" customHeight="1" x14ac:dyDescent="0.2">
      <c r="A58" s="480" t="s">
        <v>35</v>
      </c>
      <c r="B58" s="475">
        <f>AVERAGE(B59:B61)</f>
        <v>63.25</v>
      </c>
      <c r="C58" s="475" t="s">
        <v>4</v>
      </c>
      <c r="D58" s="475">
        <f>AVERAGE(D59:D61)</f>
        <v>54.109999999999992</v>
      </c>
    </row>
    <row r="59" spans="1:4" ht="9.9499999999999993" customHeight="1" x14ac:dyDescent="0.2">
      <c r="A59" s="464" t="s">
        <v>36</v>
      </c>
      <c r="B59" s="476">
        <v>61.5</v>
      </c>
      <c r="C59" s="476" t="s">
        <v>454</v>
      </c>
      <c r="D59" s="476">
        <v>50.33</v>
      </c>
    </row>
    <row r="60" spans="1:4" ht="9.9499999999999993" customHeight="1" x14ac:dyDescent="0.2">
      <c r="A60" s="464" t="s">
        <v>38</v>
      </c>
      <c r="B60" s="476">
        <v>65</v>
      </c>
      <c r="C60" s="476" t="s">
        <v>454</v>
      </c>
      <c r="D60" s="476">
        <v>55</v>
      </c>
    </row>
    <row r="61" spans="1:4" ht="9.9499999999999993" customHeight="1" x14ac:dyDescent="0.2">
      <c r="A61" s="464" t="s">
        <v>37</v>
      </c>
      <c r="B61" s="476" t="s">
        <v>423</v>
      </c>
      <c r="C61" s="476" t="s">
        <v>454</v>
      </c>
      <c r="D61" s="476">
        <v>57</v>
      </c>
    </row>
    <row r="62" spans="1:4" ht="9.9499999999999993" customHeight="1" x14ac:dyDescent="0.2">
      <c r="A62" s="480" t="s">
        <v>39</v>
      </c>
      <c r="B62" s="475" t="s">
        <v>4</v>
      </c>
      <c r="C62" s="475">
        <f t="shared" ref="C62:D62" si="7">AVERAGE(C63:C64)</f>
        <v>30.75</v>
      </c>
      <c r="D62" s="475">
        <f t="shared" si="7"/>
        <v>40</v>
      </c>
    </row>
    <row r="63" spans="1:4" ht="9.9499999999999993" customHeight="1" x14ac:dyDescent="0.2">
      <c r="A63" s="464" t="s">
        <v>41</v>
      </c>
      <c r="B63" s="476" t="s">
        <v>423</v>
      </c>
      <c r="C63" s="476">
        <v>30.75</v>
      </c>
      <c r="D63" s="476" t="s">
        <v>454</v>
      </c>
    </row>
    <row r="64" spans="1:4" ht="9.9499999999999993" customHeight="1" x14ac:dyDescent="0.2">
      <c r="A64" s="479" t="s">
        <v>587</v>
      </c>
      <c r="B64" s="476" t="s">
        <v>423</v>
      </c>
      <c r="C64" s="476" t="s">
        <v>423</v>
      </c>
      <c r="D64" s="476">
        <v>40</v>
      </c>
    </row>
    <row r="65" spans="1:4" ht="9.9499999999999993" customHeight="1" x14ac:dyDescent="0.2">
      <c r="A65" s="480" t="s">
        <v>42</v>
      </c>
      <c r="B65" s="475">
        <f>AVERAGE(B66:B68)</f>
        <v>31.666666666666668</v>
      </c>
      <c r="C65" s="475" t="s">
        <v>4</v>
      </c>
      <c r="D65" s="475">
        <f>AVERAGE(D66:D68)</f>
        <v>30</v>
      </c>
    </row>
    <row r="66" spans="1:4" ht="9.9499999999999993" customHeight="1" x14ac:dyDescent="0.2">
      <c r="A66" s="479" t="s">
        <v>416</v>
      </c>
      <c r="B66" s="476">
        <v>20</v>
      </c>
      <c r="C66" s="476" t="s">
        <v>423</v>
      </c>
      <c r="D66" s="476">
        <v>25</v>
      </c>
    </row>
    <row r="67" spans="1:4" ht="9.9499999999999993" customHeight="1" x14ac:dyDescent="0.2">
      <c r="A67" s="479" t="s">
        <v>44</v>
      </c>
      <c r="B67" s="476">
        <v>45</v>
      </c>
      <c r="C67" s="476" t="s">
        <v>423</v>
      </c>
      <c r="D67" s="476" t="s">
        <v>423</v>
      </c>
    </row>
    <row r="68" spans="1:4" ht="9.9499999999999993" customHeight="1" x14ac:dyDescent="0.2">
      <c r="A68" s="479" t="s">
        <v>43</v>
      </c>
      <c r="B68" s="476">
        <v>30</v>
      </c>
      <c r="C68" s="476" t="s">
        <v>423</v>
      </c>
      <c r="D68" s="476">
        <v>35</v>
      </c>
    </row>
    <row r="69" spans="1:4" ht="9.9499999999999993" customHeight="1" x14ac:dyDescent="0.2">
      <c r="A69" s="480" t="s">
        <v>198</v>
      </c>
      <c r="B69" s="475">
        <f t="shared" ref="B69:D69" si="8">AVERAGE(B70:B71)</f>
        <v>20</v>
      </c>
      <c r="C69" s="475">
        <f t="shared" si="8"/>
        <v>39</v>
      </c>
      <c r="D69" s="475">
        <f t="shared" si="8"/>
        <v>67.5</v>
      </c>
    </row>
    <row r="70" spans="1:4" ht="9.9499999999999993" customHeight="1" x14ac:dyDescent="0.2">
      <c r="A70" s="479" t="s">
        <v>200</v>
      </c>
      <c r="B70" s="476">
        <v>20</v>
      </c>
      <c r="C70" s="476" t="s">
        <v>423</v>
      </c>
      <c r="D70" s="476" t="s">
        <v>423</v>
      </c>
    </row>
    <row r="71" spans="1:4" ht="9.9499999999999993" customHeight="1" x14ac:dyDescent="0.2">
      <c r="A71" s="479" t="s">
        <v>65</v>
      </c>
      <c r="B71" s="476" t="s">
        <v>423</v>
      </c>
      <c r="C71" s="476">
        <v>39</v>
      </c>
      <c r="D71" s="476">
        <v>67.5</v>
      </c>
    </row>
    <row r="72" spans="1:4" ht="9.9499999999999993" customHeight="1" x14ac:dyDescent="0.2">
      <c r="A72" s="480" t="s">
        <v>84</v>
      </c>
      <c r="B72" s="475" t="s">
        <v>4</v>
      </c>
      <c r="C72" s="475">
        <v>25</v>
      </c>
      <c r="D72" s="475" t="s">
        <v>4</v>
      </c>
    </row>
    <row r="73" spans="1:4" ht="9.9499999999999993" customHeight="1" x14ac:dyDescent="0.2">
      <c r="A73" s="479" t="s">
        <v>499</v>
      </c>
      <c r="B73" s="476" t="s">
        <v>423</v>
      </c>
      <c r="C73" s="476">
        <v>25</v>
      </c>
      <c r="D73" s="476" t="s">
        <v>423</v>
      </c>
    </row>
    <row r="74" spans="1:4" ht="9.9499999999999993" customHeight="1" x14ac:dyDescent="0.2">
      <c r="A74" s="480" t="s">
        <v>71</v>
      </c>
      <c r="B74" s="475" t="s">
        <v>423</v>
      </c>
      <c r="C74" s="475">
        <v>70</v>
      </c>
      <c r="D74" s="475">
        <v>50</v>
      </c>
    </row>
    <row r="75" spans="1:4" ht="9.9499999999999993" customHeight="1" x14ac:dyDescent="0.2">
      <c r="A75" s="490" t="s">
        <v>73</v>
      </c>
      <c r="B75" s="491" t="s">
        <v>423</v>
      </c>
      <c r="C75" s="491">
        <v>70</v>
      </c>
      <c r="D75" s="491">
        <v>50</v>
      </c>
    </row>
    <row r="76" spans="1:4" ht="9" customHeight="1" x14ac:dyDescent="0.2">
      <c r="A76" s="538" t="s">
        <v>87</v>
      </c>
      <c r="B76" s="502"/>
      <c r="C76" s="502"/>
      <c r="D76" s="502"/>
    </row>
    <row r="77" spans="1:4" ht="9" customHeight="1" x14ac:dyDescent="0.25">
      <c r="A77" s="538" t="s">
        <v>67</v>
      </c>
      <c r="B77" s="547"/>
      <c r="C77" s="547"/>
      <c r="D77" s="547"/>
    </row>
    <row r="78" spans="1:4" ht="9" customHeight="1" x14ac:dyDescent="0.2">
      <c r="A78" s="539" t="s">
        <v>68</v>
      </c>
      <c r="B78" s="498"/>
      <c r="C78" s="498"/>
      <c r="D78" s="498"/>
    </row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</sheetData>
  <pageMargins left="0.27559055118110237" right="0.27559055118110237" top="0.39370078740157483" bottom="0.39370078740157483" header="0" footer="0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Z657"/>
  <sheetViews>
    <sheetView showGridLines="0" topLeftCell="A24" zoomScaleNormal="100" workbookViewId="0">
      <selection activeCell="A60" sqref="A60:E120"/>
    </sheetView>
  </sheetViews>
  <sheetFormatPr baseColWidth="10" defaultColWidth="12.42578125" defaultRowHeight="15" customHeight="1" x14ac:dyDescent="0.2"/>
  <cols>
    <col min="1" max="1" width="16" style="2" customWidth="1"/>
    <col min="2" max="5" width="12.85546875" style="2" customWidth="1"/>
    <col min="6" max="25" width="11.42578125" style="2" customWidth="1"/>
    <col min="26" max="16384" width="12.42578125" style="2"/>
  </cols>
  <sheetData>
    <row r="1" spans="1:26" ht="12.75" customHeight="1" x14ac:dyDescent="0.25">
      <c r="A1" s="424" t="s">
        <v>448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</row>
    <row r="2" spans="1:26" ht="12" customHeight="1" x14ac:dyDescent="0.2">
      <c r="A2" s="426" t="s">
        <v>588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</row>
    <row r="3" spans="1:26" ht="12" customHeight="1" x14ac:dyDescent="0.2">
      <c r="A3" s="426" t="s">
        <v>449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</row>
    <row r="4" spans="1:26" ht="4.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</row>
    <row r="5" spans="1:26" ht="24" customHeight="1" x14ac:dyDescent="0.2">
      <c r="A5" s="455" t="s">
        <v>0</v>
      </c>
      <c r="B5" s="492" t="s">
        <v>450</v>
      </c>
      <c r="C5" s="492" t="s">
        <v>451</v>
      </c>
      <c r="D5" s="492" t="s">
        <v>452</v>
      </c>
      <c r="E5" s="456" t="s">
        <v>453</v>
      </c>
    </row>
    <row r="6" spans="1:26" ht="4.5" customHeight="1" x14ac:dyDescent="0.2">
      <c r="A6" s="457"/>
      <c r="B6" s="457"/>
      <c r="C6" s="457"/>
      <c r="D6" s="457"/>
      <c r="E6" s="493"/>
    </row>
    <row r="7" spans="1:26" ht="12" customHeight="1" x14ac:dyDescent="0.2">
      <c r="A7" s="480" t="s">
        <v>490</v>
      </c>
      <c r="B7" s="475">
        <f t="shared" ref="B7:E7" si="0">AVERAGE(B8:B11)</f>
        <v>22.3325</v>
      </c>
      <c r="C7" s="475">
        <f t="shared" si="0"/>
        <v>21</v>
      </c>
      <c r="D7" s="475">
        <f t="shared" si="0"/>
        <v>31.666666666666668</v>
      </c>
      <c r="E7" s="475">
        <f t="shared" si="0"/>
        <v>22.375</v>
      </c>
    </row>
    <row r="8" spans="1:26" ht="12" customHeight="1" x14ac:dyDescent="0.2">
      <c r="A8" s="479" t="s">
        <v>493</v>
      </c>
      <c r="B8" s="476">
        <v>21</v>
      </c>
      <c r="C8" s="476" t="s">
        <v>423</v>
      </c>
      <c r="D8" s="476" t="s">
        <v>423</v>
      </c>
      <c r="E8" s="476">
        <v>15.5</v>
      </c>
    </row>
    <row r="9" spans="1:26" ht="12" customHeight="1" x14ac:dyDescent="0.2">
      <c r="A9" s="479" t="s">
        <v>492</v>
      </c>
      <c r="B9" s="476">
        <v>25</v>
      </c>
      <c r="C9" s="476">
        <v>25</v>
      </c>
      <c r="D9" s="476">
        <v>25</v>
      </c>
      <c r="E9" s="476">
        <v>28</v>
      </c>
    </row>
    <row r="10" spans="1:26" ht="12" customHeight="1" x14ac:dyDescent="0.2">
      <c r="A10" s="479" t="s">
        <v>505</v>
      </c>
      <c r="B10" s="476">
        <v>20</v>
      </c>
      <c r="C10" s="476">
        <v>17</v>
      </c>
      <c r="D10" s="476">
        <v>35</v>
      </c>
      <c r="E10" s="476">
        <v>30</v>
      </c>
    </row>
    <row r="11" spans="1:26" ht="12" customHeight="1" x14ac:dyDescent="0.2">
      <c r="A11" s="479" t="s">
        <v>491</v>
      </c>
      <c r="B11" s="476">
        <v>23.33</v>
      </c>
      <c r="C11" s="476" t="s">
        <v>423</v>
      </c>
      <c r="D11" s="476">
        <v>35</v>
      </c>
      <c r="E11" s="476">
        <v>16</v>
      </c>
    </row>
    <row r="12" spans="1:26" ht="12" customHeight="1" x14ac:dyDescent="0.25">
      <c r="A12" s="459" t="s">
        <v>441</v>
      </c>
      <c r="B12" s="475">
        <f t="shared" ref="B12:C12" si="1">AVERAGE(B13:B17)</f>
        <v>14.45</v>
      </c>
      <c r="C12" s="475">
        <f t="shared" si="1"/>
        <v>19.166666666666668</v>
      </c>
      <c r="D12" s="475" t="s">
        <v>4</v>
      </c>
      <c r="E12" s="475">
        <f>AVERAGE(E13:E17)</f>
        <v>20</v>
      </c>
    </row>
    <row r="13" spans="1:26" ht="12" customHeight="1" x14ac:dyDescent="0.25">
      <c r="A13" s="461" t="s">
        <v>444</v>
      </c>
      <c r="B13" s="476">
        <v>25</v>
      </c>
      <c r="C13" s="476">
        <v>26</v>
      </c>
      <c r="D13" s="476" t="s">
        <v>423</v>
      </c>
      <c r="E13" s="476" t="s">
        <v>423</v>
      </c>
    </row>
    <row r="14" spans="1:26" ht="12" customHeight="1" x14ac:dyDescent="0.25">
      <c r="A14" s="461" t="s">
        <v>578</v>
      </c>
      <c r="B14" s="476">
        <v>15.25</v>
      </c>
      <c r="C14" s="476">
        <v>21.5</v>
      </c>
      <c r="D14" s="476" t="s">
        <v>423</v>
      </c>
      <c r="E14" s="476" t="s">
        <v>423</v>
      </c>
    </row>
    <row r="15" spans="1:26" ht="12" customHeight="1" x14ac:dyDescent="0.25">
      <c r="A15" s="461" t="s">
        <v>443</v>
      </c>
      <c r="B15" s="476">
        <v>12</v>
      </c>
      <c r="C15" s="476" t="s">
        <v>423</v>
      </c>
      <c r="D15" s="476" t="s">
        <v>423</v>
      </c>
      <c r="E15" s="476" t="s">
        <v>423</v>
      </c>
    </row>
    <row r="16" spans="1:26" ht="12" customHeight="1" x14ac:dyDescent="0.25">
      <c r="A16" s="461" t="s">
        <v>465</v>
      </c>
      <c r="B16" s="476">
        <v>10</v>
      </c>
      <c r="C16" s="476" t="s">
        <v>423</v>
      </c>
      <c r="D16" s="476" t="s">
        <v>423</v>
      </c>
      <c r="E16" s="476">
        <v>17</v>
      </c>
    </row>
    <row r="17" spans="1:5" ht="12" customHeight="1" x14ac:dyDescent="0.25">
      <c r="A17" s="461" t="s">
        <v>442</v>
      </c>
      <c r="B17" s="476">
        <v>10</v>
      </c>
      <c r="C17" s="476">
        <v>10</v>
      </c>
      <c r="D17" s="476" t="s">
        <v>423</v>
      </c>
      <c r="E17" s="476">
        <v>23</v>
      </c>
    </row>
    <row r="18" spans="1:5" ht="12" customHeight="1" x14ac:dyDescent="0.25">
      <c r="A18" s="459" t="s">
        <v>77</v>
      </c>
      <c r="B18" s="475">
        <f t="shared" ref="B18:E18" si="2">AVERAGE(B19:B22)</f>
        <v>36.167500000000004</v>
      </c>
      <c r="C18" s="475">
        <f t="shared" si="2"/>
        <v>30.113333333333333</v>
      </c>
      <c r="D18" s="475">
        <f t="shared" si="2"/>
        <v>37</v>
      </c>
      <c r="E18" s="475">
        <f t="shared" si="2"/>
        <v>22.914999999999999</v>
      </c>
    </row>
    <row r="19" spans="1:5" ht="12" customHeight="1" x14ac:dyDescent="0.2">
      <c r="A19" s="479" t="s">
        <v>155</v>
      </c>
      <c r="B19" s="476">
        <v>30.67</v>
      </c>
      <c r="C19" s="476">
        <v>32.67</v>
      </c>
      <c r="D19" s="476">
        <v>33</v>
      </c>
      <c r="E19" s="476">
        <v>15.33</v>
      </c>
    </row>
    <row r="20" spans="1:5" ht="12" customHeight="1" x14ac:dyDescent="0.2">
      <c r="A20" s="479" t="s">
        <v>156</v>
      </c>
      <c r="B20" s="476">
        <v>34.33</v>
      </c>
      <c r="C20" s="476">
        <v>30</v>
      </c>
      <c r="D20" s="476" t="s">
        <v>423</v>
      </c>
      <c r="E20" s="476">
        <v>30.5</v>
      </c>
    </row>
    <row r="21" spans="1:5" ht="12" customHeight="1" x14ac:dyDescent="0.2">
      <c r="A21" s="479" t="s">
        <v>158</v>
      </c>
      <c r="B21" s="476">
        <v>35</v>
      </c>
      <c r="C21" s="476">
        <v>27.67</v>
      </c>
      <c r="D21" s="476">
        <v>41</v>
      </c>
      <c r="E21" s="476" t="s">
        <v>423</v>
      </c>
    </row>
    <row r="22" spans="1:5" ht="12" customHeight="1" x14ac:dyDescent="0.2">
      <c r="A22" s="479" t="s">
        <v>161</v>
      </c>
      <c r="B22" s="476">
        <v>44.67</v>
      </c>
      <c r="C22" s="476" t="s">
        <v>423</v>
      </c>
      <c r="D22" s="476" t="s">
        <v>423</v>
      </c>
      <c r="E22" s="476" t="s">
        <v>423</v>
      </c>
    </row>
    <row r="23" spans="1:5" ht="12" customHeight="1" x14ac:dyDescent="0.2">
      <c r="A23" s="480" t="s">
        <v>2</v>
      </c>
      <c r="B23" s="475">
        <f t="shared" ref="B23:E23" si="3">AVERAGE(B24:B30)</f>
        <v>22.431999999999999</v>
      </c>
      <c r="C23" s="475">
        <f t="shared" si="3"/>
        <v>15.75</v>
      </c>
      <c r="D23" s="475">
        <f t="shared" si="3"/>
        <v>51.3</v>
      </c>
      <c r="E23" s="475">
        <f t="shared" si="3"/>
        <v>21.1875</v>
      </c>
    </row>
    <row r="24" spans="1:5" ht="12" customHeight="1" x14ac:dyDescent="0.2">
      <c r="A24" s="464" t="s">
        <v>128</v>
      </c>
      <c r="B24" s="476">
        <v>25</v>
      </c>
      <c r="C24" s="476" t="s">
        <v>423</v>
      </c>
      <c r="D24" s="476" t="s">
        <v>423</v>
      </c>
      <c r="E24" s="476" t="s">
        <v>423</v>
      </c>
    </row>
    <row r="25" spans="1:5" ht="12" customHeight="1" x14ac:dyDescent="0.2">
      <c r="A25" s="464" t="s">
        <v>5</v>
      </c>
      <c r="B25" s="476">
        <v>18</v>
      </c>
      <c r="C25" s="476">
        <v>17</v>
      </c>
      <c r="D25" s="476">
        <v>31</v>
      </c>
      <c r="E25" s="476">
        <v>22</v>
      </c>
    </row>
    <row r="26" spans="1:5" ht="12" customHeight="1" x14ac:dyDescent="0.25">
      <c r="A26" s="461" t="s">
        <v>78</v>
      </c>
      <c r="B26" s="476" t="s">
        <v>423</v>
      </c>
      <c r="C26" s="476" t="s">
        <v>423</v>
      </c>
      <c r="D26" s="476">
        <v>35</v>
      </c>
      <c r="E26" s="476">
        <v>19.75</v>
      </c>
    </row>
    <row r="27" spans="1:5" ht="12" customHeight="1" x14ac:dyDescent="0.25">
      <c r="A27" s="461" t="s">
        <v>85</v>
      </c>
      <c r="B27" s="476">
        <v>26.5</v>
      </c>
      <c r="C27" s="476" t="s">
        <v>423</v>
      </c>
      <c r="D27" s="476">
        <v>37</v>
      </c>
      <c r="E27" s="476" t="s">
        <v>423</v>
      </c>
    </row>
    <row r="28" spans="1:5" ht="12" customHeight="1" x14ac:dyDescent="0.25">
      <c r="A28" s="461" t="s">
        <v>61</v>
      </c>
      <c r="B28" s="476">
        <v>27.33</v>
      </c>
      <c r="C28" s="476" t="s">
        <v>423</v>
      </c>
      <c r="D28" s="476">
        <v>58.5</v>
      </c>
      <c r="E28" s="476">
        <v>24.5</v>
      </c>
    </row>
    <row r="29" spans="1:5" ht="12" customHeight="1" x14ac:dyDescent="0.25">
      <c r="A29" s="461" t="s">
        <v>418</v>
      </c>
      <c r="B29" s="476">
        <v>15.33</v>
      </c>
      <c r="C29" s="476">
        <v>14.5</v>
      </c>
      <c r="D29" s="476" t="s">
        <v>423</v>
      </c>
      <c r="E29" s="476">
        <v>18.5</v>
      </c>
    </row>
    <row r="30" spans="1:5" ht="12" customHeight="1" x14ac:dyDescent="0.25">
      <c r="A30" s="461" t="s">
        <v>190</v>
      </c>
      <c r="B30" s="476" t="s">
        <v>423</v>
      </c>
      <c r="C30" s="476" t="s">
        <v>423</v>
      </c>
      <c r="D30" s="476">
        <v>95</v>
      </c>
      <c r="E30" s="476" t="s">
        <v>423</v>
      </c>
    </row>
    <row r="31" spans="1:5" ht="12" customHeight="1" x14ac:dyDescent="0.2">
      <c r="A31" s="480" t="s">
        <v>6</v>
      </c>
      <c r="B31" s="475">
        <f t="shared" ref="B31:D31" si="4">AVERAGE(B32:B39)</f>
        <v>25.804999999999996</v>
      </c>
      <c r="C31" s="475">
        <f t="shared" si="4"/>
        <v>19.125</v>
      </c>
      <c r="D31" s="475">
        <f t="shared" si="4"/>
        <v>34.769999999999996</v>
      </c>
      <c r="E31" s="475" t="s">
        <v>4</v>
      </c>
    </row>
    <row r="32" spans="1:5" ht="12" customHeight="1" x14ac:dyDescent="0.2">
      <c r="A32" s="464" t="s">
        <v>13</v>
      </c>
      <c r="B32" s="476">
        <v>38</v>
      </c>
      <c r="C32" s="476" t="s">
        <v>423</v>
      </c>
      <c r="D32" s="476" t="s">
        <v>454</v>
      </c>
      <c r="E32" s="476" t="s">
        <v>423</v>
      </c>
    </row>
    <row r="33" spans="1:5" ht="12" customHeight="1" x14ac:dyDescent="0.2">
      <c r="A33" s="464" t="s">
        <v>8</v>
      </c>
      <c r="B33" s="476" t="s">
        <v>423</v>
      </c>
      <c r="C33" s="476" t="s">
        <v>423</v>
      </c>
      <c r="D33" s="476">
        <v>41.75</v>
      </c>
      <c r="E33" s="476" t="s">
        <v>423</v>
      </c>
    </row>
    <row r="34" spans="1:5" ht="12" customHeight="1" x14ac:dyDescent="0.2">
      <c r="A34" s="464" t="s">
        <v>7</v>
      </c>
      <c r="B34" s="476">
        <v>37.5</v>
      </c>
      <c r="C34" s="476">
        <v>32.5</v>
      </c>
      <c r="D34" s="476">
        <v>40</v>
      </c>
      <c r="E34" s="476" t="s">
        <v>423</v>
      </c>
    </row>
    <row r="35" spans="1:5" ht="12" customHeight="1" x14ac:dyDescent="0.2">
      <c r="A35" s="464" t="s">
        <v>11</v>
      </c>
      <c r="B35" s="476" t="s">
        <v>423</v>
      </c>
      <c r="C35" s="476">
        <v>18</v>
      </c>
      <c r="D35" s="476">
        <v>20.67</v>
      </c>
      <c r="E35" s="476" t="s">
        <v>423</v>
      </c>
    </row>
    <row r="36" spans="1:5" ht="12" customHeight="1" x14ac:dyDescent="0.2">
      <c r="A36" s="464" t="s">
        <v>9</v>
      </c>
      <c r="B36" s="476">
        <v>10</v>
      </c>
      <c r="C36" s="476">
        <v>10</v>
      </c>
      <c r="D36" s="476">
        <v>36.659999999999997</v>
      </c>
      <c r="E36" s="476" t="s">
        <v>423</v>
      </c>
    </row>
    <row r="37" spans="1:5" ht="12" customHeight="1" x14ac:dyDescent="0.2">
      <c r="A37" s="464" t="s">
        <v>485</v>
      </c>
      <c r="B37" s="476">
        <v>15</v>
      </c>
      <c r="C37" s="476" t="s">
        <v>423</v>
      </c>
      <c r="D37" s="476" t="s">
        <v>423</v>
      </c>
      <c r="E37" s="476" t="s">
        <v>423</v>
      </c>
    </row>
    <row r="38" spans="1:5" ht="12" customHeight="1" x14ac:dyDescent="0.2">
      <c r="A38" s="464" t="s">
        <v>79</v>
      </c>
      <c r="B38" s="476">
        <v>35</v>
      </c>
      <c r="C38" s="476" t="s">
        <v>423</v>
      </c>
      <c r="D38" s="476" t="s">
        <v>423</v>
      </c>
      <c r="E38" s="476" t="s">
        <v>423</v>
      </c>
    </row>
    <row r="39" spans="1:5" ht="12" customHeight="1" x14ac:dyDescent="0.2">
      <c r="A39" s="464" t="s">
        <v>92</v>
      </c>
      <c r="B39" s="476">
        <v>19.329999999999998</v>
      </c>
      <c r="C39" s="476">
        <v>16</v>
      </c>
      <c r="D39" s="476" t="s">
        <v>423</v>
      </c>
      <c r="E39" s="476" t="s">
        <v>423</v>
      </c>
    </row>
    <row r="40" spans="1:5" ht="12" customHeight="1" x14ac:dyDescent="0.2">
      <c r="A40" s="465" t="s">
        <v>15</v>
      </c>
      <c r="B40" s="475">
        <f t="shared" ref="B40:E40" si="5">AVERAGE(B41:B43)</f>
        <v>29.333333333333332</v>
      </c>
      <c r="C40" s="475">
        <f t="shared" si="5"/>
        <v>35</v>
      </c>
      <c r="D40" s="475">
        <f t="shared" si="5"/>
        <v>40</v>
      </c>
      <c r="E40" s="475">
        <f t="shared" si="5"/>
        <v>18.5</v>
      </c>
    </row>
    <row r="41" spans="1:5" ht="12" customHeight="1" x14ac:dyDescent="0.2">
      <c r="A41" s="464" t="s">
        <v>70</v>
      </c>
      <c r="B41" s="476">
        <v>18</v>
      </c>
      <c r="C41" s="476">
        <v>35</v>
      </c>
      <c r="D41" s="476" t="s">
        <v>423</v>
      </c>
      <c r="E41" s="476">
        <v>16.5</v>
      </c>
    </row>
    <row r="42" spans="1:5" ht="12" customHeight="1" x14ac:dyDescent="0.2">
      <c r="A42" s="464" t="s">
        <v>543</v>
      </c>
      <c r="B42" s="476">
        <v>20</v>
      </c>
      <c r="C42" s="476">
        <v>22</v>
      </c>
      <c r="D42" s="476">
        <v>25</v>
      </c>
      <c r="E42" s="476">
        <v>18</v>
      </c>
    </row>
    <row r="43" spans="1:5" ht="12" customHeight="1" x14ac:dyDescent="0.2">
      <c r="A43" s="464" t="s">
        <v>69</v>
      </c>
      <c r="B43" s="476">
        <v>50</v>
      </c>
      <c r="C43" s="476">
        <v>48</v>
      </c>
      <c r="D43" s="476">
        <v>55</v>
      </c>
      <c r="E43" s="476">
        <v>21</v>
      </c>
    </row>
    <row r="44" spans="1:5" ht="12" customHeight="1" x14ac:dyDescent="0.2">
      <c r="A44" s="465" t="s">
        <v>16</v>
      </c>
      <c r="B44" s="475">
        <f t="shared" ref="B44:D44" si="6">AVERAGE(B45:B49)</f>
        <v>25</v>
      </c>
      <c r="C44" s="475">
        <f t="shared" si="6"/>
        <v>25</v>
      </c>
      <c r="D44" s="475">
        <f t="shared" si="6"/>
        <v>41</v>
      </c>
      <c r="E44" s="475" t="s">
        <v>4</v>
      </c>
    </row>
    <row r="45" spans="1:5" ht="12" customHeight="1" x14ac:dyDescent="0.2">
      <c r="A45" s="464" t="s">
        <v>17</v>
      </c>
      <c r="B45" s="476">
        <v>14</v>
      </c>
      <c r="C45" s="476">
        <v>25</v>
      </c>
      <c r="D45" s="476" t="s">
        <v>423</v>
      </c>
      <c r="E45" s="476" t="s">
        <v>423</v>
      </c>
    </row>
    <row r="46" spans="1:5" ht="12" customHeight="1" x14ac:dyDescent="0.2">
      <c r="A46" s="464" t="s">
        <v>544</v>
      </c>
      <c r="B46" s="476">
        <v>15</v>
      </c>
      <c r="C46" s="476" t="s">
        <v>423</v>
      </c>
      <c r="D46" s="476" t="s">
        <v>423</v>
      </c>
      <c r="E46" s="476" t="s">
        <v>423</v>
      </c>
    </row>
    <row r="47" spans="1:5" ht="12" customHeight="1" x14ac:dyDescent="0.2">
      <c r="A47" s="464" t="s">
        <v>489</v>
      </c>
      <c r="B47" s="476">
        <v>27</v>
      </c>
      <c r="C47" s="476" t="s">
        <v>423</v>
      </c>
      <c r="D47" s="476" t="s">
        <v>423</v>
      </c>
      <c r="E47" s="476" t="s">
        <v>423</v>
      </c>
    </row>
    <row r="48" spans="1:5" ht="12" customHeight="1" x14ac:dyDescent="0.2">
      <c r="A48" s="464" t="s">
        <v>497</v>
      </c>
      <c r="B48" s="476">
        <v>31</v>
      </c>
      <c r="C48" s="476" t="s">
        <v>423</v>
      </c>
      <c r="D48" s="476">
        <v>41</v>
      </c>
      <c r="E48" s="476" t="s">
        <v>423</v>
      </c>
    </row>
    <row r="49" spans="1:5" ht="12" customHeight="1" x14ac:dyDescent="0.2">
      <c r="A49" s="464" t="s">
        <v>192</v>
      </c>
      <c r="B49" s="476">
        <v>38</v>
      </c>
      <c r="C49" s="476" t="s">
        <v>423</v>
      </c>
      <c r="D49" s="476" t="s">
        <v>423</v>
      </c>
      <c r="E49" s="476" t="s">
        <v>423</v>
      </c>
    </row>
    <row r="50" spans="1:5" ht="12" customHeight="1" x14ac:dyDescent="0.2">
      <c r="A50" s="465" t="s">
        <v>18</v>
      </c>
      <c r="B50" s="475">
        <f t="shared" ref="B50:E50" si="7">AVERAGE(B51:B58)</f>
        <v>15.445</v>
      </c>
      <c r="C50" s="475">
        <f t="shared" si="7"/>
        <v>17.763333333333332</v>
      </c>
      <c r="D50" s="475">
        <f t="shared" si="7"/>
        <v>28.27</v>
      </c>
      <c r="E50" s="475">
        <f t="shared" si="7"/>
        <v>19.9175</v>
      </c>
    </row>
    <row r="51" spans="1:5" ht="12" customHeight="1" x14ac:dyDescent="0.2">
      <c r="A51" s="464" t="s">
        <v>19</v>
      </c>
      <c r="B51" s="476" t="s">
        <v>423</v>
      </c>
      <c r="C51" s="476" t="s">
        <v>423</v>
      </c>
      <c r="D51" s="476">
        <v>32.5</v>
      </c>
      <c r="E51" s="476" t="s">
        <v>423</v>
      </c>
    </row>
    <row r="52" spans="1:5" ht="12" customHeight="1" x14ac:dyDescent="0.2">
      <c r="A52" s="464" t="s">
        <v>21</v>
      </c>
      <c r="B52" s="476">
        <v>18</v>
      </c>
      <c r="C52" s="476" t="s">
        <v>423</v>
      </c>
      <c r="D52" s="476">
        <v>26.33</v>
      </c>
      <c r="E52" s="476">
        <v>17.670000000000002</v>
      </c>
    </row>
    <row r="53" spans="1:5" ht="12" customHeight="1" x14ac:dyDescent="0.2">
      <c r="A53" s="464" t="s">
        <v>20</v>
      </c>
      <c r="B53" s="476">
        <v>20</v>
      </c>
      <c r="C53" s="476">
        <v>33.75</v>
      </c>
      <c r="D53" s="476" t="s">
        <v>423</v>
      </c>
      <c r="E53" s="476" t="s">
        <v>423</v>
      </c>
    </row>
    <row r="54" spans="1:5" ht="12" customHeight="1" x14ac:dyDescent="0.2">
      <c r="A54" s="464" t="s">
        <v>63</v>
      </c>
      <c r="B54" s="476">
        <v>10</v>
      </c>
      <c r="C54" s="476">
        <v>12</v>
      </c>
      <c r="D54" s="476" t="s">
        <v>423</v>
      </c>
      <c r="E54" s="476" t="s">
        <v>423</v>
      </c>
    </row>
    <row r="55" spans="1:5" ht="12" customHeight="1" x14ac:dyDescent="0.2">
      <c r="A55" s="464" t="s">
        <v>62</v>
      </c>
      <c r="B55" s="476">
        <v>15</v>
      </c>
      <c r="C55" s="476">
        <v>15</v>
      </c>
      <c r="D55" s="476" t="s">
        <v>423</v>
      </c>
      <c r="E55" s="476">
        <v>20</v>
      </c>
    </row>
    <row r="56" spans="1:5" ht="12" customHeight="1" x14ac:dyDescent="0.2">
      <c r="A56" s="464" t="s">
        <v>80</v>
      </c>
      <c r="B56" s="476">
        <v>17.670000000000002</v>
      </c>
      <c r="C56" s="476">
        <v>12.5</v>
      </c>
      <c r="D56" s="476">
        <v>21.5</v>
      </c>
      <c r="E56" s="476">
        <v>26</v>
      </c>
    </row>
    <row r="57" spans="1:5" ht="12" customHeight="1" x14ac:dyDescent="0.2">
      <c r="A57" s="464" t="s">
        <v>22</v>
      </c>
      <c r="B57" s="476" t="s">
        <v>423</v>
      </c>
      <c r="C57" s="476">
        <v>21.33</v>
      </c>
      <c r="D57" s="476">
        <v>32.75</v>
      </c>
      <c r="E57" s="476" t="s">
        <v>423</v>
      </c>
    </row>
    <row r="58" spans="1:5" ht="12" customHeight="1" x14ac:dyDescent="0.2">
      <c r="A58" s="464" t="s">
        <v>23</v>
      </c>
      <c r="B58" s="476">
        <v>12</v>
      </c>
      <c r="C58" s="476">
        <v>12</v>
      </c>
      <c r="D58" s="476" t="s">
        <v>423</v>
      </c>
      <c r="E58" s="476">
        <v>16</v>
      </c>
    </row>
    <row r="59" spans="1:5" ht="15.75" customHeight="1" x14ac:dyDescent="0.25">
      <c r="A59" s="494"/>
      <c r="B59" s="495"/>
      <c r="C59" s="495"/>
      <c r="D59" s="495"/>
      <c r="E59" s="496" t="s">
        <v>26</v>
      </c>
    </row>
    <row r="60" spans="1:5" ht="15.75" customHeight="1" x14ac:dyDescent="0.25">
      <c r="A60" s="497" t="s">
        <v>589</v>
      </c>
      <c r="B60" s="498"/>
      <c r="C60" s="498"/>
      <c r="D60" s="499"/>
      <c r="E60" s="500"/>
    </row>
    <row r="61" spans="1:5" ht="24" customHeight="1" x14ac:dyDescent="0.2">
      <c r="A61" s="455" t="s">
        <v>0</v>
      </c>
      <c r="B61" s="492" t="s">
        <v>450</v>
      </c>
      <c r="C61" s="492" t="s">
        <v>451</v>
      </c>
      <c r="D61" s="492" t="s">
        <v>452</v>
      </c>
      <c r="E61" s="618" t="s">
        <v>453</v>
      </c>
    </row>
    <row r="62" spans="1:5" ht="5.25" customHeight="1" x14ac:dyDescent="0.2">
      <c r="A62" s="483"/>
      <c r="B62" s="482"/>
      <c r="C62" s="482"/>
      <c r="D62" s="482"/>
      <c r="E62" s="482"/>
    </row>
    <row r="63" spans="1:5" ht="12" customHeight="1" x14ac:dyDescent="0.2">
      <c r="A63" s="480" t="s">
        <v>25</v>
      </c>
      <c r="B63" s="475" t="s">
        <v>4</v>
      </c>
      <c r="C63" s="475" t="s">
        <v>4</v>
      </c>
      <c r="D63" s="475">
        <f t="shared" ref="D63:E63" si="8">AVERAGE(D64:D65)</f>
        <v>35.674999999999997</v>
      </c>
      <c r="E63" s="475">
        <f t="shared" si="8"/>
        <v>28</v>
      </c>
    </row>
    <row r="64" spans="1:5" ht="12" customHeight="1" x14ac:dyDescent="0.2">
      <c r="A64" s="464" t="s">
        <v>53</v>
      </c>
      <c r="B64" s="476" t="s">
        <v>423</v>
      </c>
      <c r="C64" s="476" t="s">
        <v>423</v>
      </c>
      <c r="D64" s="476">
        <v>43.35</v>
      </c>
      <c r="E64" s="476">
        <v>28</v>
      </c>
    </row>
    <row r="65" spans="1:5" ht="12" customHeight="1" x14ac:dyDescent="0.2">
      <c r="A65" s="464" t="s">
        <v>58</v>
      </c>
      <c r="B65" s="476" t="s">
        <v>423</v>
      </c>
      <c r="C65" s="476" t="s">
        <v>423</v>
      </c>
      <c r="D65" s="476">
        <v>28</v>
      </c>
      <c r="E65" s="476">
        <v>28</v>
      </c>
    </row>
    <row r="66" spans="1:5" ht="12" customHeight="1" x14ac:dyDescent="0.2">
      <c r="A66" s="480" t="s">
        <v>81</v>
      </c>
      <c r="B66" s="475" t="s">
        <v>4</v>
      </c>
      <c r="C66" s="475" t="s">
        <v>4</v>
      </c>
      <c r="D66" s="475" t="s">
        <v>4</v>
      </c>
      <c r="E66" s="475">
        <v>25</v>
      </c>
    </row>
    <row r="67" spans="1:5" ht="12" customHeight="1" x14ac:dyDescent="0.2">
      <c r="A67" s="464" t="s">
        <v>88</v>
      </c>
      <c r="B67" s="476" t="s">
        <v>423</v>
      </c>
      <c r="C67" s="476" t="s">
        <v>423</v>
      </c>
      <c r="D67" s="476" t="s">
        <v>423</v>
      </c>
      <c r="E67" s="476">
        <v>25</v>
      </c>
    </row>
    <row r="68" spans="1:5" ht="12" customHeight="1" x14ac:dyDescent="0.2">
      <c r="A68" s="480" t="s">
        <v>86</v>
      </c>
      <c r="B68" s="475">
        <f t="shared" ref="B68:E68" si="9">AVERAGE(B69:B79)</f>
        <v>20.285714285714285</v>
      </c>
      <c r="C68" s="475">
        <f t="shared" si="9"/>
        <v>19.223333333333333</v>
      </c>
      <c r="D68" s="475">
        <f t="shared" si="9"/>
        <v>33.666666666666664</v>
      </c>
      <c r="E68" s="475">
        <f t="shared" si="9"/>
        <v>21.65625</v>
      </c>
    </row>
    <row r="69" spans="1:5" ht="12" customHeight="1" x14ac:dyDescent="0.2">
      <c r="A69" s="464" t="s">
        <v>28</v>
      </c>
      <c r="B69" s="476">
        <v>22</v>
      </c>
      <c r="C69" s="476" t="s">
        <v>423</v>
      </c>
      <c r="D69" s="476" t="s">
        <v>423</v>
      </c>
      <c r="E69" s="476">
        <v>34</v>
      </c>
    </row>
    <row r="70" spans="1:5" ht="12" customHeight="1" x14ac:dyDescent="0.2">
      <c r="A70" s="464" t="s">
        <v>29</v>
      </c>
      <c r="B70" s="476" t="s">
        <v>423</v>
      </c>
      <c r="C70" s="476" t="s">
        <v>423</v>
      </c>
      <c r="D70" s="476">
        <v>30</v>
      </c>
      <c r="E70" s="476" t="s">
        <v>423</v>
      </c>
    </row>
    <row r="71" spans="1:5" ht="12" customHeight="1" x14ac:dyDescent="0.2">
      <c r="A71" s="464" t="s">
        <v>30</v>
      </c>
      <c r="B71" s="476" t="s">
        <v>423</v>
      </c>
      <c r="C71" s="476" t="s">
        <v>423</v>
      </c>
      <c r="D71" s="476">
        <v>38</v>
      </c>
      <c r="E71" s="476">
        <v>22.75</v>
      </c>
    </row>
    <row r="72" spans="1:5" ht="12" customHeight="1" x14ac:dyDescent="0.2">
      <c r="A72" s="464" t="s">
        <v>31</v>
      </c>
      <c r="B72" s="476">
        <v>20</v>
      </c>
      <c r="C72" s="476">
        <v>18</v>
      </c>
      <c r="D72" s="476" t="s">
        <v>423</v>
      </c>
      <c r="E72" s="476">
        <v>19.329999999999998</v>
      </c>
    </row>
    <row r="73" spans="1:5" ht="12" customHeight="1" x14ac:dyDescent="0.2">
      <c r="A73" s="464" t="s">
        <v>83</v>
      </c>
      <c r="B73" s="476">
        <v>20</v>
      </c>
      <c r="C73" s="476">
        <v>18</v>
      </c>
      <c r="D73" s="476" t="s">
        <v>454</v>
      </c>
      <c r="E73" s="476">
        <v>20</v>
      </c>
    </row>
    <row r="74" spans="1:5" ht="12" customHeight="1" x14ac:dyDescent="0.2">
      <c r="A74" s="464" t="s">
        <v>64</v>
      </c>
      <c r="B74" s="476">
        <v>20</v>
      </c>
      <c r="C74" s="476">
        <v>21.67</v>
      </c>
      <c r="D74" s="476" t="s">
        <v>454</v>
      </c>
      <c r="E74" s="476" t="s">
        <v>454</v>
      </c>
    </row>
    <row r="75" spans="1:5" ht="12" customHeight="1" x14ac:dyDescent="0.2">
      <c r="A75" s="464" t="s">
        <v>82</v>
      </c>
      <c r="B75" s="476">
        <v>28</v>
      </c>
      <c r="C75" s="476" t="s">
        <v>423</v>
      </c>
      <c r="D75" s="476" t="s">
        <v>454</v>
      </c>
      <c r="E75" s="476" t="s">
        <v>423</v>
      </c>
    </row>
    <row r="76" spans="1:5" ht="12" customHeight="1" x14ac:dyDescent="0.2">
      <c r="A76" s="464" t="s">
        <v>32</v>
      </c>
      <c r="B76" s="476" t="s">
        <v>423</v>
      </c>
      <c r="C76" s="476" t="s">
        <v>423</v>
      </c>
      <c r="D76" s="476" t="s">
        <v>454</v>
      </c>
      <c r="E76" s="476">
        <v>21</v>
      </c>
    </row>
    <row r="77" spans="1:5" ht="12" customHeight="1" x14ac:dyDescent="0.2">
      <c r="A77" s="464" t="s">
        <v>33</v>
      </c>
      <c r="B77" s="476">
        <v>14</v>
      </c>
      <c r="C77" s="476" t="s">
        <v>423</v>
      </c>
      <c r="D77" s="476" t="s">
        <v>454</v>
      </c>
      <c r="E77" s="476">
        <v>17.5</v>
      </c>
    </row>
    <row r="78" spans="1:5" ht="12" customHeight="1" x14ac:dyDescent="0.2">
      <c r="A78" s="464" t="s">
        <v>34</v>
      </c>
      <c r="B78" s="476">
        <v>18</v>
      </c>
      <c r="C78" s="476" t="s">
        <v>423</v>
      </c>
      <c r="D78" s="476">
        <v>33</v>
      </c>
      <c r="E78" s="476">
        <v>17.670000000000002</v>
      </c>
    </row>
    <row r="79" spans="1:5" ht="12" customHeight="1" x14ac:dyDescent="0.2">
      <c r="A79" s="464" t="s">
        <v>66</v>
      </c>
      <c r="B79" s="476" t="s">
        <v>454</v>
      </c>
      <c r="C79" s="476" t="s">
        <v>423</v>
      </c>
      <c r="D79" s="476" t="s">
        <v>423</v>
      </c>
      <c r="E79" s="476">
        <v>21</v>
      </c>
    </row>
    <row r="80" spans="1:5" ht="12" customHeight="1" x14ac:dyDescent="0.2">
      <c r="A80" s="480" t="s">
        <v>35</v>
      </c>
      <c r="B80" s="475">
        <f>AVERAGE(B81:B83)</f>
        <v>17.5</v>
      </c>
      <c r="C80" s="475" t="s">
        <v>4</v>
      </c>
      <c r="D80" s="475">
        <f t="shared" ref="D80:E80" si="10">AVERAGE(D81:D83)</f>
        <v>35.276666666666664</v>
      </c>
      <c r="E80" s="475">
        <f t="shared" si="10"/>
        <v>17</v>
      </c>
    </row>
    <row r="81" spans="1:5" ht="12" customHeight="1" x14ac:dyDescent="0.2">
      <c r="A81" s="464" t="s">
        <v>36</v>
      </c>
      <c r="B81" s="476">
        <v>15.5</v>
      </c>
      <c r="C81" s="476" t="s">
        <v>423</v>
      </c>
      <c r="D81" s="476">
        <v>33.33</v>
      </c>
      <c r="E81" s="476">
        <v>15.5</v>
      </c>
    </row>
    <row r="82" spans="1:5" ht="12" customHeight="1" x14ac:dyDescent="0.2">
      <c r="A82" s="464" t="s">
        <v>38</v>
      </c>
      <c r="B82" s="476">
        <v>17</v>
      </c>
      <c r="C82" s="476" t="s">
        <v>423</v>
      </c>
      <c r="D82" s="476">
        <v>35.5</v>
      </c>
      <c r="E82" s="476">
        <v>17</v>
      </c>
    </row>
    <row r="83" spans="1:5" ht="12" customHeight="1" x14ac:dyDescent="0.2">
      <c r="A83" s="464" t="s">
        <v>37</v>
      </c>
      <c r="B83" s="476">
        <v>20</v>
      </c>
      <c r="C83" s="476" t="s">
        <v>423</v>
      </c>
      <c r="D83" s="476">
        <v>37</v>
      </c>
      <c r="E83" s="476">
        <v>18.5</v>
      </c>
    </row>
    <row r="84" spans="1:5" ht="12" customHeight="1" x14ac:dyDescent="0.2">
      <c r="A84" s="480" t="s">
        <v>189</v>
      </c>
      <c r="B84" s="475" t="s">
        <v>4</v>
      </c>
      <c r="C84" s="475" t="s">
        <v>4</v>
      </c>
      <c r="D84" s="475">
        <v>41</v>
      </c>
      <c r="E84" s="475">
        <v>26</v>
      </c>
    </row>
    <row r="85" spans="1:5" ht="12" customHeight="1" x14ac:dyDescent="0.2">
      <c r="A85" s="480" t="s">
        <v>194</v>
      </c>
      <c r="B85" s="475">
        <v>14.33</v>
      </c>
      <c r="C85" s="475">
        <v>15</v>
      </c>
      <c r="D85" s="475">
        <v>35</v>
      </c>
      <c r="E85" s="475">
        <v>20</v>
      </c>
    </row>
    <row r="86" spans="1:5" ht="12" customHeight="1" x14ac:dyDescent="0.2">
      <c r="A86" s="464" t="s">
        <v>197</v>
      </c>
      <c r="B86" s="476">
        <v>14.33</v>
      </c>
      <c r="C86" s="476">
        <v>15</v>
      </c>
      <c r="D86" s="476">
        <v>35</v>
      </c>
      <c r="E86" s="476">
        <v>20</v>
      </c>
    </row>
    <row r="87" spans="1:5" ht="12" customHeight="1" x14ac:dyDescent="0.2">
      <c r="A87" s="465" t="s">
        <v>39</v>
      </c>
      <c r="B87" s="475">
        <f>AVERAGE(B88:B90)</f>
        <v>21.7</v>
      </c>
      <c r="C87" s="475" t="s">
        <v>4</v>
      </c>
      <c r="D87" s="475">
        <f t="shared" ref="D87:E87" si="11">AVERAGE(D88:D90)</f>
        <v>33.32</v>
      </c>
      <c r="E87" s="475">
        <f t="shared" si="11"/>
        <v>23.15</v>
      </c>
    </row>
    <row r="88" spans="1:5" ht="12" customHeight="1" x14ac:dyDescent="0.2">
      <c r="A88" s="464" t="s">
        <v>41</v>
      </c>
      <c r="B88" s="476">
        <v>28.4</v>
      </c>
      <c r="C88" s="476" t="s">
        <v>423</v>
      </c>
      <c r="D88" s="476">
        <v>32</v>
      </c>
      <c r="E88" s="476">
        <v>26.8</v>
      </c>
    </row>
    <row r="89" spans="1:5" ht="12" customHeight="1" x14ac:dyDescent="0.2">
      <c r="A89" s="464" t="s">
        <v>40</v>
      </c>
      <c r="B89" s="476" t="s">
        <v>423</v>
      </c>
      <c r="C89" s="476" t="s">
        <v>423</v>
      </c>
      <c r="D89" s="476">
        <v>34.64</v>
      </c>
      <c r="E89" s="476">
        <v>19.5</v>
      </c>
    </row>
    <row r="90" spans="1:5" ht="12" customHeight="1" x14ac:dyDescent="0.2">
      <c r="A90" s="464" t="s">
        <v>415</v>
      </c>
      <c r="B90" s="476">
        <v>15</v>
      </c>
      <c r="C90" s="476" t="s">
        <v>423</v>
      </c>
      <c r="D90" s="476" t="s">
        <v>423</v>
      </c>
      <c r="E90" s="476" t="s">
        <v>423</v>
      </c>
    </row>
    <row r="91" spans="1:5" ht="12" customHeight="1" x14ac:dyDescent="0.2">
      <c r="A91" s="465" t="s">
        <v>42</v>
      </c>
      <c r="B91" s="475">
        <f t="shared" ref="B91:E91" si="12">AVERAGE(B92:B96)</f>
        <v>21.25</v>
      </c>
      <c r="C91" s="475">
        <f t="shared" si="12"/>
        <v>23.2925</v>
      </c>
      <c r="D91" s="475">
        <f t="shared" si="12"/>
        <v>30</v>
      </c>
      <c r="E91" s="475">
        <f t="shared" si="12"/>
        <v>21.776666666666667</v>
      </c>
    </row>
    <row r="92" spans="1:5" ht="12" customHeight="1" x14ac:dyDescent="0.2">
      <c r="A92" s="464" t="s">
        <v>45</v>
      </c>
      <c r="B92" s="476">
        <v>26.67</v>
      </c>
      <c r="C92" s="476">
        <v>28.67</v>
      </c>
      <c r="D92" s="476" t="s">
        <v>423</v>
      </c>
      <c r="E92" s="476">
        <v>26.33</v>
      </c>
    </row>
    <row r="93" spans="1:5" ht="12" customHeight="1" x14ac:dyDescent="0.2">
      <c r="A93" s="464" t="s">
        <v>427</v>
      </c>
      <c r="B93" s="476" t="s">
        <v>423</v>
      </c>
      <c r="C93" s="476" t="s">
        <v>423</v>
      </c>
      <c r="D93" s="476">
        <v>35</v>
      </c>
      <c r="E93" s="476" t="s">
        <v>423</v>
      </c>
    </row>
    <row r="94" spans="1:5" ht="12" customHeight="1" x14ac:dyDescent="0.2">
      <c r="A94" s="464" t="s">
        <v>416</v>
      </c>
      <c r="B94" s="476">
        <v>20</v>
      </c>
      <c r="C94" s="476">
        <v>17</v>
      </c>
      <c r="D94" s="476">
        <v>25</v>
      </c>
      <c r="E94" s="476">
        <v>21</v>
      </c>
    </row>
    <row r="95" spans="1:5" ht="12" customHeight="1" x14ac:dyDescent="0.2">
      <c r="A95" s="464" t="s">
        <v>44</v>
      </c>
      <c r="B95" s="476">
        <v>25</v>
      </c>
      <c r="C95" s="476">
        <v>25</v>
      </c>
      <c r="D95" s="476" t="s">
        <v>423</v>
      </c>
      <c r="E95" s="476" t="s">
        <v>423</v>
      </c>
    </row>
    <row r="96" spans="1:5" ht="12" customHeight="1" x14ac:dyDescent="0.2">
      <c r="A96" s="464" t="s">
        <v>43</v>
      </c>
      <c r="B96" s="476">
        <v>13.33</v>
      </c>
      <c r="C96" s="476">
        <v>22.5</v>
      </c>
      <c r="D96" s="476" t="s">
        <v>423</v>
      </c>
      <c r="E96" s="476">
        <v>18</v>
      </c>
    </row>
    <row r="97" spans="1:5" ht="12" customHeight="1" x14ac:dyDescent="0.2">
      <c r="A97" s="465" t="s">
        <v>198</v>
      </c>
      <c r="B97" s="475">
        <f t="shared" ref="B97:C97" si="13">AVERAGE(B98:B102)</f>
        <v>12.875</v>
      </c>
      <c r="C97" s="475">
        <f t="shared" si="13"/>
        <v>16</v>
      </c>
      <c r="D97" s="475" t="s">
        <v>4</v>
      </c>
      <c r="E97" s="475">
        <f>AVERAGE(E98:E102)</f>
        <v>20.5</v>
      </c>
    </row>
    <row r="98" spans="1:5" ht="12" customHeight="1" x14ac:dyDescent="0.2">
      <c r="A98" s="464" t="s">
        <v>201</v>
      </c>
      <c r="B98" s="476" t="s">
        <v>423</v>
      </c>
      <c r="C98" s="476">
        <v>25.5</v>
      </c>
      <c r="D98" s="476" t="s">
        <v>423</v>
      </c>
      <c r="E98" s="476" t="s">
        <v>423</v>
      </c>
    </row>
    <row r="99" spans="1:5" ht="12" customHeight="1" x14ac:dyDescent="0.2">
      <c r="A99" s="464" t="s">
        <v>200</v>
      </c>
      <c r="B99" s="476">
        <v>10</v>
      </c>
      <c r="C99" s="476">
        <v>12</v>
      </c>
      <c r="D99" s="476" t="s">
        <v>423</v>
      </c>
      <c r="E99" s="476">
        <v>20</v>
      </c>
    </row>
    <row r="100" spans="1:5" ht="12" customHeight="1" x14ac:dyDescent="0.2">
      <c r="A100" s="464" t="s">
        <v>65</v>
      </c>
      <c r="B100" s="476">
        <v>20.5</v>
      </c>
      <c r="C100" s="476" t="s">
        <v>423</v>
      </c>
      <c r="D100" s="476" t="s">
        <v>423</v>
      </c>
      <c r="E100" s="476">
        <v>21</v>
      </c>
    </row>
    <row r="101" spans="1:5" ht="12" customHeight="1" x14ac:dyDescent="0.2">
      <c r="A101" s="464" t="s">
        <v>199</v>
      </c>
      <c r="B101" s="476">
        <v>11</v>
      </c>
      <c r="C101" s="476">
        <v>10.5</v>
      </c>
      <c r="D101" s="476" t="s">
        <v>423</v>
      </c>
      <c r="E101" s="476" t="s">
        <v>423</v>
      </c>
    </row>
    <row r="102" spans="1:5" ht="12" customHeight="1" x14ac:dyDescent="0.2">
      <c r="A102" s="464" t="s">
        <v>206</v>
      </c>
      <c r="B102" s="476">
        <v>10</v>
      </c>
      <c r="C102" s="476" t="s">
        <v>423</v>
      </c>
      <c r="D102" s="476" t="s">
        <v>423</v>
      </c>
      <c r="E102" s="476" t="s">
        <v>423</v>
      </c>
    </row>
    <row r="103" spans="1:5" ht="12" customHeight="1" x14ac:dyDescent="0.2">
      <c r="A103" s="465" t="s">
        <v>84</v>
      </c>
      <c r="B103" s="475">
        <f t="shared" ref="B103:C103" si="14">AVERAGE(B104:B105)</f>
        <v>10</v>
      </c>
      <c r="C103" s="475">
        <f t="shared" si="14"/>
        <v>10</v>
      </c>
      <c r="D103" s="475" t="s">
        <v>4</v>
      </c>
      <c r="E103" s="475" t="s">
        <v>4</v>
      </c>
    </row>
    <row r="104" spans="1:5" ht="12" customHeight="1" x14ac:dyDescent="0.2">
      <c r="A104" s="464" t="s">
        <v>59</v>
      </c>
      <c r="B104" s="476">
        <v>10</v>
      </c>
      <c r="C104" s="476">
        <v>10</v>
      </c>
      <c r="D104" s="476" t="s">
        <v>423</v>
      </c>
      <c r="E104" s="476" t="s">
        <v>423</v>
      </c>
    </row>
    <row r="105" spans="1:5" ht="12" customHeight="1" x14ac:dyDescent="0.2">
      <c r="A105" s="464" t="s">
        <v>499</v>
      </c>
      <c r="B105" s="476">
        <v>10</v>
      </c>
      <c r="C105" s="476" t="s">
        <v>423</v>
      </c>
      <c r="D105" s="476" t="s">
        <v>423</v>
      </c>
      <c r="E105" s="476" t="s">
        <v>423</v>
      </c>
    </row>
    <row r="106" spans="1:5" ht="12" customHeight="1" x14ac:dyDescent="0.2">
      <c r="A106" s="465" t="s">
        <v>89</v>
      </c>
      <c r="B106" s="475" t="s">
        <v>4</v>
      </c>
      <c r="C106" s="475" t="s">
        <v>4</v>
      </c>
      <c r="D106" s="475">
        <f t="shared" ref="D106:E106" si="15">AVERAGE(D107:D108)</f>
        <v>35</v>
      </c>
      <c r="E106" s="475">
        <f t="shared" si="15"/>
        <v>25.5</v>
      </c>
    </row>
    <row r="107" spans="1:5" ht="12" customHeight="1" x14ac:dyDescent="0.2">
      <c r="A107" s="464" t="s">
        <v>90</v>
      </c>
      <c r="B107" s="476" t="s">
        <v>423</v>
      </c>
      <c r="C107" s="476">
        <v>15</v>
      </c>
      <c r="D107" s="476">
        <v>35</v>
      </c>
      <c r="E107" s="476">
        <v>23</v>
      </c>
    </row>
    <row r="108" spans="1:5" ht="12" customHeight="1" x14ac:dyDescent="0.2">
      <c r="A108" s="464" t="s">
        <v>466</v>
      </c>
      <c r="B108" s="476" t="s">
        <v>423</v>
      </c>
      <c r="C108" s="476" t="s">
        <v>423</v>
      </c>
      <c r="D108" s="476" t="s">
        <v>423</v>
      </c>
      <c r="E108" s="476">
        <v>28</v>
      </c>
    </row>
    <row r="109" spans="1:5" ht="12" customHeight="1" x14ac:dyDescent="0.2">
      <c r="A109" s="465" t="s">
        <v>71</v>
      </c>
      <c r="B109" s="475">
        <f t="shared" ref="B109:D109" si="16">AVERAGE(B110:B112)</f>
        <v>26.666666666666668</v>
      </c>
      <c r="C109" s="475">
        <f t="shared" si="16"/>
        <v>31.5</v>
      </c>
      <c r="D109" s="475">
        <f t="shared" si="16"/>
        <v>47.5</v>
      </c>
      <c r="E109" s="475" t="s">
        <v>4</v>
      </c>
    </row>
    <row r="110" spans="1:5" ht="12" customHeight="1" x14ac:dyDescent="0.2">
      <c r="A110" s="464" t="s">
        <v>72</v>
      </c>
      <c r="B110" s="476">
        <v>25</v>
      </c>
      <c r="C110" s="476">
        <v>24.5</v>
      </c>
      <c r="D110" s="476">
        <v>47.5</v>
      </c>
      <c r="E110" s="476" t="s">
        <v>423</v>
      </c>
    </row>
    <row r="111" spans="1:5" ht="12" customHeight="1" x14ac:dyDescent="0.2">
      <c r="A111" s="464" t="s">
        <v>73</v>
      </c>
      <c r="B111" s="476">
        <v>30</v>
      </c>
      <c r="C111" s="476">
        <v>45</v>
      </c>
      <c r="D111" s="476" t="s">
        <v>423</v>
      </c>
      <c r="E111" s="476" t="s">
        <v>423</v>
      </c>
    </row>
    <row r="112" spans="1:5" ht="12" customHeight="1" x14ac:dyDescent="0.2">
      <c r="A112" s="464" t="s">
        <v>74</v>
      </c>
      <c r="B112" s="476">
        <v>25</v>
      </c>
      <c r="C112" s="476">
        <v>25</v>
      </c>
      <c r="D112" s="476" t="s">
        <v>423</v>
      </c>
      <c r="E112" s="476" t="s">
        <v>423</v>
      </c>
    </row>
    <row r="113" spans="1:5" ht="12" customHeight="1" x14ac:dyDescent="0.2">
      <c r="A113" s="465" t="s">
        <v>46</v>
      </c>
      <c r="B113" s="475" t="s">
        <v>4</v>
      </c>
      <c r="C113" s="475" t="s">
        <v>4</v>
      </c>
      <c r="D113" s="475">
        <f>AVERAGE(D114)</f>
        <v>62.5</v>
      </c>
      <c r="E113" s="475" t="s">
        <v>4</v>
      </c>
    </row>
    <row r="114" spans="1:5" ht="12" customHeight="1" x14ac:dyDescent="0.2">
      <c r="A114" s="473" t="s">
        <v>47</v>
      </c>
      <c r="B114" s="476" t="s">
        <v>423</v>
      </c>
      <c r="C114" s="476" t="s">
        <v>423</v>
      </c>
      <c r="D114" s="476">
        <v>62.5</v>
      </c>
      <c r="E114" s="476" t="s">
        <v>423</v>
      </c>
    </row>
    <row r="115" spans="1:5" ht="9" customHeight="1" x14ac:dyDescent="0.2">
      <c r="A115" s="538" t="s">
        <v>87</v>
      </c>
      <c r="B115" s="541"/>
      <c r="C115" s="541"/>
      <c r="D115" s="541"/>
      <c r="E115" s="541"/>
    </row>
    <row r="116" spans="1:5" ht="9" customHeight="1" x14ac:dyDescent="0.2">
      <c r="A116" s="538" t="s">
        <v>67</v>
      </c>
      <c r="B116" s="548"/>
      <c r="C116" s="548"/>
      <c r="D116" s="548"/>
      <c r="E116" s="549"/>
    </row>
    <row r="117" spans="1:5" ht="9" customHeight="1" x14ac:dyDescent="0.2">
      <c r="A117" s="539" t="s">
        <v>68</v>
      </c>
      <c r="B117" s="498"/>
      <c r="C117" s="498"/>
      <c r="D117" s="498"/>
      <c r="E117" s="498"/>
    </row>
    <row r="118" spans="1:5" ht="15.75" customHeight="1" x14ac:dyDescent="0.2">
      <c r="A118" s="498"/>
      <c r="B118" s="498"/>
      <c r="C118" s="498"/>
      <c r="D118" s="498"/>
      <c r="E118" s="498"/>
    </row>
    <row r="119" spans="1:5" ht="15.75" customHeight="1" x14ac:dyDescent="0.2"/>
    <row r="120" spans="1:5" ht="15.75" customHeight="1" x14ac:dyDescent="0.2"/>
    <row r="121" spans="1:5" ht="15.75" customHeight="1" x14ac:dyDescent="0.2"/>
    <row r="122" spans="1:5" ht="15.75" customHeight="1" x14ac:dyDescent="0.2"/>
    <row r="123" spans="1:5" ht="15.75" customHeight="1" x14ac:dyDescent="0.2"/>
    <row r="124" spans="1:5" ht="15.75" customHeight="1" x14ac:dyDescent="0.2"/>
    <row r="125" spans="1:5" ht="15.75" customHeight="1" x14ac:dyDescent="0.2"/>
    <row r="126" spans="1:5" ht="15.75" customHeight="1" x14ac:dyDescent="0.2"/>
    <row r="127" spans="1:5" ht="15.75" customHeight="1" x14ac:dyDescent="0.2"/>
    <row r="128" spans="1:5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</sheetData>
  <pageMargins left="0.27559055118110237" right="0.27559055118110237" top="0.39370078740157483" bottom="0.39370078740157483" header="0" footer="0"/>
  <pageSetup paperSize="9"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Z638"/>
  <sheetViews>
    <sheetView showGridLines="0" zoomScaleNormal="100" workbookViewId="0">
      <pane ySplit="4" topLeftCell="A57" activePane="bottomLeft" state="frozen"/>
      <selection sqref="A1:XFD1048576"/>
      <selection pane="bottomLeft" activeCell="A51" sqref="A51:F100"/>
    </sheetView>
  </sheetViews>
  <sheetFormatPr baseColWidth="10" defaultColWidth="12.42578125" defaultRowHeight="15" customHeight="1" x14ac:dyDescent="0.2"/>
  <cols>
    <col min="1" max="1" width="16" style="636" customWidth="1"/>
    <col min="2" max="5" width="11.85546875" style="636" customWidth="1"/>
    <col min="6" max="25" width="11.42578125" style="636" customWidth="1"/>
    <col min="26" max="16384" width="12.42578125" style="636"/>
  </cols>
  <sheetData>
    <row r="1" spans="1:26" ht="12.75" customHeight="1" x14ac:dyDescent="0.25">
      <c r="A1" s="634" t="s">
        <v>436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</row>
    <row r="2" spans="1:26" ht="12" customHeight="1" x14ac:dyDescent="0.2">
      <c r="A2" s="550" t="s">
        <v>590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</row>
    <row r="3" spans="1:26" ht="12" customHeight="1" x14ac:dyDescent="0.2">
      <c r="A3" s="550" t="s">
        <v>437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</row>
    <row r="4" spans="1:26" ht="4.5" customHeight="1" x14ac:dyDescent="0.25">
      <c r="A4" s="637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  <c r="W4" s="635"/>
      <c r="X4" s="635"/>
      <c r="Y4" s="635"/>
      <c r="Z4" s="635"/>
    </row>
    <row r="5" spans="1:26" ht="24" customHeight="1" x14ac:dyDescent="0.2">
      <c r="A5" s="455" t="s">
        <v>0</v>
      </c>
      <c r="B5" s="492" t="s">
        <v>438</v>
      </c>
      <c r="C5" s="492" t="s">
        <v>439</v>
      </c>
      <c r="D5" s="492" t="s">
        <v>440</v>
      </c>
      <c r="E5" s="456" t="s">
        <v>591</v>
      </c>
      <c r="F5" s="498"/>
    </row>
    <row r="6" spans="1:26" ht="4.5" customHeight="1" x14ac:dyDescent="0.2">
      <c r="A6" s="457"/>
      <c r="B6" s="457"/>
      <c r="C6" s="457"/>
      <c r="D6" s="457"/>
      <c r="E6" s="457"/>
      <c r="F6" s="498"/>
    </row>
    <row r="7" spans="1:26" ht="12.95" customHeight="1" x14ac:dyDescent="0.25">
      <c r="A7" s="459" t="s">
        <v>490</v>
      </c>
      <c r="B7" s="475">
        <f t="shared" ref="B7:D7" si="0">AVERAGE(B8:B11)</f>
        <v>14.166666666666666</v>
      </c>
      <c r="C7" s="475">
        <f t="shared" si="0"/>
        <v>38.333333333333336</v>
      </c>
      <c r="D7" s="475">
        <f t="shared" si="0"/>
        <v>40.625</v>
      </c>
      <c r="E7" s="475" t="s">
        <v>4</v>
      </c>
      <c r="F7" s="501"/>
    </row>
    <row r="8" spans="1:26" ht="12.95" customHeight="1" x14ac:dyDescent="0.25">
      <c r="A8" s="461" t="s">
        <v>493</v>
      </c>
      <c r="B8" s="476">
        <v>10.5</v>
      </c>
      <c r="C8" s="476" t="s">
        <v>423</v>
      </c>
      <c r="D8" s="476">
        <v>48</v>
      </c>
      <c r="E8" s="476" t="s">
        <v>423</v>
      </c>
      <c r="F8" s="501"/>
    </row>
    <row r="9" spans="1:26" ht="12.95" customHeight="1" x14ac:dyDescent="0.25">
      <c r="A9" s="461" t="s">
        <v>492</v>
      </c>
      <c r="B9" s="476">
        <v>10</v>
      </c>
      <c r="C9" s="476">
        <v>25</v>
      </c>
      <c r="D9" s="476">
        <v>24.5</v>
      </c>
      <c r="E9" s="476" t="s">
        <v>423</v>
      </c>
      <c r="F9" s="501"/>
    </row>
    <row r="10" spans="1:26" ht="12.95" customHeight="1" x14ac:dyDescent="0.25">
      <c r="A10" s="461" t="s">
        <v>505</v>
      </c>
      <c r="B10" s="476">
        <v>22</v>
      </c>
      <c r="C10" s="476">
        <v>45</v>
      </c>
      <c r="D10" s="476">
        <v>45</v>
      </c>
      <c r="E10" s="476" t="s">
        <v>423</v>
      </c>
      <c r="F10" s="501"/>
    </row>
    <row r="11" spans="1:26" ht="12.95" customHeight="1" x14ac:dyDescent="0.25">
      <c r="A11" s="461" t="s">
        <v>491</v>
      </c>
      <c r="B11" s="476" t="s">
        <v>423</v>
      </c>
      <c r="C11" s="476">
        <v>45</v>
      </c>
      <c r="D11" s="476">
        <v>45</v>
      </c>
      <c r="E11" s="476" t="s">
        <v>423</v>
      </c>
      <c r="F11" s="501"/>
    </row>
    <row r="12" spans="1:26" ht="12.95" customHeight="1" x14ac:dyDescent="0.25">
      <c r="A12" s="459" t="s">
        <v>441</v>
      </c>
      <c r="B12" s="475">
        <f t="shared" ref="B12:C12" si="1">AVERAGE(B13:B17)</f>
        <v>15.4</v>
      </c>
      <c r="C12" s="475">
        <f t="shared" si="1"/>
        <v>10</v>
      </c>
      <c r="D12" s="475" t="s">
        <v>4</v>
      </c>
      <c r="E12" s="475" t="s">
        <v>4</v>
      </c>
      <c r="F12" s="501"/>
    </row>
    <row r="13" spans="1:26" ht="12.95" customHeight="1" x14ac:dyDescent="0.25">
      <c r="A13" s="461" t="s">
        <v>444</v>
      </c>
      <c r="B13" s="476">
        <v>15</v>
      </c>
      <c r="C13" s="476" t="s">
        <v>423</v>
      </c>
      <c r="D13" s="476" t="s">
        <v>423</v>
      </c>
      <c r="E13" s="476" t="s">
        <v>423</v>
      </c>
      <c r="F13" s="501"/>
    </row>
    <row r="14" spans="1:26" ht="12.95" customHeight="1" x14ac:dyDescent="0.25">
      <c r="A14" s="461" t="s">
        <v>443</v>
      </c>
      <c r="B14" s="476">
        <v>10</v>
      </c>
      <c r="C14" s="476">
        <v>10</v>
      </c>
      <c r="D14" s="476" t="s">
        <v>423</v>
      </c>
      <c r="E14" s="476" t="s">
        <v>423</v>
      </c>
      <c r="F14" s="501"/>
    </row>
    <row r="15" spans="1:26" ht="12.95" customHeight="1" x14ac:dyDescent="0.25">
      <c r="A15" s="461" t="s">
        <v>572</v>
      </c>
      <c r="B15" s="476">
        <v>30</v>
      </c>
      <c r="C15" s="476" t="s">
        <v>423</v>
      </c>
      <c r="D15" s="476" t="s">
        <v>423</v>
      </c>
      <c r="E15" s="476" t="s">
        <v>423</v>
      </c>
      <c r="F15" s="501"/>
    </row>
    <row r="16" spans="1:26" ht="12.95" customHeight="1" x14ac:dyDescent="0.25">
      <c r="A16" s="461" t="s">
        <v>465</v>
      </c>
      <c r="B16" s="476">
        <v>10</v>
      </c>
      <c r="C16" s="476" t="s">
        <v>423</v>
      </c>
      <c r="D16" s="476" t="s">
        <v>423</v>
      </c>
      <c r="E16" s="476" t="s">
        <v>423</v>
      </c>
      <c r="F16" s="501"/>
    </row>
    <row r="17" spans="1:6" ht="12.95" customHeight="1" x14ac:dyDescent="0.25">
      <c r="A17" s="461" t="s">
        <v>442</v>
      </c>
      <c r="B17" s="476">
        <v>12</v>
      </c>
      <c r="C17" s="476" t="s">
        <v>423</v>
      </c>
      <c r="D17" s="476" t="s">
        <v>423</v>
      </c>
      <c r="E17" s="476" t="s">
        <v>423</v>
      </c>
      <c r="F17" s="501"/>
    </row>
    <row r="18" spans="1:6" ht="12.95" customHeight="1" x14ac:dyDescent="0.25">
      <c r="A18" s="459" t="s">
        <v>77</v>
      </c>
      <c r="B18" s="475">
        <f t="shared" ref="B18:D18" si="2">AVERAGE(B19:B21)</f>
        <v>16.5</v>
      </c>
      <c r="C18" s="475">
        <f t="shared" si="2"/>
        <v>25.335000000000001</v>
      </c>
      <c r="D18" s="475">
        <f t="shared" si="2"/>
        <v>25.335000000000001</v>
      </c>
      <c r="E18" s="475" t="s">
        <v>4</v>
      </c>
      <c r="F18" s="501"/>
    </row>
    <row r="19" spans="1:6" ht="12.95" customHeight="1" x14ac:dyDescent="0.2">
      <c r="A19" s="479" t="s">
        <v>155</v>
      </c>
      <c r="B19" s="476">
        <v>16.5</v>
      </c>
      <c r="C19" s="476" t="s">
        <v>423</v>
      </c>
      <c r="D19" s="476">
        <v>29.67</v>
      </c>
      <c r="E19" s="476" t="s">
        <v>423</v>
      </c>
      <c r="F19" s="501"/>
    </row>
    <row r="20" spans="1:6" ht="12.95" customHeight="1" x14ac:dyDescent="0.2">
      <c r="A20" s="479" t="s">
        <v>156</v>
      </c>
      <c r="B20" s="476" t="s">
        <v>423</v>
      </c>
      <c r="C20" s="476">
        <v>30</v>
      </c>
      <c r="D20" s="476" t="s">
        <v>423</v>
      </c>
      <c r="E20" s="476" t="s">
        <v>423</v>
      </c>
      <c r="F20" s="501"/>
    </row>
    <row r="21" spans="1:6" ht="12.95" customHeight="1" x14ac:dyDescent="0.2">
      <c r="A21" s="479" t="s">
        <v>158</v>
      </c>
      <c r="B21" s="476" t="s">
        <v>423</v>
      </c>
      <c r="C21" s="476">
        <v>20.67</v>
      </c>
      <c r="D21" s="476">
        <v>21</v>
      </c>
      <c r="E21" s="476" t="s">
        <v>423</v>
      </c>
      <c r="F21" s="501"/>
    </row>
    <row r="22" spans="1:6" ht="12.95" customHeight="1" x14ac:dyDescent="0.25">
      <c r="A22" s="459" t="s">
        <v>2</v>
      </c>
      <c r="B22" s="475">
        <f t="shared" ref="B22:E22" si="3">AVERAGE(B23:B26)</f>
        <v>13.25</v>
      </c>
      <c r="C22" s="475">
        <f t="shared" si="3"/>
        <v>50.526666666666664</v>
      </c>
      <c r="D22" s="475">
        <f t="shared" si="3"/>
        <v>49.640000000000008</v>
      </c>
      <c r="E22" s="475">
        <f t="shared" si="3"/>
        <v>124.72166666666665</v>
      </c>
      <c r="F22" s="501"/>
    </row>
    <row r="23" spans="1:6" ht="12.95" customHeight="1" x14ac:dyDescent="0.2">
      <c r="A23" s="479" t="s">
        <v>5</v>
      </c>
      <c r="B23" s="476">
        <v>11</v>
      </c>
      <c r="C23" s="476">
        <v>45</v>
      </c>
      <c r="D23" s="476">
        <v>44.25</v>
      </c>
      <c r="E23" s="476">
        <v>120</v>
      </c>
      <c r="F23" s="501"/>
    </row>
    <row r="24" spans="1:6" ht="12.95" customHeight="1" x14ac:dyDescent="0.2">
      <c r="A24" s="479" t="s">
        <v>190</v>
      </c>
      <c r="B24" s="476">
        <v>10</v>
      </c>
      <c r="C24" s="476" t="s">
        <v>423</v>
      </c>
      <c r="D24" s="476" t="s">
        <v>423</v>
      </c>
      <c r="E24" s="476" t="s">
        <v>423</v>
      </c>
      <c r="F24" s="501"/>
    </row>
    <row r="25" spans="1:6" ht="12.95" customHeight="1" x14ac:dyDescent="0.2">
      <c r="A25" s="479" t="s">
        <v>61</v>
      </c>
      <c r="B25" s="476">
        <v>22</v>
      </c>
      <c r="C25" s="476">
        <v>57.33</v>
      </c>
      <c r="D25" s="476">
        <v>56.67</v>
      </c>
      <c r="E25" s="476">
        <v>125</v>
      </c>
      <c r="F25" s="501"/>
    </row>
    <row r="26" spans="1:6" ht="12.95" customHeight="1" x14ac:dyDescent="0.2">
      <c r="A26" s="479" t="s">
        <v>78</v>
      </c>
      <c r="B26" s="476">
        <v>10</v>
      </c>
      <c r="C26" s="476">
        <v>49.25</v>
      </c>
      <c r="D26" s="476">
        <v>48</v>
      </c>
      <c r="E26" s="476">
        <v>129.16499999999999</v>
      </c>
      <c r="F26" s="501"/>
    </row>
    <row r="27" spans="1:6" ht="12.95" customHeight="1" x14ac:dyDescent="0.2">
      <c r="A27" s="480" t="s">
        <v>6</v>
      </c>
      <c r="B27" s="475">
        <f t="shared" ref="B27:D27" si="4">AVERAGE(B28:B34)</f>
        <v>13.61</v>
      </c>
      <c r="C27" s="475">
        <f t="shared" si="4"/>
        <v>44.776666666666664</v>
      </c>
      <c r="D27" s="475">
        <f t="shared" si="4"/>
        <v>43.75</v>
      </c>
      <c r="E27" s="475" t="s">
        <v>4</v>
      </c>
      <c r="F27" s="501"/>
    </row>
    <row r="28" spans="1:6" ht="12.95" customHeight="1" x14ac:dyDescent="0.2">
      <c r="A28" s="464" t="s">
        <v>92</v>
      </c>
      <c r="B28" s="476">
        <v>12.33</v>
      </c>
      <c r="C28" s="476" t="s">
        <v>423</v>
      </c>
      <c r="D28" s="476" t="s">
        <v>423</v>
      </c>
      <c r="E28" s="476" t="s">
        <v>423</v>
      </c>
      <c r="F28" s="501"/>
    </row>
    <row r="29" spans="1:6" ht="12.95" customHeight="1" x14ac:dyDescent="0.2">
      <c r="A29" s="464" t="s">
        <v>8</v>
      </c>
      <c r="B29" s="476">
        <v>13</v>
      </c>
      <c r="C29" s="476" t="s">
        <v>423</v>
      </c>
      <c r="D29" s="476" t="s">
        <v>423</v>
      </c>
      <c r="E29" s="476" t="s">
        <v>423</v>
      </c>
      <c r="F29" s="501"/>
    </row>
    <row r="30" spans="1:6" ht="12.95" customHeight="1" x14ac:dyDescent="0.2">
      <c r="A30" s="464" t="s">
        <v>7</v>
      </c>
      <c r="B30" s="476">
        <v>11</v>
      </c>
      <c r="C30" s="476">
        <v>45</v>
      </c>
      <c r="D30" s="476" t="s">
        <v>423</v>
      </c>
      <c r="E30" s="476" t="s">
        <v>423</v>
      </c>
      <c r="F30" s="501"/>
    </row>
    <row r="31" spans="1:6" ht="12.95" customHeight="1" x14ac:dyDescent="0.2">
      <c r="A31" s="464" t="s">
        <v>9</v>
      </c>
      <c r="B31" s="476">
        <v>12.33</v>
      </c>
      <c r="C31" s="476">
        <v>54.33</v>
      </c>
      <c r="D31" s="476">
        <v>45</v>
      </c>
      <c r="E31" s="476" t="s">
        <v>423</v>
      </c>
      <c r="F31" s="501"/>
    </row>
    <row r="32" spans="1:6" ht="12.95" customHeight="1" x14ac:dyDescent="0.2">
      <c r="A32" s="464" t="s">
        <v>13</v>
      </c>
      <c r="B32" s="476">
        <v>18</v>
      </c>
      <c r="C32" s="476" t="s">
        <v>423</v>
      </c>
      <c r="D32" s="476" t="s">
        <v>423</v>
      </c>
      <c r="E32" s="476" t="s">
        <v>423</v>
      </c>
      <c r="F32" s="501"/>
    </row>
    <row r="33" spans="1:6" ht="12.95" customHeight="1" x14ac:dyDescent="0.2">
      <c r="A33" s="464" t="s">
        <v>14</v>
      </c>
      <c r="B33" s="476" t="s">
        <v>423</v>
      </c>
      <c r="C33" s="476">
        <v>35</v>
      </c>
      <c r="D33" s="476" t="s">
        <v>423</v>
      </c>
      <c r="E33" s="476" t="s">
        <v>423</v>
      </c>
      <c r="F33" s="501"/>
    </row>
    <row r="34" spans="1:6" ht="12.95" customHeight="1" x14ac:dyDescent="0.2">
      <c r="A34" s="464" t="s">
        <v>11</v>
      </c>
      <c r="B34" s="476">
        <v>15</v>
      </c>
      <c r="C34" s="476" t="s">
        <v>423</v>
      </c>
      <c r="D34" s="476">
        <v>42.5</v>
      </c>
      <c r="E34" s="476" t="s">
        <v>423</v>
      </c>
      <c r="F34" s="501"/>
    </row>
    <row r="35" spans="1:6" ht="12.95" customHeight="1" x14ac:dyDescent="0.2">
      <c r="A35" s="465" t="s">
        <v>15</v>
      </c>
      <c r="B35" s="475">
        <f t="shared" ref="B35:E35" si="5">AVERAGE(B36:B38)</f>
        <v>14</v>
      </c>
      <c r="C35" s="475">
        <f t="shared" si="5"/>
        <v>52.833333333333336</v>
      </c>
      <c r="D35" s="475">
        <f t="shared" si="5"/>
        <v>38.25</v>
      </c>
      <c r="E35" s="475">
        <f t="shared" si="5"/>
        <v>90</v>
      </c>
      <c r="F35" s="501"/>
    </row>
    <row r="36" spans="1:6" ht="12.95" customHeight="1" x14ac:dyDescent="0.2">
      <c r="A36" s="464" t="s">
        <v>70</v>
      </c>
      <c r="B36" s="476">
        <v>12</v>
      </c>
      <c r="C36" s="476">
        <v>64.5</v>
      </c>
      <c r="D36" s="476">
        <v>31.5</v>
      </c>
      <c r="E36" s="476" t="s">
        <v>423</v>
      </c>
      <c r="F36" s="501"/>
    </row>
    <row r="37" spans="1:6" ht="12.95" customHeight="1" x14ac:dyDescent="0.2">
      <c r="A37" s="464" t="s">
        <v>543</v>
      </c>
      <c r="B37" s="476">
        <v>15</v>
      </c>
      <c r="C37" s="476">
        <v>45</v>
      </c>
      <c r="D37" s="476">
        <v>45</v>
      </c>
      <c r="E37" s="476">
        <v>110</v>
      </c>
      <c r="F37" s="501"/>
    </row>
    <row r="38" spans="1:6" ht="12.95" customHeight="1" x14ac:dyDescent="0.2">
      <c r="A38" s="464" t="s">
        <v>69</v>
      </c>
      <c r="B38" s="476">
        <v>15</v>
      </c>
      <c r="C38" s="476">
        <v>49</v>
      </c>
      <c r="D38" s="476" t="s">
        <v>423</v>
      </c>
      <c r="E38" s="476">
        <v>70</v>
      </c>
      <c r="F38" s="501"/>
    </row>
    <row r="39" spans="1:6" ht="12.95" customHeight="1" x14ac:dyDescent="0.2">
      <c r="A39" s="480" t="s">
        <v>16</v>
      </c>
      <c r="B39" s="475">
        <f t="shared" ref="B39:C39" si="6">AVERAGE(B40:B41)</f>
        <v>11</v>
      </c>
      <c r="C39" s="475">
        <f t="shared" si="6"/>
        <v>38</v>
      </c>
      <c r="D39" s="475" t="s">
        <v>4</v>
      </c>
      <c r="E39" s="475" t="s">
        <v>4</v>
      </c>
      <c r="F39" s="501"/>
    </row>
    <row r="40" spans="1:6" ht="12.95" customHeight="1" x14ac:dyDescent="0.2">
      <c r="A40" s="464" t="s">
        <v>544</v>
      </c>
      <c r="B40" s="476">
        <v>11</v>
      </c>
      <c r="C40" s="476" t="s">
        <v>423</v>
      </c>
      <c r="D40" s="476" t="s">
        <v>423</v>
      </c>
      <c r="E40" s="476" t="s">
        <v>423</v>
      </c>
      <c r="F40" s="501"/>
    </row>
    <row r="41" spans="1:6" ht="12.95" customHeight="1" x14ac:dyDescent="0.2">
      <c r="A41" s="464" t="s">
        <v>192</v>
      </c>
      <c r="B41" s="476" t="s">
        <v>423</v>
      </c>
      <c r="C41" s="476">
        <v>38</v>
      </c>
      <c r="D41" s="476" t="s">
        <v>417</v>
      </c>
      <c r="E41" s="476" t="s">
        <v>417</v>
      </c>
      <c r="F41" s="501"/>
    </row>
    <row r="42" spans="1:6" ht="12.95" customHeight="1" x14ac:dyDescent="0.2">
      <c r="A42" s="480" t="s">
        <v>18</v>
      </c>
      <c r="B42" s="475">
        <f t="shared" ref="B42:D42" si="7">AVERAGE(B43:B49)</f>
        <v>15.666666666666666</v>
      </c>
      <c r="C42" s="475">
        <f t="shared" si="7"/>
        <v>72.835000000000008</v>
      </c>
      <c r="D42" s="475">
        <f t="shared" si="7"/>
        <v>70</v>
      </c>
      <c r="E42" s="475" t="s">
        <v>4</v>
      </c>
      <c r="F42" s="501"/>
    </row>
    <row r="43" spans="1:6" ht="12.95" customHeight="1" x14ac:dyDescent="0.2">
      <c r="A43" s="464" t="s">
        <v>21</v>
      </c>
      <c r="B43" s="476" t="s">
        <v>423</v>
      </c>
      <c r="C43" s="476">
        <v>74.67</v>
      </c>
      <c r="D43" s="476" t="s">
        <v>417</v>
      </c>
      <c r="E43" s="476" t="s">
        <v>417</v>
      </c>
      <c r="F43" s="501"/>
    </row>
    <row r="44" spans="1:6" ht="12.95" customHeight="1" x14ac:dyDescent="0.2">
      <c r="A44" s="464" t="s">
        <v>19</v>
      </c>
      <c r="B44" s="476">
        <v>10</v>
      </c>
      <c r="C44" s="476" t="s">
        <v>423</v>
      </c>
      <c r="D44" s="476">
        <v>70</v>
      </c>
      <c r="E44" s="476" t="s">
        <v>423</v>
      </c>
      <c r="F44" s="501"/>
    </row>
    <row r="45" spans="1:6" ht="12.95" customHeight="1" x14ac:dyDescent="0.2">
      <c r="A45" s="464" t="s">
        <v>62</v>
      </c>
      <c r="B45" s="476">
        <v>20</v>
      </c>
      <c r="C45" s="476" t="s">
        <v>423</v>
      </c>
      <c r="D45" s="476" t="s">
        <v>423</v>
      </c>
      <c r="E45" s="476" t="s">
        <v>423</v>
      </c>
      <c r="F45" s="501"/>
    </row>
    <row r="46" spans="1:6" ht="12.95" customHeight="1" x14ac:dyDescent="0.2">
      <c r="A46" s="464" t="s">
        <v>80</v>
      </c>
      <c r="B46" s="476">
        <v>12</v>
      </c>
      <c r="C46" s="476" t="s">
        <v>417</v>
      </c>
      <c r="D46" s="476" t="s">
        <v>417</v>
      </c>
      <c r="E46" s="476" t="s">
        <v>417</v>
      </c>
      <c r="F46" s="501"/>
    </row>
    <row r="47" spans="1:6" ht="12.95" customHeight="1" x14ac:dyDescent="0.2">
      <c r="A47" s="464" t="s">
        <v>22</v>
      </c>
      <c r="B47" s="476">
        <v>24</v>
      </c>
      <c r="C47" s="476">
        <v>71</v>
      </c>
      <c r="D47" s="476" t="s">
        <v>423</v>
      </c>
      <c r="E47" s="476" t="s">
        <v>423</v>
      </c>
      <c r="F47" s="501"/>
    </row>
    <row r="48" spans="1:6" ht="12.95" customHeight="1" x14ac:dyDescent="0.2">
      <c r="A48" s="464" t="s">
        <v>63</v>
      </c>
      <c r="B48" s="476">
        <v>18</v>
      </c>
      <c r="C48" s="476" t="s">
        <v>423</v>
      </c>
      <c r="D48" s="476" t="s">
        <v>423</v>
      </c>
      <c r="E48" s="476" t="s">
        <v>423</v>
      </c>
      <c r="F48" s="501"/>
    </row>
    <row r="49" spans="1:6" ht="12.95" customHeight="1" x14ac:dyDescent="0.2">
      <c r="A49" s="464" t="s">
        <v>445</v>
      </c>
      <c r="B49" s="476">
        <v>10</v>
      </c>
      <c r="C49" s="476" t="s">
        <v>423</v>
      </c>
      <c r="D49" s="476" t="s">
        <v>423</v>
      </c>
      <c r="E49" s="476" t="s">
        <v>423</v>
      </c>
      <c r="F49" s="501"/>
    </row>
    <row r="50" spans="1:6" ht="15.75" customHeight="1" x14ac:dyDescent="0.25">
      <c r="A50" s="649"/>
      <c r="B50" s="650"/>
      <c r="C50" s="650"/>
      <c r="D50" s="651"/>
      <c r="E50" s="575" t="s">
        <v>26</v>
      </c>
      <c r="F50" s="498"/>
    </row>
    <row r="51" spans="1:6" ht="15.75" customHeight="1" x14ac:dyDescent="0.2">
      <c r="A51" s="701" t="s">
        <v>592</v>
      </c>
      <c r="B51" s="702"/>
      <c r="C51" s="702"/>
      <c r="D51" s="702"/>
      <c r="E51" s="702"/>
      <c r="F51" s="702"/>
    </row>
    <row r="52" spans="1:6" ht="24" customHeight="1" x14ac:dyDescent="0.2">
      <c r="A52" s="455" t="s">
        <v>0</v>
      </c>
      <c r="B52" s="492" t="s">
        <v>438</v>
      </c>
      <c r="C52" s="492" t="s">
        <v>439</v>
      </c>
      <c r="D52" s="492" t="s">
        <v>440</v>
      </c>
      <c r="E52" s="618" t="s">
        <v>591</v>
      </c>
      <c r="F52" s="498"/>
    </row>
    <row r="53" spans="1:6" ht="5.25" customHeight="1" x14ac:dyDescent="0.2">
      <c r="A53" s="483"/>
      <c r="B53" s="503"/>
      <c r="C53" s="503"/>
      <c r="D53" s="471"/>
      <c r="E53" s="503"/>
      <c r="F53" s="498"/>
    </row>
    <row r="54" spans="1:6" ht="12.95" customHeight="1" x14ac:dyDescent="0.2">
      <c r="A54" s="480" t="s">
        <v>25</v>
      </c>
      <c r="B54" s="475">
        <f>AVERAGE(B55:B56)</f>
        <v>12.3</v>
      </c>
      <c r="C54" s="475" t="s">
        <v>4</v>
      </c>
      <c r="D54" s="475">
        <f>AVERAGE(D55:D56)</f>
        <v>44.375</v>
      </c>
      <c r="E54" s="475" t="s">
        <v>4</v>
      </c>
      <c r="F54" s="498"/>
    </row>
    <row r="55" spans="1:6" ht="12.95" customHeight="1" x14ac:dyDescent="0.2">
      <c r="A55" s="464" t="s">
        <v>53</v>
      </c>
      <c r="B55" s="476">
        <v>9.6</v>
      </c>
      <c r="C55" s="476" t="s">
        <v>417</v>
      </c>
      <c r="D55" s="476">
        <v>58.75</v>
      </c>
      <c r="E55" s="476" t="s">
        <v>417</v>
      </c>
      <c r="F55" s="498"/>
    </row>
    <row r="56" spans="1:6" ht="12.95" customHeight="1" x14ac:dyDescent="0.2">
      <c r="A56" s="464" t="s">
        <v>58</v>
      </c>
      <c r="B56" s="476">
        <v>15</v>
      </c>
      <c r="C56" s="476" t="s">
        <v>417</v>
      </c>
      <c r="D56" s="476">
        <v>30</v>
      </c>
      <c r="E56" s="476" t="s">
        <v>417</v>
      </c>
      <c r="F56" s="498"/>
    </row>
    <row r="57" spans="1:6" ht="12.95" customHeight="1" x14ac:dyDescent="0.2">
      <c r="A57" s="480" t="s">
        <v>81</v>
      </c>
      <c r="B57" s="475">
        <f>AVERAGE(B58)</f>
        <v>10</v>
      </c>
      <c r="C57" s="475" t="s">
        <v>4</v>
      </c>
      <c r="D57" s="475" t="s">
        <v>4</v>
      </c>
      <c r="E57" s="475">
        <f>AVERAGE(E58)</f>
        <v>135</v>
      </c>
      <c r="F57" s="498"/>
    </row>
    <row r="58" spans="1:6" ht="12.95" customHeight="1" x14ac:dyDescent="0.2">
      <c r="A58" s="652" t="s">
        <v>88</v>
      </c>
      <c r="B58" s="478">
        <v>10</v>
      </c>
      <c r="C58" s="478" t="s">
        <v>423</v>
      </c>
      <c r="D58" s="478" t="s">
        <v>423</v>
      </c>
      <c r="E58" s="478">
        <v>135</v>
      </c>
      <c r="F58" s="653"/>
    </row>
    <row r="59" spans="1:6" ht="12.95" customHeight="1" x14ac:dyDescent="0.2">
      <c r="A59" s="654" t="s">
        <v>86</v>
      </c>
      <c r="B59" s="477">
        <f t="shared" ref="B59:E59" si="8">AVERAGE(B60:B68)</f>
        <v>12.333333333333334</v>
      </c>
      <c r="C59" s="477">
        <f t="shared" si="8"/>
        <v>56</v>
      </c>
      <c r="D59" s="477">
        <f t="shared" si="8"/>
        <v>51.214285714285715</v>
      </c>
      <c r="E59" s="477">
        <f t="shared" si="8"/>
        <v>130</v>
      </c>
      <c r="F59" s="655"/>
    </row>
    <row r="60" spans="1:6" ht="12.95" customHeight="1" x14ac:dyDescent="0.2">
      <c r="A60" s="464" t="s">
        <v>28</v>
      </c>
      <c r="B60" s="476">
        <v>10</v>
      </c>
      <c r="C60" s="476" t="s">
        <v>423</v>
      </c>
      <c r="D60" s="476">
        <v>58</v>
      </c>
      <c r="E60" s="476" t="s">
        <v>417</v>
      </c>
      <c r="F60" s="501"/>
    </row>
    <row r="61" spans="1:6" ht="12.95" customHeight="1" x14ac:dyDescent="0.2">
      <c r="A61" s="464" t="s">
        <v>29</v>
      </c>
      <c r="B61" s="476">
        <v>9</v>
      </c>
      <c r="C61" s="476" t="s">
        <v>423</v>
      </c>
      <c r="D61" s="476">
        <v>52</v>
      </c>
      <c r="E61" s="476" t="s">
        <v>423</v>
      </c>
      <c r="F61" s="501"/>
    </row>
    <row r="62" spans="1:6" ht="12.95" customHeight="1" x14ac:dyDescent="0.2">
      <c r="A62" s="464" t="s">
        <v>30</v>
      </c>
      <c r="B62" s="476">
        <v>12</v>
      </c>
      <c r="C62" s="476">
        <v>55</v>
      </c>
      <c r="D62" s="476">
        <v>52</v>
      </c>
      <c r="E62" s="476">
        <v>130</v>
      </c>
      <c r="F62" s="501"/>
    </row>
    <row r="63" spans="1:6" ht="12.95" customHeight="1" x14ac:dyDescent="0.2">
      <c r="A63" s="464" t="s">
        <v>31</v>
      </c>
      <c r="B63" s="476">
        <v>11.5</v>
      </c>
      <c r="C63" s="476" t="s">
        <v>417</v>
      </c>
      <c r="D63" s="476">
        <v>40</v>
      </c>
      <c r="E63" s="476" t="s">
        <v>417</v>
      </c>
      <c r="F63" s="501"/>
    </row>
    <row r="64" spans="1:6" ht="12.95" customHeight="1" x14ac:dyDescent="0.2">
      <c r="A64" s="464" t="s">
        <v>54</v>
      </c>
      <c r="B64" s="476">
        <v>7.33</v>
      </c>
      <c r="C64" s="476" t="s">
        <v>417</v>
      </c>
      <c r="D64" s="476" t="s">
        <v>417</v>
      </c>
      <c r="E64" s="476" t="s">
        <v>417</v>
      </c>
      <c r="F64" s="501"/>
    </row>
    <row r="65" spans="1:6" ht="12.95" customHeight="1" x14ac:dyDescent="0.2">
      <c r="A65" s="464" t="s">
        <v>64</v>
      </c>
      <c r="B65" s="476">
        <v>18</v>
      </c>
      <c r="C65" s="476">
        <v>57</v>
      </c>
      <c r="D65" s="476">
        <v>50</v>
      </c>
      <c r="E65" s="476" t="s">
        <v>417</v>
      </c>
      <c r="F65" s="501"/>
    </row>
    <row r="66" spans="1:6" ht="12.95" customHeight="1" x14ac:dyDescent="0.2">
      <c r="A66" s="464" t="s">
        <v>446</v>
      </c>
      <c r="B66" s="476">
        <v>20</v>
      </c>
      <c r="C66" s="476" t="s">
        <v>417</v>
      </c>
      <c r="D66" s="476" t="s">
        <v>417</v>
      </c>
      <c r="E66" s="476" t="s">
        <v>417</v>
      </c>
      <c r="F66" s="501"/>
    </row>
    <row r="67" spans="1:6" ht="12.95" customHeight="1" x14ac:dyDescent="0.2">
      <c r="A67" s="464" t="s">
        <v>34</v>
      </c>
      <c r="B67" s="476">
        <v>10.67</v>
      </c>
      <c r="C67" s="476" t="s">
        <v>423</v>
      </c>
      <c r="D67" s="476">
        <v>49</v>
      </c>
      <c r="E67" s="476" t="s">
        <v>417</v>
      </c>
      <c r="F67" s="501"/>
    </row>
    <row r="68" spans="1:6" ht="12.95" customHeight="1" x14ac:dyDescent="0.2">
      <c r="A68" s="464" t="s">
        <v>66</v>
      </c>
      <c r="B68" s="476">
        <v>12.5</v>
      </c>
      <c r="C68" s="476" t="s">
        <v>417</v>
      </c>
      <c r="D68" s="476">
        <v>57.5</v>
      </c>
      <c r="E68" s="476" t="s">
        <v>417</v>
      </c>
      <c r="F68" s="501"/>
    </row>
    <row r="69" spans="1:6" ht="12.95" customHeight="1" x14ac:dyDescent="0.2">
      <c r="A69" s="480" t="s">
        <v>35</v>
      </c>
      <c r="B69" s="475">
        <f t="shared" ref="B69:D69" si="9">AVERAGE(B70:B72)</f>
        <v>10.833333333333334</v>
      </c>
      <c r="C69" s="475">
        <f t="shared" si="9"/>
        <v>27</v>
      </c>
      <c r="D69" s="475">
        <f t="shared" si="9"/>
        <v>43.666666666666664</v>
      </c>
      <c r="E69" s="475" t="s">
        <v>4</v>
      </c>
      <c r="F69" s="498"/>
    </row>
    <row r="70" spans="1:6" ht="12.95" customHeight="1" x14ac:dyDescent="0.2">
      <c r="A70" s="464" t="s">
        <v>36</v>
      </c>
      <c r="B70" s="476">
        <v>10</v>
      </c>
      <c r="C70" s="476">
        <v>26</v>
      </c>
      <c r="D70" s="476">
        <v>41</v>
      </c>
      <c r="E70" s="476" t="s">
        <v>417</v>
      </c>
      <c r="F70" s="498"/>
    </row>
    <row r="71" spans="1:6" ht="12.95" customHeight="1" x14ac:dyDescent="0.2">
      <c r="A71" s="464" t="s">
        <v>38</v>
      </c>
      <c r="B71" s="476">
        <v>10.5</v>
      </c>
      <c r="C71" s="476">
        <v>27</v>
      </c>
      <c r="D71" s="476">
        <v>44</v>
      </c>
      <c r="E71" s="476" t="s">
        <v>417</v>
      </c>
      <c r="F71" s="498"/>
    </row>
    <row r="72" spans="1:6" ht="12.95" customHeight="1" x14ac:dyDescent="0.2">
      <c r="A72" s="464" t="s">
        <v>37</v>
      </c>
      <c r="B72" s="476">
        <v>12</v>
      </c>
      <c r="C72" s="476">
        <v>28</v>
      </c>
      <c r="D72" s="476">
        <v>46</v>
      </c>
      <c r="E72" s="476" t="s">
        <v>417</v>
      </c>
      <c r="F72" s="498"/>
    </row>
    <row r="73" spans="1:6" ht="12.95" customHeight="1" x14ac:dyDescent="0.2">
      <c r="A73" s="480" t="s">
        <v>194</v>
      </c>
      <c r="B73" s="475">
        <f t="shared" ref="B73:C73" si="10">AVERAGE(B74)</f>
        <v>9.33</v>
      </c>
      <c r="C73" s="475">
        <f t="shared" si="10"/>
        <v>24</v>
      </c>
      <c r="D73" s="475" t="s">
        <v>4</v>
      </c>
      <c r="E73" s="475">
        <v>135</v>
      </c>
      <c r="F73" s="501"/>
    </row>
    <row r="74" spans="1:6" ht="12.95" customHeight="1" x14ac:dyDescent="0.2">
      <c r="A74" s="464" t="s">
        <v>197</v>
      </c>
      <c r="B74" s="476">
        <v>9.33</v>
      </c>
      <c r="C74" s="476">
        <v>24</v>
      </c>
      <c r="D74" s="476" t="s">
        <v>417</v>
      </c>
      <c r="E74" s="476">
        <v>135</v>
      </c>
      <c r="F74" s="501"/>
    </row>
    <row r="75" spans="1:6" ht="12.95" customHeight="1" x14ac:dyDescent="0.2">
      <c r="A75" s="504" t="s">
        <v>39</v>
      </c>
      <c r="B75" s="505">
        <f>AVERAGE(B76:B77)</f>
        <v>12.09</v>
      </c>
      <c r="C75" s="505" t="s">
        <v>4</v>
      </c>
      <c r="D75" s="505">
        <f t="shared" ref="D75:E75" si="11">AVERAGE(D76:D77)</f>
        <v>45</v>
      </c>
      <c r="E75" s="505">
        <f t="shared" si="11"/>
        <v>116.67</v>
      </c>
      <c r="F75" s="498"/>
    </row>
    <row r="76" spans="1:6" ht="12.95" customHeight="1" x14ac:dyDescent="0.2">
      <c r="A76" s="506" t="s">
        <v>41</v>
      </c>
      <c r="B76" s="485">
        <v>13.63</v>
      </c>
      <c r="C76" s="485" t="s">
        <v>417</v>
      </c>
      <c r="D76" s="485" t="s">
        <v>417</v>
      </c>
      <c r="E76" s="485" t="s">
        <v>417</v>
      </c>
      <c r="F76" s="498"/>
    </row>
    <row r="77" spans="1:6" ht="12.95" customHeight="1" x14ac:dyDescent="0.2">
      <c r="A77" s="506" t="s">
        <v>40</v>
      </c>
      <c r="B77" s="485">
        <v>10.55</v>
      </c>
      <c r="C77" s="485" t="s">
        <v>423</v>
      </c>
      <c r="D77" s="485">
        <v>45</v>
      </c>
      <c r="E77" s="485">
        <v>116.67</v>
      </c>
      <c r="F77" s="501"/>
    </row>
    <row r="78" spans="1:6" ht="12.95" customHeight="1" x14ac:dyDescent="0.2">
      <c r="A78" s="465" t="s">
        <v>42</v>
      </c>
      <c r="B78" s="475">
        <f t="shared" ref="B78:E78" si="12">AVERAGE(B79:B82)</f>
        <v>9.7725000000000009</v>
      </c>
      <c r="C78" s="475">
        <f t="shared" si="12"/>
        <v>36</v>
      </c>
      <c r="D78" s="475">
        <f t="shared" si="12"/>
        <v>50.25</v>
      </c>
      <c r="E78" s="475">
        <f t="shared" si="12"/>
        <v>120</v>
      </c>
      <c r="F78" s="501"/>
    </row>
    <row r="79" spans="1:6" ht="12.95" customHeight="1" x14ac:dyDescent="0.2">
      <c r="A79" s="464" t="s">
        <v>45</v>
      </c>
      <c r="B79" s="476">
        <v>10.42</v>
      </c>
      <c r="C79" s="476" t="s">
        <v>423</v>
      </c>
      <c r="D79" s="476" t="s">
        <v>423</v>
      </c>
      <c r="E79" s="476" t="s">
        <v>423</v>
      </c>
      <c r="F79" s="501"/>
    </row>
    <row r="80" spans="1:6" ht="12.95" customHeight="1" x14ac:dyDescent="0.2">
      <c r="A80" s="464" t="s">
        <v>416</v>
      </c>
      <c r="B80" s="476">
        <v>8.67</v>
      </c>
      <c r="C80" s="476">
        <v>45</v>
      </c>
      <c r="D80" s="476">
        <v>44.5</v>
      </c>
      <c r="E80" s="476">
        <v>120</v>
      </c>
      <c r="F80" s="501"/>
    </row>
    <row r="81" spans="1:6" ht="12.95" customHeight="1" x14ac:dyDescent="0.2">
      <c r="A81" s="464" t="s">
        <v>427</v>
      </c>
      <c r="B81" s="476">
        <v>10</v>
      </c>
      <c r="C81" s="476">
        <v>27</v>
      </c>
      <c r="D81" s="476">
        <v>56</v>
      </c>
      <c r="E81" s="476" t="s">
        <v>423</v>
      </c>
      <c r="F81" s="501"/>
    </row>
    <row r="82" spans="1:6" ht="12.95" customHeight="1" x14ac:dyDescent="0.2">
      <c r="A82" s="464" t="s">
        <v>43</v>
      </c>
      <c r="B82" s="476">
        <v>10</v>
      </c>
      <c r="C82" s="476" t="s">
        <v>423</v>
      </c>
      <c r="D82" s="476" t="s">
        <v>423</v>
      </c>
      <c r="E82" s="476" t="s">
        <v>423</v>
      </c>
      <c r="F82" s="501"/>
    </row>
    <row r="83" spans="1:6" ht="12.95" customHeight="1" x14ac:dyDescent="0.2">
      <c r="A83" s="465" t="s">
        <v>198</v>
      </c>
      <c r="B83" s="475">
        <f>AVERAGE(B84:B87)</f>
        <v>13.625</v>
      </c>
      <c r="C83" s="475" t="s">
        <v>4</v>
      </c>
      <c r="D83" s="475" t="s">
        <v>4</v>
      </c>
      <c r="E83" s="475" t="s">
        <v>4</v>
      </c>
      <c r="F83" s="498"/>
    </row>
    <row r="84" spans="1:6" ht="12.95" customHeight="1" x14ac:dyDescent="0.2">
      <c r="A84" s="464" t="s">
        <v>447</v>
      </c>
      <c r="B84" s="476">
        <v>15</v>
      </c>
      <c r="C84" s="476" t="s">
        <v>423</v>
      </c>
      <c r="D84" s="476" t="s">
        <v>423</v>
      </c>
      <c r="E84" s="476" t="s">
        <v>423</v>
      </c>
      <c r="F84" s="498"/>
    </row>
    <row r="85" spans="1:6" ht="12.95" customHeight="1" x14ac:dyDescent="0.2">
      <c r="A85" s="464" t="s">
        <v>200</v>
      </c>
      <c r="B85" s="476">
        <v>10</v>
      </c>
      <c r="C85" s="476" t="s">
        <v>423</v>
      </c>
      <c r="D85" s="476" t="s">
        <v>423</v>
      </c>
      <c r="E85" s="476" t="s">
        <v>423</v>
      </c>
      <c r="F85" s="498"/>
    </row>
    <row r="86" spans="1:6" ht="12.95" customHeight="1" x14ac:dyDescent="0.2">
      <c r="A86" s="464" t="s">
        <v>199</v>
      </c>
      <c r="B86" s="476">
        <v>10</v>
      </c>
      <c r="C86" s="476" t="s">
        <v>423</v>
      </c>
      <c r="D86" s="476" t="s">
        <v>423</v>
      </c>
      <c r="E86" s="476" t="s">
        <v>423</v>
      </c>
      <c r="F86" s="498"/>
    </row>
    <row r="87" spans="1:6" ht="12.95" customHeight="1" x14ac:dyDescent="0.2">
      <c r="A87" s="464" t="s">
        <v>65</v>
      </c>
      <c r="B87" s="476">
        <v>19.5</v>
      </c>
      <c r="C87" s="476">
        <v>52</v>
      </c>
      <c r="D87" s="476" t="s">
        <v>423</v>
      </c>
      <c r="E87" s="476" t="s">
        <v>423</v>
      </c>
      <c r="F87" s="498"/>
    </row>
    <row r="88" spans="1:6" ht="12.95" customHeight="1" x14ac:dyDescent="0.2">
      <c r="A88" s="465" t="s">
        <v>84</v>
      </c>
      <c r="B88" s="475">
        <f>AVERAGE(B89)</f>
        <v>11</v>
      </c>
      <c r="C88" s="475" t="s">
        <v>4</v>
      </c>
      <c r="D88" s="475" t="s">
        <v>4</v>
      </c>
      <c r="E88" s="475" t="s">
        <v>4</v>
      </c>
      <c r="F88" s="498"/>
    </row>
    <row r="89" spans="1:6" ht="12.95" customHeight="1" x14ac:dyDescent="0.2">
      <c r="A89" s="464" t="s">
        <v>60</v>
      </c>
      <c r="B89" s="476">
        <v>11</v>
      </c>
      <c r="C89" s="476" t="s">
        <v>423</v>
      </c>
      <c r="D89" s="476" t="s">
        <v>423</v>
      </c>
      <c r="E89" s="476" t="s">
        <v>423</v>
      </c>
      <c r="F89" s="498"/>
    </row>
    <row r="90" spans="1:6" ht="12.95" customHeight="1" x14ac:dyDescent="0.2">
      <c r="A90" s="465" t="s">
        <v>89</v>
      </c>
      <c r="B90" s="475">
        <f>AVERAGE(B91:B92)</f>
        <v>10</v>
      </c>
      <c r="C90" s="475" t="s">
        <v>4</v>
      </c>
      <c r="D90" s="475" t="s">
        <v>4</v>
      </c>
      <c r="E90" s="475">
        <f t="shared" ref="E90" si="13">AVERAGE(E91:E92)</f>
        <v>145</v>
      </c>
      <c r="F90" s="498"/>
    </row>
    <row r="91" spans="1:6" ht="12.95" customHeight="1" x14ac:dyDescent="0.2">
      <c r="A91" s="464" t="s">
        <v>90</v>
      </c>
      <c r="B91" s="476">
        <v>10</v>
      </c>
      <c r="C91" s="476" t="s">
        <v>423</v>
      </c>
      <c r="D91" s="476" t="s">
        <v>423</v>
      </c>
      <c r="E91" s="476">
        <v>145</v>
      </c>
      <c r="F91" s="498"/>
    </row>
    <row r="92" spans="1:6" ht="12.95" customHeight="1" x14ac:dyDescent="0.2">
      <c r="A92" s="464" t="s">
        <v>486</v>
      </c>
      <c r="B92" s="476">
        <v>10</v>
      </c>
      <c r="C92" s="476" t="s">
        <v>423</v>
      </c>
      <c r="D92" s="476" t="s">
        <v>423</v>
      </c>
      <c r="E92" s="476" t="s">
        <v>423</v>
      </c>
      <c r="F92" s="498"/>
    </row>
    <row r="93" spans="1:6" ht="12.95" customHeight="1" x14ac:dyDescent="0.2">
      <c r="A93" s="465" t="s">
        <v>71</v>
      </c>
      <c r="B93" s="475">
        <f t="shared" ref="B93:C93" si="14">AVERAGE(B94)</f>
        <v>6.5</v>
      </c>
      <c r="C93" s="475">
        <f t="shared" si="14"/>
        <v>22</v>
      </c>
      <c r="D93" s="475" t="s">
        <v>4</v>
      </c>
      <c r="E93" s="475" t="s">
        <v>4</v>
      </c>
      <c r="F93" s="501"/>
    </row>
    <row r="94" spans="1:6" ht="12.95" customHeight="1" x14ac:dyDescent="0.2">
      <c r="A94" s="464" t="s">
        <v>503</v>
      </c>
      <c r="B94" s="476">
        <v>6.5</v>
      </c>
      <c r="C94" s="476">
        <v>22</v>
      </c>
      <c r="D94" s="476" t="s">
        <v>423</v>
      </c>
      <c r="E94" s="476" t="s">
        <v>423</v>
      </c>
      <c r="F94" s="501"/>
    </row>
    <row r="95" spans="1:6" ht="12.95" customHeight="1" x14ac:dyDescent="0.2">
      <c r="A95" s="465" t="s">
        <v>46</v>
      </c>
      <c r="B95" s="475">
        <f>AVERAGE(B96)</f>
        <v>11</v>
      </c>
      <c r="C95" s="475" t="s">
        <v>4</v>
      </c>
      <c r="D95" s="475" t="s">
        <v>4</v>
      </c>
      <c r="E95" s="475" t="s">
        <v>4</v>
      </c>
      <c r="F95" s="498"/>
    </row>
    <row r="96" spans="1:6" ht="12.95" customHeight="1" x14ac:dyDescent="0.2">
      <c r="A96" s="473" t="s">
        <v>504</v>
      </c>
      <c r="B96" s="476">
        <v>11</v>
      </c>
      <c r="C96" s="476" t="s">
        <v>423</v>
      </c>
      <c r="D96" s="476" t="s">
        <v>423</v>
      </c>
      <c r="E96" s="476" t="s">
        <v>423</v>
      </c>
      <c r="F96" s="498"/>
    </row>
    <row r="97" spans="1:6" ht="9" customHeight="1" x14ac:dyDescent="0.2">
      <c r="A97" s="538" t="s">
        <v>87</v>
      </c>
      <c r="B97" s="551"/>
      <c r="C97" s="551"/>
      <c r="D97" s="552"/>
      <c r="E97" s="552"/>
      <c r="F97" s="498"/>
    </row>
    <row r="98" spans="1:6" ht="9" customHeight="1" x14ac:dyDescent="0.25">
      <c r="A98" s="538" t="s">
        <v>67</v>
      </c>
      <c r="B98" s="553"/>
      <c r="C98" s="553"/>
      <c r="D98" s="547"/>
      <c r="E98" s="547"/>
      <c r="F98" s="498"/>
    </row>
    <row r="99" spans="1:6" ht="9" customHeight="1" x14ac:dyDescent="0.25">
      <c r="A99" s="539" t="s">
        <v>68</v>
      </c>
      <c r="B99" s="554"/>
      <c r="C99" s="554"/>
      <c r="D99" s="554"/>
      <c r="E99" s="554"/>
      <c r="F99" s="498"/>
    </row>
    <row r="100" spans="1:6" ht="15.75" customHeight="1" x14ac:dyDescent="0.2"/>
    <row r="101" spans="1:6" ht="15.75" customHeight="1" x14ac:dyDescent="0.2"/>
    <row r="102" spans="1:6" ht="15.75" customHeight="1" x14ac:dyDescent="0.2"/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</sheetData>
  <mergeCells count="1">
    <mergeCell ref="A51:F51"/>
  </mergeCells>
  <pageMargins left="0.27559055118110237" right="0.27559055118110237" top="0.39370078740157483" bottom="0.39370078740157483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O203"/>
  <sheetViews>
    <sheetView showGridLines="0" topLeftCell="A122" zoomScaleNormal="100" workbookViewId="0">
      <selection activeCell="A133" sqref="A133:N203"/>
    </sheetView>
  </sheetViews>
  <sheetFormatPr baseColWidth="10" defaultColWidth="11.42578125" defaultRowHeight="12.75" x14ac:dyDescent="0.2"/>
  <cols>
    <col min="1" max="1" width="9.7109375" style="138" customWidth="1"/>
    <col min="2" max="2" width="3.7109375" style="138" customWidth="1"/>
    <col min="3" max="14" width="5.85546875" style="138" customWidth="1"/>
    <col min="15" max="16384" width="11.42578125" style="138"/>
  </cols>
  <sheetData>
    <row r="1" spans="1:15" ht="13.5" x14ac:dyDescent="0.25">
      <c r="A1" s="703" t="s">
        <v>538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4"/>
      <c r="N1" s="704"/>
    </row>
    <row r="2" spans="1:15" ht="13.5" x14ac:dyDescent="0.25">
      <c r="A2" s="705" t="s">
        <v>94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4"/>
      <c r="N2" s="704"/>
    </row>
    <row r="3" spans="1:15" ht="5.0999999999999996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19"/>
    </row>
    <row r="4" spans="1:15" ht="15.95" customHeight="1" x14ac:dyDescent="0.2">
      <c r="A4" s="239" t="s">
        <v>95</v>
      </c>
      <c r="B4" s="239" t="s">
        <v>96</v>
      </c>
      <c r="C4" s="239" t="s">
        <v>97</v>
      </c>
      <c r="D4" s="239" t="s">
        <v>98</v>
      </c>
      <c r="E4" s="239" t="s">
        <v>99</v>
      </c>
      <c r="F4" s="239" t="s">
        <v>100</v>
      </c>
      <c r="G4" s="239" t="s">
        <v>101</v>
      </c>
      <c r="H4" s="239" t="s">
        <v>102</v>
      </c>
      <c r="I4" s="239" t="s">
        <v>103</v>
      </c>
      <c r="J4" s="240" t="s">
        <v>104</v>
      </c>
      <c r="K4" s="240" t="s">
        <v>105</v>
      </c>
      <c r="L4" s="239" t="s">
        <v>106</v>
      </c>
      <c r="M4" s="239" t="s">
        <v>107</v>
      </c>
      <c r="N4" s="239" t="s">
        <v>108</v>
      </c>
    </row>
    <row r="5" spans="1:15" ht="3" customHeight="1" x14ac:dyDescent="0.2">
      <c r="A5" s="9"/>
      <c r="B5" s="9"/>
      <c r="C5" s="9"/>
      <c r="D5" s="9"/>
      <c r="E5" s="9"/>
      <c r="F5" s="9"/>
      <c r="G5" s="9"/>
      <c r="H5" s="9"/>
      <c r="I5" s="9"/>
      <c r="J5" s="241"/>
      <c r="K5" s="241"/>
      <c r="L5" s="9"/>
      <c r="M5" s="9"/>
      <c r="N5" s="9"/>
      <c r="O5" s="224"/>
    </row>
    <row r="6" spans="1:15" ht="11.1" customHeight="1" x14ac:dyDescent="0.25">
      <c r="A6" s="20" t="s">
        <v>52</v>
      </c>
      <c r="B6" s="21">
        <v>2018</v>
      </c>
      <c r="C6" s="22">
        <v>35</v>
      </c>
      <c r="D6" s="22">
        <v>36.5</v>
      </c>
      <c r="E6" s="22">
        <v>37.5</v>
      </c>
      <c r="F6" s="22">
        <v>37.5</v>
      </c>
      <c r="G6" s="22">
        <v>37.5</v>
      </c>
      <c r="H6" s="22">
        <v>37.9</v>
      </c>
      <c r="I6" s="22">
        <v>38.5</v>
      </c>
      <c r="J6" s="22">
        <v>38.5</v>
      </c>
      <c r="K6" s="22">
        <v>38.5</v>
      </c>
      <c r="L6" s="22">
        <v>37.5</v>
      </c>
      <c r="M6" s="23">
        <v>37.5</v>
      </c>
      <c r="N6" s="22">
        <v>37.5</v>
      </c>
    </row>
    <row r="7" spans="1:15" ht="11.1" customHeight="1" x14ac:dyDescent="0.25">
      <c r="A7" s="20"/>
      <c r="B7" s="21">
        <v>2019</v>
      </c>
      <c r="C7" s="22">
        <v>40</v>
      </c>
      <c r="D7" s="22">
        <v>40</v>
      </c>
      <c r="E7" s="22">
        <v>40</v>
      </c>
      <c r="F7" s="22">
        <v>40</v>
      </c>
      <c r="G7" s="22">
        <v>40</v>
      </c>
      <c r="H7" s="22">
        <v>40</v>
      </c>
      <c r="I7" s="22">
        <v>38.5</v>
      </c>
      <c r="J7" s="22">
        <v>38.5</v>
      </c>
      <c r="K7" s="22">
        <v>45</v>
      </c>
      <c r="L7" s="22">
        <v>40</v>
      </c>
      <c r="M7" s="23">
        <v>45</v>
      </c>
      <c r="N7" s="22">
        <v>45</v>
      </c>
    </row>
    <row r="8" spans="1:15" ht="11.1" customHeight="1" x14ac:dyDescent="0.25">
      <c r="A8" s="20"/>
      <c r="B8" s="21">
        <v>2020</v>
      </c>
      <c r="C8" s="22">
        <v>45</v>
      </c>
      <c r="D8" s="22">
        <v>45</v>
      </c>
      <c r="E8" s="22">
        <v>45</v>
      </c>
      <c r="F8" s="22">
        <v>35</v>
      </c>
      <c r="G8" s="22">
        <v>45</v>
      </c>
      <c r="H8" s="22">
        <v>45</v>
      </c>
      <c r="I8" s="22">
        <v>46</v>
      </c>
      <c r="J8" s="22">
        <v>45</v>
      </c>
      <c r="K8" s="22">
        <v>45</v>
      </c>
      <c r="L8" s="22">
        <v>45</v>
      </c>
      <c r="M8" s="23">
        <v>45</v>
      </c>
      <c r="N8" s="22">
        <v>45</v>
      </c>
    </row>
    <row r="9" spans="1:15" ht="11.1" customHeight="1" x14ac:dyDescent="0.25">
      <c r="A9" s="20"/>
      <c r="B9" s="21">
        <v>2021</v>
      </c>
      <c r="C9" s="22">
        <v>45</v>
      </c>
      <c r="D9" s="22">
        <v>45</v>
      </c>
      <c r="E9" s="22">
        <v>45</v>
      </c>
      <c r="F9" s="22">
        <v>45</v>
      </c>
      <c r="G9" s="22">
        <v>45</v>
      </c>
      <c r="H9" s="22">
        <v>45</v>
      </c>
      <c r="I9" s="22">
        <v>46</v>
      </c>
      <c r="J9" s="22">
        <v>45</v>
      </c>
      <c r="K9" s="22">
        <v>45</v>
      </c>
      <c r="L9" s="22">
        <v>45</v>
      </c>
      <c r="M9" s="23">
        <v>45</v>
      </c>
      <c r="N9" s="22">
        <v>45</v>
      </c>
    </row>
    <row r="10" spans="1:15" ht="11.1" customHeight="1" x14ac:dyDescent="0.25">
      <c r="A10" s="20"/>
      <c r="B10" s="21">
        <v>2022</v>
      </c>
      <c r="C10" s="22">
        <v>45</v>
      </c>
      <c r="D10" s="22">
        <v>45</v>
      </c>
      <c r="E10" s="22">
        <v>45</v>
      </c>
      <c r="F10" s="22">
        <v>40</v>
      </c>
      <c r="G10" s="22">
        <v>45</v>
      </c>
      <c r="H10" s="22">
        <v>45</v>
      </c>
      <c r="I10" s="22">
        <v>40</v>
      </c>
      <c r="J10" s="22">
        <v>40</v>
      </c>
      <c r="K10" s="22">
        <v>40</v>
      </c>
      <c r="L10" s="22">
        <v>40</v>
      </c>
      <c r="M10" s="22">
        <v>40</v>
      </c>
      <c r="N10" s="22">
        <v>40</v>
      </c>
    </row>
    <row r="11" spans="1:15" ht="11.1" customHeight="1" x14ac:dyDescent="0.25">
      <c r="A11" s="20"/>
      <c r="B11" s="21">
        <v>2023</v>
      </c>
      <c r="C11" s="22" t="s">
        <v>4</v>
      </c>
      <c r="D11" s="22" t="s">
        <v>4</v>
      </c>
      <c r="E11" s="22" t="s">
        <v>4</v>
      </c>
      <c r="F11" s="22">
        <v>50</v>
      </c>
      <c r="G11" s="22">
        <v>50</v>
      </c>
      <c r="H11" s="22">
        <v>50</v>
      </c>
      <c r="I11" s="22">
        <v>50</v>
      </c>
      <c r="J11" s="22">
        <v>50</v>
      </c>
      <c r="K11" s="22">
        <v>50</v>
      </c>
      <c r="L11" s="22">
        <v>50</v>
      </c>
      <c r="M11" s="22">
        <v>50</v>
      </c>
      <c r="N11" s="22">
        <v>50</v>
      </c>
    </row>
    <row r="12" spans="1:15" ht="11.1" customHeight="1" x14ac:dyDescent="0.25">
      <c r="A12" s="20"/>
      <c r="B12" s="21">
        <v>2024</v>
      </c>
      <c r="C12" s="22">
        <v>50</v>
      </c>
      <c r="D12" s="22">
        <v>50</v>
      </c>
      <c r="E12" s="22">
        <v>56</v>
      </c>
      <c r="F12" s="22">
        <v>56</v>
      </c>
      <c r="G12" s="22">
        <v>55</v>
      </c>
      <c r="H12" s="22">
        <v>55</v>
      </c>
      <c r="I12" s="22">
        <v>55</v>
      </c>
      <c r="J12" s="22">
        <v>55</v>
      </c>
      <c r="K12" s="22">
        <v>55</v>
      </c>
      <c r="L12" s="22">
        <v>52.5</v>
      </c>
      <c r="M12" s="22">
        <v>51</v>
      </c>
      <c r="N12" s="22">
        <v>54</v>
      </c>
    </row>
    <row r="13" spans="1:15" ht="11.1" customHeight="1" x14ac:dyDescent="0.25">
      <c r="A13" s="24"/>
      <c r="B13" s="25">
        <v>2025</v>
      </c>
      <c r="C13" s="26">
        <v>54</v>
      </c>
      <c r="D13" s="26">
        <v>54</v>
      </c>
      <c r="E13" s="26">
        <v>52</v>
      </c>
      <c r="F13" s="26" t="s">
        <v>4</v>
      </c>
      <c r="G13" s="26" t="s">
        <v>4</v>
      </c>
      <c r="H13" s="26">
        <v>49</v>
      </c>
      <c r="I13" s="26">
        <v>55</v>
      </c>
      <c r="J13" s="26"/>
      <c r="K13" s="26"/>
      <c r="L13" s="26"/>
      <c r="M13" s="26"/>
      <c r="N13" s="26"/>
    </row>
    <row r="14" spans="1:15" ht="11.1" customHeight="1" x14ac:dyDescent="0.25">
      <c r="A14" s="27" t="s">
        <v>91</v>
      </c>
      <c r="B14" s="28">
        <v>2018</v>
      </c>
      <c r="C14" s="29">
        <v>39.4</v>
      </c>
      <c r="D14" s="29">
        <v>39.299999999999997</v>
      </c>
      <c r="E14" s="29">
        <v>39.299999999999997</v>
      </c>
      <c r="F14" s="29">
        <v>39.595238095238088</v>
      </c>
      <c r="G14" s="29">
        <v>38.5</v>
      </c>
      <c r="H14" s="29">
        <v>38.5</v>
      </c>
      <c r="I14" s="29">
        <v>40.200000000000003</v>
      </c>
      <c r="J14" s="29">
        <v>39.5</v>
      </c>
      <c r="K14" s="29">
        <v>39.5</v>
      </c>
      <c r="L14" s="29">
        <v>38.904761904761912</v>
      </c>
      <c r="M14" s="30">
        <v>38.904761904761912</v>
      </c>
      <c r="N14" s="29">
        <v>38.5</v>
      </c>
    </row>
    <row r="15" spans="1:15" ht="11.1" customHeight="1" x14ac:dyDescent="0.25">
      <c r="A15" s="31"/>
      <c r="B15" s="21">
        <v>2019</v>
      </c>
      <c r="C15" s="22">
        <v>36.595238095238088</v>
      </c>
      <c r="D15" s="22">
        <v>39</v>
      </c>
      <c r="E15" s="22">
        <v>40.5</v>
      </c>
      <c r="F15" s="22">
        <v>41</v>
      </c>
      <c r="G15" s="22">
        <v>40.5</v>
      </c>
      <c r="H15" s="22">
        <v>40.5</v>
      </c>
      <c r="I15" s="22">
        <v>40.5</v>
      </c>
      <c r="J15" s="22">
        <v>41</v>
      </c>
      <c r="K15" s="22">
        <v>48</v>
      </c>
      <c r="L15" s="22">
        <v>44</v>
      </c>
      <c r="M15" s="23">
        <v>46.5</v>
      </c>
      <c r="N15" s="22">
        <v>45</v>
      </c>
    </row>
    <row r="16" spans="1:15" ht="11.1" customHeight="1" x14ac:dyDescent="0.25">
      <c r="A16" s="31"/>
      <c r="B16" s="21">
        <v>2020</v>
      </c>
      <c r="C16" s="22">
        <v>51</v>
      </c>
      <c r="D16" s="22" t="s">
        <v>4</v>
      </c>
      <c r="E16" s="22" t="s">
        <v>4</v>
      </c>
      <c r="F16" s="22" t="s">
        <v>4</v>
      </c>
      <c r="G16" s="22" t="s">
        <v>4</v>
      </c>
      <c r="H16" s="22" t="s">
        <v>4</v>
      </c>
      <c r="I16" s="22" t="s">
        <v>4</v>
      </c>
      <c r="J16" s="22">
        <v>50</v>
      </c>
      <c r="K16" s="22">
        <v>50</v>
      </c>
      <c r="L16" s="22">
        <v>50</v>
      </c>
      <c r="M16" s="23">
        <v>50</v>
      </c>
      <c r="N16" s="22">
        <v>50</v>
      </c>
    </row>
    <row r="17" spans="1:14" ht="11.1" customHeight="1" x14ac:dyDescent="0.25">
      <c r="A17" s="31"/>
      <c r="B17" s="21">
        <v>2021</v>
      </c>
      <c r="C17" s="22">
        <v>52.5</v>
      </c>
      <c r="D17" s="22">
        <v>45</v>
      </c>
      <c r="E17" s="22">
        <v>50</v>
      </c>
      <c r="F17" s="22">
        <v>50</v>
      </c>
      <c r="G17" s="22">
        <v>50</v>
      </c>
      <c r="H17" s="22">
        <v>55</v>
      </c>
      <c r="I17" s="22">
        <v>55</v>
      </c>
      <c r="J17" s="22">
        <v>55</v>
      </c>
      <c r="K17" s="22">
        <v>55</v>
      </c>
      <c r="L17" s="22">
        <v>55</v>
      </c>
      <c r="M17" s="23">
        <v>60</v>
      </c>
      <c r="N17" s="22">
        <v>60</v>
      </c>
    </row>
    <row r="18" spans="1:14" ht="11.1" customHeight="1" x14ac:dyDescent="0.25">
      <c r="A18" s="31"/>
      <c r="B18" s="21">
        <v>2022</v>
      </c>
      <c r="C18" s="22">
        <v>60</v>
      </c>
      <c r="D18" s="22">
        <v>60</v>
      </c>
      <c r="E18" s="22">
        <v>60</v>
      </c>
      <c r="F18" s="22">
        <v>60</v>
      </c>
      <c r="G18" s="22">
        <v>60</v>
      </c>
      <c r="H18" s="22">
        <v>55</v>
      </c>
      <c r="I18" s="22">
        <v>55</v>
      </c>
      <c r="J18" s="22">
        <v>55</v>
      </c>
      <c r="K18" s="22">
        <v>55</v>
      </c>
      <c r="L18" s="22">
        <v>55</v>
      </c>
      <c r="M18" s="23">
        <v>55</v>
      </c>
      <c r="N18" s="22">
        <v>55</v>
      </c>
    </row>
    <row r="19" spans="1:14" ht="11.1" customHeight="1" x14ac:dyDescent="0.25">
      <c r="A19" s="31"/>
      <c r="B19" s="21">
        <v>2023</v>
      </c>
      <c r="C19" s="22">
        <v>60</v>
      </c>
      <c r="D19" s="22">
        <v>62.5</v>
      </c>
      <c r="E19" s="22">
        <v>62.5</v>
      </c>
      <c r="F19" s="22">
        <v>62</v>
      </c>
      <c r="G19" s="22">
        <v>60</v>
      </c>
      <c r="H19" s="22">
        <v>60</v>
      </c>
      <c r="I19" s="22">
        <v>77</v>
      </c>
      <c r="J19" s="22">
        <v>73</v>
      </c>
      <c r="K19" s="22">
        <v>76</v>
      </c>
      <c r="L19" s="22">
        <v>70</v>
      </c>
      <c r="M19" s="22">
        <v>73</v>
      </c>
      <c r="N19" s="22">
        <v>77.5</v>
      </c>
    </row>
    <row r="20" spans="1:14" ht="11.1" customHeight="1" x14ac:dyDescent="0.25">
      <c r="A20" s="31"/>
      <c r="B20" s="21">
        <v>2024</v>
      </c>
      <c r="C20" s="22">
        <v>68</v>
      </c>
      <c r="D20" s="22">
        <v>83</v>
      </c>
      <c r="E20" s="22">
        <v>83</v>
      </c>
      <c r="F20" s="22">
        <v>79</v>
      </c>
      <c r="G20" s="22">
        <v>79</v>
      </c>
      <c r="H20" s="22">
        <v>95</v>
      </c>
      <c r="I20" s="22">
        <v>80</v>
      </c>
      <c r="J20" s="22">
        <v>80</v>
      </c>
      <c r="K20" s="22">
        <v>83</v>
      </c>
      <c r="L20" s="22">
        <v>65.5</v>
      </c>
      <c r="M20" s="22">
        <v>70</v>
      </c>
      <c r="N20" s="22">
        <v>74</v>
      </c>
    </row>
    <row r="21" spans="1:14" ht="11.1" customHeight="1" x14ac:dyDescent="0.2">
      <c r="A21" s="222"/>
      <c r="B21" s="25">
        <v>2025</v>
      </c>
      <c r="C21" s="26">
        <v>76</v>
      </c>
      <c r="D21" s="26">
        <v>77</v>
      </c>
      <c r="E21" s="26">
        <v>76</v>
      </c>
      <c r="F21" s="26">
        <v>80</v>
      </c>
      <c r="G21" s="26">
        <v>85</v>
      </c>
      <c r="H21" s="26">
        <v>86</v>
      </c>
      <c r="I21" s="26">
        <v>81</v>
      </c>
      <c r="J21" s="222"/>
      <c r="K21" s="222"/>
      <c r="L21" s="222"/>
      <c r="M21" s="222"/>
      <c r="N21" s="222"/>
    </row>
    <row r="22" spans="1:14" ht="11.1" customHeight="1" x14ac:dyDescent="0.2">
      <c r="A22" s="33" t="s">
        <v>109</v>
      </c>
      <c r="B22" s="21">
        <v>2024</v>
      </c>
      <c r="C22" s="22" t="s">
        <v>4</v>
      </c>
      <c r="D22" s="22" t="s">
        <v>4</v>
      </c>
      <c r="E22" s="22">
        <v>90</v>
      </c>
      <c r="F22" s="22">
        <v>90</v>
      </c>
      <c r="G22" s="22">
        <v>95</v>
      </c>
      <c r="H22" s="22">
        <v>95</v>
      </c>
      <c r="I22" s="22">
        <v>95</v>
      </c>
      <c r="J22" s="22">
        <v>100</v>
      </c>
      <c r="K22" s="22">
        <v>89.5</v>
      </c>
      <c r="L22" s="22">
        <v>87.5</v>
      </c>
      <c r="M22" s="22">
        <v>78.41</v>
      </c>
      <c r="N22" s="22">
        <v>78</v>
      </c>
    </row>
    <row r="23" spans="1:14" ht="11.1" customHeight="1" x14ac:dyDescent="0.2">
      <c r="B23" s="25">
        <v>2025</v>
      </c>
      <c r="C23" s="22">
        <v>87</v>
      </c>
      <c r="D23" s="22">
        <v>83</v>
      </c>
      <c r="E23" s="22">
        <v>87</v>
      </c>
      <c r="F23" s="22">
        <v>92</v>
      </c>
      <c r="G23" s="22">
        <v>85</v>
      </c>
      <c r="H23" s="22">
        <v>82</v>
      </c>
      <c r="I23" s="22">
        <v>82</v>
      </c>
    </row>
    <row r="24" spans="1:14" ht="11.1" customHeight="1" x14ac:dyDescent="0.25">
      <c r="A24" s="27" t="s">
        <v>110</v>
      </c>
      <c r="B24" s="21">
        <v>2018</v>
      </c>
      <c r="C24" s="29">
        <v>43</v>
      </c>
      <c r="D24" s="29">
        <v>42</v>
      </c>
      <c r="E24" s="29">
        <v>42.5</v>
      </c>
      <c r="F24" s="29">
        <v>40.5</v>
      </c>
      <c r="G24" s="29">
        <v>42</v>
      </c>
      <c r="H24" s="29">
        <v>42</v>
      </c>
      <c r="I24" s="29">
        <v>42</v>
      </c>
      <c r="J24" s="29">
        <v>43</v>
      </c>
      <c r="K24" s="29">
        <v>42.5</v>
      </c>
      <c r="L24" s="29">
        <v>44</v>
      </c>
      <c r="M24" s="30">
        <v>44</v>
      </c>
      <c r="N24" s="29">
        <v>44</v>
      </c>
    </row>
    <row r="25" spans="1:14" ht="11.1" customHeight="1" x14ac:dyDescent="0.25">
      <c r="A25" s="31"/>
      <c r="B25" s="21">
        <v>2019</v>
      </c>
      <c r="C25" s="22">
        <v>41.5</v>
      </c>
      <c r="D25" s="22">
        <v>43</v>
      </c>
      <c r="E25" s="22">
        <v>42.5</v>
      </c>
      <c r="F25" s="22">
        <v>43.5</v>
      </c>
      <c r="G25" s="22">
        <v>44</v>
      </c>
      <c r="H25" s="22">
        <v>43.5</v>
      </c>
      <c r="I25" s="22">
        <v>42.5</v>
      </c>
      <c r="J25" s="22">
        <v>44.5</v>
      </c>
      <c r="K25" s="22">
        <v>45</v>
      </c>
      <c r="L25" s="22">
        <v>47.5</v>
      </c>
      <c r="M25" s="23">
        <v>47.5</v>
      </c>
      <c r="N25" s="22">
        <v>45</v>
      </c>
    </row>
    <row r="26" spans="1:14" ht="11.1" customHeight="1" x14ac:dyDescent="0.25">
      <c r="A26" s="31"/>
      <c r="B26" s="21">
        <v>2020</v>
      </c>
      <c r="C26" s="22">
        <v>40</v>
      </c>
      <c r="D26" s="22">
        <v>40</v>
      </c>
      <c r="E26" s="22">
        <v>40</v>
      </c>
      <c r="F26" s="22">
        <v>40</v>
      </c>
      <c r="G26" s="22">
        <v>40</v>
      </c>
      <c r="H26" s="22">
        <v>45</v>
      </c>
      <c r="I26" s="22">
        <v>40</v>
      </c>
      <c r="J26" s="22">
        <v>40</v>
      </c>
      <c r="K26" s="22">
        <v>40</v>
      </c>
      <c r="L26" s="22">
        <v>40</v>
      </c>
      <c r="M26" s="23">
        <v>45</v>
      </c>
      <c r="N26" s="22">
        <v>45</v>
      </c>
    </row>
    <row r="27" spans="1:14" ht="11.1" customHeight="1" x14ac:dyDescent="0.25">
      <c r="A27" s="31"/>
      <c r="B27" s="21">
        <v>2021</v>
      </c>
      <c r="C27" s="22">
        <v>45</v>
      </c>
      <c r="D27" s="22">
        <v>52.5</v>
      </c>
      <c r="E27" s="22">
        <v>45</v>
      </c>
      <c r="F27" s="22">
        <v>52.5</v>
      </c>
      <c r="G27" s="22">
        <v>47.5</v>
      </c>
      <c r="H27" s="22">
        <v>55</v>
      </c>
      <c r="I27" s="22">
        <v>47.5</v>
      </c>
      <c r="J27" s="22">
        <v>50</v>
      </c>
      <c r="K27" s="22">
        <v>47.5</v>
      </c>
      <c r="L27" s="22">
        <v>52.5</v>
      </c>
      <c r="M27" s="23">
        <v>50</v>
      </c>
      <c r="N27" s="22">
        <v>47.5</v>
      </c>
    </row>
    <row r="28" spans="1:14" ht="11.1" customHeight="1" x14ac:dyDescent="0.25">
      <c r="A28" s="31"/>
      <c r="B28" s="21">
        <v>2022</v>
      </c>
      <c r="C28" s="22">
        <v>50</v>
      </c>
      <c r="D28" s="22">
        <v>50</v>
      </c>
      <c r="E28" s="22">
        <v>50</v>
      </c>
      <c r="F28" s="22">
        <v>50</v>
      </c>
      <c r="G28" s="22">
        <v>50</v>
      </c>
      <c r="H28" s="22">
        <v>50</v>
      </c>
      <c r="I28" s="22">
        <v>50</v>
      </c>
      <c r="J28" s="22">
        <v>50</v>
      </c>
      <c r="K28" s="22">
        <v>50</v>
      </c>
      <c r="L28" s="22">
        <v>55</v>
      </c>
      <c r="M28" s="23">
        <v>48</v>
      </c>
      <c r="N28" s="22">
        <v>55</v>
      </c>
    </row>
    <row r="29" spans="1:14" ht="11.1" customHeight="1" x14ac:dyDescent="0.25">
      <c r="A29" s="31"/>
      <c r="B29" s="21">
        <v>2023</v>
      </c>
      <c r="C29" s="22">
        <v>55</v>
      </c>
      <c r="D29" s="22">
        <v>55</v>
      </c>
      <c r="E29" s="22">
        <v>50</v>
      </c>
      <c r="F29" s="22">
        <v>52.5</v>
      </c>
      <c r="G29" s="22">
        <v>55</v>
      </c>
      <c r="H29" s="22">
        <v>60</v>
      </c>
      <c r="I29" s="22">
        <v>55</v>
      </c>
      <c r="J29" s="22">
        <v>60</v>
      </c>
      <c r="K29" s="22">
        <v>60</v>
      </c>
      <c r="L29" s="22">
        <v>70</v>
      </c>
      <c r="M29" s="22">
        <v>67.5</v>
      </c>
      <c r="N29" s="22">
        <v>67.5</v>
      </c>
    </row>
    <row r="30" spans="1:14" ht="11.1" customHeight="1" x14ac:dyDescent="0.25">
      <c r="A30" s="31"/>
      <c r="B30" s="21">
        <v>2024</v>
      </c>
      <c r="C30" s="22">
        <v>70</v>
      </c>
      <c r="D30" s="22">
        <v>68</v>
      </c>
      <c r="E30" s="22">
        <v>63</v>
      </c>
      <c r="F30" s="22">
        <v>63</v>
      </c>
      <c r="G30" s="22">
        <v>63</v>
      </c>
      <c r="H30" s="22">
        <v>65</v>
      </c>
      <c r="I30" s="22">
        <v>60</v>
      </c>
      <c r="J30" s="22">
        <v>63</v>
      </c>
      <c r="K30" s="22">
        <v>57</v>
      </c>
      <c r="L30" s="22">
        <v>51</v>
      </c>
      <c r="M30" s="22">
        <v>51</v>
      </c>
      <c r="N30" s="22">
        <v>50</v>
      </c>
    </row>
    <row r="31" spans="1:14" ht="11.1" customHeight="1" x14ac:dyDescent="0.25">
      <c r="A31" s="32"/>
      <c r="B31" s="25">
        <v>2025</v>
      </c>
      <c r="C31" s="22">
        <v>51</v>
      </c>
      <c r="D31" s="22">
        <v>52</v>
      </c>
      <c r="E31" s="22">
        <v>54</v>
      </c>
      <c r="F31" s="22">
        <v>54</v>
      </c>
      <c r="G31" s="22">
        <v>54</v>
      </c>
      <c r="H31" s="22">
        <v>51</v>
      </c>
      <c r="I31" s="22">
        <v>52</v>
      </c>
    </row>
    <row r="32" spans="1:14" ht="11.1" customHeight="1" x14ac:dyDescent="0.25">
      <c r="A32" s="27" t="s">
        <v>111</v>
      </c>
      <c r="B32" s="28">
        <v>2018</v>
      </c>
      <c r="C32" s="29">
        <v>32</v>
      </c>
      <c r="D32" s="29">
        <v>32</v>
      </c>
      <c r="E32" s="29">
        <v>31.5</v>
      </c>
      <c r="F32" s="29">
        <v>32</v>
      </c>
      <c r="G32" s="29">
        <v>32</v>
      </c>
      <c r="H32" s="29">
        <v>32</v>
      </c>
      <c r="I32" s="29">
        <v>32</v>
      </c>
      <c r="J32" s="29">
        <v>32</v>
      </c>
      <c r="K32" s="29">
        <v>32.5</v>
      </c>
      <c r="L32" s="29">
        <v>32.5</v>
      </c>
      <c r="M32" s="30">
        <v>32.5</v>
      </c>
      <c r="N32" s="29">
        <v>32.5</v>
      </c>
    </row>
    <row r="33" spans="1:15" ht="11.1" customHeight="1" x14ac:dyDescent="0.25">
      <c r="A33" s="31"/>
      <c r="B33" s="21">
        <v>2019</v>
      </c>
      <c r="C33" s="22">
        <v>31.5</v>
      </c>
      <c r="D33" s="22">
        <v>30.5</v>
      </c>
      <c r="E33" s="22">
        <v>30.5</v>
      </c>
      <c r="F33" s="22">
        <v>31</v>
      </c>
      <c r="G33" s="22">
        <v>34</v>
      </c>
      <c r="H33" s="22">
        <v>32</v>
      </c>
      <c r="I33" s="22">
        <v>32</v>
      </c>
      <c r="J33" s="22">
        <v>33</v>
      </c>
      <c r="K33" s="22">
        <v>33.5</v>
      </c>
      <c r="L33" s="22">
        <v>32.5</v>
      </c>
      <c r="M33" s="23">
        <v>33</v>
      </c>
      <c r="N33" s="22">
        <v>32.5</v>
      </c>
    </row>
    <row r="34" spans="1:15" ht="11.1" customHeight="1" x14ac:dyDescent="0.25">
      <c r="A34" s="31"/>
      <c r="B34" s="21">
        <v>2020</v>
      </c>
      <c r="C34" s="22">
        <v>32.5</v>
      </c>
      <c r="D34" s="22" t="s">
        <v>4</v>
      </c>
      <c r="E34" s="22" t="s">
        <v>4</v>
      </c>
      <c r="F34" s="22" t="s">
        <v>4</v>
      </c>
      <c r="G34" s="22" t="s">
        <v>4</v>
      </c>
      <c r="H34" s="22">
        <v>37.5</v>
      </c>
      <c r="I34" s="22">
        <v>37.5</v>
      </c>
      <c r="J34" s="22">
        <v>32.5</v>
      </c>
      <c r="K34" s="22">
        <v>37.5</v>
      </c>
      <c r="L34" s="22">
        <v>37.5</v>
      </c>
      <c r="M34" s="23">
        <v>40</v>
      </c>
      <c r="N34" s="22">
        <v>37.5</v>
      </c>
    </row>
    <row r="35" spans="1:15" ht="11.1" customHeight="1" x14ac:dyDescent="0.25">
      <c r="A35" s="31"/>
      <c r="B35" s="21">
        <v>2021</v>
      </c>
      <c r="C35" s="22">
        <v>37.5</v>
      </c>
      <c r="D35" s="22">
        <v>37.5</v>
      </c>
      <c r="E35" s="22">
        <v>37.5</v>
      </c>
      <c r="F35" s="22">
        <v>40</v>
      </c>
      <c r="G35" s="22">
        <v>37.5</v>
      </c>
      <c r="H35" s="22">
        <v>37.5</v>
      </c>
      <c r="I35" s="22">
        <v>37.5</v>
      </c>
      <c r="J35" s="22">
        <v>37.5</v>
      </c>
      <c r="K35" s="22">
        <v>37.5</v>
      </c>
      <c r="L35" s="22">
        <v>37.5</v>
      </c>
      <c r="M35" s="23">
        <v>37.5</v>
      </c>
      <c r="N35" s="22">
        <v>37.5</v>
      </c>
    </row>
    <row r="36" spans="1:15" ht="11.1" customHeight="1" x14ac:dyDescent="0.25">
      <c r="A36" s="31"/>
      <c r="B36" s="21">
        <v>2022</v>
      </c>
      <c r="C36" s="22">
        <v>37.5</v>
      </c>
      <c r="D36" s="22">
        <v>45</v>
      </c>
      <c r="E36" s="22">
        <v>45</v>
      </c>
      <c r="F36" s="22">
        <v>45</v>
      </c>
      <c r="G36" s="22">
        <v>45</v>
      </c>
      <c r="H36" s="22">
        <v>45</v>
      </c>
      <c r="I36" s="22">
        <v>47.5</v>
      </c>
      <c r="J36" s="22">
        <v>47.5</v>
      </c>
      <c r="K36" s="22">
        <v>50</v>
      </c>
      <c r="L36" s="22">
        <v>47.5</v>
      </c>
      <c r="M36" s="23">
        <v>47.5</v>
      </c>
      <c r="N36" s="22">
        <v>47.5</v>
      </c>
    </row>
    <row r="37" spans="1:15" ht="11.1" customHeight="1" x14ac:dyDescent="0.25">
      <c r="A37" s="31"/>
      <c r="B37" s="21">
        <v>2023</v>
      </c>
      <c r="C37" s="22">
        <v>47.5</v>
      </c>
      <c r="D37" s="22">
        <v>48</v>
      </c>
      <c r="E37" s="22">
        <v>48</v>
      </c>
      <c r="F37" s="22">
        <v>48</v>
      </c>
      <c r="G37" s="22">
        <v>48</v>
      </c>
      <c r="H37" s="22">
        <v>47</v>
      </c>
      <c r="I37" s="22">
        <v>50</v>
      </c>
      <c r="J37" s="22">
        <v>52</v>
      </c>
      <c r="K37" s="22">
        <v>50</v>
      </c>
      <c r="L37" s="22">
        <v>50</v>
      </c>
      <c r="M37" s="22">
        <v>50</v>
      </c>
      <c r="N37" s="22">
        <v>50</v>
      </c>
    </row>
    <row r="38" spans="1:15" ht="11.1" customHeight="1" x14ac:dyDescent="0.25">
      <c r="A38" s="31"/>
      <c r="B38" s="21">
        <v>2024</v>
      </c>
      <c r="C38" s="22">
        <v>45</v>
      </c>
      <c r="D38" s="22">
        <v>45</v>
      </c>
      <c r="E38" s="22">
        <v>48</v>
      </c>
      <c r="F38" s="22">
        <v>55</v>
      </c>
      <c r="G38" s="22">
        <v>70</v>
      </c>
      <c r="H38" s="22">
        <v>90</v>
      </c>
      <c r="I38" s="22">
        <v>60</v>
      </c>
      <c r="J38" s="22">
        <v>50</v>
      </c>
      <c r="K38" s="22">
        <v>49</v>
      </c>
      <c r="L38" s="22">
        <v>44</v>
      </c>
      <c r="M38" s="22">
        <v>44</v>
      </c>
      <c r="N38" s="22">
        <v>42</v>
      </c>
    </row>
    <row r="39" spans="1:15" ht="11.1" customHeight="1" x14ac:dyDescent="0.25">
      <c r="A39" s="32"/>
      <c r="B39" s="25">
        <v>2025</v>
      </c>
      <c r="C39" s="22">
        <v>45</v>
      </c>
      <c r="D39" s="22">
        <v>44</v>
      </c>
      <c r="E39" s="22">
        <v>46</v>
      </c>
      <c r="F39" s="22">
        <v>44</v>
      </c>
      <c r="G39" s="22">
        <v>40</v>
      </c>
      <c r="H39" s="22">
        <v>43</v>
      </c>
      <c r="I39" s="22">
        <v>44</v>
      </c>
    </row>
    <row r="40" spans="1:15" ht="11.1" customHeight="1" x14ac:dyDescent="0.25">
      <c r="A40" s="34" t="s">
        <v>112</v>
      </c>
      <c r="B40" s="28">
        <v>2018</v>
      </c>
      <c r="C40" s="29">
        <v>37</v>
      </c>
      <c r="D40" s="29">
        <v>34.5</v>
      </c>
      <c r="E40" s="29">
        <v>36</v>
      </c>
      <c r="F40" s="29">
        <v>35</v>
      </c>
      <c r="G40" s="29">
        <v>35</v>
      </c>
      <c r="H40" s="29">
        <v>35</v>
      </c>
      <c r="I40" s="29">
        <v>35</v>
      </c>
      <c r="J40" s="29">
        <v>35</v>
      </c>
      <c r="K40" s="29">
        <v>35.5</v>
      </c>
      <c r="L40" s="29">
        <v>35</v>
      </c>
      <c r="M40" s="30">
        <v>35</v>
      </c>
      <c r="N40" s="29">
        <v>36</v>
      </c>
    </row>
    <row r="41" spans="1:15" ht="11.1" customHeight="1" x14ac:dyDescent="0.25">
      <c r="A41" s="20"/>
      <c r="B41" s="21">
        <v>2019</v>
      </c>
      <c r="C41" s="22">
        <v>32.5</v>
      </c>
      <c r="D41" s="22">
        <v>34</v>
      </c>
      <c r="E41" s="22">
        <v>30</v>
      </c>
      <c r="F41" s="22">
        <v>38</v>
      </c>
      <c r="G41" s="22">
        <v>39.700000000000003</v>
      </c>
      <c r="H41" s="22">
        <v>40</v>
      </c>
      <c r="I41" s="22">
        <v>37</v>
      </c>
      <c r="J41" s="22">
        <v>40</v>
      </c>
      <c r="K41" s="22">
        <v>50</v>
      </c>
      <c r="L41" s="22">
        <v>50</v>
      </c>
      <c r="M41" s="23">
        <v>55</v>
      </c>
      <c r="N41" s="22">
        <v>55</v>
      </c>
    </row>
    <row r="42" spans="1:15" ht="11.1" customHeight="1" x14ac:dyDescent="0.25">
      <c r="A42" s="20"/>
      <c r="B42" s="21">
        <v>2020</v>
      </c>
      <c r="C42" s="22">
        <v>55</v>
      </c>
      <c r="D42" s="22" t="s">
        <v>4</v>
      </c>
      <c r="E42" s="22" t="s">
        <v>4</v>
      </c>
      <c r="F42" s="22" t="s">
        <v>4</v>
      </c>
      <c r="G42" s="22" t="s">
        <v>4</v>
      </c>
      <c r="H42" s="22" t="s">
        <v>4</v>
      </c>
      <c r="I42" s="22" t="s">
        <v>4</v>
      </c>
      <c r="J42" s="22" t="s">
        <v>4</v>
      </c>
      <c r="K42" s="22" t="s">
        <v>4</v>
      </c>
      <c r="L42" s="22" t="s">
        <v>4</v>
      </c>
      <c r="M42" s="23" t="s">
        <v>4</v>
      </c>
      <c r="N42" s="22" t="s">
        <v>4</v>
      </c>
    </row>
    <row r="43" spans="1:15" ht="11.1" customHeight="1" x14ac:dyDescent="0.25">
      <c r="A43" s="31"/>
      <c r="B43" s="21">
        <v>2021</v>
      </c>
      <c r="C43" s="22" t="s">
        <v>4</v>
      </c>
      <c r="D43" s="22" t="s">
        <v>4</v>
      </c>
      <c r="E43" s="22" t="s">
        <v>4</v>
      </c>
      <c r="F43" s="22" t="s">
        <v>4</v>
      </c>
      <c r="G43" s="22" t="s">
        <v>4</v>
      </c>
      <c r="H43" s="22" t="s">
        <v>4</v>
      </c>
      <c r="I43" s="22">
        <v>57.5</v>
      </c>
      <c r="J43" s="22">
        <v>57.5</v>
      </c>
      <c r="K43" s="22" t="s">
        <v>4</v>
      </c>
      <c r="L43" s="22" t="s">
        <v>4</v>
      </c>
      <c r="M43" s="23">
        <v>62.5</v>
      </c>
      <c r="N43" s="22" t="s">
        <v>4</v>
      </c>
    </row>
    <row r="44" spans="1:15" ht="11.1" customHeight="1" x14ac:dyDescent="0.25">
      <c r="A44" s="31"/>
      <c r="B44" s="21">
        <v>2022</v>
      </c>
      <c r="C44" s="22">
        <v>62.5</v>
      </c>
      <c r="D44" s="22">
        <v>57.5</v>
      </c>
      <c r="E44" s="22">
        <v>57.5</v>
      </c>
      <c r="F44" s="22">
        <v>57.5</v>
      </c>
      <c r="G44" s="22">
        <v>62.5</v>
      </c>
      <c r="H44" s="22">
        <v>62.5</v>
      </c>
      <c r="I44" s="22">
        <v>57.5</v>
      </c>
      <c r="J44" s="22">
        <v>57.5</v>
      </c>
      <c r="K44" s="22">
        <v>57.5</v>
      </c>
      <c r="L44" s="22">
        <v>57.5</v>
      </c>
      <c r="M44" s="23" t="s">
        <v>4</v>
      </c>
      <c r="N44" s="22">
        <v>57.5</v>
      </c>
    </row>
    <row r="45" spans="1:15" ht="11.1" customHeight="1" x14ac:dyDescent="0.25">
      <c r="A45" s="31"/>
      <c r="B45" s="21">
        <v>2023</v>
      </c>
      <c r="C45" s="22">
        <v>57.5</v>
      </c>
      <c r="D45" s="22">
        <v>57.5</v>
      </c>
      <c r="E45" s="22">
        <v>67.5</v>
      </c>
      <c r="F45" s="22">
        <v>67.5</v>
      </c>
      <c r="G45" s="22" t="s">
        <v>4</v>
      </c>
      <c r="H45" s="22" t="s">
        <v>4</v>
      </c>
      <c r="I45" s="22" t="s">
        <v>4</v>
      </c>
      <c r="J45" s="22" t="s">
        <v>4</v>
      </c>
      <c r="K45" s="22" t="s">
        <v>4</v>
      </c>
      <c r="L45" s="22">
        <v>57.5</v>
      </c>
      <c r="M45" s="22">
        <v>63</v>
      </c>
      <c r="N45" s="22">
        <v>64</v>
      </c>
    </row>
    <row r="46" spans="1:15" ht="11.1" customHeight="1" x14ac:dyDescent="0.25">
      <c r="A46" s="31"/>
      <c r="B46" s="21">
        <v>2024</v>
      </c>
      <c r="C46" s="22">
        <v>57.5</v>
      </c>
      <c r="D46" s="22">
        <v>54</v>
      </c>
      <c r="E46" s="22">
        <v>50</v>
      </c>
      <c r="F46" s="22">
        <v>53</v>
      </c>
      <c r="G46" s="22">
        <v>60</v>
      </c>
      <c r="H46" s="22">
        <v>60</v>
      </c>
      <c r="I46" s="22">
        <v>63</v>
      </c>
      <c r="J46" s="22">
        <v>63</v>
      </c>
      <c r="K46" s="22">
        <v>55</v>
      </c>
      <c r="L46" s="22" t="s">
        <v>4</v>
      </c>
      <c r="M46" s="22" t="s">
        <v>4</v>
      </c>
      <c r="N46" s="22">
        <v>56</v>
      </c>
      <c r="O46" s="223"/>
    </row>
    <row r="47" spans="1:15" ht="11.1" customHeight="1" x14ac:dyDescent="0.25">
      <c r="A47" s="32"/>
      <c r="B47" s="25">
        <v>2025</v>
      </c>
      <c r="C47" s="26" t="s">
        <v>4</v>
      </c>
      <c r="D47" s="26" t="s">
        <v>4</v>
      </c>
      <c r="E47" s="26" t="s">
        <v>4</v>
      </c>
      <c r="F47" s="26" t="s">
        <v>4</v>
      </c>
      <c r="G47" s="26" t="s">
        <v>4</v>
      </c>
      <c r="H47" s="26" t="s">
        <v>4</v>
      </c>
      <c r="I47" s="26" t="s">
        <v>4</v>
      </c>
    </row>
    <row r="48" spans="1:15" ht="11.1" customHeight="1" x14ac:dyDescent="0.25">
      <c r="A48" s="34" t="s">
        <v>17</v>
      </c>
      <c r="B48" s="28">
        <v>2018</v>
      </c>
      <c r="C48" s="29">
        <v>36.5</v>
      </c>
      <c r="D48" s="29">
        <v>36.5</v>
      </c>
      <c r="E48" s="29">
        <v>36.5</v>
      </c>
      <c r="F48" s="29">
        <v>36.799999999999997</v>
      </c>
      <c r="G48" s="29">
        <v>38</v>
      </c>
      <c r="H48" s="29">
        <v>38</v>
      </c>
      <c r="I48" s="29">
        <v>38</v>
      </c>
      <c r="J48" s="29">
        <v>34</v>
      </c>
      <c r="K48" s="29">
        <v>34</v>
      </c>
      <c r="L48" s="29">
        <v>34</v>
      </c>
      <c r="M48" s="30">
        <v>34</v>
      </c>
      <c r="N48" s="29">
        <v>36</v>
      </c>
    </row>
    <row r="49" spans="1:14" ht="11.1" customHeight="1" x14ac:dyDescent="0.25">
      <c r="A49" s="20"/>
      <c r="B49" s="21">
        <v>2019</v>
      </c>
      <c r="C49" s="22">
        <v>38</v>
      </c>
      <c r="D49" s="22">
        <v>38</v>
      </c>
      <c r="E49" s="22">
        <v>38</v>
      </c>
      <c r="F49" s="22">
        <v>38</v>
      </c>
      <c r="G49" s="22">
        <v>40</v>
      </c>
      <c r="H49" s="22">
        <v>40</v>
      </c>
      <c r="I49" s="22">
        <v>40</v>
      </c>
      <c r="J49" s="22">
        <v>40</v>
      </c>
      <c r="K49" s="22">
        <v>40</v>
      </c>
      <c r="L49" s="22">
        <v>40</v>
      </c>
      <c r="M49" s="23">
        <v>40</v>
      </c>
      <c r="N49" s="22">
        <v>40</v>
      </c>
    </row>
    <row r="50" spans="1:14" ht="11.1" customHeight="1" x14ac:dyDescent="0.25">
      <c r="A50" s="20"/>
      <c r="B50" s="21">
        <v>2020</v>
      </c>
      <c r="C50" s="22">
        <v>40</v>
      </c>
      <c r="D50" s="22" t="s">
        <v>4</v>
      </c>
      <c r="E50" s="22" t="s">
        <v>4</v>
      </c>
      <c r="F50" s="22" t="s">
        <v>4</v>
      </c>
      <c r="G50" s="22">
        <v>40</v>
      </c>
      <c r="H50" s="22">
        <v>40</v>
      </c>
      <c r="I50" s="22">
        <v>40</v>
      </c>
      <c r="J50" s="22">
        <v>40</v>
      </c>
      <c r="K50" s="22" t="s">
        <v>4</v>
      </c>
      <c r="L50" s="22">
        <v>40</v>
      </c>
      <c r="M50" s="23">
        <v>40</v>
      </c>
      <c r="N50" s="22">
        <v>40</v>
      </c>
    </row>
    <row r="51" spans="1:14" ht="11.1" customHeight="1" x14ac:dyDescent="0.25">
      <c r="A51" s="20"/>
      <c r="B51" s="21">
        <v>2021</v>
      </c>
      <c r="C51" s="22">
        <v>40</v>
      </c>
      <c r="D51" s="22">
        <v>40</v>
      </c>
      <c r="E51" s="22">
        <v>40</v>
      </c>
      <c r="F51" s="22">
        <v>40</v>
      </c>
      <c r="G51" s="22">
        <v>40</v>
      </c>
      <c r="H51" s="22">
        <v>40</v>
      </c>
      <c r="I51" s="22">
        <v>40</v>
      </c>
      <c r="J51" s="22">
        <v>40</v>
      </c>
      <c r="K51" s="22">
        <v>40</v>
      </c>
      <c r="L51" s="22">
        <v>40</v>
      </c>
      <c r="M51" s="23">
        <v>40</v>
      </c>
      <c r="N51" s="22">
        <v>42.5</v>
      </c>
    </row>
    <row r="52" spans="1:14" ht="11.1" customHeight="1" x14ac:dyDescent="0.25">
      <c r="A52" s="20"/>
      <c r="B52" s="21">
        <v>2022</v>
      </c>
      <c r="C52" s="22">
        <v>42.5</v>
      </c>
      <c r="D52" s="22">
        <v>42.5</v>
      </c>
      <c r="E52" s="22">
        <v>42.5</v>
      </c>
      <c r="F52" s="22">
        <v>43</v>
      </c>
      <c r="G52" s="22">
        <v>42.5</v>
      </c>
      <c r="H52" s="22">
        <v>43</v>
      </c>
      <c r="I52" s="22">
        <v>47.5</v>
      </c>
      <c r="J52" s="22">
        <v>47.5</v>
      </c>
      <c r="K52" s="22">
        <v>47.5</v>
      </c>
      <c r="L52" s="22">
        <v>47.5</v>
      </c>
      <c r="M52" s="23">
        <v>47.5</v>
      </c>
      <c r="N52" s="22">
        <v>47.5</v>
      </c>
    </row>
    <row r="53" spans="1:14" ht="11.1" customHeight="1" x14ac:dyDescent="0.25">
      <c r="A53" s="20"/>
      <c r="B53" s="21">
        <v>2023</v>
      </c>
      <c r="C53" s="22">
        <v>47.5</v>
      </c>
      <c r="D53" s="22">
        <v>47.5</v>
      </c>
      <c r="E53" s="22">
        <v>47.5</v>
      </c>
      <c r="F53" s="22">
        <v>47.5</v>
      </c>
      <c r="G53" s="22">
        <v>48</v>
      </c>
      <c r="H53" s="22">
        <v>47.5</v>
      </c>
      <c r="I53" s="22">
        <v>48</v>
      </c>
      <c r="J53" s="22">
        <v>48</v>
      </c>
      <c r="K53" s="22">
        <v>43</v>
      </c>
      <c r="L53" s="22">
        <v>48</v>
      </c>
      <c r="M53" s="22">
        <v>48</v>
      </c>
      <c r="N53" s="22">
        <v>48</v>
      </c>
    </row>
    <row r="54" spans="1:14" ht="11.1" customHeight="1" x14ac:dyDescent="0.25">
      <c r="A54" s="20"/>
      <c r="B54" s="21">
        <v>2024</v>
      </c>
      <c r="C54" s="22">
        <v>50</v>
      </c>
      <c r="D54" s="22">
        <v>58</v>
      </c>
      <c r="E54" s="22">
        <v>60</v>
      </c>
      <c r="F54" s="22">
        <v>58</v>
      </c>
      <c r="G54" s="22">
        <v>53</v>
      </c>
      <c r="H54" s="22">
        <v>53</v>
      </c>
      <c r="I54" s="22">
        <v>53</v>
      </c>
      <c r="J54" s="22">
        <v>53</v>
      </c>
      <c r="K54" s="22">
        <v>50</v>
      </c>
      <c r="L54" s="22">
        <v>49</v>
      </c>
      <c r="M54" s="22">
        <v>52.5</v>
      </c>
      <c r="N54" s="22">
        <v>54</v>
      </c>
    </row>
    <row r="55" spans="1:14" ht="11.1" customHeight="1" x14ac:dyDescent="0.25">
      <c r="A55" s="24"/>
      <c r="B55" s="25">
        <v>2025</v>
      </c>
      <c r="C55" s="22">
        <v>52</v>
      </c>
      <c r="D55" s="22">
        <v>50</v>
      </c>
      <c r="E55" s="22">
        <v>53</v>
      </c>
      <c r="F55" s="22">
        <v>54</v>
      </c>
      <c r="G55" s="22">
        <v>52</v>
      </c>
      <c r="H55" s="22">
        <v>53</v>
      </c>
      <c r="I55" s="22">
        <v>50</v>
      </c>
    </row>
    <row r="56" spans="1:14" ht="11.1" customHeight="1" x14ac:dyDescent="0.25">
      <c r="A56" s="34" t="s">
        <v>21</v>
      </c>
      <c r="B56" s="28">
        <v>2018</v>
      </c>
      <c r="C56" s="29">
        <v>32</v>
      </c>
      <c r="D56" s="29">
        <v>32</v>
      </c>
      <c r="E56" s="29">
        <v>33</v>
      </c>
      <c r="F56" s="29">
        <v>34</v>
      </c>
      <c r="G56" s="29">
        <v>34</v>
      </c>
      <c r="H56" s="29">
        <v>34</v>
      </c>
      <c r="I56" s="29">
        <v>34</v>
      </c>
      <c r="J56" s="29">
        <v>34</v>
      </c>
      <c r="K56" s="29">
        <v>34</v>
      </c>
      <c r="L56" s="29">
        <v>33</v>
      </c>
      <c r="M56" s="30">
        <v>33</v>
      </c>
      <c r="N56" s="29">
        <v>33</v>
      </c>
    </row>
    <row r="57" spans="1:14" ht="11.1" customHeight="1" x14ac:dyDescent="0.25">
      <c r="A57" s="20"/>
      <c r="B57" s="21">
        <v>2019</v>
      </c>
      <c r="C57" s="22">
        <v>33</v>
      </c>
      <c r="D57" s="22">
        <v>33.5</v>
      </c>
      <c r="E57" s="22">
        <v>33.5</v>
      </c>
      <c r="F57" s="22">
        <v>34</v>
      </c>
      <c r="G57" s="22">
        <v>34</v>
      </c>
      <c r="H57" s="22">
        <v>37</v>
      </c>
      <c r="I57" s="22">
        <v>37</v>
      </c>
      <c r="J57" s="22">
        <v>37</v>
      </c>
      <c r="K57" s="22">
        <v>38</v>
      </c>
      <c r="L57" s="22">
        <v>35</v>
      </c>
      <c r="M57" s="23">
        <v>38</v>
      </c>
      <c r="N57" s="22">
        <v>38</v>
      </c>
    </row>
    <row r="58" spans="1:14" ht="11.1" customHeight="1" x14ac:dyDescent="0.25">
      <c r="A58" s="20"/>
      <c r="B58" s="21">
        <v>2020</v>
      </c>
      <c r="C58" s="22">
        <v>43</v>
      </c>
      <c r="D58" s="22">
        <v>43</v>
      </c>
      <c r="E58" s="22" t="s">
        <v>4</v>
      </c>
      <c r="F58" s="22">
        <v>43</v>
      </c>
      <c r="G58" s="22">
        <v>43</v>
      </c>
      <c r="H58" s="22">
        <v>43</v>
      </c>
      <c r="I58" s="22">
        <v>43</v>
      </c>
      <c r="J58" s="22">
        <v>43</v>
      </c>
      <c r="K58" s="22">
        <v>43</v>
      </c>
      <c r="L58" s="22">
        <v>63</v>
      </c>
      <c r="M58" s="23">
        <v>63</v>
      </c>
      <c r="N58" s="22">
        <v>63</v>
      </c>
    </row>
    <row r="59" spans="1:14" ht="11.1" customHeight="1" x14ac:dyDescent="0.25">
      <c r="A59" s="20"/>
      <c r="B59" s="21">
        <v>2021</v>
      </c>
      <c r="C59" s="22">
        <v>62.5</v>
      </c>
      <c r="D59" s="22">
        <v>62.5</v>
      </c>
      <c r="E59" s="22">
        <v>62.5</v>
      </c>
      <c r="F59" s="22">
        <v>62.5</v>
      </c>
      <c r="G59" s="22">
        <v>62.5</v>
      </c>
      <c r="H59" s="22">
        <v>62.5</v>
      </c>
      <c r="I59" s="22">
        <v>62.5</v>
      </c>
      <c r="J59" s="22">
        <v>62.5</v>
      </c>
      <c r="K59" s="22">
        <v>62.5</v>
      </c>
      <c r="L59" s="22">
        <v>62.5</v>
      </c>
      <c r="M59" s="23">
        <v>62.5</v>
      </c>
      <c r="N59" s="22">
        <v>62.5</v>
      </c>
    </row>
    <row r="60" spans="1:14" ht="11.1" customHeight="1" x14ac:dyDescent="0.25">
      <c r="A60" s="20"/>
      <c r="B60" s="21">
        <v>2022</v>
      </c>
      <c r="C60" s="22">
        <v>62.5</v>
      </c>
      <c r="D60" s="22">
        <v>65</v>
      </c>
      <c r="E60" s="22">
        <v>75</v>
      </c>
      <c r="F60" s="22">
        <v>72.5</v>
      </c>
      <c r="G60" s="22">
        <v>62.5</v>
      </c>
      <c r="H60" s="22">
        <v>75</v>
      </c>
      <c r="I60" s="22">
        <v>67.5</v>
      </c>
      <c r="J60" s="22">
        <v>65</v>
      </c>
      <c r="K60" s="22">
        <v>62.5</v>
      </c>
      <c r="L60" s="22">
        <v>65</v>
      </c>
      <c r="M60" s="23">
        <v>75</v>
      </c>
      <c r="N60" s="22">
        <v>65</v>
      </c>
    </row>
    <row r="61" spans="1:14" ht="11.1" customHeight="1" x14ac:dyDescent="0.25">
      <c r="A61" s="20"/>
      <c r="B61" s="21">
        <v>2023</v>
      </c>
      <c r="C61" s="22">
        <v>65</v>
      </c>
      <c r="D61" s="22">
        <v>67.5</v>
      </c>
      <c r="E61" s="22">
        <v>50</v>
      </c>
      <c r="F61" s="22">
        <v>60</v>
      </c>
      <c r="G61" s="22">
        <v>65</v>
      </c>
      <c r="H61" s="22">
        <v>70</v>
      </c>
      <c r="I61" s="22">
        <v>65</v>
      </c>
      <c r="J61" s="22">
        <v>65</v>
      </c>
      <c r="K61" s="22">
        <v>68</v>
      </c>
      <c r="L61" s="22">
        <v>55</v>
      </c>
      <c r="M61" s="22">
        <v>55</v>
      </c>
      <c r="N61" s="22">
        <v>60</v>
      </c>
    </row>
    <row r="62" spans="1:14" ht="11.1" customHeight="1" x14ac:dyDescent="0.25">
      <c r="A62" s="20"/>
      <c r="B62" s="21">
        <v>2024</v>
      </c>
      <c r="C62" s="22">
        <v>55</v>
      </c>
      <c r="D62" s="22">
        <v>55</v>
      </c>
      <c r="E62" s="22">
        <v>55</v>
      </c>
      <c r="F62" s="22">
        <v>49</v>
      </c>
      <c r="G62" s="22">
        <v>58</v>
      </c>
      <c r="H62" s="22">
        <v>65</v>
      </c>
      <c r="I62" s="22">
        <v>60</v>
      </c>
      <c r="J62" s="22">
        <v>60</v>
      </c>
      <c r="K62" s="22">
        <v>51</v>
      </c>
      <c r="L62" s="22">
        <v>46</v>
      </c>
      <c r="M62" s="22">
        <v>45</v>
      </c>
      <c r="N62" s="22">
        <v>46</v>
      </c>
    </row>
    <row r="63" spans="1:14" ht="11.1" customHeight="1" x14ac:dyDescent="0.25">
      <c r="A63" s="24"/>
      <c r="B63" s="25">
        <v>2025</v>
      </c>
      <c r="C63" s="22">
        <v>47</v>
      </c>
      <c r="D63" s="22">
        <v>47</v>
      </c>
      <c r="E63" s="22">
        <v>49</v>
      </c>
      <c r="F63" s="22">
        <v>46</v>
      </c>
      <c r="G63" s="22">
        <v>41</v>
      </c>
      <c r="H63" s="22">
        <v>47</v>
      </c>
      <c r="I63" s="22">
        <v>46</v>
      </c>
    </row>
    <row r="64" spans="1:14" ht="11.1" customHeight="1" x14ac:dyDescent="0.2">
      <c r="A64" s="35"/>
      <c r="B64" s="36"/>
      <c r="C64" s="37"/>
      <c r="D64" s="37"/>
      <c r="E64" s="37"/>
      <c r="F64" s="37"/>
      <c r="G64" s="38"/>
      <c r="H64" s="38"/>
      <c r="I64" s="37"/>
      <c r="J64" s="37"/>
      <c r="K64" s="37"/>
      <c r="L64" s="38"/>
      <c r="M64" s="38"/>
      <c r="N64" s="39" t="s">
        <v>26</v>
      </c>
    </row>
    <row r="65" spans="1:15" ht="11.1" customHeight="1" x14ac:dyDescent="0.25">
      <c r="A65" s="706" t="s">
        <v>113</v>
      </c>
      <c r="B65" s="706"/>
      <c r="C65" s="706"/>
      <c r="D65" s="706"/>
      <c r="E65" s="706"/>
      <c r="F65" s="706"/>
      <c r="G65" s="40"/>
      <c r="H65" s="40"/>
      <c r="I65" s="41"/>
      <c r="J65" s="41"/>
      <c r="K65" s="22"/>
      <c r="L65" s="23"/>
      <c r="M65" s="23"/>
      <c r="N65" s="23"/>
    </row>
    <row r="66" spans="1:15" ht="15.95" customHeight="1" x14ac:dyDescent="0.2">
      <c r="A66" s="239" t="s">
        <v>95</v>
      </c>
      <c r="B66" s="239" t="s">
        <v>96</v>
      </c>
      <c r="C66" s="239" t="s">
        <v>97</v>
      </c>
      <c r="D66" s="239" t="s">
        <v>98</v>
      </c>
      <c r="E66" s="239" t="s">
        <v>99</v>
      </c>
      <c r="F66" s="239" t="s">
        <v>100</v>
      </c>
      <c r="G66" s="239" t="s">
        <v>101</v>
      </c>
      <c r="H66" s="239" t="s">
        <v>102</v>
      </c>
      <c r="I66" s="239" t="s">
        <v>103</v>
      </c>
      <c r="J66" s="240" t="s">
        <v>104</v>
      </c>
      <c r="K66" s="240" t="s">
        <v>105</v>
      </c>
      <c r="L66" s="239" t="s">
        <v>106</v>
      </c>
      <c r="M66" s="239" t="s">
        <v>107</v>
      </c>
      <c r="N66" s="239" t="s">
        <v>108</v>
      </c>
    </row>
    <row r="67" spans="1:15" ht="3" customHeight="1" x14ac:dyDescent="0.25">
      <c r="A67" s="20"/>
      <c r="B67" s="21"/>
      <c r="C67" s="22"/>
    </row>
    <row r="68" spans="1:15" ht="11.1" customHeight="1" x14ac:dyDescent="0.25">
      <c r="A68" s="20" t="s">
        <v>53</v>
      </c>
      <c r="B68" s="21">
        <v>2018</v>
      </c>
      <c r="C68" s="22">
        <v>49</v>
      </c>
      <c r="D68" s="22">
        <v>49</v>
      </c>
      <c r="E68" s="22">
        <v>49</v>
      </c>
      <c r="F68" s="22">
        <v>50</v>
      </c>
      <c r="G68" s="22">
        <v>50</v>
      </c>
      <c r="H68" s="22">
        <v>50</v>
      </c>
      <c r="I68" s="22">
        <v>44</v>
      </c>
      <c r="J68" s="22">
        <v>44</v>
      </c>
      <c r="K68" s="22">
        <v>50</v>
      </c>
      <c r="L68" s="22">
        <v>49</v>
      </c>
      <c r="M68" s="23">
        <v>49</v>
      </c>
      <c r="N68" s="22">
        <v>49</v>
      </c>
    </row>
    <row r="69" spans="1:15" ht="11.1" customHeight="1" x14ac:dyDescent="0.25">
      <c r="A69" s="20"/>
      <c r="B69" s="21">
        <v>2019</v>
      </c>
      <c r="C69" s="22">
        <v>43</v>
      </c>
      <c r="D69" s="22">
        <v>44</v>
      </c>
      <c r="E69" s="22">
        <v>50</v>
      </c>
      <c r="F69" s="22">
        <v>50</v>
      </c>
      <c r="G69" s="22">
        <v>45</v>
      </c>
      <c r="H69" s="22">
        <v>45</v>
      </c>
      <c r="I69" s="22">
        <v>40</v>
      </c>
      <c r="J69" s="22">
        <v>40</v>
      </c>
      <c r="K69" s="22">
        <v>40</v>
      </c>
      <c r="L69" s="22">
        <v>40</v>
      </c>
      <c r="M69" s="22">
        <v>40</v>
      </c>
      <c r="N69" s="22">
        <v>40</v>
      </c>
    </row>
    <row r="70" spans="1:15" ht="11.1" customHeight="1" x14ac:dyDescent="0.25">
      <c r="A70" s="20"/>
      <c r="B70" s="21">
        <v>2020</v>
      </c>
      <c r="C70" s="22">
        <v>40</v>
      </c>
      <c r="D70" s="22" t="s">
        <v>4</v>
      </c>
      <c r="E70" s="22" t="s">
        <v>4</v>
      </c>
      <c r="F70" s="22" t="s">
        <v>4</v>
      </c>
      <c r="G70" s="22" t="s">
        <v>4</v>
      </c>
      <c r="H70" s="22" t="s">
        <v>4</v>
      </c>
      <c r="I70" s="22" t="s">
        <v>4</v>
      </c>
      <c r="J70" s="22" t="s">
        <v>4</v>
      </c>
      <c r="K70" s="22" t="s">
        <v>4</v>
      </c>
      <c r="L70" s="22" t="s">
        <v>4</v>
      </c>
      <c r="M70" s="23" t="s">
        <v>4</v>
      </c>
      <c r="N70" s="22" t="s">
        <v>4</v>
      </c>
    </row>
    <row r="71" spans="1:15" ht="11.1" customHeight="1" x14ac:dyDescent="0.25">
      <c r="A71" s="20"/>
      <c r="B71" s="21">
        <v>2021</v>
      </c>
      <c r="C71" s="22">
        <v>42.5</v>
      </c>
      <c r="D71" s="22">
        <v>42.5</v>
      </c>
      <c r="E71" s="22">
        <v>47.5</v>
      </c>
      <c r="F71" s="22">
        <v>47.5</v>
      </c>
      <c r="G71" s="22">
        <v>50</v>
      </c>
      <c r="H71" s="22">
        <v>50</v>
      </c>
      <c r="I71" s="22">
        <v>47.5</v>
      </c>
      <c r="J71" s="22">
        <v>47.5</v>
      </c>
      <c r="K71" s="22">
        <v>46</v>
      </c>
      <c r="L71" s="22">
        <v>49</v>
      </c>
      <c r="M71" s="23">
        <v>47.5</v>
      </c>
      <c r="N71" s="22">
        <v>49</v>
      </c>
    </row>
    <row r="72" spans="1:15" ht="11.1" customHeight="1" x14ac:dyDescent="0.25">
      <c r="A72" s="20"/>
      <c r="B72" s="21">
        <v>2022</v>
      </c>
      <c r="C72" s="22">
        <v>57.5</v>
      </c>
      <c r="D72" s="22">
        <v>57.5</v>
      </c>
      <c r="E72" s="22">
        <v>57.5</v>
      </c>
      <c r="F72" s="22">
        <v>57.5</v>
      </c>
      <c r="G72" s="22">
        <v>53</v>
      </c>
      <c r="H72" s="22">
        <v>53</v>
      </c>
      <c r="I72" s="22">
        <v>60</v>
      </c>
      <c r="J72" s="22">
        <v>65</v>
      </c>
      <c r="K72" s="22">
        <v>60</v>
      </c>
      <c r="L72" s="22">
        <v>57.5</v>
      </c>
      <c r="M72" s="23" t="s">
        <v>4</v>
      </c>
      <c r="N72" s="23" t="s">
        <v>4</v>
      </c>
    </row>
    <row r="73" spans="1:15" ht="11.1" customHeight="1" x14ac:dyDescent="0.25">
      <c r="A73" s="20"/>
      <c r="B73" s="21">
        <v>2023</v>
      </c>
      <c r="C73" s="22" t="s">
        <v>4</v>
      </c>
      <c r="D73" s="22" t="s">
        <v>4</v>
      </c>
      <c r="E73" s="22" t="s">
        <v>4</v>
      </c>
      <c r="F73" s="22" t="s">
        <v>4</v>
      </c>
      <c r="G73" s="22" t="s">
        <v>4</v>
      </c>
      <c r="H73" s="22" t="s">
        <v>4</v>
      </c>
      <c r="I73" s="22">
        <v>55</v>
      </c>
      <c r="J73" s="22">
        <v>65</v>
      </c>
      <c r="K73" s="22">
        <v>57.5</v>
      </c>
      <c r="L73" s="22">
        <v>63</v>
      </c>
      <c r="M73" s="22">
        <v>61</v>
      </c>
      <c r="N73" s="22">
        <v>62</v>
      </c>
    </row>
    <row r="74" spans="1:15" ht="11.1" customHeight="1" x14ac:dyDescent="0.25">
      <c r="A74" s="20"/>
      <c r="B74" s="21">
        <v>2024</v>
      </c>
      <c r="C74" s="22">
        <v>67</v>
      </c>
      <c r="D74" s="22">
        <v>66</v>
      </c>
      <c r="E74" s="22">
        <v>65</v>
      </c>
      <c r="F74" s="22">
        <v>60</v>
      </c>
      <c r="G74" s="22">
        <v>63</v>
      </c>
      <c r="H74" s="22">
        <v>67</v>
      </c>
      <c r="I74" s="22">
        <v>66</v>
      </c>
      <c r="J74" s="22">
        <v>66</v>
      </c>
      <c r="K74" s="22">
        <v>60</v>
      </c>
      <c r="L74" s="22">
        <v>61</v>
      </c>
      <c r="M74" s="23">
        <v>61</v>
      </c>
      <c r="N74" s="22">
        <v>61</v>
      </c>
      <c r="O74" s="223"/>
    </row>
    <row r="75" spans="1:15" ht="11.1" customHeight="1" x14ac:dyDescent="0.25">
      <c r="A75" s="24"/>
      <c r="B75" s="21">
        <v>2025</v>
      </c>
      <c r="C75" s="22">
        <v>60</v>
      </c>
      <c r="D75" s="22">
        <v>66</v>
      </c>
      <c r="E75" s="22">
        <v>65</v>
      </c>
      <c r="F75" s="22">
        <v>66</v>
      </c>
      <c r="G75" s="22">
        <v>66</v>
      </c>
      <c r="H75" s="22">
        <v>66</v>
      </c>
      <c r="I75" s="22">
        <v>59</v>
      </c>
      <c r="J75" s="223"/>
      <c r="K75" s="223"/>
      <c r="L75" s="223"/>
      <c r="M75" s="223"/>
      <c r="N75" s="223"/>
    </row>
    <row r="76" spans="1:15" ht="11.1" customHeight="1" x14ac:dyDescent="0.25">
      <c r="A76" s="20" t="s">
        <v>27</v>
      </c>
      <c r="B76" s="28">
        <v>2018</v>
      </c>
      <c r="C76" s="29">
        <v>45.625</v>
      </c>
      <c r="D76" s="29">
        <v>45.625</v>
      </c>
      <c r="E76" s="29">
        <v>45.625</v>
      </c>
      <c r="F76" s="29">
        <v>45</v>
      </c>
      <c r="G76" s="29">
        <v>45</v>
      </c>
      <c r="H76" s="29">
        <v>45</v>
      </c>
      <c r="I76" s="29">
        <v>47.2</v>
      </c>
      <c r="J76" s="29">
        <v>47.2</v>
      </c>
      <c r="K76" s="29">
        <v>47.5</v>
      </c>
      <c r="L76" s="29">
        <v>47.5</v>
      </c>
      <c r="M76" s="30">
        <v>47.5</v>
      </c>
      <c r="N76" s="29">
        <v>47.5</v>
      </c>
    </row>
    <row r="77" spans="1:15" ht="11.1" customHeight="1" x14ac:dyDescent="0.25">
      <c r="A77" s="20"/>
      <c r="B77" s="21">
        <v>2019</v>
      </c>
      <c r="C77" s="22">
        <v>45</v>
      </c>
      <c r="D77" s="22">
        <v>47</v>
      </c>
      <c r="E77" s="22">
        <v>47</v>
      </c>
      <c r="F77" s="22">
        <v>46</v>
      </c>
      <c r="G77" s="22">
        <v>46</v>
      </c>
      <c r="H77" s="22">
        <v>46</v>
      </c>
      <c r="I77" s="22">
        <v>45.5</v>
      </c>
      <c r="J77" s="22">
        <v>45.7</v>
      </c>
      <c r="K77" s="22">
        <v>45</v>
      </c>
      <c r="L77" s="22">
        <v>45</v>
      </c>
      <c r="M77" s="23">
        <v>45</v>
      </c>
      <c r="N77" s="22">
        <v>45</v>
      </c>
    </row>
    <row r="78" spans="1:15" ht="11.1" customHeight="1" x14ac:dyDescent="0.25">
      <c r="A78" s="20"/>
      <c r="B78" s="21">
        <v>2020</v>
      </c>
      <c r="C78" s="22">
        <v>45</v>
      </c>
      <c r="D78" s="22">
        <v>45</v>
      </c>
      <c r="E78" s="22">
        <v>45</v>
      </c>
      <c r="F78" s="22">
        <v>47.5</v>
      </c>
      <c r="G78" s="22">
        <v>47.5</v>
      </c>
      <c r="H78" s="22">
        <v>47.5</v>
      </c>
      <c r="I78" s="22">
        <v>50</v>
      </c>
      <c r="J78" s="22">
        <v>47.5</v>
      </c>
      <c r="K78" s="22">
        <v>47.5</v>
      </c>
      <c r="L78" s="22">
        <v>50</v>
      </c>
      <c r="M78" s="23">
        <v>50</v>
      </c>
      <c r="N78" s="22">
        <v>47.5</v>
      </c>
    </row>
    <row r="79" spans="1:15" ht="11.1" customHeight="1" x14ac:dyDescent="0.25">
      <c r="A79" s="20"/>
      <c r="B79" s="21">
        <v>2021</v>
      </c>
      <c r="C79" s="22">
        <v>47.5</v>
      </c>
      <c r="D79" s="22">
        <v>47.5</v>
      </c>
      <c r="E79" s="22">
        <v>50</v>
      </c>
      <c r="F79" s="22">
        <v>50</v>
      </c>
      <c r="G79" s="22">
        <v>50</v>
      </c>
      <c r="H79" s="22">
        <v>50</v>
      </c>
      <c r="I79" s="22">
        <v>50</v>
      </c>
      <c r="J79" s="22">
        <v>50</v>
      </c>
      <c r="K79" s="22">
        <v>50</v>
      </c>
      <c r="L79" s="22">
        <v>50</v>
      </c>
      <c r="M79" s="23">
        <v>50</v>
      </c>
      <c r="N79" s="22">
        <v>50</v>
      </c>
    </row>
    <row r="80" spans="1:15" ht="11.1" customHeight="1" x14ac:dyDescent="0.25">
      <c r="A80" s="20"/>
      <c r="B80" s="21">
        <v>2022</v>
      </c>
      <c r="C80" s="22">
        <v>50</v>
      </c>
      <c r="D80" s="22">
        <v>50</v>
      </c>
      <c r="E80" s="22">
        <v>55</v>
      </c>
      <c r="F80" s="22">
        <v>55</v>
      </c>
      <c r="G80" s="22">
        <v>55</v>
      </c>
      <c r="H80" s="22">
        <v>55</v>
      </c>
      <c r="I80" s="22">
        <v>62</v>
      </c>
      <c r="J80" s="22">
        <v>60</v>
      </c>
      <c r="K80" s="22">
        <v>60</v>
      </c>
      <c r="L80" s="22">
        <v>60</v>
      </c>
      <c r="M80" s="23">
        <v>60</v>
      </c>
      <c r="N80" s="22">
        <v>60</v>
      </c>
    </row>
    <row r="81" spans="1:14" ht="11.1" customHeight="1" x14ac:dyDescent="0.25">
      <c r="A81" s="20"/>
      <c r="B81" s="21">
        <v>2023</v>
      </c>
      <c r="C81" s="22">
        <v>55</v>
      </c>
      <c r="D81" s="22">
        <v>50</v>
      </c>
      <c r="E81" s="22">
        <v>65</v>
      </c>
      <c r="F81" s="22">
        <v>60</v>
      </c>
      <c r="G81" s="22">
        <v>60</v>
      </c>
      <c r="H81" s="22">
        <v>60</v>
      </c>
      <c r="I81" s="22">
        <v>55</v>
      </c>
      <c r="J81" s="22">
        <v>55</v>
      </c>
      <c r="K81" s="22">
        <v>60</v>
      </c>
      <c r="L81" s="22">
        <v>60</v>
      </c>
      <c r="M81" s="22">
        <v>65</v>
      </c>
      <c r="N81" s="22">
        <v>60</v>
      </c>
    </row>
    <row r="82" spans="1:14" ht="11.1" customHeight="1" x14ac:dyDescent="0.25">
      <c r="A82" s="20"/>
      <c r="B82" s="21">
        <v>2024</v>
      </c>
      <c r="C82" s="22">
        <v>65</v>
      </c>
      <c r="D82" s="22">
        <v>60</v>
      </c>
      <c r="E82" s="22">
        <v>60</v>
      </c>
      <c r="F82" s="22">
        <v>62</v>
      </c>
      <c r="G82" s="22">
        <v>63</v>
      </c>
      <c r="H82" s="22">
        <v>75</v>
      </c>
      <c r="I82" s="22">
        <v>68</v>
      </c>
      <c r="J82" s="22">
        <v>65</v>
      </c>
      <c r="K82" s="22">
        <v>64</v>
      </c>
      <c r="L82" s="22">
        <v>64</v>
      </c>
      <c r="M82" s="22">
        <v>64</v>
      </c>
      <c r="N82" s="22">
        <v>58</v>
      </c>
    </row>
    <row r="83" spans="1:14" ht="11.1" customHeight="1" x14ac:dyDescent="0.25">
      <c r="A83" s="24"/>
      <c r="B83" s="25">
        <v>2025</v>
      </c>
      <c r="C83" s="26">
        <v>65</v>
      </c>
      <c r="D83" s="26">
        <v>56</v>
      </c>
      <c r="E83" s="26">
        <v>61</v>
      </c>
      <c r="F83" s="26">
        <v>70</v>
      </c>
      <c r="G83" s="26">
        <v>77</v>
      </c>
      <c r="H83" s="26">
        <v>80</v>
      </c>
      <c r="I83" s="26">
        <v>80</v>
      </c>
      <c r="J83" s="222"/>
      <c r="K83" s="222"/>
      <c r="L83" s="222"/>
      <c r="M83" s="222"/>
      <c r="N83" s="222"/>
    </row>
    <row r="84" spans="1:14" ht="11.1" customHeight="1" x14ac:dyDescent="0.25">
      <c r="A84" s="20" t="s">
        <v>114</v>
      </c>
      <c r="B84" s="21">
        <v>2018</v>
      </c>
      <c r="C84" s="22">
        <v>34</v>
      </c>
      <c r="D84" s="22">
        <v>35</v>
      </c>
      <c r="E84" s="22">
        <v>34</v>
      </c>
      <c r="F84" s="22">
        <v>34</v>
      </c>
      <c r="G84" s="22">
        <v>34</v>
      </c>
      <c r="H84" s="22">
        <v>34</v>
      </c>
      <c r="I84" s="22">
        <v>34</v>
      </c>
      <c r="J84" s="22">
        <v>34</v>
      </c>
      <c r="K84" s="22">
        <v>34</v>
      </c>
      <c r="L84" s="22">
        <v>34</v>
      </c>
      <c r="M84" s="23">
        <v>34</v>
      </c>
      <c r="N84" s="22">
        <v>34</v>
      </c>
    </row>
    <row r="85" spans="1:14" ht="11.1" customHeight="1" x14ac:dyDescent="0.25">
      <c r="A85" s="20"/>
      <c r="B85" s="21">
        <v>2019</v>
      </c>
      <c r="C85" s="22">
        <v>35</v>
      </c>
      <c r="D85" s="22">
        <v>35</v>
      </c>
      <c r="E85" s="22">
        <v>35</v>
      </c>
      <c r="F85" s="22">
        <v>35</v>
      </c>
      <c r="G85" s="22">
        <v>35</v>
      </c>
      <c r="H85" s="22">
        <v>35</v>
      </c>
      <c r="I85" s="22">
        <v>35</v>
      </c>
      <c r="J85" s="22">
        <v>36</v>
      </c>
      <c r="K85" s="22">
        <v>40</v>
      </c>
      <c r="L85" s="22">
        <v>38</v>
      </c>
      <c r="M85" s="23">
        <v>35</v>
      </c>
      <c r="N85" s="22">
        <v>38</v>
      </c>
    </row>
    <row r="86" spans="1:14" ht="11.1" customHeight="1" x14ac:dyDescent="0.25">
      <c r="A86" s="20"/>
      <c r="B86" s="21">
        <v>2020</v>
      </c>
      <c r="C86" s="22">
        <v>38</v>
      </c>
      <c r="D86" s="22" t="s">
        <v>4</v>
      </c>
      <c r="E86" s="22" t="s">
        <v>4</v>
      </c>
      <c r="F86" s="22" t="s">
        <v>4</v>
      </c>
      <c r="G86" s="22" t="s">
        <v>4</v>
      </c>
      <c r="H86" s="22" t="s">
        <v>4</v>
      </c>
      <c r="I86" s="22">
        <v>35</v>
      </c>
      <c r="J86" s="22">
        <v>30</v>
      </c>
      <c r="K86" s="22">
        <v>38</v>
      </c>
      <c r="L86" s="22">
        <v>38</v>
      </c>
      <c r="M86" s="23">
        <v>40</v>
      </c>
      <c r="N86" s="22">
        <v>40</v>
      </c>
    </row>
    <row r="87" spans="1:14" ht="11.1" customHeight="1" x14ac:dyDescent="0.25">
      <c r="A87" s="20"/>
      <c r="B87" s="21">
        <v>2021</v>
      </c>
      <c r="C87" s="22">
        <v>45</v>
      </c>
      <c r="D87" s="22">
        <v>43</v>
      </c>
      <c r="E87" s="22">
        <v>42.5</v>
      </c>
      <c r="F87" s="22">
        <v>42.5</v>
      </c>
      <c r="G87" s="22">
        <v>42.5</v>
      </c>
      <c r="H87" s="22">
        <v>42.5</v>
      </c>
      <c r="I87" s="22">
        <v>42.5</v>
      </c>
      <c r="J87" s="22">
        <v>42.5</v>
      </c>
      <c r="K87" s="22">
        <v>42.5</v>
      </c>
      <c r="L87" s="22">
        <v>42.5</v>
      </c>
      <c r="M87" s="23">
        <v>42.5</v>
      </c>
      <c r="N87" s="22">
        <v>42.5</v>
      </c>
    </row>
    <row r="88" spans="1:14" ht="11.1" customHeight="1" x14ac:dyDescent="0.25">
      <c r="A88" s="20"/>
      <c r="B88" s="21">
        <v>2022</v>
      </c>
      <c r="C88" s="22">
        <v>42.5</v>
      </c>
      <c r="D88" s="22">
        <v>42.5</v>
      </c>
      <c r="E88" s="22">
        <v>45</v>
      </c>
      <c r="F88" s="22">
        <v>45</v>
      </c>
      <c r="G88" s="22">
        <v>45</v>
      </c>
      <c r="H88" s="22">
        <v>45</v>
      </c>
      <c r="I88" s="22">
        <v>45</v>
      </c>
      <c r="J88" s="22">
        <v>45</v>
      </c>
      <c r="K88" s="22">
        <v>45</v>
      </c>
      <c r="L88" s="22">
        <v>47.5</v>
      </c>
      <c r="M88" s="23">
        <v>45</v>
      </c>
      <c r="N88" s="22">
        <v>47.5</v>
      </c>
    </row>
    <row r="89" spans="1:14" ht="11.1" customHeight="1" x14ac:dyDescent="0.25">
      <c r="A89" s="20"/>
      <c r="B89" s="21">
        <v>2023</v>
      </c>
      <c r="C89" s="22">
        <v>47.5</v>
      </c>
      <c r="D89" s="22">
        <v>50</v>
      </c>
      <c r="E89" s="22">
        <v>50</v>
      </c>
      <c r="F89" s="22">
        <v>50</v>
      </c>
      <c r="G89" s="22">
        <v>50</v>
      </c>
      <c r="H89" s="22">
        <v>50</v>
      </c>
      <c r="I89" s="22">
        <v>48</v>
      </c>
      <c r="J89" s="22">
        <v>48</v>
      </c>
      <c r="K89" s="22">
        <v>48</v>
      </c>
      <c r="L89" s="22">
        <v>45</v>
      </c>
      <c r="M89" s="22">
        <v>50</v>
      </c>
      <c r="N89" s="22">
        <v>50</v>
      </c>
    </row>
    <row r="90" spans="1:14" ht="11.1" customHeight="1" x14ac:dyDescent="0.25">
      <c r="A90" s="20"/>
      <c r="B90" s="21">
        <v>2024</v>
      </c>
      <c r="C90" s="22">
        <v>51</v>
      </c>
      <c r="D90" s="22">
        <v>59</v>
      </c>
      <c r="E90" s="22">
        <v>50</v>
      </c>
      <c r="F90" s="22">
        <v>45</v>
      </c>
      <c r="G90" s="22">
        <v>45</v>
      </c>
      <c r="H90" s="22">
        <v>45</v>
      </c>
      <c r="I90" s="22">
        <v>45</v>
      </c>
      <c r="J90" s="22">
        <v>50</v>
      </c>
      <c r="K90" s="22">
        <v>49</v>
      </c>
      <c r="L90" s="22">
        <v>48.5</v>
      </c>
      <c r="M90" s="22">
        <v>47</v>
      </c>
      <c r="N90" s="22">
        <v>45.5</v>
      </c>
    </row>
    <row r="91" spans="1:14" ht="11.1" customHeight="1" x14ac:dyDescent="0.25">
      <c r="A91" s="24"/>
      <c r="B91" s="25">
        <v>2025</v>
      </c>
      <c r="C91" s="26">
        <v>48</v>
      </c>
      <c r="D91" s="26">
        <v>49</v>
      </c>
      <c r="E91" s="26">
        <v>47</v>
      </c>
      <c r="F91" s="26">
        <v>48</v>
      </c>
      <c r="G91" s="26">
        <v>48</v>
      </c>
      <c r="H91" s="26">
        <v>48</v>
      </c>
      <c r="I91" s="26">
        <v>48</v>
      </c>
      <c r="J91" s="222"/>
      <c r="K91" s="222"/>
      <c r="L91" s="222"/>
      <c r="M91" s="222"/>
      <c r="N91" s="222"/>
    </row>
    <row r="92" spans="1:14" ht="11.1" customHeight="1" x14ac:dyDescent="0.25">
      <c r="A92" s="20" t="s">
        <v>38</v>
      </c>
      <c r="B92" s="21">
        <v>2018</v>
      </c>
      <c r="C92" s="22">
        <v>35</v>
      </c>
      <c r="D92" s="22">
        <v>41</v>
      </c>
      <c r="E92" s="22">
        <v>35</v>
      </c>
      <c r="F92" s="22">
        <v>35</v>
      </c>
      <c r="G92" s="22">
        <v>35</v>
      </c>
      <c r="H92" s="22">
        <v>35</v>
      </c>
      <c r="I92" s="22">
        <v>41</v>
      </c>
      <c r="J92" s="22">
        <v>41</v>
      </c>
      <c r="K92" s="22">
        <v>43</v>
      </c>
      <c r="L92" s="22">
        <v>44</v>
      </c>
      <c r="M92" s="23">
        <v>44</v>
      </c>
      <c r="N92" s="22">
        <v>44</v>
      </c>
    </row>
    <row r="93" spans="1:14" ht="11.1" customHeight="1" x14ac:dyDescent="0.25">
      <c r="A93" s="20"/>
      <c r="B93" s="21">
        <v>2019</v>
      </c>
      <c r="C93" s="22">
        <v>37</v>
      </c>
      <c r="D93" s="22">
        <v>39</v>
      </c>
      <c r="E93" s="22">
        <v>39</v>
      </c>
      <c r="F93" s="22">
        <v>37.5</v>
      </c>
      <c r="G93" s="22">
        <v>36</v>
      </c>
      <c r="H93" s="22">
        <v>34</v>
      </c>
      <c r="I93" s="22">
        <v>34</v>
      </c>
      <c r="J93" s="22">
        <v>34</v>
      </c>
      <c r="K93" s="22">
        <v>28</v>
      </c>
      <c r="L93" s="22">
        <v>28.8</v>
      </c>
      <c r="M93" s="23">
        <v>37.5</v>
      </c>
      <c r="N93" s="22">
        <v>35</v>
      </c>
    </row>
    <row r="94" spans="1:14" ht="11.1" customHeight="1" x14ac:dyDescent="0.25">
      <c r="A94" s="20"/>
      <c r="B94" s="21">
        <v>2020</v>
      </c>
      <c r="C94" s="22">
        <v>40</v>
      </c>
      <c r="D94" s="22">
        <v>41</v>
      </c>
      <c r="E94" s="22">
        <v>39</v>
      </c>
      <c r="F94" s="22" t="s">
        <v>4</v>
      </c>
      <c r="G94" s="22" t="s">
        <v>4</v>
      </c>
      <c r="H94" s="22">
        <v>33</v>
      </c>
      <c r="I94" s="22">
        <v>42</v>
      </c>
      <c r="J94" s="22">
        <v>33</v>
      </c>
      <c r="K94" s="22">
        <v>33</v>
      </c>
      <c r="L94" s="22" t="s">
        <v>4</v>
      </c>
      <c r="M94" s="23">
        <v>33</v>
      </c>
      <c r="N94" s="22">
        <v>33.5</v>
      </c>
    </row>
    <row r="95" spans="1:14" ht="11.1" customHeight="1" x14ac:dyDescent="0.25">
      <c r="A95" s="42"/>
      <c r="B95" s="21">
        <v>2021</v>
      </c>
      <c r="C95" s="22">
        <v>42.5</v>
      </c>
      <c r="D95" s="22">
        <v>45</v>
      </c>
      <c r="E95" s="22">
        <v>45</v>
      </c>
      <c r="F95" s="22">
        <v>40</v>
      </c>
      <c r="G95" s="22">
        <v>39</v>
      </c>
      <c r="H95" s="22">
        <v>37.5</v>
      </c>
      <c r="I95" s="22">
        <v>42.5</v>
      </c>
      <c r="J95" s="22">
        <v>37.5</v>
      </c>
      <c r="K95" s="22">
        <v>37.5</v>
      </c>
      <c r="L95" s="22">
        <v>38.5</v>
      </c>
      <c r="M95" s="23">
        <v>41</v>
      </c>
      <c r="N95" s="22">
        <v>42.5</v>
      </c>
    </row>
    <row r="96" spans="1:14" ht="11.1" customHeight="1" x14ac:dyDescent="0.25">
      <c r="A96" s="42"/>
      <c r="B96" s="21">
        <v>2022</v>
      </c>
      <c r="C96" s="22">
        <v>45</v>
      </c>
      <c r="D96" s="22">
        <v>45</v>
      </c>
      <c r="E96" s="22">
        <v>50</v>
      </c>
      <c r="F96" s="22">
        <v>50</v>
      </c>
      <c r="G96" s="22">
        <v>50</v>
      </c>
      <c r="H96" s="22">
        <v>55</v>
      </c>
      <c r="I96" s="22">
        <v>55</v>
      </c>
      <c r="J96" s="22">
        <v>55</v>
      </c>
      <c r="K96" s="22">
        <v>55</v>
      </c>
      <c r="L96" s="22">
        <v>60</v>
      </c>
      <c r="M96" s="23">
        <v>60</v>
      </c>
      <c r="N96" s="22">
        <v>60</v>
      </c>
    </row>
    <row r="97" spans="1:14" ht="11.1" customHeight="1" x14ac:dyDescent="0.25">
      <c r="A97" s="42"/>
      <c r="B97" s="21">
        <v>2023</v>
      </c>
      <c r="C97" s="22">
        <v>55</v>
      </c>
      <c r="D97" s="22">
        <v>55</v>
      </c>
      <c r="E97" s="22">
        <v>50</v>
      </c>
      <c r="F97" s="22">
        <v>50</v>
      </c>
      <c r="G97" s="22">
        <v>50</v>
      </c>
      <c r="H97" s="22">
        <v>50</v>
      </c>
      <c r="I97" s="22">
        <v>50</v>
      </c>
      <c r="J97" s="22">
        <v>50</v>
      </c>
      <c r="K97" s="22">
        <v>50</v>
      </c>
      <c r="L97" s="22">
        <v>50</v>
      </c>
      <c r="M97" s="22">
        <v>50</v>
      </c>
      <c r="N97" s="22">
        <v>50</v>
      </c>
    </row>
    <row r="98" spans="1:14" ht="11.1" customHeight="1" x14ac:dyDescent="0.25">
      <c r="A98" s="42"/>
      <c r="B98" s="21">
        <v>2024</v>
      </c>
      <c r="C98" s="22">
        <v>50</v>
      </c>
      <c r="D98" s="22">
        <v>50</v>
      </c>
      <c r="E98" s="22">
        <v>50</v>
      </c>
      <c r="F98" s="22">
        <v>50</v>
      </c>
      <c r="G98" s="22">
        <v>50</v>
      </c>
      <c r="H98" s="22">
        <v>50</v>
      </c>
      <c r="I98" s="22">
        <v>55</v>
      </c>
      <c r="J98" s="22">
        <v>50</v>
      </c>
      <c r="K98" s="22">
        <v>50</v>
      </c>
      <c r="L98" s="22">
        <v>50</v>
      </c>
      <c r="M98" s="22">
        <v>50</v>
      </c>
      <c r="N98" s="22">
        <v>50</v>
      </c>
    </row>
    <row r="99" spans="1:14" ht="11.1" customHeight="1" x14ac:dyDescent="0.25">
      <c r="A99" s="43"/>
      <c r="B99" s="25">
        <v>2025</v>
      </c>
      <c r="C99" s="26">
        <v>50</v>
      </c>
      <c r="D99" s="26">
        <v>50</v>
      </c>
      <c r="E99" s="26">
        <v>50</v>
      </c>
      <c r="F99" s="26">
        <v>50</v>
      </c>
      <c r="G99" s="26">
        <v>50</v>
      </c>
      <c r="H99" s="26">
        <v>50</v>
      </c>
      <c r="I99" s="26">
        <v>53</v>
      </c>
      <c r="J99" s="222"/>
      <c r="K99" s="222"/>
      <c r="L99" s="222"/>
      <c r="M99" s="222"/>
      <c r="N99" s="222"/>
    </row>
    <row r="100" spans="1:14" ht="11.1" customHeight="1" x14ac:dyDescent="0.25">
      <c r="A100" s="18" t="s">
        <v>115</v>
      </c>
      <c r="B100" s="11">
        <v>2018</v>
      </c>
      <c r="C100" s="23">
        <v>56</v>
      </c>
      <c r="D100" s="23">
        <v>56</v>
      </c>
      <c r="E100" s="23">
        <v>56</v>
      </c>
      <c r="F100" s="22">
        <v>56</v>
      </c>
      <c r="G100" s="22">
        <v>56</v>
      </c>
      <c r="H100" s="22">
        <v>56</v>
      </c>
      <c r="I100" s="22">
        <v>56</v>
      </c>
      <c r="J100" s="22">
        <v>56</v>
      </c>
      <c r="K100" s="22">
        <v>56</v>
      </c>
      <c r="L100" s="22">
        <v>56</v>
      </c>
      <c r="M100" s="23">
        <v>56</v>
      </c>
      <c r="N100" s="22">
        <v>56</v>
      </c>
    </row>
    <row r="101" spans="1:14" ht="11.1" customHeight="1" x14ac:dyDescent="0.25">
      <c r="A101" s="18"/>
      <c r="B101" s="11">
        <v>2019</v>
      </c>
      <c r="C101" s="23">
        <v>52.5</v>
      </c>
      <c r="D101" s="23">
        <v>52</v>
      </c>
      <c r="E101" s="23">
        <v>52.5</v>
      </c>
      <c r="F101" s="22">
        <v>52</v>
      </c>
      <c r="G101" s="22">
        <v>52</v>
      </c>
      <c r="H101" s="22">
        <v>50</v>
      </c>
      <c r="I101" s="22">
        <v>51</v>
      </c>
      <c r="J101" s="22">
        <v>51</v>
      </c>
      <c r="K101" s="22">
        <v>50</v>
      </c>
      <c r="L101" s="22">
        <v>55</v>
      </c>
      <c r="M101" s="23">
        <v>55</v>
      </c>
      <c r="N101" s="22">
        <v>55</v>
      </c>
    </row>
    <row r="102" spans="1:14" ht="11.1" customHeight="1" x14ac:dyDescent="0.25">
      <c r="A102" s="18"/>
      <c r="B102" s="11">
        <v>2020</v>
      </c>
      <c r="C102" s="23">
        <v>55</v>
      </c>
      <c r="D102" s="23">
        <v>55</v>
      </c>
      <c r="E102" s="23" t="s">
        <v>4</v>
      </c>
      <c r="F102" s="22" t="s">
        <v>4</v>
      </c>
      <c r="G102" s="22" t="s">
        <v>4</v>
      </c>
      <c r="H102" s="22" t="s">
        <v>4</v>
      </c>
      <c r="I102" s="22">
        <v>50</v>
      </c>
      <c r="J102" s="22">
        <v>50</v>
      </c>
      <c r="K102" s="22" t="s">
        <v>4</v>
      </c>
      <c r="L102" s="22">
        <v>50</v>
      </c>
      <c r="M102" s="23">
        <v>50</v>
      </c>
      <c r="N102" s="22">
        <v>52.5</v>
      </c>
    </row>
    <row r="103" spans="1:14" ht="11.1" customHeight="1" x14ac:dyDescent="0.25">
      <c r="A103" s="18"/>
      <c r="B103" s="11">
        <v>2021</v>
      </c>
      <c r="C103" s="23">
        <v>52.5</v>
      </c>
      <c r="D103" s="23" t="s">
        <v>4</v>
      </c>
      <c r="E103" s="23" t="s">
        <v>4</v>
      </c>
      <c r="F103" s="22" t="s">
        <v>4</v>
      </c>
      <c r="G103" s="22" t="s">
        <v>4</v>
      </c>
      <c r="H103" s="22">
        <v>65</v>
      </c>
      <c r="I103" s="22">
        <v>65</v>
      </c>
      <c r="J103" s="22">
        <v>65</v>
      </c>
      <c r="K103" s="22">
        <v>60</v>
      </c>
      <c r="L103" s="22">
        <v>60</v>
      </c>
      <c r="M103" s="23">
        <v>65</v>
      </c>
      <c r="N103" s="22">
        <v>65</v>
      </c>
    </row>
    <row r="104" spans="1:14" ht="11.1" customHeight="1" x14ac:dyDescent="0.25">
      <c r="A104" s="18"/>
      <c r="B104" s="11">
        <v>2022</v>
      </c>
      <c r="C104" s="23">
        <v>65</v>
      </c>
      <c r="D104" s="23">
        <v>65</v>
      </c>
      <c r="E104" s="23">
        <v>65</v>
      </c>
      <c r="F104" s="22">
        <v>60</v>
      </c>
      <c r="G104" s="22">
        <v>65</v>
      </c>
      <c r="H104" s="22">
        <v>65</v>
      </c>
      <c r="I104" s="22">
        <v>65</v>
      </c>
      <c r="J104" s="22">
        <v>65</v>
      </c>
      <c r="K104" s="22">
        <v>65</v>
      </c>
      <c r="L104" s="22">
        <v>65</v>
      </c>
      <c r="M104" s="23">
        <v>65</v>
      </c>
      <c r="N104" s="22">
        <v>65</v>
      </c>
    </row>
    <row r="105" spans="1:14" ht="11.1" customHeight="1" x14ac:dyDescent="0.25">
      <c r="A105" s="18"/>
      <c r="B105" s="11">
        <v>2023</v>
      </c>
      <c r="C105" s="22">
        <v>60</v>
      </c>
      <c r="D105" s="22">
        <v>60</v>
      </c>
      <c r="E105" s="22">
        <v>55</v>
      </c>
      <c r="F105" s="22">
        <v>55</v>
      </c>
      <c r="G105" s="22">
        <v>55</v>
      </c>
      <c r="H105" s="22">
        <v>55</v>
      </c>
      <c r="I105" s="22">
        <v>60</v>
      </c>
      <c r="J105" s="22">
        <v>60</v>
      </c>
      <c r="K105" s="22">
        <v>65</v>
      </c>
      <c r="L105" s="23">
        <v>85</v>
      </c>
      <c r="M105" s="22">
        <v>85</v>
      </c>
      <c r="N105" s="22">
        <v>75</v>
      </c>
    </row>
    <row r="106" spans="1:14" ht="11.1" customHeight="1" x14ac:dyDescent="0.25">
      <c r="A106" s="42"/>
      <c r="B106" s="21">
        <v>2024</v>
      </c>
      <c r="C106" s="22">
        <v>75</v>
      </c>
      <c r="D106" s="22">
        <v>65</v>
      </c>
      <c r="E106" s="22">
        <v>73</v>
      </c>
      <c r="F106" s="22">
        <v>75</v>
      </c>
      <c r="G106" s="22">
        <v>75</v>
      </c>
      <c r="H106" s="22">
        <v>75</v>
      </c>
      <c r="I106" s="22">
        <v>70</v>
      </c>
      <c r="J106" s="22">
        <v>70</v>
      </c>
      <c r="K106" s="22">
        <v>72.5</v>
      </c>
      <c r="L106" s="22" t="s">
        <v>4</v>
      </c>
      <c r="M106" s="22" t="s">
        <v>4</v>
      </c>
      <c r="N106" s="22" t="s">
        <v>4</v>
      </c>
    </row>
    <row r="107" spans="1:14" ht="11.1" customHeight="1" x14ac:dyDescent="0.25">
      <c r="A107" s="43"/>
      <c r="B107" s="25">
        <v>2025</v>
      </c>
      <c r="C107" s="26">
        <v>73</v>
      </c>
      <c r="D107" s="26">
        <v>73</v>
      </c>
      <c r="E107" s="26">
        <v>66</v>
      </c>
      <c r="F107" s="26">
        <v>70</v>
      </c>
      <c r="G107" s="26">
        <v>71</v>
      </c>
      <c r="H107" s="26">
        <v>53</v>
      </c>
      <c r="I107" s="26">
        <v>61</v>
      </c>
      <c r="J107" s="26"/>
      <c r="K107" s="26"/>
      <c r="L107" s="26"/>
      <c r="M107" s="26"/>
      <c r="N107" s="26"/>
    </row>
    <row r="108" spans="1:14" ht="11.1" customHeight="1" x14ac:dyDescent="0.25">
      <c r="A108" s="20" t="s">
        <v>187</v>
      </c>
      <c r="B108" s="21">
        <v>2018</v>
      </c>
      <c r="C108" s="22">
        <v>42</v>
      </c>
      <c r="D108" s="22">
        <v>42</v>
      </c>
      <c r="E108" s="22">
        <v>42</v>
      </c>
      <c r="F108" s="22">
        <v>42</v>
      </c>
      <c r="G108" s="22">
        <v>42</v>
      </c>
      <c r="H108" s="22">
        <v>42</v>
      </c>
      <c r="I108" s="22" t="s">
        <v>4</v>
      </c>
      <c r="J108" s="22" t="s">
        <v>4</v>
      </c>
      <c r="K108" s="22" t="s">
        <v>4</v>
      </c>
      <c r="L108" s="22" t="s">
        <v>4</v>
      </c>
      <c r="M108" s="23" t="s">
        <v>4</v>
      </c>
      <c r="N108" s="22" t="s">
        <v>4</v>
      </c>
    </row>
    <row r="109" spans="1:14" ht="11.1" customHeight="1" x14ac:dyDescent="0.25">
      <c r="A109" s="20"/>
      <c r="B109" s="21">
        <v>2019</v>
      </c>
      <c r="C109" s="22">
        <v>42</v>
      </c>
      <c r="D109" s="22">
        <v>42.5</v>
      </c>
      <c r="E109" s="22">
        <v>42.5</v>
      </c>
      <c r="F109" s="22">
        <v>42.5</v>
      </c>
      <c r="G109" s="22">
        <v>44</v>
      </c>
      <c r="H109" s="22">
        <v>44</v>
      </c>
      <c r="I109" s="22">
        <v>44</v>
      </c>
      <c r="J109" s="22">
        <v>45</v>
      </c>
      <c r="K109" s="22">
        <v>48</v>
      </c>
      <c r="L109" s="22">
        <v>47.5</v>
      </c>
      <c r="M109" s="23">
        <v>47.5</v>
      </c>
      <c r="N109" s="22">
        <v>47.5</v>
      </c>
    </row>
    <row r="110" spans="1:14" ht="11.1" customHeight="1" x14ac:dyDescent="0.25">
      <c r="A110" s="20"/>
      <c r="B110" s="21">
        <v>2020</v>
      </c>
      <c r="C110" s="22">
        <v>47.5</v>
      </c>
      <c r="D110" s="22">
        <v>40</v>
      </c>
      <c r="E110" s="22" t="s">
        <v>4</v>
      </c>
      <c r="F110" s="22" t="s">
        <v>4</v>
      </c>
      <c r="G110" s="22">
        <v>47.5</v>
      </c>
      <c r="H110" s="22">
        <v>47.5</v>
      </c>
      <c r="I110" s="22">
        <v>50</v>
      </c>
      <c r="J110" s="22">
        <v>47.5</v>
      </c>
      <c r="K110" s="22">
        <v>47.5</v>
      </c>
      <c r="L110" s="22">
        <v>47.5</v>
      </c>
      <c r="M110" s="23" t="s">
        <v>4</v>
      </c>
      <c r="N110" s="22">
        <v>47.5</v>
      </c>
    </row>
    <row r="111" spans="1:14" ht="11.1" customHeight="1" x14ac:dyDescent="0.25">
      <c r="A111" s="20"/>
      <c r="B111" s="21">
        <v>2021</v>
      </c>
      <c r="C111" s="22">
        <v>49</v>
      </c>
      <c r="D111" s="22">
        <v>47.5</v>
      </c>
      <c r="E111" s="22">
        <v>50</v>
      </c>
      <c r="F111" s="22">
        <v>50</v>
      </c>
      <c r="G111" s="22">
        <v>50</v>
      </c>
      <c r="H111" s="22">
        <v>50</v>
      </c>
      <c r="I111" s="22">
        <v>50</v>
      </c>
      <c r="J111" s="22">
        <v>50</v>
      </c>
      <c r="K111" s="22">
        <v>52</v>
      </c>
      <c r="L111" s="22" t="s">
        <v>117</v>
      </c>
      <c r="M111" s="23">
        <v>53</v>
      </c>
      <c r="N111" s="22" t="s">
        <v>117</v>
      </c>
    </row>
    <row r="112" spans="1:14" ht="11.1" customHeight="1" x14ac:dyDescent="0.25">
      <c r="A112" s="20"/>
      <c r="B112" s="21">
        <v>2022</v>
      </c>
      <c r="C112" s="22">
        <v>55</v>
      </c>
      <c r="D112" s="22">
        <v>52.5</v>
      </c>
      <c r="E112" s="22">
        <v>55</v>
      </c>
      <c r="F112" s="22">
        <v>55</v>
      </c>
      <c r="G112" s="22">
        <v>55</v>
      </c>
      <c r="H112" s="22">
        <v>57.5</v>
      </c>
      <c r="I112" s="22">
        <v>60</v>
      </c>
      <c r="J112" s="22">
        <v>60</v>
      </c>
      <c r="K112" s="22">
        <v>60</v>
      </c>
      <c r="L112" s="22">
        <v>60</v>
      </c>
      <c r="M112" s="23">
        <v>60</v>
      </c>
      <c r="N112" s="22">
        <v>60</v>
      </c>
    </row>
    <row r="113" spans="1:14" ht="11.1" customHeight="1" x14ac:dyDescent="0.25">
      <c r="A113" s="20"/>
      <c r="B113" s="21">
        <v>2023</v>
      </c>
      <c r="C113" s="22">
        <v>63</v>
      </c>
      <c r="D113" s="22">
        <v>53</v>
      </c>
      <c r="E113" s="22">
        <v>55</v>
      </c>
      <c r="F113" s="22">
        <v>55</v>
      </c>
      <c r="G113" s="22">
        <v>63</v>
      </c>
      <c r="H113" s="22">
        <v>57.5</v>
      </c>
      <c r="I113" s="22">
        <v>63</v>
      </c>
      <c r="J113" s="22">
        <v>63</v>
      </c>
      <c r="K113" s="22">
        <v>63</v>
      </c>
      <c r="L113" s="22">
        <v>63</v>
      </c>
      <c r="M113" s="22">
        <v>63</v>
      </c>
      <c r="N113" s="22">
        <v>64</v>
      </c>
    </row>
    <row r="114" spans="1:14" ht="11.1" customHeight="1" x14ac:dyDescent="0.25">
      <c r="A114" s="20"/>
      <c r="B114" s="21">
        <v>2024</v>
      </c>
      <c r="C114" s="22">
        <v>61</v>
      </c>
      <c r="D114" s="22">
        <v>60</v>
      </c>
      <c r="E114" s="22">
        <v>66</v>
      </c>
      <c r="F114" s="22">
        <v>61</v>
      </c>
      <c r="G114" s="22">
        <v>62</v>
      </c>
      <c r="H114" s="22">
        <v>67</v>
      </c>
      <c r="I114" s="22">
        <v>63</v>
      </c>
      <c r="J114" s="22">
        <v>62</v>
      </c>
      <c r="K114" s="22">
        <v>67</v>
      </c>
      <c r="L114" s="22">
        <v>60</v>
      </c>
      <c r="M114" s="22">
        <v>62</v>
      </c>
      <c r="N114" s="22">
        <v>62</v>
      </c>
    </row>
    <row r="115" spans="1:14" ht="11.1" customHeight="1" x14ac:dyDescent="0.25">
      <c r="A115" s="24"/>
      <c r="B115" s="25">
        <v>2025</v>
      </c>
      <c r="C115" s="26">
        <v>63</v>
      </c>
      <c r="D115" s="26">
        <v>65</v>
      </c>
      <c r="E115" s="26">
        <v>58</v>
      </c>
      <c r="F115" s="26">
        <v>62</v>
      </c>
      <c r="G115" s="26">
        <v>60</v>
      </c>
      <c r="H115" s="26" t="s">
        <v>4</v>
      </c>
      <c r="I115" s="26" t="s">
        <v>4</v>
      </c>
      <c r="J115" s="222"/>
      <c r="K115" s="222"/>
      <c r="L115" s="222"/>
      <c r="M115" s="222"/>
      <c r="N115" s="222"/>
    </row>
    <row r="116" spans="1:14" ht="11.1" customHeight="1" x14ac:dyDescent="0.25">
      <c r="A116" s="20" t="s">
        <v>118</v>
      </c>
      <c r="B116" s="21">
        <v>2018</v>
      </c>
      <c r="C116" s="22">
        <v>33</v>
      </c>
      <c r="D116" s="22">
        <v>33</v>
      </c>
      <c r="E116" s="22">
        <v>33</v>
      </c>
      <c r="F116" s="22">
        <v>33</v>
      </c>
      <c r="G116" s="22">
        <v>33</v>
      </c>
      <c r="H116" s="22">
        <v>33</v>
      </c>
      <c r="I116" s="22">
        <v>33</v>
      </c>
      <c r="J116" s="22">
        <v>33</v>
      </c>
      <c r="K116" s="22">
        <v>33</v>
      </c>
      <c r="L116" s="22">
        <v>33</v>
      </c>
      <c r="M116" s="23">
        <v>33</v>
      </c>
      <c r="N116" s="22">
        <v>33</v>
      </c>
    </row>
    <row r="117" spans="1:14" ht="11.1" customHeight="1" x14ac:dyDescent="0.25">
      <c r="A117" s="20"/>
      <c r="B117" s="21">
        <v>2019</v>
      </c>
      <c r="C117" s="22">
        <v>33</v>
      </c>
      <c r="D117" s="22">
        <v>33</v>
      </c>
      <c r="E117" s="22">
        <v>33</v>
      </c>
      <c r="F117" s="22">
        <v>33</v>
      </c>
      <c r="G117" s="22">
        <v>33</v>
      </c>
      <c r="H117" s="22">
        <v>33</v>
      </c>
      <c r="I117" s="22">
        <v>33</v>
      </c>
      <c r="J117" s="22">
        <v>34</v>
      </c>
      <c r="K117" s="22">
        <v>37.5</v>
      </c>
      <c r="L117" s="22">
        <v>37.5</v>
      </c>
      <c r="M117" s="23">
        <v>37.5</v>
      </c>
      <c r="N117" s="22">
        <v>37.5</v>
      </c>
    </row>
    <row r="118" spans="1:14" ht="11.1" customHeight="1" x14ac:dyDescent="0.25">
      <c r="A118" s="20"/>
      <c r="B118" s="21">
        <v>2020</v>
      </c>
      <c r="C118" s="22">
        <v>32.5</v>
      </c>
      <c r="D118" s="22" t="s">
        <v>4</v>
      </c>
      <c r="E118" s="22" t="s">
        <v>4</v>
      </c>
      <c r="F118" s="22" t="s">
        <v>4</v>
      </c>
      <c r="G118" s="22" t="s">
        <v>4</v>
      </c>
      <c r="H118" s="22" t="s">
        <v>4</v>
      </c>
      <c r="I118" s="22" t="s">
        <v>4</v>
      </c>
      <c r="J118" s="22" t="s">
        <v>4</v>
      </c>
      <c r="K118" s="22" t="s">
        <v>4</v>
      </c>
      <c r="L118" s="22" t="s">
        <v>4</v>
      </c>
      <c r="M118" s="23">
        <v>37.5</v>
      </c>
      <c r="N118" s="22">
        <v>37.5</v>
      </c>
    </row>
    <row r="119" spans="1:14" ht="11.1" customHeight="1" x14ac:dyDescent="0.25">
      <c r="A119" s="20"/>
      <c r="B119" s="21">
        <v>2021</v>
      </c>
      <c r="C119" s="22">
        <v>37.5</v>
      </c>
      <c r="D119" s="22">
        <v>40</v>
      </c>
      <c r="E119" s="22">
        <v>45</v>
      </c>
      <c r="F119" s="22">
        <v>37.5</v>
      </c>
      <c r="G119" s="22">
        <v>45</v>
      </c>
      <c r="H119" s="22">
        <v>37.5</v>
      </c>
      <c r="I119" s="22">
        <v>45</v>
      </c>
      <c r="J119" s="22">
        <v>37.5</v>
      </c>
      <c r="K119" s="22">
        <v>45</v>
      </c>
      <c r="L119" s="22">
        <v>38</v>
      </c>
      <c r="M119" s="23">
        <v>38</v>
      </c>
      <c r="N119" s="22">
        <v>37.5</v>
      </c>
    </row>
    <row r="120" spans="1:14" ht="11.1" customHeight="1" x14ac:dyDescent="0.25">
      <c r="A120" s="20"/>
      <c r="B120" s="21">
        <v>2022</v>
      </c>
      <c r="C120" s="22">
        <v>45</v>
      </c>
      <c r="D120" s="22">
        <v>45</v>
      </c>
      <c r="E120" s="22">
        <v>37.5</v>
      </c>
      <c r="F120" s="22">
        <v>45</v>
      </c>
      <c r="G120" s="22">
        <v>45</v>
      </c>
      <c r="H120" s="22">
        <v>45</v>
      </c>
      <c r="I120" s="22">
        <v>43</v>
      </c>
      <c r="J120" s="22">
        <v>45</v>
      </c>
      <c r="K120" s="22">
        <v>45</v>
      </c>
      <c r="L120" s="22">
        <v>55</v>
      </c>
      <c r="M120" s="23">
        <v>50</v>
      </c>
      <c r="N120" s="22">
        <v>50</v>
      </c>
    </row>
    <row r="121" spans="1:14" ht="11.1" customHeight="1" x14ac:dyDescent="0.25">
      <c r="A121" s="20"/>
      <c r="B121" s="21">
        <v>2023</v>
      </c>
      <c r="C121" s="22">
        <v>55</v>
      </c>
      <c r="D121" s="22">
        <v>50</v>
      </c>
      <c r="E121" s="22">
        <v>50</v>
      </c>
      <c r="F121" s="22">
        <v>50</v>
      </c>
      <c r="G121" s="22">
        <v>63</v>
      </c>
      <c r="H121" s="22">
        <v>50</v>
      </c>
      <c r="I121" s="22">
        <v>55</v>
      </c>
      <c r="J121" s="22">
        <v>55</v>
      </c>
      <c r="K121" s="22">
        <v>50</v>
      </c>
      <c r="L121" s="22">
        <v>60</v>
      </c>
      <c r="M121" s="22">
        <v>55</v>
      </c>
      <c r="N121" s="22">
        <v>55</v>
      </c>
    </row>
    <row r="122" spans="1:14" ht="11.1" customHeight="1" x14ac:dyDescent="0.25">
      <c r="A122" s="20"/>
      <c r="B122" s="21">
        <v>2024</v>
      </c>
      <c r="C122" s="22">
        <v>50</v>
      </c>
      <c r="D122" s="22">
        <v>50</v>
      </c>
      <c r="E122" s="22">
        <v>54</v>
      </c>
      <c r="F122" s="22">
        <v>50</v>
      </c>
      <c r="G122" s="22">
        <v>50</v>
      </c>
      <c r="H122" s="22">
        <v>50</v>
      </c>
      <c r="I122" s="22">
        <v>50</v>
      </c>
      <c r="J122" s="22">
        <v>50</v>
      </c>
      <c r="K122" s="22">
        <v>44</v>
      </c>
      <c r="L122" s="22" t="s">
        <v>4</v>
      </c>
      <c r="M122" s="22" t="s">
        <v>4</v>
      </c>
      <c r="N122" s="22" t="s">
        <v>4</v>
      </c>
    </row>
    <row r="123" spans="1:14" ht="11.1" customHeight="1" x14ac:dyDescent="0.25">
      <c r="A123" s="24"/>
      <c r="B123" s="25">
        <v>2025</v>
      </c>
      <c r="C123" s="26">
        <v>50</v>
      </c>
      <c r="D123" s="26">
        <v>59</v>
      </c>
      <c r="E123" s="26">
        <v>47</v>
      </c>
      <c r="F123" s="26">
        <v>42</v>
      </c>
      <c r="G123" s="26">
        <v>40</v>
      </c>
      <c r="H123" s="26">
        <v>39</v>
      </c>
      <c r="I123" s="26">
        <v>42</v>
      </c>
      <c r="J123" s="222"/>
      <c r="K123" s="222"/>
      <c r="L123" s="222"/>
      <c r="M123" s="222"/>
      <c r="N123" s="222"/>
    </row>
    <row r="124" spans="1:14" ht="11.1" customHeight="1" x14ac:dyDescent="0.25">
      <c r="A124" s="20" t="s">
        <v>119</v>
      </c>
      <c r="B124" s="21">
        <v>2018</v>
      </c>
      <c r="C124" s="22">
        <v>47</v>
      </c>
      <c r="D124" s="22">
        <v>47</v>
      </c>
      <c r="E124" s="22">
        <v>47</v>
      </c>
      <c r="F124" s="22">
        <v>47</v>
      </c>
      <c r="G124" s="22">
        <v>47</v>
      </c>
      <c r="H124" s="22">
        <v>47</v>
      </c>
      <c r="I124" s="22">
        <v>47</v>
      </c>
      <c r="J124" s="22">
        <v>47</v>
      </c>
      <c r="K124" s="22">
        <v>47</v>
      </c>
      <c r="L124" s="22">
        <v>47</v>
      </c>
      <c r="M124" s="23">
        <v>47</v>
      </c>
      <c r="N124" s="22">
        <v>47</v>
      </c>
    </row>
    <row r="125" spans="1:14" ht="11.1" customHeight="1" x14ac:dyDescent="0.25">
      <c r="A125" s="20"/>
      <c r="B125" s="21">
        <v>2019</v>
      </c>
      <c r="C125" s="22">
        <v>47</v>
      </c>
      <c r="D125" s="22">
        <v>47</v>
      </c>
      <c r="E125" s="22">
        <v>47</v>
      </c>
      <c r="F125" s="22">
        <v>47</v>
      </c>
      <c r="G125" s="22">
        <v>47</v>
      </c>
      <c r="H125" s="22">
        <v>47</v>
      </c>
      <c r="I125" s="22">
        <v>47</v>
      </c>
      <c r="J125" s="22">
        <v>50</v>
      </c>
      <c r="K125" s="22">
        <v>55</v>
      </c>
      <c r="L125" s="22">
        <v>50</v>
      </c>
      <c r="M125" s="23">
        <v>55</v>
      </c>
      <c r="N125" s="22">
        <v>52.5</v>
      </c>
    </row>
    <row r="126" spans="1:14" ht="11.1" customHeight="1" x14ac:dyDescent="0.25">
      <c r="A126" s="20"/>
      <c r="B126" s="21">
        <v>2020</v>
      </c>
      <c r="C126" s="22">
        <v>52.5</v>
      </c>
      <c r="D126" s="22">
        <v>52.5</v>
      </c>
      <c r="E126" s="22">
        <v>70</v>
      </c>
      <c r="F126" s="22" t="s">
        <v>4</v>
      </c>
      <c r="G126" s="22">
        <v>55</v>
      </c>
      <c r="H126" s="22">
        <v>55</v>
      </c>
      <c r="I126" s="22">
        <v>67.5</v>
      </c>
      <c r="J126" s="22" t="s">
        <v>4</v>
      </c>
      <c r="K126" s="22" t="s">
        <v>4</v>
      </c>
      <c r="L126" s="22" t="s">
        <v>4</v>
      </c>
      <c r="M126" s="23" t="s">
        <v>4</v>
      </c>
      <c r="N126" s="22" t="s">
        <v>4</v>
      </c>
    </row>
    <row r="127" spans="1:14" ht="11.1" customHeight="1" x14ac:dyDescent="0.25">
      <c r="A127" s="20"/>
      <c r="B127" s="21">
        <v>2021</v>
      </c>
      <c r="C127" s="22">
        <v>55</v>
      </c>
      <c r="D127" s="22">
        <v>55</v>
      </c>
      <c r="E127" s="22">
        <v>55</v>
      </c>
      <c r="F127" s="22">
        <v>55</v>
      </c>
      <c r="G127" s="22">
        <v>55</v>
      </c>
      <c r="H127" s="22">
        <v>55</v>
      </c>
      <c r="I127" s="22">
        <v>55</v>
      </c>
      <c r="J127" s="22">
        <v>55</v>
      </c>
      <c r="K127" s="22">
        <v>55</v>
      </c>
      <c r="L127" s="22">
        <v>55</v>
      </c>
      <c r="M127" s="23">
        <v>55</v>
      </c>
      <c r="N127" s="22">
        <v>57.5</v>
      </c>
    </row>
    <row r="128" spans="1:14" ht="11.1" customHeight="1" x14ac:dyDescent="0.25">
      <c r="A128" s="20"/>
      <c r="B128" s="21">
        <v>2022</v>
      </c>
      <c r="C128" s="22">
        <v>57.5</v>
      </c>
      <c r="D128" s="22">
        <v>57.5</v>
      </c>
      <c r="E128" s="22">
        <v>60</v>
      </c>
      <c r="F128" s="22">
        <v>60</v>
      </c>
      <c r="G128" s="22">
        <v>65</v>
      </c>
      <c r="H128" s="22">
        <v>65</v>
      </c>
      <c r="I128" s="22">
        <v>67.5</v>
      </c>
      <c r="J128" s="22">
        <v>67.5</v>
      </c>
      <c r="K128" s="22">
        <v>67.5</v>
      </c>
      <c r="L128" s="22">
        <v>72.5</v>
      </c>
      <c r="M128" s="23">
        <v>72.5</v>
      </c>
      <c r="N128" s="22">
        <v>72.5</v>
      </c>
    </row>
    <row r="129" spans="1:14" ht="11.1" customHeight="1" x14ac:dyDescent="0.25">
      <c r="A129" s="20"/>
      <c r="B129" s="21">
        <v>2023</v>
      </c>
      <c r="C129" s="22">
        <v>70</v>
      </c>
      <c r="D129" s="22">
        <v>70</v>
      </c>
      <c r="E129" s="22">
        <v>70</v>
      </c>
      <c r="F129" s="22">
        <v>65</v>
      </c>
      <c r="G129" s="22">
        <v>70</v>
      </c>
      <c r="H129" s="22">
        <v>65</v>
      </c>
      <c r="I129" s="22">
        <v>70</v>
      </c>
      <c r="J129" s="22">
        <v>75</v>
      </c>
      <c r="K129" s="23">
        <v>75</v>
      </c>
      <c r="L129" s="22">
        <v>65</v>
      </c>
      <c r="M129" s="22">
        <v>80</v>
      </c>
      <c r="N129" s="22">
        <v>75</v>
      </c>
    </row>
    <row r="130" spans="1:14" ht="11.1" customHeight="1" x14ac:dyDescent="0.25">
      <c r="A130" s="20"/>
      <c r="B130" s="21">
        <v>2024</v>
      </c>
      <c r="C130" s="22">
        <v>80</v>
      </c>
      <c r="D130" s="22">
        <v>80</v>
      </c>
      <c r="E130" s="22">
        <v>78</v>
      </c>
      <c r="F130" s="22">
        <v>80</v>
      </c>
      <c r="G130" s="22">
        <v>80</v>
      </c>
      <c r="H130" s="22">
        <v>80</v>
      </c>
      <c r="I130" s="22">
        <v>80</v>
      </c>
      <c r="J130" s="22">
        <v>80</v>
      </c>
      <c r="K130" s="22">
        <v>77</v>
      </c>
      <c r="L130" s="22">
        <v>70</v>
      </c>
      <c r="M130" s="22">
        <v>69</v>
      </c>
      <c r="N130" s="22" t="s">
        <v>4</v>
      </c>
    </row>
    <row r="131" spans="1:14" ht="11.1" customHeight="1" x14ac:dyDescent="0.25">
      <c r="A131" s="24"/>
      <c r="B131" s="25">
        <v>2025</v>
      </c>
      <c r="C131" s="26" t="s">
        <v>4</v>
      </c>
      <c r="D131" s="26" t="s">
        <v>4</v>
      </c>
      <c r="E131" s="26">
        <v>70</v>
      </c>
      <c r="F131" s="26">
        <v>65</v>
      </c>
      <c r="G131" s="26" t="s">
        <v>4</v>
      </c>
      <c r="H131" s="26" t="s">
        <v>4</v>
      </c>
      <c r="I131" s="26" t="s">
        <v>4</v>
      </c>
    </row>
    <row r="132" spans="1:14" ht="10.7" customHeight="1" x14ac:dyDescent="0.2">
      <c r="A132" s="35"/>
      <c r="B132" s="36"/>
      <c r="C132" s="37"/>
      <c r="D132" s="37"/>
      <c r="E132" s="37"/>
      <c r="F132" s="37"/>
      <c r="G132" s="38"/>
      <c r="H132" s="38"/>
      <c r="I132" s="37"/>
      <c r="J132" s="37"/>
      <c r="K132" s="37"/>
      <c r="L132" s="38"/>
      <c r="M132" s="38"/>
      <c r="N132" s="39" t="s">
        <v>26</v>
      </c>
    </row>
    <row r="133" spans="1:14" ht="10.7" customHeight="1" x14ac:dyDescent="0.25">
      <c r="A133" s="706" t="s">
        <v>113</v>
      </c>
      <c r="B133" s="706"/>
      <c r="C133" s="706"/>
      <c r="D133" s="706"/>
      <c r="E133" s="706"/>
      <c r="F133" s="706"/>
      <c r="G133" s="40"/>
      <c r="H133" s="40"/>
      <c r="I133" s="41"/>
      <c r="J133" s="41"/>
      <c r="K133" s="22"/>
      <c r="L133" s="23"/>
      <c r="M133" s="23"/>
      <c r="N133" s="23"/>
    </row>
    <row r="134" spans="1:14" ht="15.95" customHeight="1" x14ac:dyDescent="0.2">
      <c r="A134" s="239" t="s">
        <v>95</v>
      </c>
      <c r="B134" s="239" t="s">
        <v>96</v>
      </c>
      <c r="C134" s="239" t="s">
        <v>97</v>
      </c>
      <c r="D134" s="239" t="s">
        <v>98</v>
      </c>
      <c r="E134" s="239" t="s">
        <v>99</v>
      </c>
      <c r="F134" s="239" t="s">
        <v>100</v>
      </c>
      <c r="G134" s="239" t="s">
        <v>101</v>
      </c>
      <c r="H134" s="239" t="s">
        <v>102</v>
      </c>
      <c r="I134" s="239" t="s">
        <v>103</v>
      </c>
      <c r="J134" s="240" t="s">
        <v>104</v>
      </c>
      <c r="K134" s="240" t="s">
        <v>105</v>
      </c>
      <c r="L134" s="239" t="s">
        <v>106</v>
      </c>
      <c r="M134" s="239" t="s">
        <v>107</v>
      </c>
      <c r="N134" s="239" t="s">
        <v>108</v>
      </c>
    </row>
    <row r="135" spans="1:14" ht="3" customHeight="1" x14ac:dyDescent="0.25">
      <c r="A135" s="20"/>
      <c r="B135" s="21"/>
      <c r="C135" s="22"/>
    </row>
    <row r="136" spans="1:14" ht="11.1" customHeight="1" x14ac:dyDescent="0.25">
      <c r="A136" s="20" t="s">
        <v>120</v>
      </c>
      <c r="B136" s="21">
        <v>2018</v>
      </c>
      <c r="C136" s="22">
        <v>43</v>
      </c>
      <c r="D136" s="22">
        <v>46</v>
      </c>
      <c r="E136" s="22">
        <v>47.5</v>
      </c>
      <c r="F136" s="22">
        <v>47.5</v>
      </c>
      <c r="G136" s="22">
        <v>47.5</v>
      </c>
      <c r="H136" s="22">
        <v>47.5</v>
      </c>
      <c r="I136" s="22">
        <v>47.5</v>
      </c>
      <c r="J136" s="23">
        <v>47.5</v>
      </c>
      <c r="K136" s="22">
        <v>51</v>
      </c>
      <c r="L136" s="22">
        <v>50</v>
      </c>
      <c r="M136" s="23">
        <v>50</v>
      </c>
      <c r="N136" s="22">
        <v>50</v>
      </c>
    </row>
    <row r="137" spans="1:14" ht="11.1" customHeight="1" x14ac:dyDescent="0.25">
      <c r="A137" s="20"/>
      <c r="B137" s="21">
        <v>2019</v>
      </c>
      <c r="C137" s="22">
        <v>48</v>
      </c>
      <c r="D137" s="22">
        <v>48</v>
      </c>
      <c r="E137" s="22">
        <v>48</v>
      </c>
      <c r="F137" s="22">
        <v>48</v>
      </c>
      <c r="G137" s="22">
        <v>48</v>
      </c>
      <c r="H137" s="22">
        <v>48</v>
      </c>
      <c r="I137" s="22">
        <v>48</v>
      </c>
      <c r="J137" s="23">
        <v>48</v>
      </c>
      <c r="K137" s="22">
        <v>53</v>
      </c>
      <c r="L137" s="22">
        <v>52.5</v>
      </c>
      <c r="M137" s="23">
        <v>53</v>
      </c>
      <c r="N137" s="22">
        <v>52.5</v>
      </c>
    </row>
    <row r="138" spans="1:14" ht="11.1" customHeight="1" x14ac:dyDescent="0.25">
      <c r="A138" s="20"/>
      <c r="B138" s="21">
        <v>2020</v>
      </c>
      <c r="C138" s="22">
        <v>52.5</v>
      </c>
      <c r="D138" s="22" t="s">
        <v>4</v>
      </c>
      <c r="E138" s="22" t="s">
        <v>4</v>
      </c>
      <c r="F138" s="22" t="s">
        <v>4</v>
      </c>
      <c r="G138" s="22" t="s">
        <v>4</v>
      </c>
      <c r="H138" s="22" t="s">
        <v>4</v>
      </c>
      <c r="I138" s="22" t="s">
        <v>4</v>
      </c>
      <c r="J138" s="23" t="s">
        <v>4</v>
      </c>
      <c r="K138" s="22" t="s">
        <v>4</v>
      </c>
      <c r="L138" s="22" t="s">
        <v>4</v>
      </c>
      <c r="M138" s="23" t="s">
        <v>4</v>
      </c>
      <c r="N138" s="22" t="s">
        <v>4</v>
      </c>
    </row>
    <row r="139" spans="1:14" ht="11.1" customHeight="1" x14ac:dyDescent="0.25">
      <c r="A139" s="20"/>
      <c r="B139" s="21">
        <v>2021</v>
      </c>
      <c r="C139" s="22" t="s">
        <v>4</v>
      </c>
      <c r="D139" s="22" t="s">
        <v>4</v>
      </c>
      <c r="E139" s="22" t="s">
        <v>4</v>
      </c>
      <c r="F139" s="22" t="s">
        <v>4</v>
      </c>
      <c r="G139" s="22" t="s">
        <v>4</v>
      </c>
      <c r="H139" s="22">
        <v>57.5</v>
      </c>
      <c r="I139" s="22">
        <v>60</v>
      </c>
      <c r="J139" s="23">
        <v>60</v>
      </c>
      <c r="K139" s="22" t="s">
        <v>4</v>
      </c>
      <c r="L139" s="22">
        <v>65</v>
      </c>
      <c r="M139" s="23" t="s">
        <v>4</v>
      </c>
      <c r="N139" s="22" t="s">
        <v>4</v>
      </c>
    </row>
    <row r="140" spans="1:14" ht="11.1" customHeight="1" x14ac:dyDescent="0.25">
      <c r="A140" s="20"/>
      <c r="B140" s="21">
        <v>2022</v>
      </c>
      <c r="C140" s="22">
        <v>70</v>
      </c>
      <c r="D140" s="22">
        <v>70</v>
      </c>
      <c r="E140" s="22">
        <v>70</v>
      </c>
      <c r="F140" s="22">
        <v>70</v>
      </c>
      <c r="G140" s="22" t="s">
        <v>4</v>
      </c>
      <c r="H140" s="22">
        <v>70</v>
      </c>
      <c r="I140" s="22">
        <v>70</v>
      </c>
      <c r="J140" s="23">
        <v>70</v>
      </c>
      <c r="K140" s="22">
        <v>80</v>
      </c>
      <c r="L140" s="22">
        <v>80</v>
      </c>
      <c r="M140" s="23">
        <v>80</v>
      </c>
      <c r="N140" s="22">
        <v>80</v>
      </c>
    </row>
    <row r="141" spans="1:14" ht="11.1" customHeight="1" x14ac:dyDescent="0.25">
      <c r="A141" s="20"/>
      <c r="B141" s="21">
        <v>2023</v>
      </c>
      <c r="C141" s="22">
        <v>80</v>
      </c>
      <c r="D141" s="22">
        <v>80</v>
      </c>
      <c r="E141" s="22">
        <v>80</v>
      </c>
      <c r="F141" s="22" t="s">
        <v>4</v>
      </c>
      <c r="G141" s="22">
        <v>70</v>
      </c>
      <c r="H141" s="22">
        <v>80</v>
      </c>
      <c r="I141" s="22">
        <v>80</v>
      </c>
      <c r="J141" s="23">
        <v>80</v>
      </c>
      <c r="K141" s="23">
        <v>80</v>
      </c>
      <c r="L141" s="22">
        <v>80</v>
      </c>
      <c r="M141" s="22">
        <v>80</v>
      </c>
      <c r="N141" s="22">
        <v>80</v>
      </c>
    </row>
    <row r="142" spans="1:14" ht="11.1" customHeight="1" x14ac:dyDescent="0.25">
      <c r="A142" s="20"/>
      <c r="B142" s="21">
        <v>2024</v>
      </c>
      <c r="C142" s="22">
        <v>80</v>
      </c>
      <c r="D142" s="22">
        <v>80</v>
      </c>
      <c r="E142" s="22">
        <v>78</v>
      </c>
      <c r="F142" s="22">
        <v>80</v>
      </c>
      <c r="G142" s="22">
        <v>80</v>
      </c>
      <c r="H142" s="22">
        <v>85</v>
      </c>
      <c r="I142" s="22">
        <v>85</v>
      </c>
      <c r="J142" s="22">
        <v>85</v>
      </c>
      <c r="K142" s="23">
        <v>86</v>
      </c>
      <c r="L142" s="22">
        <v>89</v>
      </c>
      <c r="M142" s="22">
        <v>89.5</v>
      </c>
      <c r="N142" s="22">
        <v>93</v>
      </c>
    </row>
    <row r="143" spans="1:14" ht="11.1" customHeight="1" x14ac:dyDescent="0.25">
      <c r="A143" s="24"/>
      <c r="B143" s="25">
        <v>2025</v>
      </c>
      <c r="C143" s="26">
        <v>93</v>
      </c>
      <c r="D143" s="26">
        <v>90</v>
      </c>
      <c r="E143" s="26">
        <v>90</v>
      </c>
      <c r="F143" s="26">
        <v>91</v>
      </c>
      <c r="G143" s="26">
        <v>94</v>
      </c>
      <c r="H143" s="26">
        <v>94</v>
      </c>
      <c r="I143" s="26">
        <v>90</v>
      </c>
      <c r="J143" s="222"/>
      <c r="K143" s="222"/>
      <c r="L143" s="222"/>
      <c r="M143" s="222"/>
      <c r="N143" s="222"/>
    </row>
    <row r="144" spans="1:14" ht="11.1" customHeight="1" x14ac:dyDescent="0.25">
      <c r="A144" s="20" t="s">
        <v>41</v>
      </c>
      <c r="B144" s="21">
        <v>2018</v>
      </c>
      <c r="C144" s="22">
        <v>36</v>
      </c>
      <c r="D144" s="22">
        <v>37.5</v>
      </c>
      <c r="E144" s="22">
        <v>37.5</v>
      </c>
      <c r="F144" s="22">
        <v>37.5</v>
      </c>
      <c r="G144" s="22">
        <v>37.5</v>
      </c>
      <c r="H144" s="22">
        <v>37.5</v>
      </c>
      <c r="I144" s="22">
        <v>37.5</v>
      </c>
      <c r="J144" s="22">
        <v>37.5</v>
      </c>
      <c r="K144" s="22">
        <v>37.5</v>
      </c>
      <c r="L144" s="22">
        <v>37.5</v>
      </c>
      <c r="M144" s="23">
        <v>37.5</v>
      </c>
      <c r="N144" s="22">
        <v>37.5</v>
      </c>
    </row>
    <row r="145" spans="1:14" ht="11.1" customHeight="1" x14ac:dyDescent="0.25">
      <c r="A145" s="20"/>
      <c r="B145" s="21">
        <v>2019</v>
      </c>
      <c r="C145" s="22">
        <v>40</v>
      </c>
      <c r="D145" s="22">
        <v>40</v>
      </c>
      <c r="E145" s="22">
        <v>40</v>
      </c>
      <c r="F145" s="22">
        <v>40</v>
      </c>
      <c r="G145" s="22">
        <v>39</v>
      </c>
      <c r="H145" s="22">
        <v>40</v>
      </c>
      <c r="I145" s="22">
        <v>40</v>
      </c>
      <c r="J145" s="22">
        <v>40</v>
      </c>
      <c r="K145" s="22">
        <v>40</v>
      </c>
      <c r="L145" s="22">
        <v>40</v>
      </c>
      <c r="M145" s="23">
        <v>42.5</v>
      </c>
      <c r="N145" s="22">
        <v>42.5</v>
      </c>
    </row>
    <row r="146" spans="1:14" ht="11.1" customHeight="1" x14ac:dyDescent="0.25">
      <c r="A146" s="20"/>
      <c r="B146" s="21">
        <v>2020</v>
      </c>
      <c r="C146" s="22">
        <v>42.5</v>
      </c>
      <c r="D146" s="22">
        <v>40</v>
      </c>
      <c r="E146" s="22">
        <v>40</v>
      </c>
      <c r="F146" s="22" t="s">
        <v>4</v>
      </c>
      <c r="G146" s="22" t="s">
        <v>4</v>
      </c>
      <c r="H146" s="22" t="s">
        <v>4</v>
      </c>
      <c r="I146" s="22">
        <v>40</v>
      </c>
      <c r="J146" s="22">
        <v>45</v>
      </c>
      <c r="K146" s="22" t="s">
        <v>4</v>
      </c>
      <c r="L146" s="22" t="s">
        <v>4</v>
      </c>
      <c r="M146" s="23">
        <v>45</v>
      </c>
      <c r="N146" s="22">
        <v>45</v>
      </c>
    </row>
    <row r="147" spans="1:14" ht="11.1" customHeight="1" x14ac:dyDescent="0.25">
      <c r="A147" s="20"/>
      <c r="B147" s="21">
        <v>2021</v>
      </c>
      <c r="C147" s="22">
        <v>40</v>
      </c>
      <c r="D147" s="22">
        <v>40</v>
      </c>
      <c r="E147" s="22">
        <v>40</v>
      </c>
      <c r="F147" s="22">
        <v>37.5</v>
      </c>
      <c r="G147" s="22">
        <v>35</v>
      </c>
      <c r="H147" s="22">
        <v>40</v>
      </c>
      <c r="I147" s="22">
        <v>40</v>
      </c>
      <c r="J147" s="22">
        <v>40</v>
      </c>
      <c r="K147" s="22">
        <v>40</v>
      </c>
      <c r="L147" s="22">
        <v>40</v>
      </c>
      <c r="M147" s="23">
        <v>40</v>
      </c>
      <c r="N147" s="22">
        <v>37.5</v>
      </c>
    </row>
    <row r="148" spans="1:14" ht="11.1" customHeight="1" x14ac:dyDescent="0.25">
      <c r="A148" s="20"/>
      <c r="B148" s="21">
        <v>2022</v>
      </c>
      <c r="C148" s="22">
        <v>37.5</v>
      </c>
      <c r="D148" s="22">
        <v>42.5</v>
      </c>
      <c r="E148" s="22">
        <v>42.5</v>
      </c>
      <c r="F148" s="22">
        <v>42.5</v>
      </c>
      <c r="G148" s="22">
        <v>42.5</v>
      </c>
      <c r="H148" s="22">
        <v>42.5</v>
      </c>
      <c r="I148" s="22">
        <v>42.5</v>
      </c>
      <c r="J148" s="22">
        <v>42.5</v>
      </c>
      <c r="K148" s="22">
        <v>44.5</v>
      </c>
      <c r="L148" s="22">
        <v>45</v>
      </c>
      <c r="M148" s="23">
        <v>50</v>
      </c>
      <c r="N148" s="22">
        <v>47</v>
      </c>
    </row>
    <row r="149" spans="1:14" ht="11.1" customHeight="1" x14ac:dyDescent="0.25">
      <c r="A149" s="20"/>
      <c r="B149" s="21">
        <v>2023</v>
      </c>
      <c r="C149" s="22">
        <v>53</v>
      </c>
      <c r="D149" s="22">
        <v>46.5</v>
      </c>
      <c r="E149" s="22">
        <v>52</v>
      </c>
      <c r="F149" s="22">
        <v>52</v>
      </c>
      <c r="G149" s="22">
        <v>53</v>
      </c>
      <c r="H149" s="22">
        <v>52.5</v>
      </c>
      <c r="I149" s="22">
        <v>53</v>
      </c>
      <c r="J149" s="22">
        <v>53</v>
      </c>
      <c r="K149" s="23">
        <v>53</v>
      </c>
      <c r="L149" s="22">
        <v>53</v>
      </c>
      <c r="M149" s="22">
        <v>53</v>
      </c>
      <c r="N149" s="22">
        <v>51</v>
      </c>
    </row>
    <row r="150" spans="1:14" ht="11.1" customHeight="1" x14ac:dyDescent="0.25">
      <c r="A150" s="20"/>
      <c r="B150" s="21">
        <v>2024</v>
      </c>
      <c r="C150" s="22">
        <v>53</v>
      </c>
      <c r="D150" s="22">
        <v>53</v>
      </c>
      <c r="E150" s="22">
        <v>50</v>
      </c>
      <c r="F150" s="22">
        <v>53</v>
      </c>
      <c r="G150" s="22">
        <v>53</v>
      </c>
      <c r="H150" s="22">
        <v>53</v>
      </c>
      <c r="I150" s="22">
        <v>53</v>
      </c>
      <c r="J150" s="22">
        <v>53</v>
      </c>
      <c r="K150" s="23">
        <v>54</v>
      </c>
      <c r="L150" s="22">
        <v>56.666666666666664</v>
      </c>
      <c r="M150" s="22">
        <v>58.33</v>
      </c>
      <c r="N150" s="22">
        <v>59.2</v>
      </c>
    </row>
    <row r="151" spans="1:14" ht="11.1" customHeight="1" x14ac:dyDescent="0.25">
      <c r="A151" s="24"/>
      <c r="B151" s="25">
        <v>2025</v>
      </c>
      <c r="C151" s="22">
        <v>63</v>
      </c>
      <c r="D151" s="22">
        <v>60</v>
      </c>
      <c r="E151" s="22">
        <v>53</v>
      </c>
      <c r="F151" s="22">
        <v>59</v>
      </c>
      <c r="G151" s="22">
        <v>53</v>
      </c>
      <c r="H151" s="22">
        <v>55</v>
      </c>
      <c r="I151" s="22">
        <v>58</v>
      </c>
    </row>
    <row r="152" spans="1:14" ht="11.1" customHeight="1" x14ac:dyDescent="0.25">
      <c r="A152" s="34" t="s">
        <v>45</v>
      </c>
      <c r="B152" s="28">
        <v>2018</v>
      </c>
      <c r="C152" s="29">
        <v>32.5</v>
      </c>
      <c r="D152" s="29">
        <v>32.5</v>
      </c>
      <c r="E152" s="29">
        <v>32.5</v>
      </c>
      <c r="F152" s="29">
        <v>34</v>
      </c>
      <c r="G152" s="29">
        <v>34</v>
      </c>
      <c r="H152" s="29">
        <v>35</v>
      </c>
      <c r="I152" s="29">
        <v>39</v>
      </c>
      <c r="J152" s="29">
        <v>39</v>
      </c>
      <c r="K152" s="29">
        <v>39</v>
      </c>
      <c r="L152" s="29">
        <v>39</v>
      </c>
      <c r="M152" s="30">
        <v>39</v>
      </c>
      <c r="N152" s="29">
        <v>40</v>
      </c>
    </row>
    <row r="153" spans="1:14" ht="11.1" customHeight="1" x14ac:dyDescent="0.25">
      <c r="A153" s="20"/>
      <c r="B153" s="21">
        <v>2019</v>
      </c>
      <c r="C153" s="22">
        <v>38</v>
      </c>
      <c r="D153" s="22">
        <v>38</v>
      </c>
      <c r="E153" s="22">
        <v>38</v>
      </c>
      <c r="F153" s="22">
        <v>37</v>
      </c>
      <c r="G153" s="22">
        <v>38</v>
      </c>
      <c r="H153" s="22">
        <v>41</v>
      </c>
      <c r="I153" s="22">
        <v>41</v>
      </c>
      <c r="J153" s="22">
        <v>40</v>
      </c>
      <c r="K153" s="22">
        <v>35</v>
      </c>
      <c r="L153" s="22">
        <v>35</v>
      </c>
      <c r="M153" s="23">
        <v>35</v>
      </c>
      <c r="N153" s="22">
        <v>35</v>
      </c>
    </row>
    <row r="154" spans="1:14" ht="11.1" customHeight="1" x14ac:dyDescent="0.25">
      <c r="A154" s="20"/>
      <c r="B154" s="21">
        <v>2020</v>
      </c>
      <c r="C154" s="22">
        <v>37.5</v>
      </c>
      <c r="D154" s="22">
        <v>37.5</v>
      </c>
      <c r="E154" s="22">
        <v>37.5</v>
      </c>
      <c r="F154" s="22">
        <v>37.5</v>
      </c>
      <c r="G154" s="22">
        <v>37.5</v>
      </c>
      <c r="H154" s="22">
        <v>37.5</v>
      </c>
      <c r="I154" s="22">
        <v>37.5</v>
      </c>
      <c r="J154" s="22">
        <v>37.5</v>
      </c>
      <c r="K154" s="22">
        <v>35</v>
      </c>
      <c r="L154" s="22">
        <v>35</v>
      </c>
      <c r="M154" s="23">
        <v>35</v>
      </c>
      <c r="N154" s="22">
        <v>37.5</v>
      </c>
    </row>
    <row r="155" spans="1:14" ht="11.1" customHeight="1" x14ac:dyDescent="0.25">
      <c r="A155" s="20"/>
      <c r="B155" s="21">
        <v>2021</v>
      </c>
      <c r="C155" s="22">
        <v>37.5</v>
      </c>
      <c r="D155" s="22">
        <v>37.5</v>
      </c>
      <c r="E155" s="22">
        <v>37.5</v>
      </c>
      <c r="F155" s="22">
        <v>35</v>
      </c>
      <c r="G155" s="22">
        <v>37.5</v>
      </c>
      <c r="H155" s="22">
        <v>37.5</v>
      </c>
      <c r="I155" s="22">
        <v>35</v>
      </c>
      <c r="J155" s="22">
        <v>52.5</v>
      </c>
      <c r="K155" s="22">
        <v>52.5</v>
      </c>
      <c r="L155" s="22">
        <v>50</v>
      </c>
      <c r="M155" s="23">
        <v>52.5</v>
      </c>
      <c r="N155" s="22">
        <v>52.5</v>
      </c>
    </row>
    <row r="156" spans="1:14" ht="11.1" customHeight="1" x14ac:dyDescent="0.25">
      <c r="A156" s="20"/>
      <c r="B156" s="21">
        <v>2022</v>
      </c>
      <c r="C156" s="22">
        <v>52.5</v>
      </c>
      <c r="D156" s="22">
        <v>53</v>
      </c>
      <c r="E156" s="22">
        <v>53</v>
      </c>
      <c r="F156" s="22">
        <v>53</v>
      </c>
      <c r="G156" s="22">
        <v>53</v>
      </c>
      <c r="H156" s="22">
        <v>47.5</v>
      </c>
      <c r="I156" s="22">
        <v>47.5</v>
      </c>
      <c r="J156" s="22">
        <v>47.5</v>
      </c>
      <c r="K156" s="22">
        <v>47.5</v>
      </c>
      <c r="L156" s="22">
        <v>55</v>
      </c>
      <c r="M156" s="23">
        <v>48</v>
      </c>
      <c r="N156" s="22">
        <v>47.5</v>
      </c>
    </row>
    <row r="157" spans="1:14" ht="11.1" customHeight="1" x14ac:dyDescent="0.25">
      <c r="A157" s="20"/>
      <c r="B157" s="21">
        <v>2023</v>
      </c>
      <c r="C157" s="22">
        <v>47.5</v>
      </c>
      <c r="D157" s="22">
        <v>47.5</v>
      </c>
      <c r="E157" s="22">
        <v>47.5</v>
      </c>
      <c r="F157" s="22">
        <v>47.5</v>
      </c>
      <c r="G157" s="22">
        <v>52</v>
      </c>
      <c r="H157" s="22">
        <v>57.5</v>
      </c>
      <c r="I157" s="22">
        <v>55</v>
      </c>
      <c r="J157" s="22">
        <v>53</v>
      </c>
      <c r="K157" s="22">
        <v>53</v>
      </c>
      <c r="L157" s="22">
        <v>50</v>
      </c>
      <c r="M157" s="22">
        <v>50</v>
      </c>
      <c r="N157" s="22">
        <v>43</v>
      </c>
    </row>
    <row r="158" spans="1:14" ht="11.1" customHeight="1" x14ac:dyDescent="0.25">
      <c r="A158" s="20"/>
      <c r="B158" s="21">
        <v>2024</v>
      </c>
      <c r="C158" s="22">
        <v>48</v>
      </c>
      <c r="D158" s="22">
        <v>50</v>
      </c>
      <c r="E158" s="22">
        <v>52</v>
      </c>
      <c r="F158" s="22">
        <v>47.5</v>
      </c>
      <c r="G158" s="22">
        <v>48</v>
      </c>
      <c r="H158" s="22">
        <v>48</v>
      </c>
      <c r="I158" s="22">
        <v>48</v>
      </c>
      <c r="J158" s="22">
        <v>48</v>
      </c>
      <c r="K158" s="22">
        <v>51</v>
      </c>
      <c r="L158" s="22">
        <v>48.75</v>
      </c>
      <c r="M158" s="22">
        <v>50</v>
      </c>
      <c r="N158" s="22">
        <v>54</v>
      </c>
    </row>
    <row r="159" spans="1:14" ht="11.1" customHeight="1" x14ac:dyDescent="0.25">
      <c r="A159" s="24"/>
      <c r="B159" s="25">
        <v>2025</v>
      </c>
      <c r="C159" s="26">
        <v>48</v>
      </c>
      <c r="D159" s="26">
        <v>48</v>
      </c>
      <c r="E159" s="26">
        <v>50</v>
      </c>
      <c r="F159" s="26">
        <v>50</v>
      </c>
      <c r="G159" s="26">
        <v>50</v>
      </c>
      <c r="H159" s="26">
        <v>50</v>
      </c>
      <c r="I159" s="26">
        <v>47</v>
      </c>
      <c r="J159" s="222"/>
      <c r="K159" s="222"/>
      <c r="L159" s="222"/>
      <c r="M159" s="222"/>
      <c r="N159" s="222"/>
    </row>
    <row r="160" spans="1:14" ht="11.1" customHeight="1" x14ac:dyDescent="0.25">
      <c r="A160" s="34" t="s">
        <v>65</v>
      </c>
      <c r="B160" s="21">
        <v>2018</v>
      </c>
      <c r="C160" s="22">
        <v>37.5</v>
      </c>
      <c r="D160" s="22">
        <v>36.81818181818182</v>
      </c>
      <c r="E160" s="22">
        <v>38.18181818181818</v>
      </c>
      <c r="F160" s="22">
        <v>38.636363636363633</v>
      </c>
      <c r="G160" s="22">
        <v>38.5</v>
      </c>
      <c r="H160" s="23">
        <v>38.5</v>
      </c>
      <c r="I160" s="22">
        <v>38.636363636363633</v>
      </c>
      <c r="J160" s="22">
        <v>40.68181818181818</v>
      </c>
      <c r="K160" s="23">
        <v>40.227272727272727</v>
      </c>
      <c r="L160" s="23">
        <v>40.454545454545453</v>
      </c>
      <c r="M160" s="23">
        <v>40.454545454545453</v>
      </c>
      <c r="N160" s="22">
        <v>40.454545454545453</v>
      </c>
    </row>
    <row r="161" spans="1:14" ht="11.1" customHeight="1" x14ac:dyDescent="0.25">
      <c r="A161" s="20"/>
      <c r="B161" s="21">
        <v>2019</v>
      </c>
      <c r="C161" s="22">
        <v>40</v>
      </c>
      <c r="D161" s="22">
        <v>40</v>
      </c>
      <c r="E161" s="22">
        <v>41.8</v>
      </c>
      <c r="F161" s="22">
        <v>41.8</v>
      </c>
      <c r="G161" s="22">
        <v>41.8</v>
      </c>
      <c r="H161" s="23">
        <v>43.5</v>
      </c>
      <c r="I161" s="22">
        <v>43.8</v>
      </c>
      <c r="J161" s="22">
        <v>44.5</v>
      </c>
      <c r="K161" s="23">
        <v>45</v>
      </c>
      <c r="L161" s="23">
        <v>45</v>
      </c>
      <c r="M161" s="23">
        <v>45</v>
      </c>
      <c r="N161" s="22">
        <v>47.5</v>
      </c>
    </row>
    <row r="162" spans="1:14" ht="11.1" customHeight="1" x14ac:dyDescent="0.25">
      <c r="A162" s="20"/>
      <c r="B162" s="21">
        <v>2020</v>
      </c>
      <c r="C162" s="22">
        <v>45</v>
      </c>
      <c r="D162" s="22">
        <v>45</v>
      </c>
      <c r="E162" s="22" t="s">
        <v>4</v>
      </c>
      <c r="F162" s="22" t="s">
        <v>4</v>
      </c>
      <c r="G162" s="22">
        <v>47.5</v>
      </c>
      <c r="H162" s="23">
        <v>47.5</v>
      </c>
      <c r="I162" s="22" t="s">
        <v>4</v>
      </c>
      <c r="J162" s="22">
        <v>47.5</v>
      </c>
      <c r="K162" s="23">
        <v>47.5</v>
      </c>
      <c r="L162" s="23">
        <v>45</v>
      </c>
      <c r="M162" s="23">
        <v>45</v>
      </c>
      <c r="N162" s="22">
        <v>45</v>
      </c>
    </row>
    <row r="163" spans="1:14" ht="11.1" customHeight="1" x14ac:dyDescent="0.25">
      <c r="A163" s="20"/>
      <c r="B163" s="21">
        <v>2021</v>
      </c>
      <c r="C163" s="22">
        <v>45</v>
      </c>
      <c r="D163" s="22">
        <v>45</v>
      </c>
      <c r="E163" s="22">
        <v>45</v>
      </c>
      <c r="F163" s="22">
        <v>45</v>
      </c>
      <c r="G163" s="22">
        <v>45</v>
      </c>
      <c r="H163" s="23">
        <v>45</v>
      </c>
      <c r="I163" s="22">
        <v>45</v>
      </c>
      <c r="J163" s="22">
        <v>45</v>
      </c>
      <c r="K163" s="23">
        <v>45</v>
      </c>
      <c r="L163" s="23">
        <v>45</v>
      </c>
      <c r="M163" s="23">
        <v>45</v>
      </c>
      <c r="N163" s="22">
        <v>45</v>
      </c>
    </row>
    <row r="164" spans="1:14" ht="11.1" customHeight="1" x14ac:dyDescent="0.25">
      <c r="A164" s="20"/>
      <c r="B164" s="21">
        <v>2022</v>
      </c>
      <c r="C164" s="22">
        <v>47.5</v>
      </c>
      <c r="D164" s="22">
        <v>52.5</v>
      </c>
      <c r="E164" s="22">
        <v>57.5</v>
      </c>
      <c r="F164" s="22">
        <v>55</v>
      </c>
      <c r="G164" s="22">
        <v>55</v>
      </c>
      <c r="H164" s="23">
        <v>58</v>
      </c>
      <c r="I164" s="22">
        <v>58</v>
      </c>
      <c r="J164" s="22">
        <v>62.5</v>
      </c>
      <c r="K164" s="23">
        <v>75.5</v>
      </c>
      <c r="L164" s="23">
        <v>58</v>
      </c>
      <c r="M164" s="23">
        <v>58</v>
      </c>
      <c r="N164" s="22">
        <v>62.5</v>
      </c>
    </row>
    <row r="165" spans="1:14" ht="11.1" customHeight="1" x14ac:dyDescent="0.25">
      <c r="A165" s="20"/>
      <c r="B165" s="21">
        <v>2023</v>
      </c>
      <c r="C165" s="22">
        <v>65</v>
      </c>
      <c r="D165" s="22">
        <v>65</v>
      </c>
      <c r="E165" s="22">
        <v>65</v>
      </c>
      <c r="F165" s="22" t="s">
        <v>4</v>
      </c>
      <c r="G165" s="22" t="s">
        <v>4</v>
      </c>
      <c r="H165" s="23" t="s">
        <v>4</v>
      </c>
      <c r="I165" s="22" t="s">
        <v>4</v>
      </c>
      <c r="J165" s="22" t="s">
        <v>4</v>
      </c>
      <c r="K165" s="23" t="s">
        <v>4</v>
      </c>
      <c r="L165" s="23" t="s">
        <v>4</v>
      </c>
      <c r="M165" s="23" t="s">
        <v>4</v>
      </c>
      <c r="N165" s="23" t="s">
        <v>4</v>
      </c>
    </row>
    <row r="166" spans="1:14" ht="11.1" customHeight="1" x14ac:dyDescent="0.25">
      <c r="A166" s="20"/>
      <c r="B166" s="21">
        <v>2024</v>
      </c>
      <c r="C166" s="22" t="s">
        <v>4</v>
      </c>
      <c r="D166" s="22" t="s">
        <v>4</v>
      </c>
      <c r="E166" s="22">
        <v>62</v>
      </c>
      <c r="F166" s="22">
        <v>68</v>
      </c>
      <c r="G166" s="22">
        <v>63</v>
      </c>
      <c r="H166" s="23" t="s">
        <v>4</v>
      </c>
      <c r="I166" s="22" t="s">
        <v>4</v>
      </c>
      <c r="J166" s="22" t="s">
        <v>4</v>
      </c>
      <c r="K166" s="22" t="s">
        <v>4</v>
      </c>
      <c r="L166" s="22">
        <v>55.979909318323955</v>
      </c>
      <c r="M166" s="22">
        <v>60.83</v>
      </c>
      <c r="N166" s="22">
        <v>58</v>
      </c>
    </row>
    <row r="167" spans="1:14" ht="11.1" customHeight="1" x14ac:dyDescent="0.25">
      <c r="A167" s="24"/>
      <c r="B167" s="25">
        <v>2025</v>
      </c>
      <c r="C167" s="26">
        <v>55</v>
      </c>
      <c r="D167" s="26">
        <v>50</v>
      </c>
      <c r="E167" s="26" t="s">
        <v>4</v>
      </c>
      <c r="F167" s="26">
        <v>58</v>
      </c>
      <c r="G167" s="26">
        <v>58</v>
      </c>
      <c r="H167" s="26">
        <v>62</v>
      </c>
      <c r="I167" s="26">
        <v>56</v>
      </c>
      <c r="J167" s="222"/>
      <c r="K167" s="222"/>
      <c r="L167" s="222"/>
      <c r="M167" s="222"/>
      <c r="N167" s="222"/>
    </row>
    <row r="168" spans="1:14" ht="11.1" customHeight="1" x14ac:dyDescent="0.25">
      <c r="A168" s="20" t="s">
        <v>55</v>
      </c>
      <c r="B168" s="21">
        <v>2018</v>
      </c>
      <c r="C168" s="22">
        <v>35</v>
      </c>
      <c r="D168" s="22">
        <v>35</v>
      </c>
      <c r="E168" s="22">
        <v>35</v>
      </c>
      <c r="F168" s="22">
        <v>35</v>
      </c>
      <c r="G168" s="22">
        <v>35</v>
      </c>
      <c r="H168" s="22">
        <v>36</v>
      </c>
      <c r="I168" s="22">
        <v>35</v>
      </c>
      <c r="J168" s="22">
        <v>34</v>
      </c>
      <c r="K168" s="22">
        <v>35</v>
      </c>
      <c r="L168" s="22">
        <v>35</v>
      </c>
      <c r="M168" s="23">
        <v>35</v>
      </c>
      <c r="N168" s="22">
        <v>35</v>
      </c>
    </row>
    <row r="169" spans="1:14" ht="11.1" customHeight="1" x14ac:dyDescent="0.25">
      <c r="A169" s="20"/>
      <c r="B169" s="21">
        <v>2019</v>
      </c>
      <c r="C169" s="22">
        <v>34</v>
      </c>
      <c r="D169" s="22">
        <v>34</v>
      </c>
      <c r="E169" s="22">
        <v>34</v>
      </c>
      <c r="F169" s="22">
        <v>35</v>
      </c>
      <c r="G169" s="22">
        <v>35</v>
      </c>
      <c r="H169" s="22">
        <v>36</v>
      </c>
      <c r="I169" s="22">
        <v>35</v>
      </c>
      <c r="J169" s="22">
        <v>35</v>
      </c>
      <c r="K169" s="22">
        <v>37.5</v>
      </c>
      <c r="L169" s="22">
        <v>37.5</v>
      </c>
      <c r="M169" s="23">
        <v>40</v>
      </c>
      <c r="N169" s="22">
        <v>40</v>
      </c>
    </row>
    <row r="170" spans="1:14" ht="11.1" customHeight="1" x14ac:dyDescent="0.25">
      <c r="A170" s="20"/>
      <c r="B170" s="21">
        <v>2020</v>
      </c>
      <c r="C170" s="22">
        <v>40</v>
      </c>
      <c r="D170" s="22">
        <v>40</v>
      </c>
      <c r="E170" s="22">
        <v>40</v>
      </c>
      <c r="F170" s="22">
        <v>40</v>
      </c>
      <c r="G170" s="22">
        <v>40</v>
      </c>
      <c r="H170" s="22">
        <v>40</v>
      </c>
      <c r="I170" s="22">
        <v>40</v>
      </c>
      <c r="J170" s="22">
        <v>40</v>
      </c>
      <c r="K170" s="22">
        <v>40</v>
      </c>
      <c r="L170" s="22">
        <v>40</v>
      </c>
      <c r="M170" s="23">
        <v>40</v>
      </c>
      <c r="N170" s="22">
        <v>38</v>
      </c>
    </row>
    <row r="171" spans="1:14" ht="11.1" customHeight="1" x14ac:dyDescent="0.25">
      <c r="A171" s="20"/>
      <c r="B171" s="21">
        <v>2021</v>
      </c>
      <c r="C171" s="22">
        <v>40</v>
      </c>
      <c r="D171" s="22">
        <v>40</v>
      </c>
      <c r="E171" s="22">
        <v>40</v>
      </c>
      <c r="F171" s="22">
        <v>40</v>
      </c>
      <c r="G171" s="22">
        <v>40</v>
      </c>
      <c r="H171" s="22">
        <v>45</v>
      </c>
      <c r="I171" s="22">
        <v>45</v>
      </c>
      <c r="J171" s="22">
        <v>45</v>
      </c>
      <c r="K171" s="22">
        <v>45</v>
      </c>
      <c r="L171" s="22">
        <v>45</v>
      </c>
      <c r="M171" s="23">
        <v>45</v>
      </c>
      <c r="N171" s="22">
        <v>40</v>
      </c>
    </row>
    <row r="172" spans="1:14" ht="11.1" customHeight="1" x14ac:dyDescent="0.25">
      <c r="A172" s="20"/>
      <c r="B172" s="21">
        <v>2022</v>
      </c>
      <c r="C172" s="22">
        <v>40</v>
      </c>
      <c r="D172" s="22">
        <v>45</v>
      </c>
      <c r="E172" s="22">
        <v>45</v>
      </c>
      <c r="F172" s="22">
        <v>40</v>
      </c>
      <c r="G172" s="22">
        <v>40</v>
      </c>
      <c r="H172" s="22">
        <v>45</v>
      </c>
      <c r="I172" s="22">
        <v>52.5</v>
      </c>
      <c r="J172" s="22">
        <v>52.5</v>
      </c>
      <c r="K172" s="22">
        <v>52.5</v>
      </c>
      <c r="L172" s="22">
        <v>53</v>
      </c>
      <c r="M172" s="23">
        <v>57.5</v>
      </c>
      <c r="N172" s="22">
        <v>57.5</v>
      </c>
    </row>
    <row r="173" spans="1:14" ht="11.1" customHeight="1" x14ac:dyDescent="0.25">
      <c r="A173" s="20"/>
      <c r="B173" s="21">
        <v>2023</v>
      </c>
      <c r="C173" s="22" t="s">
        <v>4</v>
      </c>
      <c r="D173" s="22" t="s">
        <v>4</v>
      </c>
      <c r="E173" s="22" t="s">
        <v>4</v>
      </c>
      <c r="F173" s="22">
        <v>67.5</v>
      </c>
      <c r="G173" s="22">
        <v>60</v>
      </c>
      <c r="H173" s="22">
        <v>57.5</v>
      </c>
      <c r="I173" s="22">
        <v>60</v>
      </c>
      <c r="J173" s="22">
        <v>62</v>
      </c>
      <c r="K173" s="22">
        <v>60</v>
      </c>
      <c r="L173" s="22">
        <v>60</v>
      </c>
      <c r="M173" s="22">
        <v>60</v>
      </c>
      <c r="N173" s="22">
        <v>60</v>
      </c>
    </row>
    <row r="174" spans="1:14" ht="11.1" customHeight="1" x14ac:dyDescent="0.25">
      <c r="A174" s="20"/>
      <c r="B174" s="21">
        <v>2024</v>
      </c>
      <c r="C174" s="22">
        <v>60</v>
      </c>
      <c r="D174" s="22">
        <v>60</v>
      </c>
      <c r="E174" s="22">
        <v>56</v>
      </c>
      <c r="F174" s="22">
        <v>80</v>
      </c>
      <c r="G174" s="22">
        <v>80</v>
      </c>
      <c r="H174" s="22">
        <v>55</v>
      </c>
      <c r="I174" s="22">
        <v>53</v>
      </c>
      <c r="J174" s="22">
        <v>65</v>
      </c>
      <c r="K174" s="22">
        <v>58</v>
      </c>
      <c r="L174" s="22">
        <v>59.944444444444443</v>
      </c>
      <c r="M174" s="22">
        <v>55.17</v>
      </c>
      <c r="N174" s="22">
        <v>55</v>
      </c>
    </row>
    <row r="175" spans="1:14" ht="11.1" customHeight="1" x14ac:dyDescent="0.25">
      <c r="A175" s="24"/>
      <c r="B175" s="25">
        <v>2025</v>
      </c>
      <c r="C175" s="26">
        <v>51</v>
      </c>
      <c r="D175" s="26">
        <v>54</v>
      </c>
      <c r="E175" s="26">
        <v>58</v>
      </c>
      <c r="F175" s="26">
        <v>52</v>
      </c>
      <c r="G175" s="26">
        <v>46</v>
      </c>
      <c r="H175" s="26">
        <v>55</v>
      </c>
      <c r="I175" s="26">
        <v>60</v>
      </c>
      <c r="J175" s="222"/>
      <c r="K175" s="222"/>
      <c r="L175" s="222"/>
      <c r="M175" s="222"/>
      <c r="N175" s="222"/>
    </row>
    <row r="176" spans="1:14" ht="11.1" customHeight="1" x14ac:dyDescent="0.25">
      <c r="A176" s="20" t="s">
        <v>90</v>
      </c>
      <c r="B176" s="21">
        <v>2018</v>
      </c>
      <c r="C176" s="22">
        <v>57</v>
      </c>
      <c r="D176" s="22">
        <v>57</v>
      </c>
      <c r="E176" s="22">
        <v>57</v>
      </c>
      <c r="F176" s="22">
        <v>57</v>
      </c>
      <c r="G176" s="22">
        <v>57</v>
      </c>
      <c r="H176" s="22">
        <v>57</v>
      </c>
      <c r="I176" s="22">
        <v>54</v>
      </c>
      <c r="J176" s="22">
        <v>54.5</v>
      </c>
      <c r="K176" s="22">
        <v>55</v>
      </c>
      <c r="L176" s="22">
        <v>55</v>
      </c>
      <c r="M176" s="23">
        <v>55</v>
      </c>
      <c r="N176" s="22">
        <v>55</v>
      </c>
    </row>
    <row r="177" spans="1:14" ht="11.1" customHeight="1" x14ac:dyDescent="0.25">
      <c r="A177" s="20"/>
      <c r="B177" s="21">
        <v>2019</v>
      </c>
      <c r="C177" s="22">
        <v>57.5</v>
      </c>
      <c r="D177" s="22">
        <v>56</v>
      </c>
      <c r="E177" s="22">
        <v>56</v>
      </c>
      <c r="F177" s="22">
        <v>56</v>
      </c>
      <c r="G177" s="22">
        <v>59</v>
      </c>
      <c r="H177" s="22">
        <v>58</v>
      </c>
      <c r="I177" s="22">
        <v>57.5</v>
      </c>
      <c r="J177" s="22">
        <v>57.5</v>
      </c>
      <c r="K177" s="22">
        <v>57.5</v>
      </c>
      <c r="L177" s="22">
        <v>57.5</v>
      </c>
      <c r="M177" s="23">
        <v>57.5</v>
      </c>
      <c r="N177" s="22">
        <v>57.5</v>
      </c>
    </row>
    <row r="178" spans="1:14" ht="11.1" customHeight="1" x14ac:dyDescent="0.25">
      <c r="A178" s="20"/>
      <c r="B178" s="21">
        <v>2020</v>
      </c>
      <c r="C178" s="22">
        <v>57.5</v>
      </c>
      <c r="D178" s="22">
        <v>57.5</v>
      </c>
      <c r="E178" s="22">
        <v>59</v>
      </c>
      <c r="F178" s="22">
        <v>56.5</v>
      </c>
      <c r="G178" s="22">
        <v>56.5</v>
      </c>
      <c r="H178" s="22">
        <v>56.5</v>
      </c>
      <c r="I178" s="22">
        <v>59</v>
      </c>
      <c r="J178" s="22">
        <v>57.5</v>
      </c>
      <c r="K178" s="22">
        <v>57.5</v>
      </c>
      <c r="L178" s="22">
        <v>59</v>
      </c>
      <c r="M178" s="23">
        <v>62.5</v>
      </c>
      <c r="N178" s="22">
        <v>57.5</v>
      </c>
    </row>
    <row r="179" spans="1:14" ht="11.1" customHeight="1" x14ac:dyDescent="0.25">
      <c r="A179" s="20"/>
      <c r="B179" s="21">
        <v>2021</v>
      </c>
      <c r="C179" s="22" t="s">
        <v>4</v>
      </c>
      <c r="D179" s="22" t="s">
        <v>4</v>
      </c>
      <c r="E179" s="22" t="s">
        <v>4</v>
      </c>
      <c r="F179" s="22" t="s">
        <v>4</v>
      </c>
      <c r="G179" s="22" t="s">
        <v>4</v>
      </c>
      <c r="H179" s="22" t="s">
        <v>4</v>
      </c>
      <c r="I179" s="22" t="s">
        <v>4</v>
      </c>
      <c r="J179" s="22" t="s">
        <v>4</v>
      </c>
      <c r="K179" s="22" t="s">
        <v>4</v>
      </c>
      <c r="L179" s="22" t="s">
        <v>4</v>
      </c>
      <c r="M179" s="23" t="s">
        <v>4</v>
      </c>
      <c r="N179" s="22" t="s">
        <v>4</v>
      </c>
    </row>
    <row r="180" spans="1:14" ht="11.1" customHeight="1" x14ac:dyDescent="0.25">
      <c r="A180" s="20"/>
      <c r="B180" s="21">
        <v>2022</v>
      </c>
      <c r="C180" s="22">
        <v>63</v>
      </c>
      <c r="D180" s="22">
        <v>60</v>
      </c>
      <c r="E180" s="22">
        <v>60</v>
      </c>
      <c r="F180" s="22">
        <v>70</v>
      </c>
      <c r="G180" s="22">
        <v>70</v>
      </c>
      <c r="H180" s="22">
        <v>70</v>
      </c>
      <c r="I180" s="22">
        <v>70</v>
      </c>
      <c r="J180" s="22">
        <v>70</v>
      </c>
      <c r="K180" s="22">
        <v>70</v>
      </c>
      <c r="L180" s="22">
        <v>70</v>
      </c>
      <c r="M180" s="23">
        <v>75</v>
      </c>
      <c r="N180" s="22">
        <v>80</v>
      </c>
    </row>
    <row r="181" spans="1:14" ht="11.1" customHeight="1" x14ac:dyDescent="0.25">
      <c r="A181" s="20"/>
      <c r="B181" s="21">
        <v>2023</v>
      </c>
      <c r="C181" s="22">
        <v>80</v>
      </c>
      <c r="D181" s="22">
        <v>80</v>
      </c>
      <c r="E181" s="22">
        <v>82</v>
      </c>
      <c r="F181" s="22">
        <v>82</v>
      </c>
      <c r="G181" s="22">
        <v>83</v>
      </c>
      <c r="H181" s="22">
        <v>83</v>
      </c>
      <c r="I181" s="22">
        <v>85</v>
      </c>
      <c r="J181" s="22">
        <v>79</v>
      </c>
      <c r="K181" s="22">
        <v>78</v>
      </c>
      <c r="L181" s="22">
        <v>80</v>
      </c>
      <c r="M181" s="22">
        <v>80</v>
      </c>
      <c r="N181" s="22">
        <v>80</v>
      </c>
    </row>
    <row r="182" spans="1:14" ht="11.1" customHeight="1" x14ac:dyDescent="0.25">
      <c r="A182" s="20"/>
      <c r="B182" s="21">
        <v>2024</v>
      </c>
      <c r="C182" s="22">
        <v>80</v>
      </c>
      <c r="D182" s="22">
        <v>80</v>
      </c>
      <c r="E182" s="22">
        <v>80</v>
      </c>
      <c r="F182" s="22">
        <v>80</v>
      </c>
      <c r="G182" s="22">
        <v>80</v>
      </c>
      <c r="H182" s="22">
        <v>80</v>
      </c>
      <c r="I182" s="22">
        <v>80</v>
      </c>
      <c r="J182" s="22">
        <v>80</v>
      </c>
      <c r="K182" s="22">
        <v>81</v>
      </c>
      <c r="L182" s="22">
        <v>80.625</v>
      </c>
      <c r="M182" s="22">
        <v>80</v>
      </c>
      <c r="N182" s="22">
        <v>80</v>
      </c>
    </row>
    <row r="183" spans="1:14" ht="11.1" customHeight="1" x14ac:dyDescent="0.25">
      <c r="A183" s="24"/>
      <c r="B183" s="25">
        <v>2025</v>
      </c>
      <c r="C183" s="26">
        <v>78</v>
      </c>
      <c r="D183" s="26">
        <v>79</v>
      </c>
      <c r="E183" s="26">
        <v>80</v>
      </c>
      <c r="F183" s="26">
        <v>80</v>
      </c>
      <c r="G183" s="26">
        <v>80</v>
      </c>
      <c r="H183" s="26">
        <v>78</v>
      </c>
      <c r="I183" s="26">
        <v>72</v>
      </c>
    </row>
    <row r="184" spans="1:14" ht="11.1" customHeight="1" x14ac:dyDescent="0.25">
      <c r="A184" s="34" t="s">
        <v>72</v>
      </c>
      <c r="B184" s="28">
        <v>2018</v>
      </c>
      <c r="C184" s="29">
        <v>42.5</v>
      </c>
      <c r="D184" s="29">
        <v>42.5</v>
      </c>
      <c r="E184" s="29">
        <v>42</v>
      </c>
      <c r="F184" s="29">
        <v>42.5</v>
      </c>
      <c r="G184" s="29">
        <v>42.5</v>
      </c>
      <c r="H184" s="29">
        <v>42.5</v>
      </c>
      <c r="I184" s="29">
        <v>42.5</v>
      </c>
      <c r="J184" s="29">
        <v>42.5</v>
      </c>
      <c r="K184" s="29">
        <v>42.5</v>
      </c>
      <c r="L184" s="29">
        <v>43.5</v>
      </c>
      <c r="M184" s="30">
        <v>43.5</v>
      </c>
      <c r="N184" s="29">
        <v>43.5</v>
      </c>
    </row>
    <row r="185" spans="1:14" ht="11.1" customHeight="1" x14ac:dyDescent="0.25">
      <c r="A185" s="20"/>
      <c r="B185" s="21">
        <v>2019</v>
      </c>
      <c r="C185" s="22">
        <v>43</v>
      </c>
      <c r="D185" s="22">
        <v>42.5</v>
      </c>
      <c r="E185" s="22">
        <v>43.4</v>
      </c>
      <c r="F185" s="22">
        <v>43.4</v>
      </c>
      <c r="G185" s="22">
        <v>42.5</v>
      </c>
      <c r="H185" s="22">
        <v>44.5</v>
      </c>
      <c r="I185" s="22">
        <v>43.5</v>
      </c>
      <c r="J185" s="22">
        <v>42.5</v>
      </c>
      <c r="K185" s="22">
        <v>43</v>
      </c>
      <c r="L185" s="22">
        <v>45</v>
      </c>
      <c r="M185" s="23">
        <v>45</v>
      </c>
      <c r="N185" s="22">
        <v>45</v>
      </c>
    </row>
    <row r="186" spans="1:14" ht="11.1" customHeight="1" x14ac:dyDescent="0.25">
      <c r="A186" s="20"/>
      <c r="B186" s="21">
        <v>2020</v>
      </c>
      <c r="C186" s="22">
        <v>45</v>
      </c>
      <c r="D186" s="22">
        <v>45</v>
      </c>
      <c r="E186" s="22">
        <v>45</v>
      </c>
      <c r="F186" s="22">
        <v>45</v>
      </c>
      <c r="G186" s="22">
        <v>45</v>
      </c>
      <c r="H186" s="22">
        <v>50</v>
      </c>
      <c r="I186" s="22">
        <v>45</v>
      </c>
      <c r="J186" s="22">
        <v>45</v>
      </c>
      <c r="K186" s="22">
        <v>45</v>
      </c>
      <c r="L186" s="22">
        <v>45</v>
      </c>
      <c r="M186" s="23">
        <v>45</v>
      </c>
      <c r="N186" s="22">
        <v>45</v>
      </c>
    </row>
    <row r="187" spans="1:14" ht="11.1" customHeight="1" x14ac:dyDescent="0.25">
      <c r="A187" s="20"/>
      <c r="B187" s="21">
        <v>2021</v>
      </c>
      <c r="C187" s="22">
        <v>45</v>
      </c>
      <c r="D187" s="22">
        <v>45</v>
      </c>
      <c r="E187" s="22">
        <v>45</v>
      </c>
      <c r="F187" s="22">
        <v>50</v>
      </c>
      <c r="G187" s="22">
        <v>45</v>
      </c>
      <c r="H187" s="22">
        <v>47.5</v>
      </c>
      <c r="I187" s="22">
        <v>45</v>
      </c>
      <c r="J187" s="22">
        <v>45</v>
      </c>
      <c r="K187" s="22">
        <v>45</v>
      </c>
      <c r="L187" s="22">
        <v>45</v>
      </c>
      <c r="M187" s="23">
        <v>50</v>
      </c>
      <c r="N187" s="22">
        <v>50</v>
      </c>
    </row>
    <row r="188" spans="1:14" ht="11.1" customHeight="1" x14ac:dyDescent="0.25">
      <c r="A188" s="20"/>
      <c r="B188" s="21">
        <v>2022</v>
      </c>
      <c r="C188" s="22">
        <v>50</v>
      </c>
      <c r="D188" s="22">
        <v>60</v>
      </c>
      <c r="E188" s="22">
        <v>50</v>
      </c>
      <c r="F188" s="22">
        <v>62.5</v>
      </c>
      <c r="G188" s="22">
        <v>62.5</v>
      </c>
      <c r="H188" s="22">
        <v>65</v>
      </c>
      <c r="I188" s="22">
        <v>65</v>
      </c>
      <c r="J188" s="22">
        <v>65</v>
      </c>
      <c r="K188" s="22">
        <v>65</v>
      </c>
      <c r="L188" s="22">
        <v>65</v>
      </c>
      <c r="M188" s="23">
        <v>65</v>
      </c>
      <c r="N188" s="22">
        <v>65</v>
      </c>
    </row>
    <row r="189" spans="1:14" ht="11.1" customHeight="1" x14ac:dyDescent="0.25">
      <c r="A189" s="20"/>
      <c r="B189" s="21">
        <v>2023</v>
      </c>
      <c r="C189" s="22">
        <v>65</v>
      </c>
      <c r="D189" s="22">
        <v>65</v>
      </c>
      <c r="E189" s="22">
        <v>65</v>
      </c>
      <c r="F189" s="22">
        <v>65</v>
      </c>
      <c r="G189" s="22">
        <v>65</v>
      </c>
      <c r="H189" s="22">
        <v>65</v>
      </c>
      <c r="I189" s="22">
        <v>65</v>
      </c>
      <c r="J189" s="22">
        <v>65</v>
      </c>
      <c r="K189" s="22">
        <v>65</v>
      </c>
      <c r="L189" s="22">
        <v>65</v>
      </c>
      <c r="M189" s="22">
        <v>65</v>
      </c>
      <c r="N189" s="22">
        <v>65</v>
      </c>
    </row>
    <row r="190" spans="1:14" ht="11.1" customHeight="1" x14ac:dyDescent="0.25">
      <c r="A190" s="20"/>
      <c r="B190" s="21">
        <v>2024</v>
      </c>
      <c r="C190" s="22">
        <v>65</v>
      </c>
      <c r="D190" s="22">
        <v>65</v>
      </c>
      <c r="E190" s="22">
        <v>68</v>
      </c>
      <c r="F190" s="22">
        <v>65</v>
      </c>
      <c r="G190" s="22">
        <v>65</v>
      </c>
      <c r="H190" s="22">
        <v>65</v>
      </c>
      <c r="I190" s="22">
        <v>65</v>
      </c>
      <c r="J190" s="22">
        <v>65</v>
      </c>
      <c r="K190" s="22">
        <v>62</v>
      </c>
      <c r="L190" s="22">
        <v>80</v>
      </c>
      <c r="M190" s="23" t="s">
        <v>4</v>
      </c>
      <c r="N190" s="23" t="s">
        <v>4</v>
      </c>
    </row>
    <row r="191" spans="1:14" ht="11.1" customHeight="1" x14ac:dyDescent="0.25">
      <c r="A191" s="24"/>
      <c r="B191" s="25">
        <v>2025</v>
      </c>
      <c r="C191" s="26">
        <v>57</v>
      </c>
      <c r="D191" s="26">
        <v>57</v>
      </c>
      <c r="E191" s="26">
        <v>58</v>
      </c>
      <c r="F191" s="26">
        <v>57</v>
      </c>
      <c r="G191" s="26">
        <v>57</v>
      </c>
      <c r="H191" s="26">
        <v>53</v>
      </c>
      <c r="I191" s="26">
        <v>55</v>
      </c>
      <c r="J191" s="222"/>
      <c r="K191" s="222"/>
      <c r="L191" s="222"/>
      <c r="M191" s="222"/>
      <c r="N191" s="222"/>
    </row>
    <row r="192" spans="1:14" ht="11.1" customHeight="1" x14ac:dyDescent="0.25">
      <c r="A192" s="20" t="s">
        <v>76</v>
      </c>
      <c r="B192" s="21">
        <v>2018</v>
      </c>
      <c r="C192" s="22">
        <v>30</v>
      </c>
      <c r="D192" s="22">
        <v>30</v>
      </c>
      <c r="E192" s="22">
        <v>30</v>
      </c>
      <c r="F192" s="22">
        <v>30</v>
      </c>
      <c r="G192" s="22">
        <v>30.5</v>
      </c>
      <c r="H192" s="22">
        <v>31</v>
      </c>
      <c r="I192" s="22">
        <v>31</v>
      </c>
      <c r="J192" s="22">
        <v>31</v>
      </c>
      <c r="K192" s="22">
        <v>31</v>
      </c>
      <c r="L192" s="22">
        <v>31</v>
      </c>
      <c r="M192" s="23">
        <v>31</v>
      </c>
      <c r="N192" s="22">
        <v>32</v>
      </c>
    </row>
    <row r="193" spans="1:15" ht="11.1" customHeight="1" x14ac:dyDescent="0.25">
      <c r="A193" s="20"/>
      <c r="B193" s="21">
        <v>2019</v>
      </c>
      <c r="C193" s="22">
        <v>35</v>
      </c>
      <c r="D193" s="22">
        <v>35</v>
      </c>
      <c r="E193" s="22">
        <v>35</v>
      </c>
      <c r="F193" s="22">
        <v>35</v>
      </c>
      <c r="G193" s="22">
        <v>35</v>
      </c>
      <c r="H193" s="22">
        <v>30</v>
      </c>
      <c r="I193" s="22">
        <v>36.5</v>
      </c>
      <c r="J193" s="22">
        <v>37.5</v>
      </c>
      <c r="K193" s="22">
        <v>33</v>
      </c>
      <c r="L193" s="22">
        <v>32.5</v>
      </c>
      <c r="M193" s="23">
        <v>35</v>
      </c>
      <c r="N193" s="22">
        <v>32.5</v>
      </c>
    </row>
    <row r="194" spans="1:15" ht="11.1" customHeight="1" x14ac:dyDescent="0.25">
      <c r="A194" s="42"/>
      <c r="B194" s="21">
        <v>2020</v>
      </c>
      <c r="C194" s="22">
        <v>42.5</v>
      </c>
      <c r="D194" s="22" t="s">
        <v>4</v>
      </c>
      <c r="E194" s="22" t="s">
        <v>4</v>
      </c>
      <c r="F194" s="22" t="s">
        <v>4</v>
      </c>
      <c r="G194" s="22" t="s">
        <v>4</v>
      </c>
      <c r="H194" s="22" t="s">
        <v>4</v>
      </c>
      <c r="I194" s="22" t="s">
        <v>4</v>
      </c>
      <c r="J194" s="22" t="s">
        <v>4</v>
      </c>
      <c r="K194" s="22" t="s">
        <v>4</v>
      </c>
      <c r="L194" s="22" t="s">
        <v>4</v>
      </c>
      <c r="M194" s="23" t="s">
        <v>4</v>
      </c>
      <c r="N194" s="22" t="s">
        <v>4</v>
      </c>
    </row>
    <row r="195" spans="1:15" ht="11.1" customHeight="1" x14ac:dyDescent="0.25">
      <c r="A195" s="42"/>
      <c r="B195" s="21">
        <v>2021</v>
      </c>
      <c r="C195" s="22" t="s">
        <v>4</v>
      </c>
      <c r="D195" s="22">
        <v>37.5</v>
      </c>
      <c r="E195" s="22" t="s">
        <v>4</v>
      </c>
      <c r="F195" s="22">
        <v>37.5</v>
      </c>
      <c r="G195" s="22">
        <v>37.5</v>
      </c>
      <c r="H195" s="22">
        <v>40</v>
      </c>
      <c r="I195" s="22">
        <v>42.5</v>
      </c>
      <c r="J195" s="22">
        <v>42.5</v>
      </c>
      <c r="K195" s="22">
        <v>42.5</v>
      </c>
      <c r="L195" s="22">
        <v>45</v>
      </c>
      <c r="M195" s="23">
        <v>47.5</v>
      </c>
      <c r="N195" s="22">
        <v>47.5</v>
      </c>
    </row>
    <row r="196" spans="1:15" ht="11.1" customHeight="1" x14ac:dyDescent="0.25">
      <c r="A196" s="42"/>
      <c r="B196" s="21">
        <v>2022</v>
      </c>
      <c r="C196" s="22">
        <v>48</v>
      </c>
      <c r="D196" s="22">
        <v>48</v>
      </c>
      <c r="E196" s="22">
        <v>62</v>
      </c>
      <c r="F196" s="22">
        <v>57</v>
      </c>
      <c r="G196" s="22">
        <v>62.5</v>
      </c>
      <c r="H196" s="22">
        <v>42.5</v>
      </c>
      <c r="I196" s="22">
        <v>42.5</v>
      </c>
      <c r="J196" s="22">
        <v>47</v>
      </c>
      <c r="K196" s="22">
        <v>48</v>
      </c>
      <c r="L196" s="22">
        <v>48</v>
      </c>
      <c r="M196" s="23">
        <v>48</v>
      </c>
      <c r="N196" s="22">
        <v>52</v>
      </c>
    </row>
    <row r="197" spans="1:15" ht="11.1" customHeight="1" x14ac:dyDescent="0.25">
      <c r="A197" s="42"/>
      <c r="B197" s="21">
        <v>2023</v>
      </c>
      <c r="C197" s="22">
        <v>50</v>
      </c>
      <c r="D197" s="22">
        <v>50</v>
      </c>
      <c r="E197" s="22">
        <v>55</v>
      </c>
      <c r="F197" s="22">
        <v>62.5</v>
      </c>
      <c r="G197" s="22">
        <v>55</v>
      </c>
      <c r="H197" s="22">
        <v>55</v>
      </c>
      <c r="I197" s="22">
        <v>55</v>
      </c>
      <c r="J197" s="22">
        <v>53</v>
      </c>
      <c r="K197" s="22">
        <v>53</v>
      </c>
      <c r="L197" s="22">
        <v>53</v>
      </c>
      <c r="M197" s="22">
        <v>53</v>
      </c>
      <c r="N197" s="22">
        <v>53</v>
      </c>
    </row>
    <row r="198" spans="1:15" ht="11.1" customHeight="1" x14ac:dyDescent="0.25">
      <c r="A198" s="42"/>
      <c r="B198" s="21">
        <v>2024</v>
      </c>
      <c r="C198" s="22">
        <v>60</v>
      </c>
      <c r="D198" s="22">
        <v>53</v>
      </c>
      <c r="E198" s="22">
        <v>53</v>
      </c>
      <c r="F198" s="22">
        <v>55</v>
      </c>
      <c r="G198" s="22">
        <v>55</v>
      </c>
      <c r="H198" s="22">
        <v>55</v>
      </c>
      <c r="I198" s="22">
        <v>64</v>
      </c>
      <c r="J198" s="22">
        <v>58</v>
      </c>
      <c r="K198" s="22">
        <v>56</v>
      </c>
      <c r="L198" s="22">
        <v>50</v>
      </c>
      <c r="M198" s="22">
        <v>52.5</v>
      </c>
      <c r="N198" s="23" t="s">
        <v>4</v>
      </c>
      <c r="O198" s="223"/>
    </row>
    <row r="199" spans="1:15" ht="11.1" customHeight="1" x14ac:dyDescent="0.25">
      <c r="A199" s="43"/>
      <c r="B199" s="25">
        <v>2025</v>
      </c>
      <c r="C199" s="26">
        <v>50</v>
      </c>
      <c r="D199" s="26">
        <v>50</v>
      </c>
      <c r="E199" s="26">
        <v>50</v>
      </c>
      <c r="F199" s="26">
        <v>50</v>
      </c>
      <c r="G199" s="26">
        <v>50</v>
      </c>
      <c r="H199" s="26">
        <v>50</v>
      </c>
      <c r="I199" s="26">
        <v>50</v>
      </c>
    </row>
    <row r="200" spans="1:15" ht="9" customHeight="1" x14ac:dyDescent="0.25">
      <c r="A200" s="10" t="s">
        <v>87</v>
      </c>
      <c r="B200" s="44"/>
      <c r="C200" s="44"/>
      <c r="D200" s="44"/>
      <c r="E200" s="44"/>
      <c r="F200" s="44"/>
      <c r="G200" s="44"/>
      <c r="H200" s="45"/>
      <c r="I200" s="46"/>
      <c r="J200" s="45"/>
      <c r="K200" s="45"/>
      <c r="L200" s="45"/>
      <c r="M200" s="45"/>
      <c r="N200" s="45"/>
    </row>
    <row r="201" spans="1:15" ht="9" customHeight="1" x14ac:dyDescent="0.25">
      <c r="A201" s="47" t="s">
        <v>67</v>
      </c>
      <c r="B201" s="47"/>
      <c r="C201" s="47"/>
      <c r="D201" s="47"/>
      <c r="E201" s="47"/>
      <c r="F201" s="47"/>
      <c r="G201" s="47"/>
      <c r="H201" s="14"/>
      <c r="I201" s="48"/>
      <c r="J201" s="14"/>
      <c r="K201" s="14"/>
      <c r="L201" s="14"/>
      <c r="M201" s="14"/>
      <c r="N201" s="14"/>
    </row>
    <row r="202" spans="1:15" ht="9" customHeight="1" x14ac:dyDescent="0.2">
      <c r="A202" s="49" t="s">
        <v>68</v>
      </c>
      <c r="B202" s="49"/>
      <c r="C202" s="49"/>
      <c r="D202" s="49"/>
      <c r="E202" s="49"/>
      <c r="F202" s="49"/>
      <c r="G202" s="49"/>
      <c r="H202" s="12"/>
      <c r="I202" s="12"/>
      <c r="J202" s="12"/>
      <c r="K202" s="12"/>
      <c r="L202" s="12"/>
      <c r="M202" s="12"/>
      <c r="N202" s="12"/>
    </row>
    <row r="203" spans="1:15" ht="9" customHeight="1" x14ac:dyDescent="0.2">
      <c r="A203" s="49" t="s">
        <v>121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</sheetData>
  <mergeCells count="4">
    <mergeCell ref="A1:N1"/>
    <mergeCell ref="A2:N2"/>
    <mergeCell ref="A65:F65"/>
    <mergeCell ref="A133:F133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4" max="14" man="1"/>
  </rowBreaks>
  <ignoredErrors>
    <ignoredError sqref="L111 N11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/>
  <dimension ref="A1:N78"/>
  <sheetViews>
    <sheetView showGridLines="0" zoomScaleNormal="100" workbookViewId="0">
      <selection sqref="A1:O52"/>
    </sheetView>
  </sheetViews>
  <sheetFormatPr baseColWidth="10" defaultColWidth="11.42578125" defaultRowHeight="12.75" x14ac:dyDescent="0.2"/>
  <cols>
    <col min="1" max="1" width="12.85546875" style="138" customWidth="1"/>
    <col min="2" max="4" width="4.85546875" style="138" customWidth="1"/>
    <col min="5" max="5" width="2.85546875" style="138" customWidth="1"/>
    <col min="6" max="6" width="12.85546875" style="138" customWidth="1"/>
    <col min="7" max="9" width="4.85546875" style="138" customWidth="1"/>
    <col min="10" max="10" width="2.85546875" style="138" customWidth="1"/>
    <col min="11" max="11" width="12.85546875" style="138" customWidth="1"/>
    <col min="12" max="15" width="4.85546875" style="138" customWidth="1"/>
    <col min="16" max="16384" width="11.42578125" style="138"/>
  </cols>
  <sheetData>
    <row r="1" spans="1:14" ht="13.5" x14ac:dyDescent="0.25">
      <c r="A1" s="50" t="s">
        <v>539</v>
      </c>
      <c r="B1" s="14"/>
      <c r="C1" s="14"/>
      <c r="D1" s="51"/>
      <c r="E1" s="51"/>
      <c r="F1" s="14"/>
      <c r="G1" s="14"/>
      <c r="H1" s="14"/>
      <c r="I1" s="14"/>
      <c r="J1" s="14"/>
      <c r="K1" s="14"/>
      <c r="L1" s="14"/>
      <c r="M1" s="14"/>
      <c r="N1" s="8"/>
    </row>
    <row r="2" spans="1:14" ht="13.5" x14ac:dyDescent="0.25">
      <c r="A2" s="52" t="s">
        <v>122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8"/>
    </row>
    <row r="3" spans="1:14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8"/>
    </row>
    <row r="4" spans="1:14" x14ac:dyDescent="0.2">
      <c r="A4" s="710" t="s">
        <v>123</v>
      </c>
      <c r="B4" s="707" t="s">
        <v>540</v>
      </c>
      <c r="C4" s="708"/>
      <c r="D4" s="709"/>
      <c r="E4" s="53"/>
      <c r="F4" s="710" t="s">
        <v>123</v>
      </c>
      <c r="G4" s="707" t="s">
        <v>540</v>
      </c>
      <c r="H4" s="708"/>
      <c r="I4" s="709"/>
      <c r="J4" s="53"/>
      <c r="K4" s="710" t="s">
        <v>123</v>
      </c>
      <c r="L4" s="707" t="s">
        <v>540</v>
      </c>
      <c r="M4" s="708"/>
      <c r="N4" s="709"/>
    </row>
    <row r="5" spans="1:14" x14ac:dyDescent="0.2">
      <c r="A5" s="711"/>
      <c r="B5" s="239">
        <v>2024</v>
      </c>
      <c r="C5" s="239">
        <v>2025</v>
      </c>
      <c r="D5" s="239" t="s">
        <v>1</v>
      </c>
      <c r="E5" s="53"/>
      <c r="F5" s="711"/>
      <c r="G5" s="239">
        <v>2024</v>
      </c>
      <c r="H5" s="239">
        <v>2025</v>
      </c>
      <c r="I5" s="239" t="s">
        <v>1</v>
      </c>
      <c r="J5" s="53"/>
      <c r="K5" s="711"/>
      <c r="L5" s="239">
        <v>2024</v>
      </c>
      <c r="M5" s="239">
        <v>2025</v>
      </c>
      <c r="N5" s="239" t="s">
        <v>1</v>
      </c>
    </row>
    <row r="6" spans="1:14" ht="3" customHeight="1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14" ht="12" customHeight="1" x14ac:dyDescent="0.2">
      <c r="A7" s="246" t="s">
        <v>490</v>
      </c>
      <c r="B7" s="54"/>
      <c r="C7" s="54"/>
      <c r="D7" s="57"/>
      <c r="E7" s="53"/>
      <c r="F7" s="246" t="s">
        <v>16</v>
      </c>
      <c r="G7" s="54"/>
      <c r="H7" s="54"/>
      <c r="I7" s="57"/>
      <c r="J7" s="53"/>
      <c r="K7" s="246" t="s">
        <v>75</v>
      </c>
      <c r="L7" s="54"/>
      <c r="M7" s="54"/>
      <c r="N7" s="57"/>
    </row>
    <row r="8" spans="1:14" ht="12" customHeight="1" x14ac:dyDescent="0.2">
      <c r="A8" s="68" t="s">
        <v>495</v>
      </c>
      <c r="B8" s="56">
        <v>58</v>
      </c>
      <c r="C8" s="56">
        <v>58</v>
      </c>
      <c r="D8" s="204">
        <f t="shared" ref="D8:D14" si="0">((C8/B8)-    1)*100</f>
        <v>0</v>
      </c>
      <c r="E8" s="53"/>
      <c r="F8" s="69" t="s">
        <v>544</v>
      </c>
      <c r="G8" s="58">
        <v>45</v>
      </c>
      <c r="H8" s="58">
        <v>41</v>
      </c>
      <c r="I8" s="205">
        <f>((H8/G8)-    1)*100</f>
        <v>-8.8888888888888911</v>
      </c>
      <c r="J8" s="53"/>
      <c r="K8" s="559" t="s">
        <v>487</v>
      </c>
      <c r="L8" s="58" t="s">
        <v>124</v>
      </c>
      <c r="M8" s="74">
        <v>30</v>
      </c>
      <c r="N8" s="205" t="s">
        <v>4</v>
      </c>
    </row>
    <row r="9" spans="1:14" ht="12" customHeight="1" x14ac:dyDescent="0.2">
      <c r="A9" s="621" t="s">
        <v>505</v>
      </c>
      <c r="B9" s="271">
        <v>55</v>
      </c>
      <c r="C9" s="271">
        <v>55</v>
      </c>
      <c r="D9" s="204">
        <f t="shared" si="0"/>
        <v>0</v>
      </c>
      <c r="E9" s="53"/>
      <c r="F9" s="68" t="s">
        <v>489</v>
      </c>
      <c r="G9" s="56">
        <v>48</v>
      </c>
      <c r="H9" s="56">
        <v>49</v>
      </c>
      <c r="I9" s="204">
        <f>((H9/G9)-    1)*100</f>
        <v>2.0833333333333259</v>
      </c>
      <c r="J9" s="53"/>
      <c r="K9" s="69" t="s">
        <v>76</v>
      </c>
      <c r="L9" s="58">
        <v>43</v>
      </c>
      <c r="M9" s="74">
        <v>43</v>
      </c>
      <c r="N9" s="205">
        <f>((M9/L9)-    1)*100</f>
        <v>0</v>
      </c>
    </row>
    <row r="10" spans="1:14" ht="12" customHeight="1" x14ac:dyDescent="0.2">
      <c r="A10" s="68" t="s">
        <v>491</v>
      </c>
      <c r="B10" s="56">
        <v>55</v>
      </c>
      <c r="C10" s="56">
        <v>55</v>
      </c>
      <c r="D10" s="204">
        <f t="shared" si="0"/>
        <v>0</v>
      </c>
      <c r="E10" s="53"/>
      <c r="F10" s="68" t="s">
        <v>497</v>
      </c>
      <c r="G10" s="56">
        <v>38</v>
      </c>
      <c r="H10" s="56">
        <v>45</v>
      </c>
      <c r="I10" s="204">
        <f>((H10/G10)-    1)*100</f>
        <v>18.421052631578938</v>
      </c>
      <c r="J10" s="53"/>
      <c r="K10" s="247" t="s">
        <v>194</v>
      </c>
      <c r="L10" s="67"/>
      <c r="M10" s="67"/>
      <c r="N10" s="60"/>
    </row>
    <row r="11" spans="1:14" ht="12" customHeight="1" x14ac:dyDescent="0.2">
      <c r="A11" s="68" t="s">
        <v>541</v>
      </c>
      <c r="B11" s="56">
        <v>55</v>
      </c>
      <c r="C11" s="56">
        <v>55</v>
      </c>
      <c r="D11" s="204">
        <f t="shared" si="0"/>
        <v>0</v>
      </c>
      <c r="E11" s="53"/>
      <c r="F11" s="68" t="s">
        <v>17</v>
      </c>
      <c r="G11" s="56">
        <v>58</v>
      </c>
      <c r="H11" s="56">
        <v>53</v>
      </c>
      <c r="I11" s="204">
        <f>((H11/G11)-    1)*100</f>
        <v>-8.6206896551724093</v>
      </c>
      <c r="J11" s="53"/>
      <c r="K11" s="73" t="s">
        <v>195</v>
      </c>
      <c r="L11" s="56" t="s">
        <v>124</v>
      </c>
      <c r="M11" s="65">
        <v>80</v>
      </c>
      <c r="N11" s="204" t="s">
        <v>4</v>
      </c>
    </row>
    <row r="12" spans="1:14" ht="12" customHeight="1" x14ac:dyDescent="0.2">
      <c r="A12" s="263" t="s">
        <v>492</v>
      </c>
      <c r="B12" s="271">
        <v>55</v>
      </c>
      <c r="C12" s="271">
        <v>55</v>
      </c>
      <c r="D12" s="204">
        <f t="shared" si="0"/>
        <v>0</v>
      </c>
      <c r="E12" s="53"/>
      <c r="F12" s="69" t="s">
        <v>192</v>
      </c>
      <c r="G12" s="58">
        <v>65</v>
      </c>
      <c r="H12" s="58">
        <v>75</v>
      </c>
      <c r="I12" s="205">
        <f>((H12/G12)-    1)*100</f>
        <v>15.384615384615374</v>
      </c>
      <c r="J12" s="53"/>
      <c r="K12" s="68" t="s">
        <v>196</v>
      </c>
      <c r="L12" s="65">
        <v>95</v>
      </c>
      <c r="M12" s="65">
        <v>85</v>
      </c>
      <c r="N12" s="204">
        <f>((M12/L12)-    1)*100</f>
        <v>-10.526315789473683</v>
      </c>
    </row>
    <row r="13" spans="1:14" ht="12" customHeight="1" x14ac:dyDescent="0.2">
      <c r="A13" s="53" t="s">
        <v>542</v>
      </c>
      <c r="B13" s="56">
        <v>54</v>
      </c>
      <c r="C13" s="56">
        <v>55</v>
      </c>
      <c r="D13" s="204">
        <f t="shared" si="0"/>
        <v>1.8518518518518601</v>
      </c>
      <c r="E13" s="53"/>
      <c r="F13" s="247" t="s">
        <v>18</v>
      </c>
      <c r="G13" s="277"/>
      <c r="H13" s="277"/>
      <c r="I13" s="277"/>
      <c r="J13" s="53"/>
      <c r="K13" s="73" t="s">
        <v>209</v>
      </c>
      <c r="L13" s="56" t="s">
        <v>124</v>
      </c>
      <c r="M13" s="65">
        <v>75</v>
      </c>
      <c r="N13" s="204" t="s">
        <v>4</v>
      </c>
    </row>
    <row r="14" spans="1:14" ht="12" customHeight="1" x14ac:dyDescent="0.2">
      <c r="A14" s="622" t="s">
        <v>493</v>
      </c>
      <c r="B14" s="276">
        <v>53</v>
      </c>
      <c r="C14" s="276">
        <v>53</v>
      </c>
      <c r="D14" s="205">
        <f t="shared" si="0"/>
        <v>0</v>
      </c>
      <c r="E14" s="53"/>
      <c r="F14" s="68" t="s">
        <v>19</v>
      </c>
      <c r="G14" s="56">
        <v>50</v>
      </c>
      <c r="H14" s="56">
        <v>50</v>
      </c>
      <c r="I14" s="204">
        <f t="shared" ref="I14:I15" si="1">((H14/G14)-    1)*100</f>
        <v>0</v>
      </c>
      <c r="J14" s="53"/>
      <c r="K14" s="73" t="s">
        <v>197</v>
      </c>
      <c r="L14" s="65">
        <v>105</v>
      </c>
      <c r="M14" s="65">
        <v>120</v>
      </c>
      <c r="N14" s="204">
        <f>((M14/L14)-    1)*100</f>
        <v>14.285714285714279</v>
      </c>
    </row>
    <row r="15" spans="1:14" ht="12" customHeight="1" x14ac:dyDescent="0.2">
      <c r="A15" s="247" t="s">
        <v>77</v>
      </c>
      <c r="B15" s="59"/>
      <c r="C15" s="59"/>
      <c r="D15" s="60"/>
      <c r="E15" s="53"/>
      <c r="F15" s="68" t="s">
        <v>20</v>
      </c>
      <c r="G15" s="56">
        <v>45</v>
      </c>
      <c r="H15" s="56">
        <v>48</v>
      </c>
      <c r="I15" s="204">
        <f t="shared" si="1"/>
        <v>6.6666666666666652</v>
      </c>
      <c r="J15" s="53"/>
      <c r="K15" s="247" t="s">
        <v>39</v>
      </c>
      <c r="L15" s="67"/>
      <c r="M15" s="67"/>
      <c r="N15" s="60"/>
    </row>
    <row r="16" spans="1:14" ht="12" customHeight="1" x14ac:dyDescent="0.2">
      <c r="A16" s="68" t="s">
        <v>155</v>
      </c>
      <c r="B16" s="56">
        <v>95</v>
      </c>
      <c r="C16" s="56">
        <v>85</v>
      </c>
      <c r="D16" s="204">
        <f>((C16/B16)-    1)*100</f>
        <v>-10.526315789473683</v>
      </c>
      <c r="E16" s="53"/>
      <c r="F16" s="68" t="s">
        <v>62</v>
      </c>
      <c r="G16" s="56">
        <v>43</v>
      </c>
      <c r="H16" s="56">
        <v>40</v>
      </c>
      <c r="I16" s="204">
        <f t="shared" ref="I16" si="2">((H16/G16)-    1)*100</f>
        <v>-6.9767441860465134</v>
      </c>
      <c r="J16" s="53"/>
      <c r="K16" s="73" t="s">
        <v>93</v>
      </c>
      <c r="L16" s="65">
        <v>53</v>
      </c>
      <c r="M16" s="65">
        <v>50</v>
      </c>
      <c r="N16" s="204">
        <f>((M16/L16)-    1)*100</f>
        <v>-5.6603773584905648</v>
      </c>
    </row>
    <row r="17" spans="1:14" ht="12" customHeight="1" x14ac:dyDescent="0.2">
      <c r="A17" s="68" t="s">
        <v>570</v>
      </c>
      <c r="B17" s="56">
        <v>60</v>
      </c>
      <c r="C17" s="56">
        <v>85</v>
      </c>
      <c r="D17" s="204">
        <f>((C17/B17)-    1)*100</f>
        <v>41.666666666666671</v>
      </c>
      <c r="E17" s="53"/>
      <c r="F17" s="68" t="s">
        <v>80</v>
      </c>
      <c r="G17" s="56">
        <v>45</v>
      </c>
      <c r="H17" s="56">
        <v>40</v>
      </c>
      <c r="I17" s="204">
        <f t="shared" ref="I17:I22" si="3">((H17/G17)-    1)*100</f>
        <v>-11.111111111111116</v>
      </c>
      <c r="J17" s="53"/>
      <c r="K17" s="68" t="s">
        <v>40</v>
      </c>
      <c r="L17" s="65">
        <v>55</v>
      </c>
      <c r="M17" s="65">
        <v>63</v>
      </c>
      <c r="N17" s="204">
        <f>((M17/L17)-    1)*100</f>
        <v>14.54545454545455</v>
      </c>
    </row>
    <row r="18" spans="1:14" ht="12" customHeight="1" x14ac:dyDescent="0.2">
      <c r="A18" s="68" t="s">
        <v>156</v>
      </c>
      <c r="B18" s="56" t="s">
        <v>124</v>
      </c>
      <c r="C18" s="56">
        <v>75</v>
      </c>
      <c r="D18" s="204" t="s">
        <v>4</v>
      </c>
      <c r="E18" s="53"/>
      <c r="F18" s="68" t="s">
        <v>21</v>
      </c>
      <c r="G18" s="56">
        <v>78</v>
      </c>
      <c r="H18" s="56">
        <v>46</v>
      </c>
      <c r="I18" s="204">
        <f t="shared" si="3"/>
        <v>-41.025641025641022</v>
      </c>
      <c r="J18" s="53"/>
      <c r="K18" s="69" t="s">
        <v>41</v>
      </c>
      <c r="L18" s="66">
        <v>55</v>
      </c>
      <c r="M18" s="66">
        <v>53</v>
      </c>
      <c r="N18" s="205">
        <f>((M18/L18)-    1)*100</f>
        <v>-3.6363636363636376</v>
      </c>
    </row>
    <row r="19" spans="1:14" ht="12" customHeight="1" x14ac:dyDescent="0.2">
      <c r="A19" s="68" t="s">
        <v>158</v>
      </c>
      <c r="B19" s="56">
        <v>43</v>
      </c>
      <c r="C19" s="56">
        <v>85</v>
      </c>
      <c r="D19" s="204">
        <f t="shared" ref="D19" si="4">((C19/B19)-    1)*100</f>
        <v>97.674418604651152</v>
      </c>
      <c r="E19" s="53"/>
      <c r="F19" s="68" t="s">
        <v>125</v>
      </c>
      <c r="G19" s="56">
        <v>45</v>
      </c>
      <c r="H19" s="56">
        <v>48</v>
      </c>
      <c r="I19" s="204">
        <f t="shared" si="3"/>
        <v>6.6666666666666652</v>
      </c>
      <c r="J19" s="53"/>
      <c r="K19" s="247" t="s">
        <v>42</v>
      </c>
      <c r="L19" s="67"/>
      <c r="M19" s="67"/>
      <c r="N19" s="60"/>
    </row>
    <row r="20" spans="1:14" ht="12" customHeight="1" x14ac:dyDescent="0.2">
      <c r="A20" s="68" t="s">
        <v>159</v>
      </c>
      <c r="B20" s="56" t="s">
        <v>124</v>
      </c>
      <c r="C20" s="56">
        <v>95</v>
      </c>
      <c r="D20" s="204" t="s">
        <v>4</v>
      </c>
      <c r="E20" s="53"/>
      <c r="F20" s="68" t="s">
        <v>22</v>
      </c>
      <c r="G20" s="56">
        <v>55</v>
      </c>
      <c r="H20" s="56">
        <v>47</v>
      </c>
      <c r="I20" s="204">
        <f t="shared" si="3"/>
        <v>-14.54545454545455</v>
      </c>
      <c r="J20" s="53"/>
      <c r="K20" s="68" t="s">
        <v>43</v>
      </c>
      <c r="L20" s="65">
        <v>55</v>
      </c>
      <c r="M20" s="65">
        <v>50</v>
      </c>
      <c r="N20" s="204">
        <f>((M20/L20)-    1)*100</f>
        <v>-9.0909090909090935</v>
      </c>
    </row>
    <row r="21" spans="1:14" ht="12" customHeight="1" x14ac:dyDescent="0.2">
      <c r="A21" s="68" t="s">
        <v>188</v>
      </c>
      <c r="B21" s="56" t="s">
        <v>124</v>
      </c>
      <c r="C21" s="56">
        <v>65</v>
      </c>
      <c r="D21" s="204" t="s">
        <v>4</v>
      </c>
      <c r="E21" s="53"/>
      <c r="F21" s="68" t="s">
        <v>23</v>
      </c>
      <c r="G21" s="56">
        <v>45</v>
      </c>
      <c r="H21" s="56">
        <v>45</v>
      </c>
      <c r="I21" s="204">
        <f t="shared" si="3"/>
        <v>0</v>
      </c>
      <c r="J21" s="53"/>
      <c r="K21" s="68" t="s">
        <v>44</v>
      </c>
      <c r="L21" s="56">
        <v>28</v>
      </c>
      <c r="M21" s="65">
        <v>41</v>
      </c>
      <c r="N21" s="204">
        <f t="shared" ref="N21:N22" si="5">((M21/L21)-    1)*100</f>
        <v>46.428571428571416</v>
      </c>
    </row>
    <row r="22" spans="1:14" ht="12" customHeight="1" x14ac:dyDescent="0.2">
      <c r="A22" s="69" t="s">
        <v>161</v>
      </c>
      <c r="B22" s="58" t="s">
        <v>124</v>
      </c>
      <c r="C22" s="58">
        <v>75</v>
      </c>
      <c r="D22" s="205" t="s">
        <v>4</v>
      </c>
      <c r="E22" s="53"/>
      <c r="F22" s="68" t="s">
        <v>24</v>
      </c>
      <c r="G22" s="56">
        <v>50</v>
      </c>
      <c r="H22" s="56">
        <v>47</v>
      </c>
      <c r="I22" s="204">
        <f t="shared" si="3"/>
        <v>-6.0000000000000053</v>
      </c>
      <c r="J22" s="53"/>
      <c r="K22" s="69" t="s">
        <v>427</v>
      </c>
      <c r="L22" s="58">
        <v>53</v>
      </c>
      <c r="M22" s="66">
        <v>53</v>
      </c>
      <c r="N22" s="205">
        <f t="shared" si="5"/>
        <v>0</v>
      </c>
    </row>
    <row r="23" spans="1:14" ht="12" customHeight="1" x14ac:dyDescent="0.2">
      <c r="A23" s="246" t="s">
        <v>2</v>
      </c>
      <c r="B23" s="56"/>
      <c r="C23" s="56"/>
      <c r="D23" s="204"/>
      <c r="E23" s="53"/>
      <c r="F23" s="68" t="s">
        <v>126</v>
      </c>
      <c r="G23" s="56" t="s">
        <v>124</v>
      </c>
      <c r="H23" s="271">
        <v>58</v>
      </c>
      <c r="I23" s="204" t="s">
        <v>4</v>
      </c>
      <c r="J23" s="53"/>
      <c r="K23" s="247" t="s">
        <v>198</v>
      </c>
    </row>
    <row r="24" spans="1:14" ht="12" customHeight="1" x14ac:dyDescent="0.2">
      <c r="A24" s="68" t="s">
        <v>5</v>
      </c>
      <c r="B24" s="56">
        <v>105</v>
      </c>
      <c r="C24" s="56">
        <v>100</v>
      </c>
      <c r="D24" s="204">
        <f t="shared" ref="D24:D28" si="6">((C24/B24)-    1)*100</f>
        <v>-4.7619047619047672</v>
      </c>
      <c r="E24" s="53"/>
      <c r="F24" s="69" t="s">
        <v>63</v>
      </c>
      <c r="G24" s="58">
        <v>33</v>
      </c>
      <c r="H24" s="58">
        <v>38</v>
      </c>
      <c r="I24" s="205">
        <f>((H24/G24)-    1)*100</f>
        <v>15.151515151515159</v>
      </c>
      <c r="J24" s="53"/>
      <c r="K24" s="68" t="s">
        <v>206</v>
      </c>
      <c r="L24" s="56" t="s">
        <v>124</v>
      </c>
      <c r="M24" s="65">
        <v>61</v>
      </c>
      <c r="N24" s="204" t="s">
        <v>4</v>
      </c>
    </row>
    <row r="25" spans="1:14" ht="12" customHeight="1" x14ac:dyDescent="0.2">
      <c r="A25" s="68" t="s">
        <v>78</v>
      </c>
      <c r="B25" s="56">
        <v>105</v>
      </c>
      <c r="C25" s="56">
        <v>105</v>
      </c>
      <c r="D25" s="204">
        <f t="shared" si="6"/>
        <v>0</v>
      </c>
      <c r="E25" s="243"/>
      <c r="F25" s="247" t="s">
        <v>25</v>
      </c>
      <c r="G25" s="59"/>
      <c r="H25" s="59"/>
      <c r="I25" s="60"/>
      <c r="J25" s="55"/>
      <c r="K25" s="68" t="s">
        <v>200</v>
      </c>
      <c r="L25" s="56" t="s">
        <v>124</v>
      </c>
      <c r="M25" s="65">
        <v>60</v>
      </c>
      <c r="N25" s="204" t="s">
        <v>4</v>
      </c>
    </row>
    <row r="26" spans="1:14" ht="12" customHeight="1" x14ac:dyDescent="0.2">
      <c r="A26" s="68" t="s">
        <v>418</v>
      </c>
      <c r="B26" s="56">
        <v>95</v>
      </c>
      <c r="C26" s="56">
        <v>93</v>
      </c>
      <c r="D26" s="204">
        <f t="shared" si="6"/>
        <v>-2.1052631578947323</v>
      </c>
      <c r="E26" s="243"/>
      <c r="F26" s="68" t="s">
        <v>53</v>
      </c>
      <c r="G26" s="56">
        <v>44</v>
      </c>
      <c r="H26" s="56">
        <v>49</v>
      </c>
      <c r="I26" s="204">
        <f>((H26/G26)-    1)*100</f>
        <v>11.363636363636353</v>
      </c>
      <c r="J26" s="55"/>
      <c r="K26" s="68" t="s">
        <v>203</v>
      </c>
      <c r="L26" s="56" t="s">
        <v>124</v>
      </c>
      <c r="M26" s="65">
        <v>55</v>
      </c>
      <c r="N26" s="204" t="s">
        <v>4</v>
      </c>
    </row>
    <row r="27" spans="1:14" ht="12" customHeight="1" x14ac:dyDescent="0.2">
      <c r="A27" s="68" t="s">
        <v>85</v>
      </c>
      <c r="B27" s="56">
        <v>85</v>
      </c>
      <c r="C27" s="56">
        <v>90</v>
      </c>
      <c r="D27" s="204">
        <f t="shared" si="6"/>
        <v>5.8823529411764719</v>
      </c>
      <c r="E27" s="243"/>
      <c r="F27" s="69" t="s">
        <v>58</v>
      </c>
      <c r="G27" s="58">
        <v>70</v>
      </c>
      <c r="H27" s="58">
        <v>70</v>
      </c>
      <c r="I27" s="205">
        <f>((H27/G27)-    1)*100</f>
        <v>0</v>
      </c>
      <c r="J27" s="55"/>
      <c r="K27" s="68" t="s">
        <v>202</v>
      </c>
      <c r="L27" s="56" t="s">
        <v>124</v>
      </c>
      <c r="M27" s="65">
        <v>55</v>
      </c>
      <c r="N27" s="204" t="s">
        <v>4</v>
      </c>
    </row>
    <row r="28" spans="1:14" ht="12" customHeight="1" x14ac:dyDescent="0.2">
      <c r="A28" s="68" t="s">
        <v>61</v>
      </c>
      <c r="B28" s="56">
        <v>90</v>
      </c>
      <c r="C28" s="56">
        <v>80</v>
      </c>
      <c r="D28" s="204">
        <f t="shared" si="6"/>
        <v>-11.111111111111116</v>
      </c>
      <c r="E28" s="243"/>
      <c r="F28" s="246" t="s">
        <v>81</v>
      </c>
      <c r="G28" s="223"/>
      <c r="H28" s="223"/>
      <c r="I28" s="223"/>
      <c r="J28" s="55"/>
      <c r="K28" s="68" t="s">
        <v>205</v>
      </c>
      <c r="L28" s="56" t="s">
        <v>124</v>
      </c>
      <c r="M28" s="619">
        <v>60</v>
      </c>
      <c r="N28" s="204" t="s">
        <v>4</v>
      </c>
    </row>
    <row r="29" spans="1:14" ht="12" customHeight="1" x14ac:dyDescent="0.2">
      <c r="A29" s="68" t="s">
        <v>190</v>
      </c>
      <c r="B29" s="56">
        <v>85</v>
      </c>
      <c r="C29" s="56">
        <v>105</v>
      </c>
      <c r="D29" s="204">
        <f>((C29/B29)-    1)*100</f>
        <v>23.529411764705888</v>
      </c>
      <c r="E29" s="243"/>
      <c r="F29" s="75" t="s">
        <v>88</v>
      </c>
      <c r="G29" s="76">
        <v>80</v>
      </c>
      <c r="H29" s="76">
        <v>80</v>
      </c>
      <c r="I29" s="205">
        <f>((H29/G29)-    1)*100</f>
        <v>0</v>
      </c>
      <c r="J29" s="55"/>
      <c r="K29" s="68" t="s">
        <v>204</v>
      </c>
      <c r="L29" s="56" t="s">
        <v>124</v>
      </c>
      <c r="M29" s="65">
        <v>55</v>
      </c>
      <c r="N29" s="204" t="s">
        <v>4</v>
      </c>
    </row>
    <row r="30" spans="1:14" ht="12" customHeight="1" x14ac:dyDescent="0.2">
      <c r="A30" s="69" t="s">
        <v>128</v>
      </c>
      <c r="B30" s="58">
        <v>80</v>
      </c>
      <c r="C30" s="58">
        <v>80</v>
      </c>
      <c r="D30" s="205">
        <f>((C30/B30)-    1)*100</f>
        <v>0</v>
      </c>
      <c r="E30" s="243"/>
      <c r="F30" s="247" t="s">
        <v>86</v>
      </c>
      <c r="G30" s="59"/>
      <c r="H30" s="59"/>
      <c r="I30" s="60"/>
      <c r="J30" s="55"/>
      <c r="K30" s="68" t="s">
        <v>65</v>
      </c>
      <c r="L30" s="56" t="s">
        <v>124</v>
      </c>
      <c r="M30" s="65">
        <v>70</v>
      </c>
      <c r="N30" s="204" t="s">
        <v>4</v>
      </c>
    </row>
    <row r="31" spans="1:14" ht="12" customHeight="1" x14ac:dyDescent="0.2">
      <c r="A31" s="247" t="s">
        <v>6</v>
      </c>
      <c r="B31" s="59"/>
      <c r="C31" s="59"/>
      <c r="D31" s="60"/>
      <c r="E31" s="243"/>
      <c r="F31" s="68" t="s">
        <v>28</v>
      </c>
      <c r="G31" s="56">
        <v>48</v>
      </c>
      <c r="H31" s="62">
        <v>48</v>
      </c>
      <c r="I31" s="204">
        <f>((H31/G31)-    1)*100</f>
        <v>0</v>
      </c>
      <c r="J31" s="55"/>
      <c r="K31" s="68" t="s">
        <v>506</v>
      </c>
      <c r="L31" s="56" t="s">
        <v>124</v>
      </c>
      <c r="M31" s="65">
        <v>55</v>
      </c>
      <c r="N31" s="204" t="s">
        <v>4</v>
      </c>
    </row>
    <row r="32" spans="1:14" ht="12" customHeight="1" x14ac:dyDescent="0.2">
      <c r="A32" s="68" t="s">
        <v>7</v>
      </c>
      <c r="B32" s="56">
        <v>48</v>
      </c>
      <c r="C32" s="271">
        <v>48</v>
      </c>
      <c r="D32" s="204">
        <f t="shared" ref="D32" si="7">((C32/B32)-    1)*100</f>
        <v>0</v>
      </c>
      <c r="E32" s="243"/>
      <c r="F32" s="68" t="s">
        <v>29</v>
      </c>
      <c r="G32" s="56">
        <v>48</v>
      </c>
      <c r="H32" s="62">
        <v>43</v>
      </c>
      <c r="I32" s="204">
        <f>((H32/G32)-    1)*100</f>
        <v>-10.416666666666663</v>
      </c>
      <c r="J32" s="55"/>
      <c r="K32" s="68" t="s">
        <v>201</v>
      </c>
      <c r="L32" s="56" t="s">
        <v>124</v>
      </c>
      <c r="M32" s="65">
        <v>55</v>
      </c>
      <c r="N32" s="204" t="s">
        <v>4</v>
      </c>
    </row>
    <row r="33" spans="1:14" ht="12" customHeight="1" x14ac:dyDescent="0.2">
      <c r="A33" s="68" t="s">
        <v>8</v>
      </c>
      <c r="B33" s="56">
        <v>40</v>
      </c>
      <c r="C33" s="271">
        <v>50</v>
      </c>
      <c r="D33" s="204">
        <f t="shared" ref="D33:D40" si="8">((C33/B33)-    1)*100</f>
        <v>25</v>
      </c>
      <c r="E33" s="243"/>
      <c r="F33" s="68" t="s">
        <v>82</v>
      </c>
      <c r="G33" s="56" t="s">
        <v>124</v>
      </c>
      <c r="H33" s="62">
        <v>43</v>
      </c>
      <c r="I33" s="204" t="s">
        <v>4</v>
      </c>
      <c r="J33" s="55"/>
      <c r="K33" s="68" t="s">
        <v>207</v>
      </c>
      <c r="L33" s="56" t="s">
        <v>124</v>
      </c>
      <c r="M33" s="65">
        <v>59</v>
      </c>
      <c r="N33" s="204" t="s">
        <v>4</v>
      </c>
    </row>
    <row r="34" spans="1:14" ht="12" customHeight="1" x14ac:dyDescent="0.2">
      <c r="A34" s="68" t="s">
        <v>127</v>
      </c>
      <c r="B34" s="56">
        <v>60</v>
      </c>
      <c r="C34" s="271">
        <v>59</v>
      </c>
      <c r="D34" s="204">
        <f t="shared" si="8"/>
        <v>-1.6666666666666718</v>
      </c>
      <c r="E34" s="243"/>
      <c r="F34" s="68" t="s">
        <v>30</v>
      </c>
      <c r="G34" s="56">
        <v>45</v>
      </c>
      <c r="H34" s="62">
        <v>45</v>
      </c>
      <c r="I34" s="204">
        <f>((H34/G34)-    1)*100</f>
        <v>0</v>
      </c>
      <c r="J34" s="55"/>
      <c r="K34" s="69" t="s">
        <v>199</v>
      </c>
      <c r="L34" s="58" t="s">
        <v>124</v>
      </c>
      <c r="M34" s="66">
        <v>46</v>
      </c>
      <c r="N34" s="205" t="s">
        <v>4</v>
      </c>
    </row>
    <row r="35" spans="1:14" ht="12" customHeight="1" x14ac:dyDescent="0.2">
      <c r="A35" s="68" t="s">
        <v>9</v>
      </c>
      <c r="B35" s="56">
        <v>53</v>
      </c>
      <c r="C35" s="271">
        <v>49</v>
      </c>
      <c r="D35" s="204">
        <f t="shared" si="8"/>
        <v>-7.547169811320753</v>
      </c>
      <c r="E35" s="243"/>
      <c r="F35" s="68" t="s">
        <v>64</v>
      </c>
      <c r="G35" s="56">
        <v>40</v>
      </c>
      <c r="H35" s="62">
        <v>43</v>
      </c>
      <c r="I35" s="204">
        <f>((H35/G35)-    1)*100</f>
        <v>7.4999999999999956</v>
      </c>
      <c r="J35" s="55"/>
      <c r="K35" s="247" t="s">
        <v>84</v>
      </c>
    </row>
    <row r="36" spans="1:14" ht="12" customHeight="1" x14ac:dyDescent="0.2">
      <c r="A36" s="68" t="s">
        <v>10</v>
      </c>
      <c r="B36" s="56">
        <v>47.5</v>
      </c>
      <c r="C36" s="271">
        <v>59</v>
      </c>
      <c r="D36" s="204">
        <f t="shared" si="8"/>
        <v>24.210526315789483</v>
      </c>
      <c r="E36" s="243"/>
      <c r="F36" s="68" t="s">
        <v>31</v>
      </c>
      <c r="G36" s="56">
        <v>50</v>
      </c>
      <c r="H36" s="62">
        <v>50</v>
      </c>
      <c r="I36" s="204">
        <f>((H36/G36)-    1)*100</f>
        <v>0</v>
      </c>
      <c r="J36" s="55"/>
      <c r="K36" s="68" t="s">
        <v>499</v>
      </c>
      <c r="L36" s="65">
        <v>53</v>
      </c>
      <c r="M36" s="619">
        <v>70</v>
      </c>
      <c r="N36" s="204">
        <f>((M36/L36)-    1)*100</f>
        <v>32.075471698113198</v>
      </c>
    </row>
    <row r="37" spans="1:14" ht="12" customHeight="1" x14ac:dyDescent="0.2">
      <c r="A37" s="68" t="s">
        <v>11</v>
      </c>
      <c r="B37" s="56">
        <v>70</v>
      </c>
      <c r="C37" s="271">
        <v>56</v>
      </c>
      <c r="D37" s="204">
        <f t="shared" si="8"/>
        <v>-19.999999999999996</v>
      </c>
      <c r="E37" s="243"/>
      <c r="F37" s="68" t="s">
        <v>54</v>
      </c>
      <c r="G37" s="56">
        <v>53</v>
      </c>
      <c r="H37" s="62">
        <v>48</v>
      </c>
      <c r="I37" s="204">
        <f>((H37/G37)-    1)*100</f>
        <v>-9.4339622641509422</v>
      </c>
      <c r="J37" s="55"/>
      <c r="K37" s="68" t="s">
        <v>59</v>
      </c>
      <c r="L37" s="65">
        <v>50</v>
      </c>
      <c r="M37" s="619">
        <v>55</v>
      </c>
      <c r="N37" s="204">
        <f>((M37/L37)-    1)*100</f>
        <v>10.000000000000009</v>
      </c>
    </row>
    <row r="38" spans="1:14" ht="12" customHeight="1" x14ac:dyDescent="0.2">
      <c r="A38" s="68" t="s">
        <v>12</v>
      </c>
      <c r="B38" s="56">
        <v>65</v>
      </c>
      <c r="C38" s="271">
        <v>65</v>
      </c>
      <c r="D38" s="204">
        <f t="shared" si="8"/>
        <v>0</v>
      </c>
      <c r="E38" s="243"/>
      <c r="F38" s="68" t="s">
        <v>83</v>
      </c>
      <c r="G38" s="56">
        <v>55</v>
      </c>
      <c r="H38" s="62">
        <v>55</v>
      </c>
      <c r="I38" s="204">
        <f>((H38/G38)-    1)*100</f>
        <v>0</v>
      </c>
      <c r="K38" s="68" t="s">
        <v>545</v>
      </c>
      <c r="L38" s="56">
        <v>55</v>
      </c>
      <c r="M38" s="619">
        <v>56</v>
      </c>
      <c r="N38" s="204">
        <f t="shared" ref="N38:N39" si="9">((M38/L38)-    1)*100</f>
        <v>1.8181818181818077</v>
      </c>
    </row>
    <row r="39" spans="1:14" ht="12" customHeight="1" x14ac:dyDescent="0.2">
      <c r="A39" s="68" t="s">
        <v>13</v>
      </c>
      <c r="B39" s="56">
        <v>75</v>
      </c>
      <c r="C39" s="271">
        <v>68</v>
      </c>
      <c r="D39" s="204">
        <f t="shared" si="8"/>
        <v>-9.3333333333333375</v>
      </c>
      <c r="E39" s="243"/>
      <c r="F39" s="71" t="s">
        <v>32</v>
      </c>
      <c r="G39" s="56" t="s">
        <v>124</v>
      </c>
      <c r="H39" s="62">
        <v>48</v>
      </c>
      <c r="I39" s="204" t="s">
        <v>4</v>
      </c>
      <c r="J39" s="55"/>
      <c r="K39" s="68" t="s">
        <v>60</v>
      </c>
      <c r="L39" s="56">
        <v>63</v>
      </c>
      <c r="M39" s="619">
        <v>45</v>
      </c>
      <c r="N39" s="204">
        <f t="shared" si="9"/>
        <v>-28.571428571428569</v>
      </c>
    </row>
    <row r="40" spans="1:14" ht="12" customHeight="1" x14ac:dyDescent="0.2">
      <c r="A40" s="68" t="s">
        <v>14</v>
      </c>
      <c r="B40" s="56">
        <v>60</v>
      </c>
      <c r="C40" s="271">
        <v>50</v>
      </c>
      <c r="D40" s="204">
        <f t="shared" si="8"/>
        <v>-16.666666666666664</v>
      </c>
      <c r="E40" s="243"/>
      <c r="F40" s="68" t="s">
        <v>33</v>
      </c>
      <c r="G40" s="56">
        <v>45</v>
      </c>
      <c r="H40" s="62">
        <v>48</v>
      </c>
      <c r="I40" s="204">
        <f>((H40/G40)-    1)*100</f>
        <v>6.6666666666666652</v>
      </c>
      <c r="J40" s="55"/>
      <c r="K40" s="69" t="s">
        <v>55</v>
      </c>
      <c r="L40" s="58">
        <v>60</v>
      </c>
      <c r="M40" s="620">
        <v>60</v>
      </c>
      <c r="N40" s="205">
        <f>((M40/L40)-    1)*100</f>
        <v>0</v>
      </c>
    </row>
    <row r="41" spans="1:14" ht="12" customHeight="1" x14ac:dyDescent="0.2">
      <c r="A41" s="68" t="s">
        <v>79</v>
      </c>
      <c r="B41" s="56">
        <v>50</v>
      </c>
      <c r="C41" s="271">
        <v>54</v>
      </c>
      <c r="D41" s="204">
        <f t="shared" ref="D41" si="10">((C41/B41)-    1)*100</f>
        <v>8.0000000000000071</v>
      </c>
      <c r="E41" s="243"/>
      <c r="F41" s="68" t="s">
        <v>34</v>
      </c>
      <c r="G41" s="56">
        <v>45</v>
      </c>
      <c r="H41" s="62">
        <v>50</v>
      </c>
      <c r="I41" s="204">
        <f>((H41/G41)-    1)*100</f>
        <v>11.111111111111116</v>
      </c>
      <c r="J41" s="55"/>
      <c r="K41" s="246" t="s">
        <v>89</v>
      </c>
      <c r="L41" s="56"/>
      <c r="M41" s="65"/>
      <c r="N41" s="204"/>
    </row>
    <row r="42" spans="1:14" ht="12" customHeight="1" x14ac:dyDescent="0.2">
      <c r="A42" s="69" t="s">
        <v>92</v>
      </c>
      <c r="B42" s="58">
        <v>53</v>
      </c>
      <c r="C42" s="276">
        <v>51</v>
      </c>
      <c r="D42" s="205">
        <f>((C42/B42)-    1)*100</f>
        <v>-3.7735849056603765</v>
      </c>
      <c r="E42" s="243"/>
      <c r="F42" s="75" t="s">
        <v>66</v>
      </c>
      <c r="G42" s="58" t="s">
        <v>124</v>
      </c>
      <c r="H42" s="76">
        <v>55</v>
      </c>
      <c r="I42" s="205" t="s">
        <v>4</v>
      </c>
      <c r="J42" s="55"/>
      <c r="K42" s="68" t="s">
        <v>546</v>
      </c>
      <c r="L42" s="65">
        <v>75</v>
      </c>
      <c r="M42" s="65">
        <v>70</v>
      </c>
      <c r="N42" s="204">
        <f>((M42/L42)-    1)*100</f>
        <v>-6.6666666666666652</v>
      </c>
    </row>
    <row r="43" spans="1:14" ht="12" customHeight="1" x14ac:dyDescent="0.2">
      <c r="A43" s="247" t="s">
        <v>15</v>
      </c>
      <c r="B43" s="59"/>
      <c r="C43" s="59"/>
      <c r="D43" s="60"/>
      <c r="E43" s="243"/>
      <c r="F43" s="247" t="s">
        <v>35</v>
      </c>
      <c r="G43" s="56"/>
      <c r="H43" s="56"/>
      <c r="I43" s="204"/>
      <c r="J43" s="55"/>
      <c r="K43" s="69" t="s">
        <v>466</v>
      </c>
      <c r="L43" s="58">
        <v>75</v>
      </c>
      <c r="M43" s="66">
        <v>75</v>
      </c>
      <c r="N43" s="205">
        <f>((M43/L43)-    1)*100</f>
        <v>0</v>
      </c>
    </row>
    <row r="44" spans="1:14" ht="12" customHeight="1" x14ac:dyDescent="0.2">
      <c r="A44" s="68" t="s">
        <v>191</v>
      </c>
      <c r="B44" s="61">
        <v>45</v>
      </c>
      <c r="C44" s="56">
        <v>44</v>
      </c>
      <c r="D44" s="204">
        <f>((C44/B44)-    1)*100</f>
        <v>-2.2222222222222254</v>
      </c>
      <c r="E44" s="243"/>
      <c r="F44" s="68" t="s">
        <v>36</v>
      </c>
      <c r="G44" s="56">
        <v>50</v>
      </c>
      <c r="H44" s="56">
        <v>53</v>
      </c>
      <c r="I44" s="204">
        <f>((H44/G44)-    1)*100</f>
        <v>6.0000000000000053</v>
      </c>
      <c r="J44" s="55"/>
      <c r="K44" s="246" t="s">
        <v>71</v>
      </c>
      <c r="L44" s="56"/>
      <c r="M44" s="65"/>
      <c r="N44" s="204"/>
    </row>
    <row r="45" spans="1:14" ht="12" customHeight="1" x14ac:dyDescent="0.2">
      <c r="A45" s="68" t="s">
        <v>543</v>
      </c>
      <c r="B45" s="61">
        <v>38</v>
      </c>
      <c r="C45" s="56">
        <v>43</v>
      </c>
      <c r="D45" s="204">
        <f>((C45/B45)-    1)*100</f>
        <v>13.157894736842103</v>
      </c>
      <c r="F45" s="68" t="s">
        <v>37</v>
      </c>
      <c r="G45" s="56">
        <v>50</v>
      </c>
      <c r="H45" s="56">
        <v>53</v>
      </c>
      <c r="I45" s="204">
        <f>((H45/G45)-    1)*100</f>
        <v>6.0000000000000053</v>
      </c>
      <c r="J45" s="55"/>
      <c r="K45" s="68" t="s">
        <v>74</v>
      </c>
      <c r="L45" s="56">
        <v>65</v>
      </c>
      <c r="M45" s="65">
        <v>50</v>
      </c>
      <c r="N45" s="204">
        <f>((M45/L45)-    1)*100</f>
        <v>-23.076923076923073</v>
      </c>
    </row>
    <row r="46" spans="1:14" ht="12" customHeight="1" x14ac:dyDescent="0.2">
      <c r="A46" s="68" t="s">
        <v>70</v>
      </c>
      <c r="B46" s="56">
        <v>55</v>
      </c>
      <c r="C46" s="56">
        <v>50</v>
      </c>
      <c r="D46" s="204">
        <f>((C46/B46)-    1)*100</f>
        <v>-9.0909090909090935</v>
      </c>
      <c r="E46" s="243"/>
      <c r="F46" s="69" t="s">
        <v>38</v>
      </c>
      <c r="G46" s="58">
        <v>50</v>
      </c>
      <c r="H46" s="58">
        <v>53</v>
      </c>
      <c r="I46" s="205">
        <f>((H46/G46)-    1)*100</f>
        <v>6.0000000000000053</v>
      </c>
      <c r="J46" s="55"/>
      <c r="K46" s="68" t="s">
        <v>72</v>
      </c>
      <c r="L46" s="56">
        <v>65</v>
      </c>
      <c r="M46" s="65">
        <v>60</v>
      </c>
      <c r="N46" s="204">
        <f>((M46/L46)-    1)*100</f>
        <v>-7.6923076923076872</v>
      </c>
    </row>
    <row r="47" spans="1:14" ht="12" customHeight="1" x14ac:dyDescent="0.2">
      <c r="A47" s="69" t="s">
        <v>69</v>
      </c>
      <c r="B47" s="74">
        <v>55</v>
      </c>
      <c r="C47" s="58">
        <v>41</v>
      </c>
      <c r="D47" s="205">
        <f>((C47/B47)-    1)*100</f>
        <v>-25.454545454545453</v>
      </c>
      <c r="E47" s="243"/>
      <c r="F47" s="246" t="s">
        <v>189</v>
      </c>
      <c r="G47" s="56"/>
      <c r="H47" s="63"/>
      <c r="I47" s="204"/>
      <c r="J47" s="55"/>
      <c r="K47" s="69" t="s">
        <v>73</v>
      </c>
      <c r="L47" s="58">
        <v>55</v>
      </c>
      <c r="M47" s="66">
        <v>55</v>
      </c>
      <c r="N47" s="205">
        <f>((M47/L47)-    1)*100</f>
        <v>0</v>
      </c>
    </row>
    <row r="48" spans="1:14" ht="12" customHeight="1" x14ac:dyDescent="0.2">
      <c r="D48" s="248" t="s">
        <v>26</v>
      </c>
      <c r="E48" s="243"/>
      <c r="F48" s="69" t="s">
        <v>145</v>
      </c>
      <c r="G48" s="58">
        <v>70</v>
      </c>
      <c r="H48" s="58">
        <v>61</v>
      </c>
      <c r="I48" s="205">
        <f>((H48/G48)-    1)*100</f>
        <v>-12.857142857142856</v>
      </c>
      <c r="J48" s="55"/>
      <c r="K48" s="247" t="s">
        <v>46</v>
      </c>
      <c r="L48" s="67"/>
      <c r="M48" s="67"/>
      <c r="N48" s="60"/>
    </row>
    <row r="49" spans="5:14" ht="12" customHeight="1" x14ac:dyDescent="0.2">
      <c r="E49" s="243"/>
      <c r="I49" s="248" t="s">
        <v>26</v>
      </c>
      <c r="J49" s="55"/>
      <c r="K49" s="69" t="s">
        <v>47</v>
      </c>
      <c r="L49" s="58">
        <v>60</v>
      </c>
      <c r="M49" s="66">
        <v>50</v>
      </c>
      <c r="N49" s="205">
        <f>((M49/L49)-    1)*100</f>
        <v>-16.666666666666664</v>
      </c>
    </row>
    <row r="50" spans="5:14" ht="9" customHeight="1" x14ac:dyDescent="0.2">
      <c r="E50" s="243"/>
      <c r="J50" s="55"/>
      <c r="K50" s="245" t="s">
        <v>87</v>
      </c>
    </row>
    <row r="51" spans="5:14" ht="9" customHeight="1" x14ac:dyDescent="0.2">
      <c r="E51" s="243"/>
      <c r="K51" s="47" t="s">
        <v>67</v>
      </c>
    </row>
    <row r="52" spans="5:14" ht="12.95" customHeight="1" x14ac:dyDescent="0.2">
      <c r="E52" s="243"/>
      <c r="J52" s="55"/>
      <c r="K52" s="70" t="s">
        <v>68</v>
      </c>
    </row>
    <row r="53" spans="5:14" ht="12.95" customHeight="1" x14ac:dyDescent="0.2">
      <c r="E53" s="243"/>
      <c r="J53" s="55"/>
    </row>
    <row r="54" spans="5:14" ht="12.95" customHeight="1" x14ac:dyDescent="0.2">
      <c r="E54" s="243"/>
      <c r="J54" s="55"/>
    </row>
    <row r="55" spans="5:14" ht="12.95" customHeight="1" x14ac:dyDescent="0.2">
      <c r="E55" s="243"/>
      <c r="J55" s="55"/>
    </row>
    <row r="56" spans="5:14" ht="12.95" customHeight="1" x14ac:dyDescent="0.2">
      <c r="E56" s="243"/>
      <c r="J56" s="55"/>
    </row>
    <row r="57" spans="5:14" ht="12.95" customHeight="1" x14ac:dyDescent="0.2">
      <c r="E57" s="243"/>
      <c r="J57" s="55"/>
    </row>
    <row r="58" spans="5:14" ht="12.95" customHeight="1" x14ac:dyDescent="0.2">
      <c r="E58" s="243"/>
      <c r="J58" s="55"/>
    </row>
    <row r="59" spans="5:14" ht="12.95" customHeight="1" x14ac:dyDescent="0.2">
      <c r="E59" s="243"/>
      <c r="J59" s="55"/>
    </row>
    <row r="60" spans="5:14" ht="12.95" customHeight="1" x14ac:dyDescent="0.2">
      <c r="E60" s="243"/>
      <c r="J60" s="55"/>
    </row>
    <row r="61" spans="5:14" ht="12.95" customHeight="1" x14ac:dyDescent="0.2">
      <c r="E61" s="243"/>
      <c r="J61" s="55"/>
    </row>
    <row r="62" spans="5:14" ht="12.95" customHeight="1" x14ac:dyDescent="0.2">
      <c r="E62" s="243"/>
      <c r="J62" s="55"/>
    </row>
    <row r="63" spans="5:14" ht="12.95" customHeight="1" x14ac:dyDescent="0.2">
      <c r="E63" s="243"/>
      <c r="J63" s="55"/>
    </row>
    <row r="64" spans="5:14" ht="12.95" customHeight="1" x14ac:dyDescent="0.2">
      <c r="E64" s="243"/>
      <c r="J64" s="55"/>
    </row>
    <row r="65" spans="1:10" ht="12.95" customHeight="1" x14ac:dyDescent="0.2">
      <c r="J65" s="55"/>
    </row>
    <row r="66" spans="1:10" ht="12.95" customHeight="1" x14ac:dyDescent="0.2">
      <c r="D66" s="248"/>
      <c r="E66" s="243"/>
      <c r="J66" s="55"/>
    </row>
    <row r="67" spans="1:10" ht="9" customHeight="1" x14ac:dyDescent="0.2">
      <c r="E67" s="243"/>
      <c r="J67" s="55"/>
    </row>
    <row r="68" spans="1:10" ht="9" customHeight="1" x14ac:dyDescent="0.2">
      <c r="E68" s="243"/>
      <c r="J68" s="55"/>
    </row>
    <row r="69" spans="1:10" ht="9" customHeight="1" x14ac:dyDescent="0.2">
      <c r="J69" s="55"/>
    </row>
    <row r="70" spans="1:10" ht="12.95" customHeight="1" x14ac:dyDescent="0.2">
      <c r="E70" s="243"/>
      <c r="J70" s="55"/>
    </row>
    <row r="71" spans="1:10" ht="9" customHeight="1" x14ac:dyDescent="0.2">
      <c r="E71" s="55"/>
      <c r="J71" s="8"/>
    </row>
    <row r="72" spans="1:10" ht="9" customHeight="1" x14ac:dyDescent="0.2">
      <c r="E72" s="55"/>
      <c r="J72" s="8"/>
    </row>
    <row r="73" spans="1:10" ht="9" customHeight="1" x14ac:dyDescent="0.2">
      <c r="E73" s="55"/>
      <c r="J73" s="8"/>
    </row>
    <row r="74" spans="1:10" x14ac:dyDescent="0.2">
      <c r="E74" s="55"/>
      <c r="J74" s="8"/>
    </row>
    <row r="75" spans="1:10" x14ac:dyDescent="0.2">
      <c r="E75" s="55"/>
      <c r="J75" s="8"/>
    </row>
    <row r="78" spans="1:10" x14ac:dyDescent="0.2">
      <c r="A78" s="68"/>
      <c r="B78" s="56"/>
      <c r="C78" s="56"/>
      <c r="F78" s="68"/>
      <c r="G78" s="56"/>
      <c r="H78" s="56"/>
    </row>
  </sheetData>
  <mergeCells count="6">
    <mergeCell ref="L4:N4"/>
    <mergeCell ref="A4:A5"/>
    <mergeCell ref="B4:D4"/>
    <mergeCell ref="F4:F5"/>
    <mergeCell ref="G4:I4"/>
    <mergeCell ref="K4:K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/>
  <dimension ref="A1:N205"/>
  <sheetViews>
    <sheetView showGridLines="0" topLeftCell="A208" zoomScaleNormal="100" workbookViewId="0">
      <selection activeCell="A133" sqref="A133:N203"/>
    </sheetView>
  </sheetViews>
  <sheetFormatPr baseColWidth="10" defaultColWidth="11.42578125" defaultRowHeight="12.75" x14ac:dyDescent="0.2"/>
  <cols>
    <col min="1" max="1" width="10.140625" style="138" customWidth="1"/>
    <col min="2" max="2" width="4.140625" style="138" customWidth="1"/>
    <col min="3" max="14" width="5.85546875" style="138" customWidth="1"/>
    <col min="15" max="16384" width="11.42578125" style="138"/>
  </cols>
  <sheetData>
    <row r="1" spans="1:14" ht="13.5" x14ac:dyDescent="0.25">
      <c r="A1" s="703" t="s">
        <v>547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4"/>
      <c r="N1" s="704"/>
    </row>
    <row r="2" spans="1:14" ht="13.5" x14ac:dyDescent="0.25">
      <c r="A2" s="17" t="s">
        <v>140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6"/>
    </row>
    <row r="3" spans="1:14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5.95" customHeight="1" x14ac:dyDescent="0.2">
      <c r="A4" s="239" t="s">
        <v>95</v>
      </c>
      <c r="B4" s="239" t="s">
        <v>141</v>
      </c>
      <c r="C4" s="239" t="s">
        <v>97</v>
      </c>
      <c r="D4" s="239" t="s">
        <v>98</v>
      </c>
      <c r="E4" s="239" t="s">
        <v>99</v>
      </c>
      <c r="F4" s="239" t="s">
        <v>100</v>
      </c>
      <c r="G4" s="239" t="s">
        <v>101</v>
      </c>
      <c r="H4" s="239" t="s">
        <v>102</v>
      </c>
      <c r="I4" s="239" t="s">
        <v>103</v>
      </c>
      <c r="J4" s="239" t="s">
        <v>104</v>
      </c>
      <c r="K4" s="239" t="s">
        <v>105</v>
      </c>
      <c r="L4" s="239" t="s">
        <v>106</v>
      </c>
      <c r="M4" s="239" t="s">
        <v>107</v>
      </c>
      <c r="N4" s="239" t="s">
        <v>108</v>
      </c>
    </row>
    <row r="5" spans="1:14" ht="3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2" customHeight="1" x14ac:dyDescent="0.25">
      <c r="A6" s="18" t="s">
        <v>52</v>
      </c>
      <c r="B6" s="11">
        <v>2018</v>
      </c>
      <c r="C6" s="142">
        <v>97</v>
      </c>
      <c r="D6" s="142">
        <v>98.5</v>
      </c>
      <c r="E6" s="141">
        <v>100.5</v>
      </c>
      <c r="F6" s="140">
        <v>100.5</v>
      </c>
      <c r="G6" s="145">
        <v>100.5</v>
      </c>
      <c r="H6" s="140">
        <v>100</v>
      </c>
      <c r="I6" s="140">
        <v>102</v>
      </c>
      <c r="J6" s="140">
        <v>102</v>
      </c>
      <c r="K6" s="140">
        <v>102</v>
      </c>
      <c r="L6" s="140">
        <v>102</v>
      </c>
      <c r="M6" s="140">
        <v>102</v>
      </c>
      <c r="N6" s="145">
        <v>102</v>
      </c>
    </row>
    <row r="7" spans="1:14" ht="12" customHeight="1" x14ac:dyDescent="0.25">
      <c r="A7" s="18"/>
      <c r="B7" s="11">
        <v>2019</v>
      </c>
      <c r="C7" s="145">
        <v>101.5</v>
      </c>
      <c r="D7" s="145">
        <v>101.5</v>
      </c>
      <c r="E7" s="140">
        <v>100.5</v>
      </c>
      <c r="F7" s="140">
        <v>100.5</v>
      </c>
      <c r="G7" s="145">
        <v>100.5</v>
      </c>
      <c r="H7" s="140">
        <v>100.5</v>
      </c>
      <c r="I7" s="140">
        <v>100.5</v>
      </c>
      <c r="J7" s="140">
        <v>100.5</v>
      </c>
      <c r="K7" s="140">
        <v>102.5</v>
      </c>
      <c r="L7" s="140">
        <v>102.5</v>
      </c>
      <c r="M7" s="140">
        <v>102.5</v>
      </c>
      <c r="N7" s="142">
        <v>102.5</v>
      </c>
    </row>
    <row r="8" spans="1:14" ht="12" customHeight="1" x14ac:dyDescent="0.25">
      <c r="A8" s="18"/>
      <c r="B8" s="11">
        <v>2020</v>
      </c>
      <c r="C8" s="142">
        <v>102.5</v>
      </c>
      <c r="D8" s="145">
        <v>127</v>
      </c>
      <c r="E8" s="140">
        <v>130</v>
      </c>
      <c r="F8" s="140">
        <v>102.5</v>
      </c>
      <c r="G8" s="145">
        <v>129</v>
      </c>
      <c r="H8" s="140">
        <v>129</v>
      </c>
      <c r="I8" s="140">
        <v>129</v>
      </c>
      <c r="J8" s="140">
        <v>129</v>
      </c>
      <c r="K8" s="140">
        <v>129</v>
      </c>
      <c r="L8" s="140">
        <v>104</v>
      </c>
      <c r="M8" s="140">
        <v>129</v>
      </c>
      <c r="N8" s="145">
        <v>129</v>
      </c>
    </row>
    <row r="9" spans="1:14" ht="12" customHeight="1" x14ac:dyDescent="0.25">
      <c r="A9" s="18"/>
      <c r="B9" s="11">
        <v>2021</v>
      </c>
      <c r="C9" s="146">
        <v>102.5</v>
      </c>
      <c r="D9" s="142">
        <v>102.5</v>
      </c>
      <c r="E9" s="141">
        <v>102.5</v>
      </c>
      <c r="F9" s="141">
        <v>102.5</v>
      </c>
      <c r="G9" s="142">
        <v>102.5</v>
      </c>
      <c r="H9" s="141">
        <v>102.5</v>
      </c>
      <c r="I9" s="140">
        <v>129</v>
      </c>
      <c r="J9" s="141">
        <v>102.5</v>
      </c>
      <c r="K9" s="141">
        <v>102.5</v>
      </c>
      <c r="L9" s="141">
        <v>102.5</v>
      </c>
      <c r="M9" s="140">
        <v>107.5</v>
      </c>
      <c r="N9" s="142">
        <v>102.5</v>
      </c>
    </row>
    <row r="10" spans="1:14" ht="12" customHeight="1" x14ac:dyDescent="0.25">
      <c r="A10" s="18"/>
      <c r="B10" s="11">
        <v>2022</v>
      </c>
      <c r="C10" s="146">
        <v>117.5</v>
      </c>
      <c r="D10" s="142">
        <v>107.5</v>
      </c>
      <c r="E10" s="141">
        <v>107.5</v>
      </c>
      <c r="F10" s="141">
        <v>117.5</v>
      </c>
      <c r="G10" s="142">
        <v>107.5</v>
      </c>
      <c r="H10" s="141">
        <v>107.5</v>
      </c>
      <c r="I10" s="141">
        <v>107.5</v>
      </c>
      <c r="J10" s="141">
        <v>109</v>
      </c>
      <c r="K10" s="141">
        <v>119</v>
      </c>
      <c r="L10" s="141">
        <v>118</v>
      </c>
      <c r="M10" s="147" t="s">
        <v>142</v>
      </c>
      <c r="N10" s="142">
        <v>118</v>
      </c>
    </row>
    <row r="11" spans="1:14" ht="12" customHeight="1" x14ac:dyDescent="0.25">
      <c r="A11" s="18"/>
      <c r="B11" s="11">
        <v>2023</v>
      </c>
      <c r="C11" s="148" t="s">
        <v>4</v>
      </c>
      <c r="D11" s="148" t="s">
        <v>4</v>
      </c>
      <c r="E11" s="148" t="s">
        <v>4</v>
      </c>
      <c r="F11" s="141">
        <v>118</v>
      </c>
      <c r="G11" s="142">
        <v>115</v>
      </c>
      <c r="H11" s="141">
        <v>133</v>
      </c>
      <c r="I11" s="141">
        <v>152</v>
      </c>
      <c r="J11" s="141">
        <v>152</v>
      </c>
      <c r="K11" s="141">
        <v>155</v>
      </c>
      <c r="L11" s="141">
        <v>143</v>
      </c>
      <c r="M11" s="140">
        <v>123</v>
      </c>
      <c r="N11" s="141">
        <v>113</v>
      </c>
    </row>
    <row r="12" spans="1:14" ht="12" customHeight="1" x14ac:dyDescent="0.25">
      <c r="A12" s="18"/>
      <c r="B12" s="11">
        <v>2024</v>
      </c>
      <c r="C12" s="146">
        <v>113</v>
      </c>
      <c r="D12" s="146">
        <v>118</v>
      </c>
      <c r="E12" s="160" t="s">
        <v>4</v>
      </c>
      <c r="F12" s="141">
        <v>125</v>
      </c>
      <c r="G12" s="142">
        <v>133</v>
      </c>
      <c r="H12" s="141">
        <v>133</v>
      </c>
      <c r="I12" s="141">
        <v>135</v>
      </c>
      <c r="J12" s="141">
        <v>135</v>
      </c>
      <c r="K12" s="141">
        <v>139</v>
      </c>
      <c r="L12" s="141">
        <v>135.76805385556915</v>
      </c>
      <c r="M12" s="140">
        <v>133</v>
      </c>
      <c r="N12" s="141">
        <v>150</v>
      </c>
    </row>
    <row r="13" spans="1:14" ht="12" customHeight="1" x14ac:dyDescent="0.25">
      <c r="A13" s="149"/>
      <c r="B13" s="150">
        <v>2025</v>
      </c>
      <c r="C13" s="151">
        <v>149</v>
      </c>
      <c r="D13" s="151">
        <v>147</v>
      </c>
      <c r="E13" s="152">
        <v>121</v>
      </c>
      <c r="F13" s="166" t="s">
        <v>142</v>
      </c>
      <c r="G13" s="166" t="s">
        <v>142</v>
      </c>
      <c r="H13" s="152">
        <v>121</v>
      </c>
      <c r="I13" s="152">
        <v>131</v>
      </c>
      <c r="J13" s="143"/>
      <c r="K13" s="143"/>
      <c r="L13" s="143"/>
      <c r="M13" s="154"/>
      <c r="N13" s="143"/>
    </row>
    <row r="14" spans="1:14" ht="12" customHeight="1" x14ac:dyDescent="0.25">
      <c r="A14" s="155" t="s">
        <v>91</v>
      </c>
      <c r="B14" s="11">
        <v>2018</v>
      </c>
      <c r="C14" s="141">
        <v>73</v>
      </c>
      <c r="D14" s="142">
        <v>71</v>
      </c>
      <c r="E14" s="141">
        <v>70.5</v>
      </c>
      <c r="F14" s="141">
        <v>71</v>
      </c>
      <c r="G14" s="145">
        <v>71.5</v>
      </c>
      <c r="H14" s="140">
        <v>71.5</v>
      </c>
      <c r="I14" s="140">
        <v>71.5</v>
      </c>
      <c r="J14" s="140">
        <v>72</v>
      </c>
      <c r="K14" s="140">
        <v>71.5</v>
      </c>
      <c r="L14" s="140">
        <v>71.5</v>
      </c>
      <c r="M14" s="140">
        <v>71.5</v>
      </c>
      <c r="N14" s="145">
        <v>69.5</v>
      </c>
    </row>
    <row r="15" spans="1:14" ht="12" customHeight="1" x14ac:dyDescent="0.25">
      <c r="A15" s="155"/>
      <c r="B15" s="11">
        <v>2019</v>
      </c>
      <c r="C15" s="140">
        <v>68</v>
      </c>
      <c r="D15" s="145">
        <v>66</v>
      </c>
      <c r="E15" s="140">
        <v>67</v>
      </c>
      <c r="F15" s="140">
        <v>67</v>
      </c>
      <c r="G15" s="145">
        <v>67</v>
      </c>
      <c r="H15" s="140">
        <v>70</v>
      </c>
      <c r="I15" s="140">
        <v>69.599999999999994</v>
      </c>
      <c r="J15" s="141">
        <v>70.5</v>
      </c>
      <c r="K15" s="141">
        <v>70</v>
      </c>
      <c r="L15" s="141">
        <v>71</v>
      </c>
      <c r="M15" s="141">
        <v>71</v>
      </c>
      <c r="N15" s="142">
        <v>82.5</v>
      </c>
    </row>
    <row r="16" spans="1:14" ht="12" customHeight="1" x14ac:dyDescent="0.25">
      <c r="A16" s="155"/>
      <c r="B16" s="11">
        <v>2020</v>
      </c>
      <c r="C16" s="141">
        <v>82.5</v>
      </c>
      <c r="D16" s="156" t="s">
        <v>4</v>
      </c>
      <c r="E16" s="147" t="s">
        <v>142</v>
      </c>
      <c r="F16" s="147" t="s">
        <v>142</v>
      </c>
      <c r="G16" s="156" t="s">
        <v>142</v>
      </c>
      <c r="H16" s="147" t="s">
        <v>142</v>
      </c>
      <c r="I16" s="147" t="s">
        <v>4</v>
      </c>
      <c r="J16" s="140">
        <v>90</v>
      </c>
      <c r="K16" s="140">
        <v>90</v>
      </c>
      <c r="L16" s="141">
        <v>80</v>
      </c>
      <c r="M16" s="141">
        <v>80</v>
      </c>
      <c r="N16" s="142">
        <v>82.5</v>
      </c>
    </row>
    <row r="17" spans="1:14" ht="12" customHeight="1" x14ac:dyDescent="0.25">
      <c r="A17" s="155"/>
      <c r="B17" s="11">
        <v>2021</v>
      </c>
      <c r="C17" s="141">
        <v>82</v>
      </c>
      <c r="D17" s="145">
        <v>90</v>
      </c>
      <c r="E17" s="140">
        <v>90</v>
      </c>
      <c r="F17" s="140">
        <v>90</v>
      </c>
      <c r="G17" s="145">
        <v>90</v>
      </c>
      <c r="H17" s="144">
        <v>90</v>
      </c>
      <c r="I17" s="140">
        <v>90</v>
      </c>
      <c r="J17" s="140">
        <v>90</v>
      </c>
      <c r="K17" s="140">
        <v>95</v>
      </c>
      <c r="L17" s="140">
        <v>90</v>
      </c>
      <c r="M17" s="141">
        <v>95</v>
      </c>
      <c r="N17" s="142">
        <v>95</v>
      </c>
    </row>
    <row r="18" spans="1:14" ht="12" customHeight="1" x14ac:dyDescent="0.25">
      <c r="A18" s="155"/>
      <c r="B18" s="11">
        <v>2022</v>
      </c>
      <c r="C18" s="141">
        <v>95</v>
      </c>
      <c r="D18" s="145">
        <v>97.5</v>
      </c>
      <c r="E18" s="141">
        <v>95</v>
      </c>
      <c r="F18" s="141">
        <v>95</v>
      </c>
      <c r="G18" s="145">
        <v>95</v>
      </c>
      <c r="H18" s="144">
        <v>95</v>
      </c>
      <c r="I18" s="144">
        <v>95</v>
      </c>
      <c r="J18" s="140">
        <v>100</v>
      </c>
      <c r="K18" s="144">
        <v>95</v>
      </c>
      <c r="L18" s="140">
        <v>100</v>
      </c>
      <c r="M18" s="140">
        <v>100</v>
      </c>
      <c r="N18" s="145">
        <v>100</v>
      </c>
    </row>
    <row r="19" spans="1:14" ht="12" customHeight="1" x14ac:dyDescent="0.25">
      <c r="A19" s="155"/>
      <c r="B19" s="11">
        <v>2023</v>
      </c>
      <c r="C19" s="141">
        <v>95</v>
      </c>
      <c r="D19" s="140">
        <v>97.5</v>
      </c>
      <c r="E19" s="141">
        <v>100</v>
      </c>
      <c r="F19" s="141">
        <v>90</v>
      </c>
      <c r="G19" s="142">
        <v>90</v>
      </c>
      <c r="H19" s="141">
        <v>90</v>
      </c>
      <c r="I19" s="144">
        <v>88</v>
      </c>
      <c r="J19" s="144">
        <v>88</v>
      </c>
      <c r="K19" s="144">
        <v>89</v>
      </c>
      <c r="L19" s="140">
        <v>95</v>
      </c>
      <c r="M19" s="140">
        <v>105</v>
      </c>
      <c r="N19" s="140">
        <v>93</v>
      </c>
    </row>
    <row r="20" spans="1:14" ht="12" customHeight="1" x14ac:dyDescent="0.25">
      <c r="A20" s="155"/>
      <c r="B20" s="11">
        <v>2024</v>
      </c>
      <c r="C20" s="141">
        <v>90</v>
      </c>
      <c r="D20" s="140">
        <v>90</v>
      </c>
      <c r="E20" s="141">
        <v>90</v>
      </c>
      <c r="F20" s="141">
        <v>92</v>
      </c>
      <c r="G20" s="142">
        <v>93</v>
      </c>
      <c r="H20" s="141">
        <v>95</v>
      </c>
      <c r="I20" s="144">
        <v>95</v>
      </c>
      <c r="J20" s="144">
        <v>100</v>
      </c>
      <c r="K20" s="144">
        <v>83</v>
      </c>
      <c r="L20" s="140">
        <v>98.25</v>
      </c>
      <c r="M20" s="140">
        <v>95</v>
      </c>
      <c r="N20" s="140">
        <v>95</v>
      </c>
    </row>
    <row r="21" spans="1:14" ht="12" customHeight="1" x14ac:dyDescent="0.25">
      <c r="A21" s="157"/>
      <c r="B21" s="150">
        <v>2025</v>
      </c>
      <c r="C21" s="143">
        <v>96</v>
      </c>
      <c r="D21" s="154">
        <v>87</v>
      </c>
      <c r="E21" s="143">
        <v>95</v>
      </c>
      <c r="F21" s="143">
        <v>103</v>
      </c>
      <c r="G21" s="143">
        <v>101</v>
      </c>
      <c r="H21" s="143">
        <v>102</v>
      </c>
      <c r="I21" s="143">
        <v>99</v>
      </c>
      <c r="J21" s="158"/>
      <c r="K21" s="158"/>
      <c r="L21" s="154"/>
      <c r="M21" s="154"/>
      <c r="N21" s="154"/>
    </row>
    <row r="22" spans="1:14" ht="12" customHeight="1" x14ac:dyDescent="0.2">
      <c r="A22" s="178" t="s">
        <v>5</v>
      </c>
      <c r="B22" s="11">
        <v>2024</v>
      </c>
      <c r="C22" s="148" t="s">
        <v>4</v>
      </c>
      <c r="D22" s="148" t="s">
        <v>4</v>
      </c>
      <c r="E22" s="141">
        <v>110</v>
      </c>
      <c r="F22" s="141">
        <v>110</v>
      </c>
      <c r="G22" s="142">
        <v>115</v>
      </c>
      <c r="H22" s="141">
        <v>133</v>
      </c>
      <c r="I22" s="144">
        <v>128</v>
      </c>
      <c r="J22" s="144">
        <v>128</v>
      </c>
      <c r="K22" s="144">
        <v>117</v>
      </c>
      <c r="L22" s="140">
        <v>116.66666666666667</v>
      </c>
      <c r="M22" s="140">
        <v>85</v>
      </c>
      <c r="N22" s="140">
        <v>115</v>
      </c>
    </row>
    <row r="23" spans="1:14" ht="12" customHeight="1" x14ac:dyDescent="0.2">
      <c r="A23" s="177"/>
      <c r="B23" s="150">
        <v>2025</v>
      </c>
      <c r="C23" s="143">
        <v>110</v>
      </c>
      <c r="D23" s="161">
        <v>100</v>
      </c>
      <c r="E23" s="143">
        <v>106</v>
      </c>
      <c r="F23" s="143">
        <v>112</v>
      </c>
      <c r="G23" s="143">
        <v>110</v>
      </c>
      <c r="H23" s="143">
        <v>111</v>
      </c>
      <c r="I23" s="143">
        <v>115</v>
      </c>
      <c r="J23" s="158"/>
      <c r="K23" s="158"/>
      <c r="L23" s="154"/>
      <c r="M23" s="154"/>
      <c r="N23" s="154"/>
    </row>
    <row r="24" spans="1:14" ht="12" customHeight="1" x14ac:dyDescent="0.25">
      <c r="A24" s="155" t="s">
        <v>110</v>
      </c>
      <c r="B24" s="11">
        <v>2018</v>
      </c>
      <c r="C24" s="141">
        <v>73</v>
      </c>
      <c r="D24" s="140">
        <v>68</v>
      </c>
      <c r="E24" s="141">
        <v>70</v>
      </c>
      <c r="F24" s="141">
        <v>70</v>
      </c>
      <c r="G24" s="145">
        <v>71</v>
      </c>
      <c r="H24" s="140">
        <v>71</v>
      </c>
      <c r="I24" s="140">
        <v>72.3</v>
      </c>
      <c r="J24" s="140">
        <v>71</v>
      </c>
      <c r="K24" s="140">
        <v>71</v>
      </c>
      <c r="L24" s="140">
        <v>74.5</v>
      </c>
      <c r="M24" s="140">
        <v>74.5</v>
      </c>
      <c r="N24" s="145">
        <v>74.5</v>
      </c>
    </row>
    <row r="25" spans="1:14" ht="12" customHeight="1" x14ac:dyDescent="0.25">
      <c r="A25" s="155"/>
      <c r="B25" s="11">
        <v>2019</v>
      </c>
      <c r="C25" s="140">
        <v>71</v>
      </c>
      <c r="D25" s="140">
        <v>72</v>
      </c>
      <c r="E25" s="140">
        <v>74</v>
      </c>
      <c r="F25" s="140">
        <v>74</v>
      </c>
      <c r="G25" s="145">
        <v>75</v>
      </c>
      <c r="H25" s="140">
        <v>75</v>
      </c>
      <c r="I25" s="140">
        <v>74.45</v>
      </c>
      <c r="J25" s="141">
        <v>74.5</v>
      </c>
      <c r="K25" s="141">
        <v>82.5</v>
      </c>
      <c r="L25" s="141">
        <v>82.5</v>
      </c>
      <c r="M25" s="141">
        <v>82.5</v>
      </c>
      <c r="N25" s="142">
        <v>100</v>
      </c>
    </row>
    <row r="26" spans="1:14" ht="12" customHeight="1" x14ac:dyDescent="0.25">
      <c r="A26" s="155"/>
      <c r="B26" s="11">
        <v>2020</v>
      </c>
      <c r="C26" s="141">
        <v>120</v>
      </c>
      <c r="D26" s="140">
        <v>112.5</v>
      </c>
      <c r="E26" s="140">
        <v>117.5</v>
      </c>
      <c r="F26" s="140">
        <v>117.5</v>
      </c>
      <c r="G26" s="145">
        <v>117.5</v>
      </c>
      <c r="H26" s="140">
        <v>117.5</v>
      </c>
      <c r="I26" s="140">
        <v>95</v>
      </c>
      <c r="J26" s="140">
        <v>95</v>
      </c>
      <c r="K26" s="141">
        <v>112.5</v>
      </c>
      <c r="L26" s="141">
        <v>120</v>
      </c>
      <c r="M26" s="141">
        <v>112.5</v>
      </c>
      <c r="N26" s="142">
        <v>112.5</v>
      </c>
    </row>
    <row r="27" spans="1:14" ht="12" customHeight="1" x14ac:dyDescent="0.25">
      <c r="A27" s="155"/>
      <c r="B27" s="11">
        <v>2021</v>
      </c>
      <c r="C27" s="141">
        <v>112.5</v>
      </c>
      <c r="D27" s="141">
        <v>107.5</v>
      </c>
      <c r="E27" s="140">
        <v>72.5</v>
      </c>
      <c r="F27" s="140">
        <v>72.5</v>
      </c>
      <c r="G27" s="145">
        <v>80</v>
      </c>
      <c r="H27" s="140">
        <v>90</v>
      </c>
      <c r="I27" s="140">
        <v>77.5</v>
      </c>
      <c r="J27" s="140">
        <v>105</v>
      </c>
      <c r="K27" s="140">
        <v>80</v>
      </c>
      <c r="L27" s="140">
        <v>80</v>
      </c>
      <c r="M27" s="141">
        <v>110</v>
      </c>
      <c r="N27" s="142">
        <v>110</v>
      </c>
    </row>
    <row r="28" spans="1:14" ht="12" customHeight="1" x14ac:dyDescent="0.25">
      <c r="A28" s="155"/>
      <c r="B28" s="11">
        <v>2022</v>
      </c>
      <c r="C28" s="141">
        <v>102.5</v>
      </c>
      <c r="D28" s="140">
        <v>80</v>
      </c>
      <c r="E28" s="140">
        <v>85</v>
      </c>
      <c r="F28" s="140">
        <v>85</v>
      </c>
      <c r="G28" s="145">
        <v>85</v>
      </c>
      <c r="H28" s="140">
        <v>85</v>
      </c>
      <c r="I28" s="140">
        <v>85</v>
      </c>
      <c r="J28" s="140">
        <v>85</v>
      </c>
      <c r="K28" s="140">
        <v>105</v>
      </c>
      <c r="L28" s="140">
        <v>115</v>
      </c>
      <c r="M28" s="141">
        <v>90</v>
      </c>
      <c r="N28" s="142">
        <v>95</v>
      </c>
    </row>
    <row r="29" spans="1:14" ht="12" customHeight="1" x14ac:dyDescent="0.25">
      <c r="A29" s="155"/>
      <c r="B29" s="11">
        <v>2023</v>
      </c>
      <c r="C29" s="141">
        <v>100</v>
      </c>
      <c r="D29" s="140">
        <v>80</v>
      </c>
      <c r="E29" s="140">
        <v>80</v>
      </c>
      <c r="F29" s="140">
        <v>85</v>
      </c>
      <c r="G29" s="145">
        <v>90</v>
      </c>
      <c r="H29" s="140">
        <v>105</v>
      </c>
      <c r="I29" s="140">
        <v>105</v>
      </c>
      <c r="J29" s="140">
        <v>105</v>
      </c>
      <c r="K29" s="140">
        <v>105</v>
      </c>
      <c r="L29" s="140">
        <v>125</v>
      </c>
      <c r="M29" s="141">
        <v>120</v>
      </c>
      <c r="N29" s="141">
        <v>120</v>
      </c>
    </row>
    <row r="30" spans="1:14" ht="12" customHeight="1" x14ac:dyDescent="0.25">
      <c r="A30" s="155"/>
      <c r="B30" s="11">
        <v>2024</v>
      </c>
      <c r="C30" s="141">
        <v>115</v>
      </c>
      <c r="D30" s="140">
        <v>120</v>
      </c>
      <c r="E30" s="140">
        <v>130</v>
      </c>
      <c r="F30" s="140">
        <v>120</v>
      </c>
      <c r="G30" s="145">
        <v>120</v>
      </c>
      <c r="H30" s="140">
        <v>120</v>
      </c>
      <c r="I30" s="140">
        <v>120</v>
      </c>
      <c r="J30" s="140">
        <v>120</v>
      </c>
      <c r="K30" s="140">
        <v>106</v>
      </c>
      <c r="L30" s="140">
        <v>99.324362041467325</v>
      </c>
      <c r="M30" s="141">
        <v>84</v>
      </c>
      <c r="N30" s="141">
        <v>81</v>
      </c>
    </row>
    <row r="31" spans="1:14" ht="12" customHeight="1" x14ac:dyDescent="0.25">
      <c r="A31" s="157"/>
      <c r="B31" s="150">
        <v>2025</v>
      </c>
      <c r="C31" s="143">
        <v>85</v>
      </c>
      <c r="D31" s="154">
        <v>88</v>
      </c>
      <c r="E31" s="154">
        <v>86</v>
      </c>
      <c r="F31" s="154">
        <v>83</v>
      </c>
      <c r="G31" s="154">
        <v>81</v>
      </c>
      <c r="H31" s="154">
        <v>86</v>
      </c>
      <c r="I31" s="154">
        <v>89</v>
      </c>
      <c r="J31" s="154"/>
      <c r="K31" s="154"/>
      <c r="L31" s="154"/>
      <c r="M31" s="143"/>
      <c r="N31" s="143"/>
    </row>
    <row r="32" spans="1:14" ht="12" customHeight="1" x14ac:dyDescent="0.25">
      <c r="A32" s="31" t="s">
        <v>111</v>
      </c>
      <c r="B32" s="11">
        <v>2018</v>
      </c>
      <c r="C32" s="141">
        <v>60</v>
      </c>
      <c r="D32" s="141">
        <v>60</v>
      </c>
      <c r="E32" s="141">
        <v>60</v>
      </c>
      <c r="F32" s="141">
        <v>60</v>
      </c>
      <c r="G32" s="142">
        <v>60</v>
      </c>
      <c r="H32" s="141">
        <v>60</v>
      </c>
      <c r="I32" s="140">
        <v>60.269230769230766</v>
      </c>
      <c r="J32" s="141">
        <v>60</v>
      </c>
      <c r="K32" s="141">
        <v>60</v>
      </c>
      <c r="L32" s="141">
        <v>60</v>
      </c>
      <c r="M32" s="141">
        <v>60</v>
      </c>
      <c r="N32" s="142">
        <v>60</v>
      </c>
    </row>
    <row r="33" spans="1:14" ht="12" customHeight="1" x14ac:dyDescent="0.25">
      <c r="A33" s="155"/>
      <c r="B33" s="11">
        <v>2019</v>
      </c>
      <c r="C33" s="140">
        <v>61</v>
      </c>
      <c r="D33" s="140">
        <v>61</v>
      </c>
      <c r="E33" s="140">
        <v>61</v>
      </c>
      <c r="F33" s="140">
        <v>63</v>
      </c>
      <c r="G33" s="145">
        <v>69</v>
      </c>
      <c r="H33" s="140">
        <v>61</v>
      </c>
      <c r="I33" s="140">
        <v>60.653846153846153</v>
      </c>
      <c r="J33" s="141">
        <v>63</v>
      </c>
      <c r="K33" s="141">
        <v>60</v>
      </c>
      <c r="L33" s="140">
        <v>77.5</v>
      </c>
      <c r="M33" s="141">
        <v>72.5</v>
      </c>
      <c r="N33" s="142">
        <v>80</v>
      </c>
    </row>
    <row r="34" spans="1:14" ht="12" customHeight="1" x14ac:dyDescent="0.25">
      <c r="A34" s="155"/>
      <c r="B34" s="11">
        <v>2020</v>
      </c>
      <c r="C34" s="141">
        <v>102.5</v>
      </c>
      <c r="D34" s="147" t="s">
        <v>4</v>
      </c>
      <c r="E34" s="147" t="s">
        <v>142</v>
      </c>
      <c r="F34" s="147" t="s">
        <v>142</v>
      </c>
      <c r="G34" s="156" t="s">
        <v>142</v>
      </c>
      <c r="H34" s="140">
        <v>107</v>
      </c>
      <c r="I34" s="140">
        <v>100.25</v>
      </c>
      <c r="J34" s="141">
        <v>89</v>
      </c>
      <c r="K34" s="141">
        <v>102.5</v>
      </c>
      <c r="L34" s="141">
        <v>102.5</v>
      </c>
      <c r="M34" s="141">
        <v>80</v>
      </c>
      <c r="N34" s="142">
        <v>80</v>
      </c>
    </row>
    <row r="35" spans="1:14" ht="12" customHeight="1" x14ac:dyDescent="0.25">
      <c r="A35" s="155"/>
      <c r="B35" s="11">
        <v>2021</v>
      </c>
      <c r="C35" s="141">
        <v>100</v>
      </c>
      <c r="D35" s="141">
        <v>100</v>
      </c>
      <c r="E35" s="141">
        <v>100</v>
      </c>
      <c r="F35" s="140">
        <v>95</v>
      </c>
      <c r="G35" s="142">
        <v>100</v>
      </c>
      <c r="H35" s="147" t="s">
        <v>142</v>
      </c>
      <c r="I35" s="144">
        <v>112.5</v>
      </c>
      <c r="J35" s="140">
        <v>107.5</v>
      </c>
      <c r="K35" s="140">
        <v>107.5</v>
      </c>
      <c r="L35" s="140">
        <v>107.5</v>
      </c>
      <c r="M35" s="141">
        <v>95</v>
      </c>
      <c r="N35" s="141">
        <v>95</v>
      </c>
    </row>
    <row r="36" spans="1:14" ht="12" customHeight="1" x14ac:dyDescent="0.25">
      <c r="A36" s="155"/>
      <c r="B36" s="11">
        <v>2022</v>
      </c>
      <c r="C36" s="141">
        <v>122.5</v>
      </c>
      <c r="D36" s="141">
        <v>110.5</v>
      </c>
      <c r="E36" s="141">
        <v>107.5</v>
      </c>
      <c r="F36" s="140">
        <v>95</v>
      </c>
      <c r="G36" s="142">
        <v>106</v>
      </c>
      <c r="H36" s="140">
        <v>112.5</v>
      </c>
      <c r="I36" s="140">
        <v>113</v>
      </c>
      <c r="J36" s="140">
        <v>113</v>
      </c>
      <c r="K36" s="140">
        <v>112.5</v>
      </c>
      <c r="L36" s="140">
        <v>113</v>
      </c>
      <c r="M36" s="141">
        <v>120</v>
      </c>
      <c r="N36" s="142">
        <v>113</v>
      </c>
    </row>
    <row r="37" spans="1:14" ht="12" customHeight="1" x14ac:dyDescent="0.25">
      <c r="A37" s="155"/>
      <c r="B37" s="11">
        <v>2023</v>
      </c>
      <c r="C37" s="160" t="s">
        <v>4</v>
      </c>
      <c r="D37" s="141">
        <v>82</v>
      </c>
      <c r="E37" s="141">
        <v>82</v>
      </c>
      <c r="F37" s="141">
        <v>82</v>
      </c>
      <c r="G37" s="142">
        <v>82</v>
      </c>
      <c r="H37" s="140">
        <v>81</v>
      </c>
      <c r="I37" s="140">
        <v>86</v>
      </c>
      <c r="J37" s="140">
        <v>86</v>
      </c>
      <c r="K37" s="140">
        <v>90</v>
      </c>
      <c r="L37" s="140">
        <v>93</v>
      </c>
      <c r="M37" s="141">
        <v>91</v>
      </c>
      <c r="N37" s="141">
        <v>93</v>
      </c>
    </row>
    <row r="38" spans="1:14" ht="12" customHeight="1" x14ac:dyDescent="0.25">
      <c r="A38" s="155"/>
      <c r="B38" s="11">
        <v>2024</v>
      </c>
      <c r="C38" s="141">
        <v>93</v>
      </c>
      <c r="D38" s="141">
        <v>118</v>
      </c>
      <c r="E38" s="141">
        <v>106</v>
      </c>
      <c r="F38" s="141">
        <v>118</v>
      </c>
      <c r="G38" s="142">
        <v>100</v>
      </c>
      <c r="H38" s="140">
        <v>118</v>
      </c>
      <c r="I38" s="140">
        <v>118</v>
      </c>
      <c r="J38" s="140">
        <v>115</v>
      </c>
      <c r="K38" s="140">
        <v>96.5</v>
      </c>
      <c r="L38" s="140">
        <v>89.122340425531917</v>
      </c>
      <c r="M38" s="141">
        <v>85</v>
      </c>
      <c r="N38" s="142">
        <v>124</v>
      </c>
    </row>
    <row r="39" spans="1:14" ht="12" customHeight="1" x14ac:dyDescent="0.25">
      <c r="A39" s="157"/>
      <c r="B39" s="150">
        <v>2025</v>
      </c>
      <c r="C39" s="143">
        <v>112</v>
      </c>
      <c r="D39" s="143">
        <v>106</v>
      </c>
      <c r="E39" s="143">
        <v>97</v>
      </c>
      <c r="F39" s="143">
        <v>96</v>
      </c>
      <c r="G39" s="143">
        <v>104</v>
      </c>
      <c r="H39" s="154">
        <v>97</v>
      </c>
      <c r="I39" s="154">
        <v>95</v>
      </c>
      <c r="J39" s="154"/>
      <c r="K39" s="154"/>
      <c r="L39" s="154"/>
      <c r="M39" s="143"/>
      <c r="N39" s="153"/>
    </row>
    <row r="40" spans="1:14" ht="12" customHeight="1" x14ac:dyDescent="0.25">
      <c r="A40" s="155" t="s">
        <v>143</v>
      </c>
      <c r="B40" s="11">
        <v>2018</v>
      </c>
      <c r="C40" s="141">
        <v>64</v>
      </c>
      <c r="D40" s="142">
        <v>64</v>
      </c>
      <c r="E40" s="141">
        <v>62</v>
      </c>
      <c r="F40" s="140">
        <v>63</v>
      </c>
      <c r="G40" s="142">
        <v>62</v>
      </c>
      <c r="H40" s="140">
        <v>66</v>
      </c>
      <c r="I40" s="140">
        <v>65.13636363636364</v>
      </c>
      <c r="J40" s="140">
        <v>63</v>
      </c>
      <c r="K40" s="147" t="s">
        <v>142</v>
      </c>
      <c r="L40" s="140">
        <v>65</v>
      </c>
      <c r="M40" s="140">
        <v>65</v>
      </c>
      <c r="N40" s="145">
        <v>66</v>
      </c>
    </row>
    <row r="41" spans="1:14" ht="12" customHeight="1" x14ac:dyDescent="0.25">
      <c r="A41" s="155"/>
      <c r="B41" s="11">
        <v>2019</v>
      </c>
      <c r="C41" s="140">
        <v>72</v>
      </c>
      <c r="D41" s="145">
        <v>71</v>
      </c>
      <c r="E41" s="140">
        <v>71</v>
      </c>
      <c r="F41" s="140">
        <v>70</v>
      </c>
      <c r="G41" s="145">
        <v>68.5</v>
      </c>
      <c r="H41" s="140">
        <v>69.5</v>
      </c>
      <c r="I41" s="140">
        <v>69.5</v>
      </c>
      <c r="J41" s="141">
        <v>69</v>
      </c>
      <c r="K41" s="141">
        <v>82</v>
      </c>
      <c r="L41" s="141">
        <v>83</v>
      </c>
      <c r="M41" s="141">
        <v>83</v>
      </c>
      <c r="N41" s="142">
        <v>83</v>
      </c>
    </row>
    <row r="42" spans="1:14" ht="12" customHeight="1" x14ac:dyDescent="0.25">
      <c r="A42" s="155"/>
      <c r="B42" s="11">
        <v>2020</v>
      </c>
      <c r="C42" s="141">
        <v>83</v>
      </c>
      <c r="D42" s="156" t="s">
        <v>4</v>
      </c>
      <c r="E42" s="147" t="s">
        <v>142</v>
      </c>
      <c r="F42" s="147" t="s">
        <v>142</v>
      </c>
      <c r="G42" s="156" t="s">
        <v>142</v>
      </c>
      <c r="H42" s="147" t="s">
        <v>142</v>
      </c>
      <c r="I42" s="147" t="s">
        <v>4</v>
      </c>
      <c r="J42" s="147" t="s">
        <v>142</v>
      </c>
      <c r="K42" s="147" t="s">
        <v>142</v>
      </c>
      <c r="L42" s="147" t="s">
        <v>142</v>
      </c>
      <c r="M42" s="147" t="s">
        <v>142</v>
      </c>
      <c r="N42" s="156" t="s">
        <v>142</v>
      </c>
    </row>
    <row r="43" spans="1:14" ht="12" customHeight="1" x14ac:dyDescent="0.25">
      <c r="A43" s="155"/>
      <c r="B43" s="11">
        <v>2021</v>
      </c>
      <c r="C43" s="147" t="s">
        <v>142</v>
      </c>
      <c r="D43" s="156" t="s">
        <v>4</v>
      </c>
      <c r="E43" s="147" t="s">
        <v>142</v>
      </c>
      <c r="F43" s="147" t="s">
        <v>142</v>
      </c>
      <c r="G43" s="156" t="s">
        <v>142</v>
      </c>
      <c r="H43" s="147" t="s">
        <v>142</v>
      </c>
      <c r="I43" s="144">
        <v>77.5</v>
      </c>
      <c r="J43" s="144">
        <v>77.5</v>
      </c>
      <c r="K43" s="147" t="s">
        <v>142</v>
      </c>
      <c r="L43" s="147" t="s">
        <v>142</v>
      </c>
      <c r="M43" s="141">
        <v>77.5</v>
      </c>
      <c r="N43" s="156" t="s">
        <v>142</v>
      </c>
    </row>
    <row r="44" spans="1:14" ht="12" customHeight="1" x14ac:dyDescent="0.25">
      <c r="A44" s="155"/>
      <c r="B44" s="11">
        <v>2022</v>
      </c>
      <c r="C44" s="141">
        <v>75</v>
      </c>
      <c r="D44" s="142">
        <v>77.5</v>
      </c>
      <c r="E44" s="141">
        <v>90</v>
      </c>
      <c r="F44" s="140">
        <v>77.5</v>
      </c>
      <c r="G44" s="145">
        <v>77.5</v>
      </c>
      <c r="H44" s="140">
        <v>77.5</v>
      </c>
      <c r="I44" s="140">
        <v>77.5</v>
      </c>
      <c r="J44" s="140">
        <v>77.5</v>
      </c>
      <c r="K44" s="140">
        <v>77.5</v>
      </c>
      <c r="L44" s="140">
        <v>77.5</v>
      </c>
      <c r="M44" s="147" t="s">
        <v>142</v>
      </c>
      <c r="N44" s="145">
        <v>77.5</v>
      </c>
    </row>
    <row r="45" spans="1:14" ht="12" customHeight="1" x14ac:dyDescent="0.25">
      <c r="A45" s="155"/>
      <c r="B45" s="11">
        <v>2023</v>
      </c>
      <c r="C45" s="141">
        <v>77.5</v>
      </c>
      <c r="D45" s="141">
        <v>77.5</v>
      </c>
      <c r="E45" s="141">
        <v>77.5</v>
      </c>
      <c r="F45" s="147" t="s">
        <v>142</v>
      </c>
      <c r="G45" s="156" t="s">
        <v>142</v>
      </c>
      <c r="H45" s="140">
        <v>77.5</v>
      </c>
      <c r="I45" s="140">
        <v>78</v>
      </c>
      <c r="J45" s="140">
        <v>78</v>
      </c>
      <c r="K45" s="140">
        <v>78</v>
      </c>
      <c r="L45" s="140">
        <v>78</v>
      </c>
      <c r="M45" s="140">
        <v>78</v>
      </c>
      <c r="N45" s="140">
        <v>90</v>
      </c>
    </row>
    <row r="46" spans="1:14" ht="12" customHeight="1" x14ac:dyDescent="0.25">
      <c r="A46" s="155"/>
      <c r="B46" s="11">
        <v>2024</v>
      </c>
      <c r="C46" s="141">
        <v>90</v>
      </c>
      <c r="D46" s="141">
        <v>90</v>
      </c>
      <c r="E46" s="141">
        <v>90</v>
      </c>
      <c r="F46" s="140">
        <v>90</v>
      </c>
      <c r="G46" s="145">
        <v>90</v>
      </c>
      <c r="H46" s="140">
        <v>90</v>
      </c>
      <c r="I46" s="140">
        <v>85</v>
      </c>
      <c r="J46" s="140">
        <v>90</v>
      </c>
      <c r="K46" s="140">
        <v>86</v>
      </c>
      <c r="L46" s="148" t="s">
        <v>4</v>
      </c>
      <c r="M46" s="148" t="s">
        <v>4</v>
      </c>
      <c r="N46" s="148" t="s">
        <v>4</v>
      </c>
    </row>
    <row r="47" spans="1:14" ht="12" customHeight="1" x14ac:dyDescent="0.25">
      <c r="A47" s="157"/>
      <c r="B47" s="150">
        <v>2025</v>
      </c>
      <c r="C47" s="166" t="s">
        <v>142</v>
      </c>
      <c r="D47" s="166" t="s">
        <v>142</v>
      </c>
      <c r="E47" s="166" t="s">
        <v>142</v>
      </c>
      <c r="F47" s="166" t="s">
        <v>142</v>
      </c>
      <c r="G47" s="166" t="s">
        <v>142</v>
      </c>
      <c r="H47" s="166" t="s">
        <v>142</v>
      </c>
      <c r="I47" s="166" t="s">
        <v>142</v>
      </c>
      <c r="J47" s="154"/>
      <c r="K47" s="154"/>
      <c r="L47" s="161"/>
      <c r="M47" s="161"/>
      <c r="N47" s="154"/>
    </row>
    <row r="48" spans="1:14" ht="12" customHeight="1" x14ac:dyDescent="0.25">
      <c r="A48" s="18" t="s">
        <v>17</v>
      </c>
      <c r="B48" s="11">
        <v>2018</v>
      </c>
      <c r="C48" s="141">
        <v>70</v>
      </c>
      <c r="D48" s="142">
        <v>70</v>
      </c>
      <c r="E48" s="141">
        <v>70</v>
      </c>
      <c r="F48" s="140">
        <v>71</v>
      </c>
      <c r="G48" s="145">
        <v>73</v>
      </c>
      <c r="H48" s="140">
        <v>73</v>
      </c>
      <c r="I48" s="140">
        <v>72.900000000000006</v>
      </c>
      <c r="J48" s="140">
        <v>73</v>
      </c>
      <c r="K48" s="140">
        <v>73</v>
      </c>
      <c r="L48" s="140">
        <v>75</v>
      </c>
      <c r="M48" s="140">
        <v>75</v>
      </c>
      <c r="N48" s="145">
        <v>74</v>
      </c>
    </row>
    <row r="49" spans="1:14" ht="12" customHeight="1" x14ac:dyDescent="0.25">
      <c r="A49" s="18"/>
      <c r="B49" s="11">
        <v>2019</v>
      </c>
      <c r="C49" s="140">
        <v>74</v>
      </c>
      <c r="D49" s="145">
        <v>74</v>
      </c>
      <c r="E49" s="140">
        <v>74</v>
      </c>
      <c r="F49" s="140">
        <v>74</v>
      </c>
      <c r="G49" s="145">
        <v>74</v>
      </c>
      <c r="H49" s="140">
        <v>74</v>
      </c>
      <c r="I49" s="140">
        <v>74.285714285714292</v>
      </c>
      <c r="J49" s="140">
        <v>74</v>
      </c>
      <c r="K49" s="141">
        <v>75</v>
      </c>
      <c r="L49" s="141">
        <v>75</v>
      </c>
      <c r="M49" s="141">
        <v>75</v>
      </c>
      <c r="N49" s="142">
        <v>75</v>
      </c>
    </row>
    <row r="50" spans="1:14" ht="12" customHeight="1" x14ac:dyDescent="0.25">
      <c r="A50" s="18"/>
      <c r="B50" s="11">
        <v>2020</v>
      </c>
      <c r="C50" s="141">
        <v>75</v>
      </c>
      <c r="D50" s="156" t="s">
        <v>4</v>
      </c>
      <c r="E50" s="147" t="s">
        <v>142</v>
      </c>
      <c r="F50" s="147" t="s">
        <v>142</v>
      </c>
      <c r="G50" s="142">
        <v>75</v>
      </c>
      <c r="H50" s="141">
        <v>75</v>
      </c>
      <c r="I50" s="141">
        <v>75</v>
      </c>
      <c r="J50" s="144">
        <v>75</v>
      </c>
      <c r="K50" s="147" t="s">
        <v>142</v>
      </c>
      <c r="L50" s="141">
        <v>75</v>
      </c>
      <c r="M50" s="141">
        <v>75</v>
      </c>
      <c r="N50" s="142">
        <v>75</v>
      </c>
    </row>
    <row r="51" spans="1:14" ht="12" customHeight="1" x14ac:dyDescent="0.25">
      <c r="A51" s="18"/>
      <c r="B51" s="11">
        <v>2021</v>
      </c>
      <c r="C51" s="141">
        <v>75</v>
      </c>
      <c r="D51" s="142">
        <v>75</v>
      </c>
      <c r="E51" s="141">
        <v>75</v>
      </c>
      <c r="F51" s="141">
        <v>75</v>
      </c>
      <c r="G51" s="142">
        <v>75</v>
      </c>
      <c r="H51" s="141">
        <v>75</v>
      </c>
      <c r="I51" s="141">
        <v>75</v>
      </c>
      <c r="J51" s="141">
        <v>75</v>
      </c>
      <c r="K51" s="141">
        <v>75</v>
      </c>
      <c r="L51" s="141">
        <v>75</v>
      </c>
      <c r="M51" s="141">
        <v>75</v>
      </c>
      <c r="N51" s="142">
        <v>85</v>
      </c>
    </row>
    <row r="52" spans="1:14" ht="12" customHeight="1" x14ac:dyDescent="0.25">
      <c r="A52" s="18"/>
      <c r="B52" s="11">
        <v>2022</v>
      </c>
      <c r="C52" s="141">
        <v>85</v>
      </c>
      <c r="D52" s="142">
        <v>85</v>
      </c>
      <c r="E52" s="141">
        <v>85</v>
      </c>
      <c r="F52" s="141">
        <v>85</v>
      </c>
      <c r="G52" s="142">
        <v>85</v>
      </c>
      <c r="H52" s="141">
        <v>85</v>
      </c>
      <c r="I52" s="141">
        <v>85</v>
      </c>
      <c r="J52" s="141">
        <v>85</v>
      </c>
      <c r="K52" s="141">
        <v>85</v>
      </c>
      <c r="L52" s="141">
        <v>85</v>
      </c>
      <c r="M52" s="141">
        <v>85</v>
      </c>
      <c r="N52" s="142">
        <v>85</v>
      </c>
    </row>
    <row r="53" spans="1:14" ht="12" customHeight="1" x14ac:dyDescent="0.25">
      <c r="A53" s="18"/>
      <c r="B53" s="11">
        <v>2023</v>
      </c>
      <c r="C53" s="141">
        <v>85</v>
      </c>
      <c r="D53" s="141">
        <v>85</v>
      </c>
      <c r="E53" s="141">
        <v>85</v>
      </c>
      <c r="F53" s="141">
        <v>85</v>
      </c>
      <c r="G53" s="142">
        <v>85</v>
      </c>
      <c r="H53" s="141">
        <v>85</v>
      </c>
      <c r="I53" s="141">
        <v>85</v>
      </c>
      <c r="J53" s="141">
        <v>85</v>
      </c>
      <c r="K53" s="141">
        <v>85</v>
      </c>
      <c r="L53" s="141">
        <v>85</v>
      </c>
      <c r="M53" s="141">
        <v>85</v>
      </c>
      <c r="N53" s="141">
        <v>85</v>
      </c>
    </row>
    <row r="54" spans="1:14" ht="12" customHeight="1" x14ac:dyDescent="0.25">
      <c r="A54" s="18"/>
      <c r="B54" s="11">
        <v>2024</v>
      </c>
      <c r="C54" s="141">
        <v>85</v>
      </c>
      <c r="D54" s="141">
        <v>90</v>
      </c>
      <c r="E54" s="141">
        <v>90</v>
      </c>
      <c r="F54" s="141">
        <v>90</v>
      </c>
      <c r="G54" s="142">
        <v>90</v>
      </c>
      <c r="H54" s="141">
        <v>90</v>
      </c>
      <c r="I54" s="141">
        <v>90</v>
      </c>
      <c r="J54" s="141">
        <v>90</v>
      </c>
      <c r="K54" s="141">
        <v>84</v>
      </c>
      <c r="L54" s="141">
        <v>94.622107864552547</v>
      </c>
      <c r="M54" s="141">
        <v>90</v>
      </c>
      <c r="N54" s="141">
        <v>92</v>
      </c>
    </row>
    <row r="55" spans="1:14" ht="12" customHeight="1" x14ac:dyDescent="0.25">
      <c r="A55" s="149"/>
      <c r="B55" s="150">
        <v>2025</v>
      </c>
      <c r="C55" s="143">
        <v>104</v>
      </c>
      <c r="D55" s="143">
        <v>95</v>
      </c>
      <c r="E55" s="143">
        <v>106</v>
      </c>
      <c r="F55" s="143">
        <v>98</v>
      </c>
      <c r="G55" s="143">
        <v>91</v>
      </c>
      <c r="H55" s="143">
        <v>90</v>
      </c>
      <c r="I55" s="143">
        <v>89</v>
      </c>
      <c r="J55" s="143"/>
      <c r="K55" s="143"/>
      <c r="L55" s="143"/>
      <c r="M55" s="143"/>
      <c r="N55" s="143"/>
    </row>
    <row r="56" spans="1:14" ht="12" customHeight="1" x14ac:dyDescent="0.25">
      <c r="A56" s="18" t="s">
        <v>21</v>
      </c>
      <c r="B56" s="11">
        <v>2018</v>
      </c>
      <c r="C56" s="141">
        <v>86.571428571428569</v>
      </c>
      <c r="D56" s="142">
        <v>86.5</v>
      </c>
      <c r="E56" s="141">
        <v>82</v>
      </c>
      <c r="F56" s="140">
        <v>89</v>
      </c>
      <c r="G56" s="145">
        <v>89</v>
      </c>
      <c r="H56" s="140">
        <v>84</v>
      </c>
      <c r="I56" s="140">
        <v>83.357142857142861</v>
      </c>
      <c r="J56" s="140">
        <v>96</v>
      </c>
      <c r="K56" s="140">
        <v>96</v>
      </c>
      <c r="L56" s="140">
        <v>97</v>
      </c>
      <c r="M56" s="140">
        <v>97</v>
      </c>
      <c r="N56" s="145">
        <v>94.6</v>
      </c>
    </row>
    <row r="57" spans="1:14" ht="12" customHeight="1" x14ac:dyDescent="0.25">
      <c r="A57" s="18"/>
      <c r="B57" s="11">
        <v>2019</v>
      </c>
      <c r="C57" s="140">
        <v>95</v>
      </c>
      <c r="D57" s="145">
        <v>97</v>
      </c>
      <c r="E57" s="140">
        <v>98</v>
      </c>
      <c r="F57" s="140">
        <v>98</v>
      </c>
      <c r="G57" s="145">
        <v>99</v>
      </c>
      <c r="H57" s="140">
        <v>98</v>
      </c>
      <c r="I57" s="140">
        <v>97.055555555555557</v>
      </c>
      <c r="J57" s="141">
        <v>97</v>
      </c>
      <c r="K57" s="141">
        <v>100</v>
      </c>
      <c r="L57" s="141">
        <v>100</v>
      </c>
      <c r="M57" s="141">
        <v>100</v>
      </c>
      <c r="N57" s="142">
        <v>105</v>
      </c>
    </row>
    <row r="58" spans="1:14" ht="12" customHeight="1" x14ac:dyDescent="0.25">
      <c r="A58" s="18"/>
      <c r="B58" s="11">
        <v>2020</v>
      </c>
      <c r="C58" s="140">
        <v>100</v>
      </c>
      <c r="D58" s="145">
        <v>95</v>
      </c>
      <c r="E58" s="147" t="s">
        <v>142</v>
      </c>
      <c r="F58" s="140">
        <v>90</v>
      </c>
      <c r="G58" s="145">
        <v>100</v>
      </c>
      <c r="H58" s="140">
        <v>100</v>
      </c>
      <c r="I58" s="140">
        <v>100</v>
      </c>
      <c r="J58" s="140">
        <v>100</v>
      </c>
      <c r="K58" s="140">
        <v>100</v>
      </c>
      <c r="L58" s="140">
        <v>100</v>
      </c>
      <c r="M58" s="141">
        <v>95</v>
      </c>
      <c r="N58" s="142">
        <v>100</v>
      </c>
    </row>
    <row r="59" spans="1:14" ht="12" customHeight="1" x14ac:dyDescent="0.25">
      <c r="A59" s="18"/>
      <c r="B59" s="11">
        <v>2021</v>
      </c>
      <c r="C59" s="140">
        <v>105</v>
      </c>
      <c r="D59" s="145">
        <v>100</v>
      </c>
      <c r="E59" s="140">
        <v>105</v>
      </c>
      <c r="F59" s="140">
        <v>100</v>
      </c>
      <c r="G59" s="145">
        <v>100</v>
      </c>
      <c r="H59" s="140">
        <v>100</v>
      </c>
      <c r="I59" s="140">
        <v>100</v>
      </c>
      <c r="J59" s="140">
        <v>125</v>
      </c>
      <c r="K59" s="140">
        <v>110</v>
      </c>
      <c r="L59" s="141">
        <v>95</v>
      </c>
      <c r="M59" s="141">
        <v>100</v>
      </c>
      <c r="N59" s="142">
        <v>105</v>
      </c>
    </row>
    <row r="60" spans="1:14" ht="12" customHeight="1" x14ac:dyDescent="0.25">
      <c r="A60" s="18"/>
      <c r="B60" s="11">
        <v>2022</v>
      </c>
      <c r="C60" s="140">
        <v>125</v>
      </c>
      <c r="D60" s="145">
        <v>125</v>
      </c>
      <c r="E60" s="140">
        <v>150</v>
      </c>
      <c r="F60" s="140">
        <v>125</v>
      </c>
      <c r="G60" s="145">
        <v>117.5</v>
      </c>
      <c r="H60" s="140">
        <v>145</v>
      </c>
      <c r="I60" s="140">
        <v>145</v>
      </c>
      <c r="J60" s="140">
        <v>140</v>
      </c>
      <c r="K60" s="140">
        <v>140</v>
      </c>
      <c r="L60" s="141">
        <v>135</v>
      </c>
      <c r="M60" s="141">
        <v>135</v>
      </c>
      <c r="N60" s="142">
        <v>130</v>
      </c>
    </row>
    <row r="61" spans="1:14" ht="12" customHeight="1" x14ac:dyDescent="0.25">
      <c r="A61" s="18"/>
      <c r="B61" s="11">
        <v>2023</v>
      </c>
      <c r="C61" s="140">
        <v>130</v>
      </c>
      <c r="D61" s="140">
        <v>130</v>
      </c>
      <c r="E61" s="140">
        <v>130</v>
      </c>
      <c r="F61" s="140">
        <v>130</v>
      </c>
      <c r="G61" s="145">
        <v>140</v>
      </c>
      <c r="H61" s="140">
        <v>135</v>
      </c>
      <c r="I61" s="140">
        <v>125</v>
      </c>
      <c r="J61" s="140">
        <v>125</v>
      </c>
      <c r="K61" s="140">
        <v>130</v>
      </c>
      <c r="L61" s="141">
        <v>130</v>
      </c>
      <c r="M61" s="141">
        <v>130</v>
      </c>
      <c r="N61" s="141">
        <v>133</v>
      </c>
    </row>
    <row r="62" spans="1:14" ht="12" customHeight="1" x14ac:dyDescent="0.25">
      <c r="A62" s="18"/>
      <c r="B62" s="11">
        <v>2024</v>
      </c>
      <c r="C62" s="141">
        <v>133</v>
      </c>
      <c r="D62" s="140">
        <v>133</v>
      </c>
      <c r="E62" s="140">
        <v>135</v>
      </c>
      <c r="F62" s="140">
        <v>130</v>
      </c>
      <c r="G62" s="145">
        <v>135</v>
      </c>
      <c r="H62" s="140">
        <v>135</v>
      </c>
      <c r="I62" s="140">
        <v>135</v>
      </c>
      <c r="J62" s="140">
        <v>125</v>
      </c>
      <c r="K62" s="140">
        <v>134</v>
      </c>
      <c r="L62" s="141">
        <v>140.90105646847132</v>
      </c>
      <c r="M62" s="141">
        <v>138.5</v>
      </c>
      <c r="N62" s="141">
        <v>132</v>
      </c>
    </row>
    <row r="63" spans="1:14" ht="12" customHeight="1" x14ac:dyDescent="0.25">
      <c r="A63" s="149"/>
      <c r="B63" s="150">
        <v>2025</v>
      </c>
      <c r="C63" s="143">
        <v>147</v>
      </c>
      <c r="D63" s="154">
        <v>134</v>
      </c>
      <c r="E63" s="154">
        <v>137</v>
      </c>
      <c r="F63" s="154">
        <v>132</v>
      </c>
      <c r="G63" s="154">
        <v>128</v>
      </c>
      <c r="H63" s="154">
        <v>130</v>
      </c>
      <c r="I63" s="154">
        <v>128</v>
      </c>
      <c r="J63" s="154"/>
      <c r="K63" s="154"/>
      <c r="L63" s="143"/>
      <c r="M63" s="143"/>
      <c r="N63" s="143"/>
    </row>
    <row r="64" spans="1:14" ht="12" customHeight="1" x14ac:dyDescent="0.2">
      <c r="A64" s="179"/>
      <c r="B64" s="180"/>
      <c r="C64" s="40"/>
      <c r="D64" s="40"/>
      <c r="E64" s="40"/>
      <c r="F64" s="40"/>
      <c r="G64" s="40"/>
      <c r="H64" s="40"/>
      <c r="I64" s="162"/>
      <c r="J64" s="40"/>
      <c r="K64" s="40"/>
      <c r="L64" s="40"/>
      <c r="M64" s="40"/>
      <c r="N64" s="64" t="s">
        <v>26</v>
      </c>
    </row>
    <row r="65" spans="1:14" ht="12" customHeight="1" x14ac:dyDescent="0.25">
      <c r="A65" s="712" t="s">
        <v>144</v>
      </c>
      <c r="B65" s="712"/>
      <c r="C65" s="712"/>
      <c r="D65" s="712"/>
      <c r="E65" s="712"/>
      <c r="F65" s="712"/>
      <c r="G65" s="40"/>
      <c r="H65" s="40"/>
      <c r="I65" s="162"/>
      <c r="J65" s="163"/>
      <c r="K65" s="23"/>
      <c r="L65" s="23"/>
      <c r="M65" s="23"/>
      <c r="N65" s="23"/>
    </row>
    <row r="66" spans="1:14" ht="15.95" customHeight="1" x14ac:dyDescent="0.2">
      <c r="A66" s="239" t="s">
        <v>95</v>
      </c>
      <c r="B66" s="239" t="s">
        <v>141</v>
      </c>
      <c r="C66" s="239" t="s">
        <v>97</v>
      </c>
      <c r="D66" s="239" t="s">
        <v>98</v>
      </c>
      <c r="E66" s="239" t="s">
        <v>99</v>
      </c>
      <c r="F66" s="239" t="s">
        <v>100</v>
      </c>
      <c r="G66" s="239" t="s">
        <v>101</v>
      </c>
      <c r="H66" s="239" t="s">
        <v>102</v>
      </c>
      <c r="I66" s="239" t="s">
        <v>103</v>
      </c>
      <c r="J66" s="239" t="s">
        <v>104</v>
      </c>
      <c r="K66" s="239" t="s">
        <v>105</v>
      </c>
      <c r="L66" s="239" t="s">
        <v>106</v>
      </c>
      <c r="M66" s="239" t="s">
        <v>107</v>
      </c>
      <c r="N66" s="239" t="s">
        <v>108</v>
      </c>
    </row>
    <row r="67" spans="1:14" ht="3" customHeight="1" x14ac:dyDescent="0.25">
      <c r="A67" s="18"/>
      <c r="B67" s="11"/>
      <c r="C67" s="141"/>
      <c r="D67" s="140"/>
      <c r="E67" s="140"/>
      <c r="F67" s="140"/>
      <c r="G67" s="145"/>
      <c r="H67" s="140"/>
      <c r="I67" s="140"/>
      <c r="J67" s="140"/>
      <c r="K67" s="140"/>
      <c r="L67" s="141"/>
      <c r="M67" s="141"/>
      <c r="N67" s="141"/>
    </row>
    <row r="68" spans="1:14" ht="11.85" customHeight="1" x14ac:dyDescent="0.25">
      <c r="A68" s="18" t="s">
        <v>53</v>
      </c>
      <c r="B68" s="11">
        <v>2018</v>
      </c>
      <c r="C68" s="141">
        <v>88.49</v>
      </c>
      <c r="D68" s="142">
        <v>88.405000000000001</v>
      </c>
      <c r="E68" s="141">
        <v>88.474999999999994</v>
      </c>
      <c r="F68" s="140">
        <v>89.424999999999997</v>
      </c>
      <c r="G68" s="145">
        <v>89.575000000000003</v>
      </c>
      <c r="H68" s="140">
        <v>89.275000000000006</v>
      </c>
      <c r="I68" s="140">
        <v>91.22</v>
      </c>
      <c r="J68" s="140">
        <v>89.3</v>
      </c>
      <c r="K68" s="140">
        <v>89.26</v>
      </c>
      <c r="L68" s="140">
        <v>90.034999999999997</v>
      </c>
      <c r="M68" s="140">
        <v>90.034999999999997</v>
      </c>
      <c r="N68" s="145">
        <v>90.034999999999997</v>
      </c>
    </row>
    <row r="69" spans="1:14" ht="11.85" customHeight="1" x14ac:dyDescent="0.25">
      <c r="A69" s="18"/>
      <c r="B69" s="11">
        <v>2019</v>
      </c>
      <c r="C69" s="140">
        <v>101.25</v>
      </c>
      <c r="D69" s="145">
        <v>103.75</v>
      </c>
      <c r="E69" s="140">
        <v>104.375</v>
      </c>
      <c r="F69" s="140">
        <v>104.375</v>
      </c>
      <c r="G69" s="145">
        <v>103.75</v>
      </c>
      <c r="H69" s="140">
        <v>104.375</v>
      </c>
      <c r="I69" s="140">
        <v>104.375</v>
      </c>
      <c r="J69" s="141">
        <v>106.875</v>
      </c>
      <c r="K69" s="141">
        <v>125</v>
      </c>
      <c r="L69" s="141">
        <v>97.5</v>
      </c>
      <c r="M69" s="140">
        <v>95</v>
      </c>
      <c r="N69" s="145">
        <v>95</v>
      </c>
    </row>
    <row r="70" spans="1:14" ht="11.85" customHeight="1" x14ac:dyDescent="0.25">
      <c r="A70" s="18"/>
      <c r="B70" s="11">
        <v>2020</v>
      </c>
      <c r="C70" s="140">
        <v>95</v>
      </c>
      <c r="D70" s="156" t="s">
        <v>4</v>
      </c>
      <c r="E70" s="147" t="s">
        <v>142</v>
      </c>
      <c r="F70" s="156" t="s">
        <v>4</v>
      </c>
      <c r="G70" s="156" t="s">
        <v>4</v>
      </c>
      <c r="H70" s="156" t="s">
        <v>4</v>
      </c>
      <c r="I70" s="156" t="s">
        <v>4</v>
      </c>
      <c r="J70" s="156" t="s">
        <v>4</v>
      </c>
      <c r="K70" s="156" t="s">
        <v>4</v>
      </c>
      <c r="L70" s="156" t="s">
        <v>4</v>
      </c>
      <c r="M70" s="156" t="s">
        <v>4</v>
      </c>
      <c r="N70" s="156" t="s">
        <v>4</v>
      </c>
    </row>
    <row r="71" spans="1:14" ht="11.85" customHeight="1" x14ac:dyDescent="0.25">
      <c r="A71" s="18"/>
      <c r="B71" s="11">
        <v>2021</v>
      </c>
      <c r="C71" s="140">
        <v>85</v>
      </c>
      <c r="D71" s="145">
        <v>85</v>
      </c>
      <c r="E71" s="140">
        <v>90</v>
      </c>
      <c r="F71" s="140">
        <v>95</v>
      </c>
      <c r="G71" s="145">
        <v>100</v>
      </c>
      <c r="H71" s="140">
        <v>100</v>
      </c>
      <c r="I71" s="140">
        <v>100</v>
      </c>
      <c r="J71" s="140">
        <v>105</v>
      </c>
      <c r="K71" s="140">
        <v>105</v>
      </c>
      <c r="L71" s="140">
        <v>105</v>
      </c>
      <c r="M71" s="140">
        <v>105</v>
      </c>
      <c r="N71" s="145">
        <v>105</v>
      </c>
    </row>
    <row r="72" spans="1:14" ht="11.85" customHeight="1" x14ac:dyDescent="0.25">
      <c r="A72" s="18"/>
      <c r="B72" s="11">
        <v>2022</v>
      </c>
      <c r="C72" s="140">
        <v>105</v>
      </c>
      <c r="D72" s="145">
        <v>105</v>
      </c>
      <c r="E72" s="140">
        <v>117</v>
      </c>
      <c r="F72" s="140">
        <v>102</v>
      </c>
      <c r="G72" s="145">
        <v>115</v>
      </c>
      <c r="H72" s="140">
        <v>113</v>
      </c>
      <c r="I72" s="140">
        <v>113</v>
      </c>
      <c r="J72" s="140">
        <v>113</v>
      </c>
      <c r="K72" s="140">
        <v>105</v>
      </c>
      <c r="L72" s="140">
        <v>115</v>
      </c>
      <c r="M72" s="140">
        <v>115</v>
      </c>
      <c r="N72" s="156" t="s">
        <v>4</v>
      </c>
    </row>
    <row r="73" spans="1:14" ht="11.85" customHeight="1" x14ac:dyDescent="0.25">
      <c r="A73" s="18"/>
      <c r="B73" s="11">
        <v>2023</v>
      </c>
      <c r="C73" s="147" t="s">
        <v>142</v>
      </c>
      <c r="D73" s="156" t="s">
        <v>4</v>
      </c>
      <c r="E73" s="156" t="s">
        <v>142</v>
      </c>
      <c r="F73" s="147" t="s">
        <v>142</v>
      </c>
      <c r="G73" s="156" t="s">
        <v>142</v>
      </c>
      <c r="H73" s="147" t="s">
        <v>142</v>
      </c>
      <c r="I73" s="140">
        <v>130</v>
      </c>
      <c r="J73" s="140">
        <v>130</v>
      </c>
      <c r="K73" s="140">
        <v>131</v>
      </c>
      <c r="L73" s="140">
        <v>132</v>
      </c>
      <c r="M73" s="140">
        <v>131</v>
      </c>
      <c r="N73" s="145">
        <v>148</v>
      </c>
    </row>
    <row r="74" spans="1:14" ht="11.85" customHeight="1" x14ac:dyDescent="0.25">
      <c r="A74" s="18"/>
      <c r="B74" s="11">
        <v>2024</v>
      </c>
      <c r="C74" s="141">
        <v>148</v>
      </c>
      <c r="D74" s="141">
        <v>148</v>
      </c>
      <c r="E74" s="141">
        <v>150</v>
      </c>
      <c r="F74" s="141">
        <v>137</v>
      </c>
      <c r="G74" s="141">
        <v>146</v>
      </c>
      <c r="H74" s="141">
        <v>149</v>
      </c>
      <c r="I74" s="140">
        <v>150</v>
      </c>
      <c r="J74" s="140">
        <v>149</v>
      </c>
      <c r="K74" s="140">
        <v>137</v>
      </c>
      <c r="L74" s="140">
        <v>137.1</v>
      </c>
      <c r="M74" s="140">
        <v>137.1</v>
      </c>
      <c r="N74" s="145">
        <v>137.1</v>
      </c>
    </row>
    <row r="75" spans="1:14" ht="11.85" customHeight="1" x14ac:dyDescent="0.25">
      <c r="A75" s="149"/>
      <c r="B75" s="150">
        <v>2025</v>
      </c>
      <c r="C75" s="143">
        <v>135</v>
      </c>
      <c r="D75" s="143">
        <v>139</v>
      </c>
      <c r="E75" s="143">
        <v>139</v>
      </c>
      <c r="F75" s="143">
        <v>139</v>
      </c>
      <c r="G75" s="143">
        <v>139</v>
      </c>
      <c r="H75" s="143">
        <v>139</v>
      </c>
      <c r="I75" s="143">
        <v>140</v>
      </c>
      <c r="J75" s="154"/>
      <c r="K75" s="154"/>
      <c r="L75" s="154"/>
      <c r="M75" s="154"/>
      <c r="N75" s="159"/>
    </row>
    <row r="76" spans="1:14" ht="11.85" customHeight="1" x14ac:dyDescent="0.25">
      <c r="A76" s="18" t="s">
        <v>27</v>
      </c>
      <c r="B76" s="11">
        <v>2018</v>
      </c>
      <c r="C76" s="140">
        <v>97</v>
      </c>
      <c r="D76" s="145">
        <v>97</v>
      </c>
      <c r="E76" s="140">
        <v>98</v>
      </c>
      <c r="F76" s="140">
        <v>98</v>
      </c>
      <c r="G76" s="145">
        <v>98</v>
      </c>
      <c r="H76" s="140">
        <v>98</v>
      </c>
      <c r="I76" s="140">
        <v>97.9</v>
      </c>
      <c r="J76" s="141">
        <v>99.5</v>
      </c>
      <c r="K76" s="141">
        <v>99</v>
      </c>
      <c r="L76" s="141">
        <v>100</v>
      </c>
      <c r="M76" s="141">
        <v>100</v>
      </c>
      <c r="N76" s="145">
        <v>101</v>
      </c>
    </row>
    <row r="77" spans="1:14" ht="11.85" customHeight="1" x14ac:dyDescent="0.25">
      <c r="A77" s="18"/>
      <c r="B77" s="11">
        <v>2019</v>
      </c>
      <c r="C77" s="140">
        <v>103.5</v>
      </c>
      <c r="D77" s="145">
        <v>103.5</v>
      </c>
      <c r="E77" s="140">
        <v>104</v>
      </c>
      <c r="F77" s="140">
        <v>104</v>
      </c>
      <c r="G77" s="145">
        <v>104</v>
      </c>
      <c r="H77" s="140">
        <v>104</v>
      </c>
      <c r="I77" s="140">
        <v>104.38</v>
      </c>
      <c r="J77" s="141">
        <v>107</v>
      </c>
      <c r="K77" s="141">
        <v>125</v>
      </c>
      <c r="L77" s="141">
        <v>125</v>
      </c>
      <c r="M77" s="140">
        <v>125</v>
      </c>
      <c r="N77" s="145">
        <v>125</v>
      </c>
    </row>
    <row r="78" spans="1:14" ht="11.85" customHeight="1" x14ac:dyDescent="0.25">
      <c r="A78" s="18"/>
      <c r="B78" s="11">
        <v>2020</v>
      </c>
      <c r="C78" s="140">
        <v>125</v>
      </c>
      <c r="D78" s="145">
        <v>125</v>
      </c>
      <c r="E78" s="140">
        <v>125</v>
      </c>
      <c r="F78" s="140">
        <v>125</v>
      </c>
      <c r="G78" s="145">
        <v>125</v>
      </c>
      <c r="H78" s="140">
        <v>125</v>
      </c>
      <c r="I78" s="140">
        <v>125</v>
      </c>
      <c r="J78" s="140">
        <v>125</v>
      </c>
      <c r="K78" s="140">
        <v>125</v>
      </c>
      <c r="L78" s="140">
        <v>125</v>
      </c>
      <c r="M78" s="140">
        <v>125</v>
      </c>
      <c r="N78" s="145">
        <v>125</v>
      </c>
    </row>
    <row r="79" spans="1:14" ht="11.85" customHeight="1" x14ac:dyDescent="0.25">
      <c r="A79" s="18"/>
      <c r="B79" s="11">
        <v>2021</v>
      </c>
      <c r="C79" s="140">
        <v>125</v>
      </c>
      <c r="D79" s="145">
        <v>112.5</v>
      </c>
      <c r="E79" s="140">
        <v>125</v>
      </c>
      <c r="F79" s="140">
        <v>125</v>
      </c>
      <c r="G79" s="145">
        <v>132.5</v>
      </c>
      <c r="H79" s="140">
        <v>125</v>
      </c>
      <c r="I79" s="140">
        <v>125</v>
      </c>
      <c r="J79" s="140">
        <v>130</v>
      </c>
      <c r="K79" s="140">
        <v>130</v>
      </c>
      <c r="L79" s="140">
        <v>130</v>
      </c>
      <c r="M79" s="140">
        <v>150</v>
      </c>
      <c r="N79" s="145">
        <v>130</v>
      </c>
    </row>
    <row r="80" spans="1:14" ht="11.85" customHeight="1" x14ac:dyDescent="0.25">
      <c r="A80" s="18"/>
      <c r="B80" s="11">
        <v>2022</v>
      </c>
      <c r="C80" s="140">
        <v>150</v>
      </c>
      <c r="D80" s="145">
        <v>130</v>
      </c>
      <c r="E80" s="140">
        <v>130</v>
      </c>
      <c r="F80" s="140">
        <v>126</v>
      </c>
      <c r="G80" s="145">
        <v>130</v>
      </c>
      <c r="H80" s="140">
        <v>130</v>
      </c>
      <c r="I80" s="140">
        <v>113</v>
      </c>
      <c r="J80" s="140">
        <v>160</v>
      </c>
      <c r="K80" s="140">
        <v>130</v>
      </c>
      <c r="L80" s="140">
        <v>130</v>
      </c>
      <c r="M80" s="140">
        <v>130</v>
      </c>
      <c r="N80" s="145">
        <v>130</v>
      </c>
    </row>
    <row r="81" spans="1:14" ht="11.85" customHeight="1" x14ac:dyDescent="0.25">
      <c r="A81" s="18"/>
      <c r="B81" s="11">
        <v>2023</v>
      </c>
      <c r="C81" s="140">
        <v>133</v>
      </c>
      <c r="D81" s="140">
        <v>150</v>
      </c>
      <c r="E81" s="140">
        <v>150</v>
      </c>
      <c r="F81" s="140">
        <v>150</v>
      </c>
      <c r="G81" s="145">
        <v>150</v>
      </c>
      <c r="H81" s="140">
        <v>163</v>
      </c>
      <c r="I81" s="140">
        <v>175</v>
      </c>
      <c r="J81" s="140">
        <v>175</v>
      </c>
      <c r="K81" s="140">
        <v>200</v>
      </c>
      <c r="L81" s="140">
        <v>190</v>
      </c>
      <c r="M81" s="140">
        <v>210</v>
      </c>
      <c r="N81" s="140">
        <v>210</v>
      </c>
    </row>
    <row r="82" spans="1:14" ht="11.85" customHeight="1" x14ac:dyDescent="0.25">
      <c r="A82" s="18"/>
      <c r="B82" s="11">
        <v>2024</v>
      </c>
      <c r="C82" s="140">
        <v>200</v>
      </c>
      <c r="D82" s="140">
        <v>210</v>
      </c>
      <c r="E82" s="140">
        <v>210</v>
      </c>
      <c r="F82" s="140">
        <v>173</v>
      </c>
      <c r="G82" s="145">
        <v>200</v>
      </c>
      <c r="H82" s="140">
        <v>200</v>
      </c>
      <c r="I82" s="140">
        <v>200</v>
      </c>
      <c r="J82" s="140">
        <v>175</v>
      </c>
      <c r="K82" s="140">
        <v>145</v>
      </c>
      <c r="L82" s="148" t="s">
        <v>4</v>
      </c>
      <c r="M82" s="140">
        <v>131</v>
      </c>
      <c r="N82" s="140">
        <v>122</v>
      </c>
    </row>
    <row r="83" spans="1:14" ht="11.85" customHeight="1" x14ac:dyDescent="0.25">
      <c r="A83" s="149"/>
      <c r="B83" s="150">
        <v>2025</v>
      </c>
      <c r="C83" s="154">
        <v>138</v>
      </c>
      <c r="D83" s="154">
        <v>316</v>
      </c>
      <c r="E83" s="154">
        <v>210</v>
      </c>
      <c r="F83" s="154">
        <v>92</v>
      </c>
      <c r="G83" s="154">
        <v>93</v>
      </c>
      <c r="H83" s="154">
        <v>94</v>
      </c>
      <c r="I83" s="154">
        <v>92</v>
      </c>
      <c r="J83" s="154"/>
      <c r="K83" s="154"/>
      <c r="L83" s="161"/>
      <c r="M83" s="154"/>
      <c r="N83" s="154"/>
    </row>
    <row r="84" spans="1:14" ht="11.85" customHeight="1" x14ac:dyDescent="0.25">
      <c r="A84" s="18" t="s">
        <v>114</v>
      </c>
      <c r="B84" s="11">
        <v>2018</v>
      </c>
      <c r="C84" s="140">
        <v>94</v>
      </c>
      <c r="D84" s="145">
        <v>94</v>
      </c>
      <c r="E84" s="140">
        <v>95</v>
      </c>
      <c r="F84" s="140">
        <v>99</v>
      </c>
      <c r="G84" s="145">
        <v>99</v>
      </c>
      <c r="H84" s="140">
        <v>99.5</v>
      </c>
      <c r="I84" s="140">
        <v>100</v>
      </c>
      <c r="J84" s="140">
        <v>100</v>
      </c>
      <c r="K84" s="140">
        <v>100</v>
      </c>
      <c r="L84" s="140">
        <v>100.5</v>
      </c>
      <c r="M84" s="140">
        <v>100.5</v>
      </c>
      <c r="N84" s="145">
        <v>100.5</v>
      </c>
    </row>
    <row r="85" spans="1:14" ht="11.85" customHeight="1" x14ac:dyDescent="0.25">
      <c r="A85" s="18"/>
      <c r="B85" s="11">
        <v>2019</v>
      </c>
      <c r="C85" s="140">
        <v>100</v>
      </c>
      <c r="D85" s="145">
        <v>100</v>
      </c>
      <c r="E85" s="140">
        <v>99</v>
      </c>
      <c r="F85" s="140">
        <v>98</v>
      </c>
      <c r="G85" s="145">
        <v>98</v>
      </c>
      <c r="H85" s="140">
        <v>97</v>
      </c>
      <c r="I85" s="140">
        <v>94.318181818181813</v>
      </c>
      <c r="J85" s="141">
        <v>94</v>
      </c>
      <c r="K85" s="141">
        <v>115</v>
      </c>
      <c r="L85" s="141">
        <v>115</v>
      </c>
      <c r="M85" s="140">
        <v>110</v>
      </c>
      <c r="N85" s="145">
        <v>105</v>
      </c>
    </row>
    <row r="86" spans="1:14" ht="11.85" customHeight="1" x14ac:dyDescent="0.25">
      <c r="A86" s="18"/>
      <c r="B86" s="11">
        <v>2020</v>
      </c>
      <c r="C86" s="140">
        <v>110</v>
      </c>
      <c r="D86" s="156" t="s">
        <v>4</v>
      </c>
      <c r="E86" s="147" t="s">
        <v>142</v>
      </c>
      <c r="F86" s="147" t="s">
        <v>142</v>
      </c>
      <c r="G86" s="156" t="s">
        <v>142</v>
      </c>
      <c r="H86" s="147" t="s">
        <v>142</v>
      </c>
      <c r="I86" s="140">
        <v>115</v>
      </c>
      <c r="J86" s="140">
        <v>110</v>
      </c>
      <c r="K86" s="141">
        <v>115</v>
      </c>
      <c r="L86" s="141">
        <v>115</v>
      </c>
      <c r="M86" s="140">
        <v>100</v>
      </c>
      <c r="N86" s="145">
        <v>100</v>
      </c>
    </row>
    <row r="87" spans="1:14" ht="11.85" customHeight="1" x14ac:dyDescent="0.25">
      <c r="A87" s="18"/>
      <c r="B87" s="11">
        <v>2021</v>
      </c>
      <c r="C87" s="140">
        <v>110</v>
      </c>
      <c r="D87" s="145">
        <v>110</v>
      </c>
      <c r="E87" s="140">
        <v>110</v>
      </c>
      <c r="F87" s="140">
        <v>110</v>
      </c>
      <c r="G87" s="145">
        <v>110</v>
      </c>
      <c r="H87" s="140">
        <v>115</v>
      </c>
      <c r="I87" s="140">
        <v>120</v>
      </c>
      <c r="J87" s="140">
        <v>115</v>
      </c>
      <c r="K87" s="141">
        <v>117.5</v>
      </c>
      <c r="L87" s="141">
        <v>130</v>
      </c>
      <c r="M87" s="140">
        <v>120</v>
      </c>
      <c r="N87" s="145">
        <v>120</v>
      </c>
    </row>
    <row r="88" spans="1:14" ht="11.85" customHeight="1" x14ac:dyDescent="0.25">
      <c r="A88" s="18"/>
      <c r="B88" s="11">
        <v>2022</v>
      </c>
      <c r="C88" s="140">
        <v>120</v>
      </c>
      <c r="D88" s="145">
        <v>120</v>
      </c>
      <c r="E88" s="140">
        <v>130</v>
      </c>
      <c r="F88" s="140">
        <v>120</v>
      </c>
      <c r="G88" s="145">
        <v>130</v>
      </c>
      <c r="H88" s="140">
        <v>130</v>
      </c>
      <c r="I88" s="140">
        <v>130</v>
      </c>
      <c r="J88" s="140">
        <v>140</v>
      </c>
      <c r="K88" s="141">
        <v>147.5</v>
      </c>
      <c r="L88" s="141">
        <v>138</v>
      </c>
      <c r="M88" s="140">
        <v>147</v>
      </c>
      <c r="N88" s="145">
        <v>147</v>
      </c>
    </row>
    <row r="89" spans="1:14" ht="11.85" customHeight="1" x14ac:dyDescent="0.25">
      <c r="A89" s="18"/>
      <c r="B89" s="11">
        <v>2023</v>
      </c>
      <c r="C89" s="140">
        <v>155</v>
      </c>
      <c r="D89" s="140">
        <v>155</v>
      </c>
      <c r="E89" s="140">
        <v>155</v>
      </c>
      <c r="F89" s="140">
        <v>155</v>
      </c>
      <c r="G89" s="145">
        <v>140</v>
      </c>
      <c r="H89" s="140">
        <v>140</v>
      </c>
      <c r="I89" s="140">
        <v>160</v>
      </c>
      <c r="J89" s="140">
        <v>160</v>
      </c>
      <c r="K89" s="141">
        <v>155</v>
      </c>
      <c r="L89" s="141">
        <v>140</v>
      </c>
      <c r="M89" s="141">
        <v>140</v>
      </c>
      <c r="N89" s="141">
        <v>140</v>
      </c>
    </row>
    <row r="90" spans="1:14" ht="11.85" customHeight="1" x14ac:dyDescent="0.25">
      <c r="A90" s="18"/>
      <c r="B90" s="11">
        <v>2024</v>
      </c>
      <c r="C90" s="140">
        <v>140</v>
      </c>
      <c r="D90" s="140">
        <v>134</v>
      </c>
      <c r="E90" s="140">
        <v>131</v>
      </c>
      <c r="F90" s="140">
        <v>145</v>
      </c>
      <c r="G90" s="145">
        <v>160</v>
      </c>
      <c r="H90" s="140">
        <v>145</v>
      </c>
      <c r="I90" s="140">
        <v>150</v>
      </c>
      <c r="J90" s="140">
        <v>145</v>
      </c>
      <c r="K90" s="141">
        <v>126</v>
      </c>
      <c r="L90" s="141">
        <v>126.59090909090909</v>
      </c>
      <c r="M90" s="141">
        <v>175</v>
      </c>
      <c r="N90" s="141">
        <v>110</v>
      </c>
    </row>
    <row r="91" spans="1:14" ht="11.85" customHeight="1" x14ac:dyDescent="0.25">
      <c r="A91" s="149"/>
      <c r="B91" s="150">
        <v>2025</v>
      </c>
      <c r="C91" s="154">
        <v>100</v>
      </c>
      <c r="D91" s="154">
        <v>128</v>
      </c>
      <c r="E91" s="154">
        <v>127</v>
      </c>
      <c r="F91" s="154">
        <v>128</v>
      </c>
      <c r="G91" s="154">
        <v>128</v>
      </c>
      <c r="H91" s="154">
        <v>125</v>
      </c>
      <c r="I91" s="154">
        <v>129</v>
      </c>
      <c r="J91" s="154"/>
      <c r="K91" s="143"/>
      <c r="L91" s="143"/>
      <c r="M91" s="143"/>
      <c r="N91" s="143"/>
    </row>
    <row r="92" spans="1:14" ht="11.85" customHeight="1" x14ac:dyDescent="0.25">
      <c r="A92" s="18" t="s">
        <v>38</v>
      </c>
      <c r="B92" s="11">
        <v>2018</v>
      </c>
      <c r="C92" s="140">
        <v>144</v>
      </c>
      <c r="D92" s="145">
        <v>141</v>
      </c>
      <c r="E92" s="140">
        <v>141</v>
      </c>
      <c r="F92" s="140">
        <v>141</v>
      </c>
      <c r="G92" s="145">
        <v>141</v>
      </c>
      <c r="H92" s="140">
        <v>141</v>
      </c>
      <c r="I92" s="140">
        <v>147.5</v>
      </c>
      <c r="J92" s="140">
        <v>147.5</v>
      </c>
      <c r="K92" s="140">
        <v>149</v>
      </c>
      <c r="L92" s="140">
        <v>152</v>
      </c>
      <c r="M92" s="140">
        <v>152</v>
      </c>
      <c r="N92" s="145">
        <v>152</v>
      </c>
    </row>
    <row r="93" spans="1:14" ht="11.85" customHeight="1" x14ac:dyDescent="0.25">
      <c r="A93" s="18"/>
      <c r="B93" s="11">
        <v>2019</v>
      </c>
      <c r="C93" s="140">
        <v>139</v>
      </c>
      <c r="D93" s="145">
        <v>140</v>
      </c>
      <c r="E93" s="140">
        <v>142</v>
      </c>
      <c r="F93" s="140">
        <v>141</v>
      </c>
      <c r="G93" s="145">
        <v>137</v>
      </c>
      <c r="H93" s="140">
        <v>136</v>
      </c>
      <c r="I93" s="140">
        <v>145.29166666666666</v>
      </c>
      <c r="J93" s="141">
        <v>145</v>
      </c>
      <c r="K93" s="141">
        <v>140</v>
      </c>
      <c r="L93" s="140">
        <v>140</v>
      </c>
      <c r="M93" s="140">
        <v>140</v>
      </c>
      <c r="N93" s="145">
        <v>140</v>
      </c>
    </row>
    <row r="94" spans="1:14" ht="11.85" customHeight="1" x14ac:dyDescent="0.25">
      <c r="A94" s="19"/>
      <c r="B94" s="11">
        <v>2020</v>
      </c>
      <c r="C94" s="140">
        <v>140</v>
      </c>
      <c r="D94" s="164">
        <v>140</v>
      </c>
      <c r="E94" s="140">
        <v>140</v>
      </c>
      <c r="F94" s="140">
        <v>140</v>
      </c>
      <c r="G94" s="145">
        <v>140</v>
      </c>
      <c r="H94" s="140">
        <v>140</v>
      </c>
      <c r="I94" s="140">
        <v>140</v>
      </c>
      <c r="J94" s="140">
        <v>140</v>
      </c>
      <c r="K94" s="140">
        <v>140</v>
      </c>
      <c r="L94" s="160" t="s">
        <v>142</v>
      </c>
      <c r="M94" s="140">
        <v>155</v>
      </c>
      <c r="N94" s="145">
        <v>140</v>
      </c>
    </row>
    <row r="95" spans="1:14" ht="11.85" customHeight="1" x14ac:dyDescent="0.25">
      <c r="A95" s="19"/>
      <c r="B95" s="11">
        <v>2021</v>
      </c>
      <c r="C95" s="140">
        <v>140</v>
      </c>
      <c r="D95" s="164">
        <v>146</v>
      </c>
      <c r="E95" s="144">
        <v>140</v>
      </c>
      <c r="F95" s="140">
        <v>141.5</v>
      </c>
      <c r="G95" s="145">
        <v>140</v>
      </c>
      <c r="H95" s="140">
        <v>140</v>
      </c>
      <c r="I95" s="140">
        <v>135</v>
      </c>
      <c r="J95" s="140">
        <v>140</v>
      </c>
      <c r="K95" s="141">
        <v>147.5</v>
      </c>
      <c r="L95" s="141">
        <v>150</v>
      </c>
      <c r="M95" s="140">
        <v>155</v>
      </c>
      <c r="N95" s="142">
        <v>150</v>
      </c>
    </row>
    <row r="96" spans="1:14" ht="11.85" customHeight="1" x14ac:dyDescent="0.25">
      <c r="A96" s="19"/>
      <c r="B96" s="11">
        <v>2022</v>
      </c>
      <c r="C96" s="140">
        <v>150</v>
      </c>
      <c r="D96" s="145">
        <v>150</v>
      </c>
      <c r="E96" s="144">
        <v>175</v>
      </c>
      <c r="F96" s="140">
        <v>175</v>
      </c>
      <c r="G96" s="145">
        <v>175</v>
      </c>
      <c r="H96" s="140">
        <v>175</v>
      </c>
      <c r="I96" s="140">
        <v>175</v>
      </c>
      <c r="J96" s="140">
        <v>175</v>
      </c>
      <c r="K96" s="140">
        <v>175</v>
      </c>
      <c r="L96" s="141">
        <v>178</v>
      </c>
      <c r="M96" s="140">
        <v>178</v>
      </c>
      <c r="N96" s="142">
        <v>180</v>
      </c>
    </row>
    <row r="97" spans="1:14" ht="11.85" customHeight="1" x14ac:dyDescent="0.25">
      <c r="A97" s="19"/>
      <c r="B97" s="11">
        <v>2023</v>
      </c>
      <c r="C97" s="140">
        <v>180</v>
      </c>
      <c r="D97" s="140">
        <v>180</v>
      </c>
      <c r="E97" s="144">
        <v>172.5</v>
      </c>
      <c r="F97" s="140">
        <v>175</v>
      </c>
      <c r="G97" s="145">
        <v>175</v>
      </c>
      <c r="H97" s="140">
        <v>175</v>
      </c>
      <c r="I97" s="140">
        <v>175</v>
      </c>
      <c r="J97" s="140">
        <v>175</v>
      </c>
      <c r="K97" s="140">
        <v>175</v>
      </c>
      <c r="L97" s="141">
        <v>175</v>
      </c>
      <c r="M97" s="141">
        <v>175</v>
      </c>
      <c r="N97" s="141">
        <v>175</v>
      </c>
    </row>
    <row r="98" spans="1:14" ht="11.85" customHeight="1" x14ac:dyDescent="0.25">
      <c r="A98" s="19"/>
      <c r="B98" s="11">
        <v>2024</v>
      </c>
      <c r="C98" s="140">
        <v>178</v>
      </c>
      <c r="D98" s="140">
        <v>176</v>
      </c>
      <c r="E98" s="144">
        <v>176</v>
      </c>
      <c r="F98" s="140">
        <v>175</v>
      </c>
      <c r="G98" s="145">
        <v>176</v>
      </c>
      <c r="H98" s="140">
        <v>180</v>
      </c>
      <c r="I98" s="140">
        <v>195</v>
      </c>
      <c r="J98" s="140">
        <v>175</v>
      </c>
      <c r="K98" s="140">
        <v>176</v>
      </c>
      <c r="L98" s="141">
        <v>175.83333333333334</v>
      </c>
      <c r="M98" s="141">
        <v>175.84</v>
      </c>
      <c r="N98" s="141">
        <v>177</v>
      </c>
    </row>
    <row r="99" spans="1:14" ht="11.85" customHeight="1" x14ac:dyDescent="0.25">
      <c r="A99" s="165"/>
      <c r="B99" s="150">
        <v>2025</v>
      </c>
      <c r="C99" s="154">
        <v>176</v>
      </c>
      <c r="D99" s="154">
        <v>176</v>
      </c>
      <c r="E99" s="158">
        <v>176</v>
      </c>
      <c r="F99" s="154">
        <v>176</v>
      </c>
      <c r="G99" s="154">
        <v>176</v>
      </c>
      <c r="H99" s="154">
        <v>176</v>
      </c>
      <c r="I99" s="154">
        <v>178</v>
      </c>
      <c r="J99" s="154"/>
      <c r="K99" s="154"/>
      <c r="L99" s="143"/>
      <c r="M99" s="143"/>
      <c r="N99" s="143"/>
    </row>
    <row r="100" spans="1:14" ht="11.85" customHeight="1" x14ac:dyDescent="0.25">
      <c r="A100" s="18" t="s">
        <v>145</v>
      </c>
      <c r="B100" s="11">
        <v>2018</v>
      </c>
      <c r="C100" s="142">
        <v>97.5</v>
      </c>
      <c r="D100" s="146">
        <v>99</v>
      </c>
      <c r="E100" s="141">
        <v>99</v>
      </c>
      <c r="F100" s="141">
        <v>99</v>
      </c>
      <c r="G100" s="142">
        <v>99</v>
      </c>
      <c r="H100" s="141">
        <v>99</v>
      </c>
      <c r="I100" s="141">
        <v>99</v>
      </c>
      <c r="J100" s="140">
        <v>101</v>
      </c>
      <c r="K100" s="145">
        <v>101</v>
      </c>
      <c r="L100" s="164">
        <v>101</v>
      </c>
      <c r="M100" s="140">
        <v>101</v>
      </c>
      <c r="N100" s="145">
        <v>101</v>
      </c>
    </row>
    <row r="101" spans="1:14" ht="11.85" customHeight="1" x14ac:dyDescent="0.25">
      <c r="A101" s="18" t="s">
        <v>146</v>
      </c>
      <c r="B101" s="11">
        <v>2019</v>
      </c>
      <c r="C101" s="145">
        <v>101</v>
      </c>
      <c r="D101" s="164">
        <v>104</v>
      </c>
      <c r="E101" s="140">
        <v>101</v>
      </c>
      <c r="F101" s="140">
        <v>104</v>
      </c>
      <c r="G101" s="145">
        <v>101</v>
      </c>
      <c r="H101" s="140">
        <v>104</v>
      </c>
      <c r="I101" s="140">
        <v>101.25</v>
      </c>
      <c r="J101" s="140">
        <v>106</v>
      </c>
      <c r="K101" s="142">
        <v>108</v>
      </c>
      <c r="L101" s="164">
        <v>112.5</v>
      </c>
      <c r="M101" s="140">
        <v>113</v>
      </c>
      <c r="N101" s="145">
        <v>112.5</v>
      </c>
    </row>
    <row r="102" spans="1:14" ht="11.85" customHeight="1" x14ac:dyDescent="0.25">
      <c r="A102" s="18"/>
      <c r="B102" s="11">
        <v>2020</v>
      </c>
      <c r="C102" s="145">
        <v>112.5</v>
      </c>
      <c r="D102" s="164">
        <v>112.5</v>
      </c>
      <c r="E102" s="147" t="s">
        <v>142</v>
      </c>
      <c r="F102" s="147" t="s">
        <v>142</v>
      </c>
      <c r="G102" s="156" t="s">
        <v>142</v>
      </c>
      <c r="H102" s="147" t="s">
        <v>142</v>
      </c>
      <c r="I102" s="140">
        <v>112.5</v>
      </c>
      <c r="J102" s="140">
        <v>112.5</v>
      </c>
      <c r="K102" s="156" t="s">
        <v>142</v>
      </c>
      <c r="L102" s="164">
        <v>112.5</v>
      </c>
      <c r="M102" s="147" t="s">
        <v>142</v>
      </c>
      <c r="N102" s="156" t="s">
        <v>142</v>
      </c>
    </row>
    <row r="103" spans="1:14" ht="11.85" customHeight="1" x14ac:dyDescent="0.25">
      <c r="A103" s="18"/>
      <c r="B103" s="11">
        <v>2021</v>
      </c>
      <c r="C103" s="145">
        <v>112.5</v>
      </c>
      <c r="D103" s="156" t="s">
        <v>142</v>
      </c>
      <c r="E103" s="147" t="s">
        <v>142</v>
      </c>
      <c r="F103" s="147" t="s">
        <v>142</v>
      </c>
      <c r="G103" s="156" t="s">
        <v>142</v>
      </c>
      <c r="H103" s="147" t="s">
        <v>142</v>
      </c>
      <c r="I103" s="140">
        <v>112.5</v>
      </c>
      <c r="J103" s="140">
        <v>112.5</v>
      </c>
      <c r="K103" s="142">
        <v>120</v>
      </c>
      <c r="L103" s="164">
        <v>120</v>
      </c>
      <c r="M103" s="144">
        <v>120</v>
      </c>
      <c r="N103" s="164">
        <v>120</v>
      </c>
    </row>
    <row r="104" spans="1:14" ht="11.85" customHeight="1" x14ac:dyDescent="0.25">
      <c r="A104" s="18"/>
      <c r="B104" s="11">
        <v>2022</v>
      </c>
      <c r="C104" s="145">
        <v>100</v>
      </c>
      <c r="D104" s="164">
        <v>100</v>
      </c>
      <c r="E104" s="144">
        <v>100</v>
      </c>
      <c r="F104" s="140">
        <v>120</v>
      </c>
      <c r="G104" s="145">
        <v>100</v>
      </c>
      <c r="H104" s="140">
        <v>95</v>
      </c>
      <c r="I104" s="140">
        <v>100</v>
      </c>
      <c r="J104" s="140">
        <v>100</v>
      </c>
      <c r="K104" s="145">
        <v>100</v>
      </c>
      <c r="L104" s="164">
        <v>100</v>
      </c>
      <c r="M104" s="144">
        <v>100</v>
      </c>
      <c r="N104" s="164">
        <v>100</v>
      </c>
    </row>
    <row r="105" spans="1:14" ht="11.85" customHeight="1" x14ac:dyDescent="0.25">
      <c r="A105" s="18"/>
      <c r="B105" s="21">
        <v>2023</v>
      </c>
      <c r="C105" s="145">
        <v>120</v>
      </c>
      <c r="D105" s="140">
        <v>120</v>
      </c>
      <c r="E105" s="140">
        <v>120</v>
      </c>
      <c r="F105" s="140">
        <v>120</v>
      </c>
      <c r="G105" s="145">
        <v>120</v>
      </c>
      <c r="H105" s="140">
        <v>120</v>
      </c>
      <c r="I105" s="140">
        <v>120</v>
      </c>
      <c r="J105" s="140">
        <v>120</v>
      </c>
      <c r="K105" s="140">
        <v>100</v>
      </c>
      <c r="L105" s="156">
        <v>110</v>
      </c>
      <c r="M105" s="144">
        <v>110</v>
      </c>
      <c r="N105" s="144">
        <v>105</v>
      </c>
    </row>
    <row r="106" spans="1:14" ht="11.85" customHeight="1" x14ac:dyDescent="0.25">
      <c r="A106" s="19"/>
      <c r="B106" s="11">
        <v>2024</v>
      </c>
      <c r="C106" s="140">
        <v>105</v>
      </c>
      <c r="D106" s="140">
        <v>95</v>
      </c>
      <c r="E106" s="140">
        <v>95</v>
      </c>
      <c r="F106" s="140">
        <v>95</v>
      </c>
      <c r="G106" s="145">
        <v>95</v>
      </c>
      <c r="H106" s="140">
        <v>95</v>
      </c>
      <c r="I106" s="140">
        <v>95</v>
      </c>
      <c r="J106" s="140">
        <v>95</v>
      </c>
      <c r="K106" s="140">
        <v>92.5</v>
      </c>
      <c r="L106" s="148" t="s">
        <v>4</v>
      </c>
      <c r="M106" s="148" t="s">
        <v>4</v>
      </c>
      <c r="N106" s="148" t="s">
        <v>4</v>
      </c>
    </row>
    <row r="107" spans="1:14" ht="11.85" customHeight="1" x14ac:dyDescent="0.25">
      <c r="A107" s="165"/>
      <c r="B107" s="150">
        <v>2025</v>
      </c>
      <c r="C107" s="154">
        <v>155</v>
      </c>
      <c r="D107" s="154">
        <v>95</v>
      </c>
      <c r="E107" s="166" t="s">
        <v>142</v>
      </c>
      <c r="F107" s="154">
        <v>95</v>
      </c>
      <c r="G107" s="154">
        <v>78</v>
      </c>
      <c r="H107" s="154">
        <v>58</v>
      </c>
      <c r="I107" s="154">
        <v>167</v>
      </c>
      <c r="J107" s="154"/>
      <c r="K107" s="154"/>
      <c r="L107" s="161"/>
      <c r="M107" s="161"/>
      <c r="N107" s="161"/>
    </row>
    <row r="108" spans="1:14" ht="11.85" customHeight="1" x14ac:dyDescent="0.25">
      <c r="A108" s="18" t="s">
        <v>116</v>
      </c>
      <c r="B108" s="11">
        <v>2018</v>
      </c>
      <c r="C108" s="141">
        <v>98</v>
      </c>
      <c r="D108" s="146">
        <v>98</v>
      </c>
      <c r="E108" s="141">
        <v>98</v>
      </c>
      <c r="F108" s="140">
        <v>98</v>
      </c>
      <c r="G108" s="142">
        <v>98</v>
      </c>
      <c r="H108" s="140">
        <v>95</v>
      </c>
      <c r="I108" s="140" t="s">
        <v>3</v>
      </c>
      <c r="J108" s="140" t="s">
        <v>147</v>
      </c>
      <c r="K108" s="145" t="s">
        <v>147</v>
      </c>
      <c r="L108" s="156" t="s">
        <v>147</v>
      </c>
      <c r="M108" s="140" t="s">
        <v>147</v>
      </c>
      <c r="N108" s="145" t="s">
        <v>147</v>
      </c>
    </row>
    <row r="109" spans="1:14" ht="11.85" customHeight="1" x14ac:dyDescent="0.25">
      <c r="A109" s="18"/>
      <c r="B109" s="11">
        <v>2019</v>
      </c>
      <c r="C109" s="140">
        <v>100</v>
      </c>
      <c r="D109" s="164">
        <v>102</v>
      </c>
      <c r="E109" s="140">
        <v>110.5</v>
      </c>
      <c r="F109" s="140">
        <v>109.5</v>
      </c>
      <c r="G109" s="145">
        <v>110.5</v>
      </c>
      <c r="H109" s="140">
        <v>110.5</v>
      </c>
      <c r="I109" s="140">
        <v>108.125</v>
      </c>
      <c r="J109" s="141">
        <v>108</v>
      </c>
      <c r="K109" s="142">
        <v>110</v>
      </c>
      <c r="L109" s="146">
        <v>110</v>
      </c>
      <c r="M109" s="140">
        <v>110</v>
      </c>
      <c r="N109" s="145">
        <v>110</v>
      </c>
    </row>
    <row r="110" spans="1:14" ht="11.85" customHeight="1" x14ac:dyDescent="0.25">
      <c r="A110" s="18"/>
      <c r="B110" s="11">
        <v>2020</v>
      </c>
      <c r="C110" s="140">
        <v>110</v>
      </c>
      <c r="D110" s="164">
        <v>110</v>
      </c>
      <c r="E110" s="147" t="s">
        <v>142</v>
      </c>
      <c r="F110" s="147" t="s">
        <v>142</v>
      </c>
      <c r="G110" s="145">
        <v>110</v>
      </c>
      <c r="H110" s="140">
        <v>135</v>
      </c>
      <c r="I110" s="140">
        <v>125</v>
      </c>
      <c r="J110" s="140">
        <v>135</v>
      </c>
      <c r="K110" s="145">
        <v>135</v>
      </c>
      <c r="L110" s="164">
        <v>135</v>
      </c>
      <c r="M110" s="140" t="s">
        <v>147</v>
      </c>
      <c r="N110" s="145">
        <v>135</v>
      </c>
    </row>
    <row r="111" spans="1:14" ht="11.85" customHeight="1" x14ac:dyDescent="0.25">
      <c r="A111" s="18"/>
      <c r="B111" s="11">
        <v>2021</v>
      </c>
      <c r="C111" s="140">
        <v>135</v>
      </c>
      <c r="D111" s="164">
        <v>135</v>
      </c>
      <c r="E111" s="140">
        <v>125</v>
      </c>
      <c r="F111" s="140">
        <v>120</v>
      </c>
      <c r="G111" s="145">
        <v>140</v>
      </c>
      <c r="H111" s="140">
        <v>140</v>
      </c>
      <c r="I111" s="140">
        <v>140</v>
      </c>
      <c r="J111" s="141">
        <v>150</v>
      </c>
      <c r="K111" s="164">
        <v>175</v>
      </c>
      <c r="L111" s="164">
        <v>175</v>
      </c>
      <c r="M111" s="144">
        <v>150</v>
      </c>
      <c r="N111" s="164">
        <v>150</v>
      </c>
    </row>
    <row r="112" spans="1:14" ht="11.85" customHeight="1" x14ac:dyDescent="0.25">
      <c r="A112" s="18"/>
      <c r="B112" s="11">
        <v>2022</v>
      </c>
      <c r="C112" s="140">
        <v>150</v>
      </c>
      <c r="D112" s="164">
        <v>150</v>
      </c>
      <c r="E112" s="140">
        <v>175</v>
      </c>
      <c r="F112" s="140">
        <v>175</v>
      </c>
      <c r="G112" s="145">
        <v>205</v>
      </c>
      <c r="H112" s="140">
        <v>200</v>
      </c>
      <c r="I112" s="140">
        <v>250</v>
      </c>
      <c r="J112" s="140">
        <v>260</v>
      </c>
      <c r="K112" s="164">
        <v>250</v>
      </c>
      <c r="L112" s="164">
        <v>250</v>
      </c>
      <c r="M112" s="144">
        <v>250</v>
      </c>
      <c r="N112" s="164">
        <v>250</v>
      </c>
    </row>
    <row r="113" spans="1:14" ht="11.85" customHeight="1" x14ac:dyDescent="0.25">
      <c r="A113" s="18"/>
      <c r="B113" s="11">
        <v>2023</v>
      </c>
      <c r="C113" s="144">
        <v>150</v>
      </c>
      <c r="D113" s="144">
        <v>150</v>
      </c>
      <c r="E113" s="140">
        <v>140</v>
      </c>
      <c r="F113" s="140">
        <v>140</v>
      </c>
      <c r="G113" s="145">
        <v>130</v>
      </c>
      <c r="H113" s="140">
        <v>120</v>
      </c>
      <c r="I113" s="140">
        <v>120</v>
      </c>
      <c r="J113" s="140">
        <v>120</v>
      </c>
      <c r="K113" s="144">
        <v>155</v>
      </c>
      <c r="L113" s="144">
        <v>160</v>
      </c>
      <c r="M113" s="144">
        <v>165</v>
      </c>
      <c r="N113" s="144">
        <v>135</v>
      </c>
    </row>
    <row r="114" spans="1:14" ht="11.85" customHeight="1" x14ac:dyDescent="0.25">
      <c r="A114" s="19"/>
      <c r="B114" s="11">
        <v>2024</v>
      </c>
      <c r="C114" s="140">
        <v>140</v>
      </c>
      <c r="D114" s="140">
        <v>165</v>
      </c>
      <c r="E114" s="144">
        <v>156</v>
      </c>
      <c r="F114" s="140">
        <v>170</v>
      </c>
      <c r="G114" s="145">
        <v>190</v>
      </c>
      <c r="H114" s="140">
        <v>200</v>
      </c>
      <c r="I114" s="140">
        <v>210</v>
      </c>
      <c r="J114" s="140">
        <v>210</v>
      </c>
      <c r="K114" s="140">
        <v>172.5</v>
      </c>
      <c r="L114" s="141">
        <v>170.83333333333334</v>
      </c>
      <c r="M114" s="141">
        <v>202</v>
      </c>
      <c r="N114" s="141">
        <v>171</v>
      </c>
    </row>
    <row r="115" spans="1:14" ht="11.85" customHeight="1" x14ac:dyDescent="0.25">
      <c r="A115" s="165"/>
      <c r="B115" s="150">
        <v>2025</v>
      </c>
      <c r="C115" s="154">
        <v>232</v>
      </c>
      <c r="D115" s="154">
        <v>180</v>
      </c>
      <c r="E115" s="158">
        <v>180</v>
      </c>
      <c r="F115" s="166" t="s">
        <v>142</v>
      </c>
      <c r="G115" s="158">
        <v>120</v>
      </c>
      <c r="H115" s="166" t="s">
        <v>142</v>
      </c>
      <c r="I115" s="166" t="s">
        <v>142</v>
      </c>
      <c r="J115" s="154"/>
      <c r="K115" s="154"/>
      <c r="L115" s="143"/>
      <c r="M115" s="143"/>
      <c r="N115" s="143"/>
    </row>
    <row r="116" spans="1:14" ht="11.85" customHeight="1" x14ac:dyDescent="0.25">
      <c r="A116" s="18" t="s">
        <v>118</v>
      </c>
      <c r="B116" s="11">
        <v>2018</v>
      </c>
      <c r="C116" s="140">
        <v>102.5</v>
      </c>
      <c r="D116" s="164">
        <v>102.5</v>
      </c>
      <c r="E116" s="140">
        <v>102.5</v>
      </c>
      <c r="F116" s="140">
        <v>102.5</v>
      </c>
      <c r="G116" s="145">
        <v>102.5</v>
      </c>
      <c r="H116" s="140">
        <v>102.5</v>
      </c>
      <c r="I116" s="140">
        <v>102.5</v>
      </c>
      <c r="J116" s="140">
        <v>102.5</v>
      </c>
      <c r="K116" s="145">
        <v>102.5</v>
      </c>
      <c r="L116" s="164">
        <v>102.5</v>
      </c>
      <c r="M116" s="140">
        <v>102.5</v>
      </c>
      <c r="N116" s="145">
        <v>102.5</v>
      </c>
    </row>
    <row r="117" spans="1:14" ht="11.85" customHeight="1" x14ac:dyDescent="0.25">
      <c r="A117" s="18"/>
      <c r="B117" s="11">
        <v>2019</v>
      </c>
      <c r="C117" s="140">
        <v>102.5</v>
      </c>
      <c r="D117" s="164">
        <v>102.5</v>
      </c>
      <c r="E117" s="140">
        <v>102.5</v>
      </c>
      <c r="F117" s="140">
        <v>102.5</v>
      </c>
      <c r="G117" s="145">
        <v>102.5</v>
      </c>
      <c r="H117" s="140">
        <v>102.5</v>
      </c>
      <c r="I117" s="140">
        <v>102.5</v>
      </c>
      <c r="J117" s="140">
        <v>102.5</v>
      </c>
      <c r="K117" s="142">
        <v>100</v>
      </c>
      <c r="L117" s="146">
        <v>100</v>
      </c>
      <c r="M117" s="141">
        <v>100</v>
      </c>
      <c r="N117" s="142">
        <v>100</v>
      </c>
    </row>
    <row r="118" spans="1:14" ht="11.85" customHeight="1" x14ac:dyDescent="0.25">
      <c r="A118" s="18"/>
      <c r="B118" s="11">
        <v>2020</v>
      </c>
      <c r="C118" s="140">
        <v>100</v>
      </c>
      <c r="D118" s="156" t="s">
        <v>142</v>
      </c>
      <c r="E118" s="147" t="s">
        <v>142</v>
      </c>
      <c r="F118" s="147" t="s">
        <v>142</v>
      </c>
      <c r="G118" s="156" t="s">
        <v>142</v>
      </c>
      <c r="H118" s="147" t="s">
        <v>142</v>
      </c>
      <c r="I118" s="147" t="s">
        <v>4</v>
      </c>
      <c r="J118" s="147" t="s">
        <v>142</v>
      </c>
      <c r="K118" s="156" t="s">
        <v>142</v>
      </c>
      <c r="L118" s="156" t="s">
        <v>142</v>
      </c>
      <c r="M118" s="141">
        <v>125</v>
      </c>
      <c r="N118" s="142">
        <v>125</v>
      </c>
    </row>
    <row r="119" spans="1:14" ht="11.85" customHeight="1" x14ac:dyDescent="0.25">
      <c r="A119" s="18"/>
      <c r="B119" s="11">
        <v>2021</v>
      </c>
      <c r="C119" s="140">
        <v>125</v>
      </c>
      <c r="D119" s="164">
        <v>125</v>
      </c>
      <c r="E119" s="140">
        <v>125</v>
      </c>
      <c r="F119" s="140">
        <v>125</v>
      </c>
      <c r="G119" s="145">
        <v>125</v>
      </c>
      <c r="H119" s="140">
        <v>125</v>
      </c>
      <c r="I119" s="140">
        <v>125</v>
      </c>
      <c r="J119" s="140">
        <v>125</v>
      </c>
      <c r="K119" s="164">
        <v>125</v>
      </c>
      <c r="L119" s="164">
        <v>125</v>
      </c>
      <c r="M119" s="144">
        <v>125</v>
      </c>
      <c r="N119" s="164">
        <v>125</v>
      </c>
    </row>
    <row r="120" spans="1:14" ht="11.85" customHeight="1" x14ac:dyDescent="0.25">
      <c r="A120" s="18"/>
      <c r="B120" s="11">
        <v>2022</v>
      </c>
      <c r="C120" s="140">
        <v>125</v>
      </c>
      <c r="D120" s="164">
        <v>130</v>
      </c>
      <c r="E120" s="140">
        <v>125</v>
      </c>
      <c r="F120" s="140">
        <v>125</v>
      </c>
      <c r="G120" s="145">
        <v>125</v>
      </c>
      <c r="H120" s="140">
        <v>125</v>
      </c>
      <c r="I120" s="140">
        <v>125</v>
      </c>
      <c r="J120" s="140">
        <v>125</v>
      </c>
      <c r="K120" s="145">
        <v>125</v>
      </c>
      <c r="L120" s="164">
        <v>125</v>
      </c>
      <c r="M120" s="144">
        <v>125</v>
      </c>
      <c r="N120" s="164">
        <v>125</v>
      </c>
    </row>
    <row r="121" spans="1:14" ht="11.85" customHeight="1" x14ac:dyDescent="0.25">
      <c r="A121" s="18"/>
      <c r="B121" s="11">
        <v>2023</v>
      </c>
      <c r="C121" s="140">
        <v>140</v>
      </c>
      <c r="D121" s="144">
        <v>165</v>
      </c>
      <c r="E121" s="140">
        <v>150</v>
      </c>
      <c r="F121" s="140">
        <v>150</v>
      </c>
      <c r="G121" s="145">
        <v>140</v>
      </c>
      <c r="H121" s="140">
        <v>140</v>
      </c>
      <c r="I121" s="140">
        <v>140</v>
      </c>
      <c r="J121" s="140">
        <v>140</v>
      </c>
      <c r="K121" s="140">
        <v>140</v>
      </c>
      <c r="L121" s="144">
        <v>165</v>
      </c>
      <c r="M121" s="144">
        <v>165</v>
      </c>
      <c r="N121" s="144">
        <v>150</v>
      </c>
    </row>
    <row r="122" spans="1:14" ht="11.85" customHeight="1" x14ac:dyDescent="0.25">
      <c r="A122" s="19"/>
      <c r="B122" s="11">
        <v>2024</v>
      </c>
      <c r="C122" s="140">
        <v>140</v>
      </c>
      <c r="D122" s="140">
        <v>140</v>
      </c>
      <c r="E122" s="144">
        <v>137</v>
      </c>
      <c r="F122" s="140">
        <v>140</v>
      </c>
      <c r="G122" s="145">
        <v>140</v>
      </c>
      <c r="H122" s="140">
        <v>140</v>
      </c>
      <c r="I122" s="140">
        <v>140</v>
      </c>
      <c r="J122" s="140">
        <v>140</v>
      </c>
      <c r="K122" s="140">
        <v>137</v>
      </c>
      <c r="L122" s="148" t="s">
        <v>4</v>
      </c>
      <c r="M122" s="148" t="s">
        <v>4</v>
      </c>
      <c r="N122" s="148" t="s">
        <v>4</v>
      </c>
    </row>
    <row r="123" spans="1:14" ht="11.85" customHeight="1" x14ac:dyDescent="0.25">
      <c r="A123" s="165"/>
      <c r="B123" s="150">
        <v>2025</v>
      </c>
      <c r="C123" s="154">
        <v>140</v>
      </c>
      <c r="D123" s="154">
        <v>160</v>
      </c>
      <c r="E123" s="158">
        <v>160</v>
      </c>
      <c r="F123" s="154">
        <v>150</v>
      </c>
      <c r="G123" s="154">
        <v>150</v>
      </c>
      <c r="H123" s="166" t="s">
        <v>142</v>
      </c>
      <c r="I123" s="166" t="s">
        <v>142</v>
      </c>
      <c r="J123" s="154"/>
      <c r="K123" s="154"/>
      <c r="L123" s="161"/>
      <c r="M123" s="161"/>
      <c r="N123" s="161"/>
    </row>
    <row r="124" spans="1:14" ht="11.85" customHeight="1" x14ac:dyDescent="0.25">
      <c r="A124" s="18" t="s">
        <v>119</v>
      </c>
      <c r="B124" s="11">
        <v>2018</v>
      </c>
      <c r="C124" s="140">
        <v>75</v>
      </c>
      <c r="D124" s="164">
        <v>75</v>
      </c>
      <c r="E124" s="140">
        <v>75</v>
      </c>
      <c r="F124" s="140">
        <v>75</v>
      </c>
      <c r="G124" s="145">
        <v>75</v>
      </c>
      <c r="H124" s="140">
        <v>75</v>
      </c>
      <c r="I124" s="140">
        <v>75</v>
      </c>
      <c r="J124" s="140">
        <v>75</v>
      </c>
      <c r="K124" s="145">
        <v>75</v>
      </c>
      <c r="L124" s="164">
        <v>50</v>
      </c>
      <c r="M124" s="140">
        <v>50</v>
      </c>
      <c r="N124" s="145">
        <v>50</v>
      </c>
    </row>
    <row r="125" spans="1:14" ht="11.85" customHeight="1" x14ac:dyDescent="0.25">
      <c r="A125" s="18"/>
      <c r="B125" s="11">
        <v>2019</v>
      </c>
      <c r="C125" s="140">
        <v>50</v>
      </c>
      <c r="D125" s="164">
        <v>50</v>
      </c>
      <c r="E125" s="140">
        <v>75</v>
      </c>
      <c r="F125" s="140">
        <v>75</v>
      </c>
      <c r="G125" s="145">
        <v>75</v>
      </c>
      <c r="H125" s="140">
        <v>75</v>
      </c>
      <c r="I125" s="140">
        <v>75</v>
      </c>
      <c r="J125" s="140">
        <v>75</v>
      </c>
      <c r="K125" s="142">
        <v>75</v>
      </c>
      <c r="L125" s="164">
        <v>75</v>
      </c>
      <c r="M125" s="140">
        <v>75</v>
      </c>
      <c r="N125" s="145">
        <v>75</v>
      </c>
    </row>
    <row r="126" spans="1:14" ht="11.85" customHeight="1" x14ac:dyDescent="0.25">
      <c r="A126" s="18"/>
      <c r="B126" s="11">
        <v>2020</v>
      </c>
      <c r="C126" s="140">
        <v>75</v>
      </c>
      <c r="D126" s="164">
        <v>75</v>
      </c>
      <c r="E126" s="147" t="s">
        <v>142</v>
      </c>
      <c r="F126" s="147" t="s">
        <v>142</v>
      </c>
      <c r="G126" s="145">
        <v>75</v>
      </c>
      <c r="H126" s="147" t="s">
        <v>142</v>
      </c>
      <c r="I126" s="147" t="s">
        <v>4</v>
      </c>
      <c r="J126" s="147" t="s">
        <v>142</v>
      </c>
      <c r="K126" s="156" t="s">
        <v>142</v>
      </c>
      <c r="L126" s="156" t="s">
        <v>142</v>
      </c>
      <c r="M126" s="147" t="s">
        <v>142</v>
      </c>
      <c r="N126" s="156" t="s">
        <v>142</v>
      </c>
    </row>
    <row r="127" spans="1:14" ht="11.85" customHeight="1" x14ac:dyDescent="0.25">
      <c r="A127" s="18"/>
      <c r="B127" s="11">
        <v>2021</v>
      </c>
      <c r="C127" s="140">
        <v>75</v>
      </c>
      <c r="D127" s="164">
        <v>75</v>
      </c>
      <c r="E127" s="140">
        <v>75</v>
      </c>
      <c r="F127" s="140">
        <v>75</v>
      </c>
      <c r="G127" s="145">
        <v>75</v>
      </c>
      <c r="H127" s="140">
        <v>75</v>
      </c>
      <c r="I127" s="140">
        <v>75</v>
      </c>
      <c r="J127" s="140">
        <v>75</v>
      </c>
      <c r="K127" s="164">
        <v>75</v>
      </c>
      <c r="L127" s="164">
        <v>75</v>
      </c>
      <c r="M127" s="144">
        <v>75</v>
      </c>
      <c r="N127" s="164">
        <v>75</v>
      </c>
    </row>
    <row r="128" spans="1:14" ht="11.85" customHeight="1" x14ac:dyDescent="0.25">
      <c r="A128" s="18"/>
      <c r="B128" s="11">
        <v>2022</v>
      </c>
      <c r="C128" s="140">
        <v>75</v>
      </c>
      <c r="D128" s="164">
        <v>75</v>
      </c>
      <c r="E128" s="140">
        <v>75</v>
      </c>
      <c r="F128" s="140">
        <v>75</v>
      </c>
      <c r="G128" s="145">
        <v>75</v>
      </c>
      <c r="H128" s="140">
        <v>75</v>
      </c>
      <c r="I128" s="140">
        <v>75</v>
      </c>
      <c r="J128" s="140">
        <v>75</v>
      </c>
      <c r="K128" s="145">
        <v>75</v>
      </c>
      <c r="L128" s="164">
        <v>75</v>
      </c>
      <c r="M128" s="144">
        <v>75</v>
      </c>
      <c r="N128" s="164">
        <v>75</v>
      </c>
    </row>
    <row r="129" spans="1:14" ht="11.85" customHeight="1" x14ac:dyDescent="0.25">
      <c r="A129" s="18"/>
      <c r="B129" s="11">
        <v>2023</v>
      </c>
      <c r="C129" s="140">
        <v>121</v>
      </c>
      <c r="D129" s="144">
        <v>137.5</v>
      </c>
      <c r="E129" s="140">
        <v>123</v>
      </c>
      <c r="F129" s="140">
        <v>135</v>
      </c>
      <c r="G129" s="145">
        <v>120</v>
      </c>
      <c r="H129" s="140">
        <v>118</v>
      </c>
      <c r="I129" s="140">
        <v>113</v>
      </c>
      <c r="J129" s="140">
        <v>115</v>
      </c>
      <c r="K129" s="140">
        <v>118</v>
      </c>
      <c r="L129" s="140">
        <v>118</v>
      </c>
      <c r="M129" s="144">
        <v>118</v>
      </c>
      <c r="N129" s="144">
        <v>118</v>
      </c>
    </row>
    <row r="130" spans="1:14" ht="11.85" customHeight="1" x14ac:dyDescent="0.25">
      <c r="A130" s="19"/>
      <c r="B130" s="11">
        <v>2024</v>
      </c>
      <c r="C130" s="140">
        <v>155</v>
      </c>
      <c r="D130" s="140">
        <v>155</v>
      </c>
      <c r="E130" s="144">
        <v>155</v>
      </c>
      <c r="F130" s="140">
        <v>165</v>
      </c>
      <c r="G130" s="145">
        <v>165</v>
      </c>
      <c r="H130" s="140">
        <v>165</v>
      </c>
      <c r="I130" s="140">
        <v>150</v>
      </c>
      <c r="J130" s="140">
        <v>170</v>
      </c>
      <c r="K130" s="140">
        <v>168</v>
      </c>
      <c r="L130" s="141">
        <v>146.66666666666666</v>
      </c>
      <c r="M130" s="141">
        <v>159</v>
      </c>
      <c r="N130" s="148" t="s">
        <v>4</v>
      </c>
    </row>
    <row r="131" spans="1:14" ht="11.85" customHeight="1" x14ac:dyDescent="0.25">
      <c r="A131" s="165"/>
      <c r="B131" s="150">
        <v>2025</v>
      </c>
      <c r="C131" s="161" t="s">
        <v>4</v>
      </c>
      <c r="D131" s="161" t="s">
        <v>4</v>
      </c>
      <c r="E131" s="161" t="s">
        <v>4</v>
      </c>
      <c r="F131" s="154">
        <v>145</v>
      </c>
      <c r="G131" s="161" t="s">
        <v>4</v>
      </c>
      <c r="H131" s="166" t="s">
        <v>142</v>
      </c>
      <c r="I131" s="166" t="s">
        <v>142</v>
      </c>
      <c r="J131" s="154"/>
      <c r="K131" s="154"/>
      <c r="L131" s="143"/>
      <c r="M131" s="143"/>
      <c r="N131" s="161"/>
    </row>
    <row r="132" spans="1:14" ht="11.85" customHeight="1" x14ac:dyDescent="0.2">
      <c r="A132" s="179"/>
      <c r="B132" s="180"/>
      <c r="C132" s="40"/>
      <c r="D132" s="40"/>
      <c r="E132" s="40"/>
      <c r="F132" s="40"/>
      <c r="G132" s="40"/>
      <c r="H132" s="40"/>
      <c r="I132" s="162"/>
      <c r="J132" s="40"/>
      <c r="K132" s="40"/>
      <c r="L132" s="40"/>
      <c r="M132" s="40"/>
      <c r="N132" s="64" t="s">
        <v>26</v>
      </c>
    </row>
    <row r="133" spans="1:14" ht="11.85" customHeight="1" x14ac:dyDescent="0.25">
      <c r="A133" s="712" t="s">
        <v>144</v>
      </c>
      <c r="B133" s="712"/>
      <c r="C133" s="712"/>
      <c r="D133" s="712"/>
      <c r="E133" s="712"/>
      <c r="F133" s="712"/>
      <c r="G133" s="40"/>
      <c r="H133" s="40"/>
      <c r="I133" s="162"/>
      <c r="J133" s="163"/>
      <c r="K133" s="23"/>
      <c r="L133" s="23"/>
      <c r="M133" s="23"/>
      <c r="N133" s="23"/>
    </row>
    <row r="134" spans="1:14" ht="15.95" customHeight="1" x14ac:dyDescent="0.2">
      <c r="A134" s="239" t="s">
        <v>95</v>
      </c>
      <c r="B134" s="239" t="s">
        <v>141</v>
      </c>
      <c r="C134" s="239" t="s">
        <v>97</v>
      </c>
      <c r="D134" s="239" t="s">
        <v>98</v>
      </c>
      <c r="E134" s="239" t="s">
        <v>99</v>
      </c>
      <c r="F134" s="239" t="s">
        <v>100</v>
      </c>
      <c r="G134" s="239" t="s">
        <v>101</v>
      </c>
      <c r="H134" s="239" t="s">
        <v>102</v>
      </c>
      <c r="I134" s="239" t="s">
        <v>103</v>
      </c>
      <c r="J134" s="239" t="s">
        <v>104</v>
      </c>
      <c r="K134" s="239" t="s">
        <v>105</v>
      </c>
      <c r="L134" s="239" t="s">
        <v>106</v>
      </c>
      <c r="M134" s="239" t="s">
        <v>107</v>
      </c>
      <c r="N134" s="239" t="s">
        <v>108</v>
      </c>
    </row>
    <row r="135" spans="1:14" ht="3" customHeight="1" x14ac:dyDescent="0.25">
      <c r="A135" s="19"/>
      <c r="B135" s="11"/>
      <c r="C135" s="148"/>
      <c r="D135" s="140"/>
      <c r="E135" s="144"/>
      <c r="F135" s="140"/>
      <c r="G135" s="145"/>
      <c r="H135" s="140"/>
      <c r="I135" s="140"/>
      <c r="J135" s="140"/>
      <c r="K135" s="140"/>
      <c r="L135" s="141"/>
      <c r="M135" s="141"/>
      <c r="N135" s="148"/>
    </row>
    <row r="136" spans="1:14" ht="11.85" customHeight="1" x14ac:dyDescent="0.25">
      <c r="A136" s="18" t="s">
        <v>120</v>
      </c>
      <c r="B136" s="11">
        <v>2018</v>
      </c>
      <c r="C136" s="141">
        <v>58</v>
      </c>
      <c r="D136" s="146">
        <v>60</v>
      </c>
      <c r="E136" s="141">
        <v>59</v>
      </c>
      <c r="F136" s="141">
        <v>59</v>
      </c>
      <c r="G136" s="142">
        <v>59</v>
      </c>
      <c r="H136" s="141">
        <v>59</v>
      </c>
      <c r="I136" s="140">
        <v>59.75</v>
      </c>
      <c r="J136" s="140">
        <v>60</v>
      </c>
      <c r="K136" s="145">
        <v>60</v>
      </c>
      <c r="L136" s="164">
        <v>58</v>
      </c>
      <c r="M136" s="140">
        <v>57.5</v>
      </c>
      <c r="N136" s="145">
        <v>57.5</v>
      </c>
    </row>
    <row r="137" spans="1:14" ht="11.85" customHeight="1" x14ac:dyDescent="0.25">
      <c r="A137" s="18"/>
      <c r="B137" s="11">
        <v>2019</v>
      </c>
      <c r="C137" s="140">
        <v>57.5</v>
      </c>
      <c r="D137" s="164">
        <v>57.5</v>
      </c>
      <c r="E137" s="140">
        <v>57.5</v>
      </c>
      <c r="F137" s="140">
        <v>57.5</v>
      </c>
      <c r="G137" s="145">
        <v>57.5</v>
      </c>
      <c r="H137" s="140">
        <v>57.5</v>
      </c>
      <c r="I137" s="140">
        <v>57.5</v>
      </c>
      <c r="J137" s="141">
        <v>57.5</v>
      </c>
      <c r="K137" s="142">
        <v>66</v>
      </c>
      <c r="L137" s="164">
        <v>65.5</v>
      </c>
      <c r="M137" s="140">
        <v>65.5</v>
      </c>
      <c r="N137" s="145">
        <v>65.5</v>
      </c>
    </row>
    <row r="138" spans="1:14" ht="11.85" customHeight="1" x14ac:dyDescent="0.25">
      <c r="A138" s="18"/>
      <c r="B138" s="11">
        <v>2020</v>
      </c>
      <c r="C138" s="140">
        <v>65.5</v>
      </c>
      <c r="D138" s="156" t="s">
        <v>142</v>
      </c>
      <c r="E138" s="147" t="s">
        <v>142</v>
      </c>
      <c r="F138" s="147" t="s">
        <v>142</v>
      </c>
      <c r="G138" s="156" t="s">
        <v>142</v>
      </c>
      <c r="H138" s="147" t="s">
        <v>142</v>
      </c>
      <c r="I138" s="147" t="s">
        <v>4</v>
      </c>
      <c r="J138" s="147" t="s">
        <v>142</v>
      </c>
      <c r="K138" s="156" t="s">
        <v>142</v>
      </c>
      <c r="L138" s="156" t="s">
        <v>142</v>
      </c>
      <c r="M138" s="147" t="s">
        <v>142</v>
      </c>
      <c r="N138" s="156" t="s">
        <v>142</v>
      </c>
    </row>
    <row r="139" spans="1:14" ht="11.85" customHeight="1" x14ac:dyDescent="0.25">
      <c r="A139" s="18"/>
      <c r="B139" s="11">
        <v>2021</v>
      </c>
      <c r="C139" s="147" t="s">
        <v>142</v>
      </c>
      <c r="D139" s="156" t="s">
        <v>142</v>
      </c>
      <c r="E139" s="147" t="s">
        <v>142</v>
      </c>
      <c r="F139" s="147" t="s">
        <v>142</v>
      </c>
      <c r="G139" s="156" t="s">
        <v>142</v>
      </c>
      <c r="H139" s="140">
        <v>70</v>
      </c>
      <c r="I139" s="140">
        <v>70</v>
      </c>
      <c r="J139" s="140">
        <v>70</v>
      </c>
      <c r="K139" s="156" t="s">
        <v>142</v>
      </c>
      <c r="L139" s="145">
        <v>92.5</v>
      </c>
      <c r="M139" s="147" t="s">
        <v>142</v>
      </c>
      <c r="N139" s="156" t="s">
        <v>142</v>
      </c>
    </row>
    <row r="140" spans="1:14" ht="11.85" customHeight="1" x14ac:dyDescent="0.25">
      <c r="A140" s="18"/>
      <c r="B140" s="11">
        <v>2022</v>
      </c>
      <c r="C140" s="140">
        <v>93</v>
      </c>
      <c r="D140" s="142">
        <v>95</v>
      </c>
      <c r="E140" s="140">
        <v>93</v>
      </c>
      <c r="F140" s="140">
        <v>95</v>
      </c>
      <c r="G140" s="145">
        <v>95</v>
      </c>
      <c r="H140" s="140">
        <v>95</v>
      </c>
      <c r="I140" s="140">
        <v>90</v>
      </c>
      <c r="J140" s="140">
        <v>90</v>
      </c>
      <c r="K140" s="145">
        <v>90</v>
      </c>
      <c r="L140" s="145">
        <v>90</v>
      </c>
      <c r="M140" s="140">
        <v>90</v>
      </c>
      <c r="N140" s="145">
        <v>90</v>
      </c>
    </row>
    <row r="141" spans="1:14" ht="11.85" customHeight="1" x14ac:dyDescent="0.25">
      <c r="A141" s="18"/>
      <c r="B141" s="11">
        <v>2023</v>
      </c>
      <c r="C141" s="140">
        <v>90</v>
      </c>
      <c r="D141" s="141">
        <v>92.5</v>
      </c>
      <c r="E141" s="140">
        <v>93</v>
      </c>
      <c r="F141" s="147" t="s">
        <v>142</v>
      </c>
      <c r="G141" s="145">
        <v>95</v>
      </c>
      <c r="H141" s="140">
        <v>95</v>
      </c>
      <c r="I141" s="140">
        <v>95</v>
      </c>
      <c r="J141" s="140">
        <v>95</v>
      </c>
      <c r="K141" s="145">
        <v>95</v>
      </c>
      <c r="L141" s="140">
        <v>95</v>
      </c>
      <c r="M141" s="140">
        <v>95</v>
      </c>
      <c r="N141" s="140">
        <v>95</v>
      </c>
    </row>
    <row r="142" spans="1:14" ht="11.85" customHeight="1" x14ac:dyDescent="0.25">
      <c r="A142" s="19"/>
      <c r="B142" s="11">
        <v>2024</v>
      </c>
      <c r="C142" s="140">
        <v>95</v>
      </c>
      <c r="D142" s="140">
        <v>95</v>
      </c>
      <c r="E142" s="144">
        <v>91</v>
      </c>
      <c r="F142" s="140">
        <v>103</v>
      </c>
      <c r="G142" s="145">
        <v>103</v>
      </c>
      <c r="H142" s="140">
        <v>103</v>
      </c>
      <c r="I142" s="140">
        <v>103</v>
      </c>
      <c r="J142" s="140">
        <v>103</v>
      </c>
      <c r="K142" s="140">
        <v>91</v>
      </c>
      <c r="L142" s="140">
        <v>91.2</v>
      </c>
      <c r="M142" s="140">
        <v>91.25</v>
      </c>
      <c r="N142" s="141">
        <v>102</v>
      </c>
    </row>
    <row r="143" spans="1:14" ht="11.85" customHeight="1" x14ac:dyDescent="0.25">
      <c r="A143" s="165"/>
      <c r="B143" s="150">
        <v>2025</v>
      </c>
      <c r="C143" s="154">
        <v>102</v>
      </c>
      <c r="D143" s="154">
        <v>102</v>
      </c>
      <c r="E143" s="161" t="s">
        <v>4</v>
      </c>
      <c r="F143" s="154">
        <v>102</v>
      </c>
      <c r="G143" s="154">
        <v>102</v>
      </c>
      <c r="H143" s="154">
        <v>102</v>
      </c>
      <c r="I143" s="154">
        <v>107</v>
      </c>
      <c r="J143" s="154"/>
      <c r="K143" s="154"/>
      <c r="L143" s="154"/>
      <c r="M143" s="154"/>
      <c r="N143" s="143"/>
    </row>
    <row r="144" spans="1:14" ht="11.85" customHeight="1" x14ac:dyDescent="0.25">
      <c r="A144" s="18" t="s">
        <v>41</v>
      </c>
      <c r="B144" s="11">
        <v>2018</v>
      </c>
      <c r="C144" s="141">
        <v>87.5</v>
      </c>
      <c r="D144" s="142">
        <v>82</v>
      </c>
      <c r="E144" s="141">
        <v>89</v>
      </c>
      <c r="F144" s="141">
        <v>89</v>
      </c>
      <c r="G144" s="145">
        <v>87.5</v>
      </c>
      <c r="H144" s="140">
        <v>87.5</v>
      </c>
      <c r="I144" s="140">
        <v>87.5</v>
      </c>
      <c r="J144" s="145">
        <v>87.5</v>
      </c>
      <c r="K144" s="145">
        <v>92.5</v>
      </c>
      <c r="L144" s="145">
        <v>92.5</v>
      </c>
      <c r="M144" s="140">
        <v>92.5</v>
      </c>
      <c r="N144" s="145">
        <v>92.5</v>
      </c>
    </row>
    <row r="145" spans="1:14" ht="11.85" customHeight="1" x14ac:dyDescent="0.25">
      <c r="A145" s="18"/>
      <c r="B145" s="11">
        <v>2019</v>
      </c>
      <c r="C145" s="140">
        <v>94</v>
      </c>
      <c r="D145" s="145">
        <v>94</v>
      </c>
      <c r="E145" s="140">
        <v>94</v>
      </c>
      <c r="F145" s="140">
        <v>94</v>
      </c>
      <c r="G145" s="145">
        <v>94</v>
      </c>
      <c r="H145" s="140">
        <v>94</v>
      </c>
      <c r="I145" s="140">
        <v>94.2</v>
      </c>
      <c r="J145" s="145">
        <v>94</v>
      </c>
      <c r="K145" s="142">
        <v>108</v>
      </c>
      <c r="L145" s="145">
        <v>107.5</v>
      </c>
      <c r="M145" s="140">
        <v>107.5</v>
      </c>
      <c r="N145" s="145">
        <v>107.5</v>
      </c>
    </row>
    <row r="146" spans="1:14" ht="11.85" customHeight="1" x14ac:dyDescent="0.25">
      <c r="A146" s="18"/>
      <c r="B146" s="11">
        <v>2020</v>
      </c>
      <c r="C146" s="140">
        <v>107.5</v>
      </c>
      <c r="D146" s="145">
        <v>105</v>
      </c>
      <c r="E146" s="147" t="s">
        <v>142</v>
      </c>
      <c r="F146" s="147" t="s">
        <v>142</v>
      </c>
      <c r="G146" s="156" t="s">
        <v>142</v>
      </c>
      <c r="H146" s="144">
        <v>105</v>
      </c>
      <c r="I146" s="144">
        <v>105</v>
      </c>
      <c r="J146" s="164">
        <v>105</v>
      </c>
      <c r="K146" s="156" t="s">
        <v>142</v>
      </c>
      <c r="L146" s="156" t="s">
        <v>142</v>
      </c>
      <c r="M146" s="140">
        <v>112.5</v>
      </c>
      <c r="N146" s="145">
        <v>107.5</v>
      </c>
    </row>
    <row r="147" spans="1:14" ht="11.85" customHeight="1" x14ac:dyDescent="0.25">
      <c r="A147" s="18"/>
      <c r="B147" s="11">
        <v>2021</v>
      </c>
      <c r="C147" s="140">
        <v>95</v>
      </c>
      <c r="D147" s="145">
        <v>100</v>
      </c>
      <c r="E147" s="140">
        <v>95</v>
      </c>
      <c r="F147" s="140">
        <v>85</v>
      </c>
      <c r="G147" s="145">
        <v>80</v>
      </c>
      <c r="H147" s="140">
        <v>100</v>
      </c>
      <c r="I147" s="140">
        <v>100</v>
      </c>
      <c r="J147" s="145">
        <v>100</v>
      </c>
      <c r="K147" s="145">
        <v>100</v>
      </c>
      <c r="L147" s="145">
        <v>97.5</v>
      </c>
      <c r="M147" s="140">
        <v>97.5</v>
      </c>
      <c r="N147" s="145">
        <v>110</v>
      </c>
    </row>
    <row r="148" spans="1:14" ht="11.85" customHeight="1" x14ac:dyDescent="0.25">
      <c r="A148" s="18"/>
      <c r="B148" s="11">
        <v>2022</v>
      </c>
      <c r="C148" s="140">
        <v>117.5</v>
      </c>
      <c r="D148" s="145">
        <v>117</v>
      </c>
      <c r="E148" s="140">
        <v>117.5</v>
      </c>
      <c r="F148" s="140">
        <v>120</v>
      </c>
      <c r="G148" s="145">
        <v>120</v>
      </c>
      <c r="H148" s="140">
        <v>120</v>
      </c>
      <c r="I148" s="140">
        <v>125</v>
      </c>
      <c r="J148" s="145">
        <v>125</v>
      </c>
      <c r="K148" s="145">
        <v>135</v>
      </c>
      <c r="L148" s="145">
        <v>135</v>
      </c>
      <c r="M148" s="140">
        <v>135</v>
      </c>
      <c r="N148" s="145">
        <v>135</v>
      </c>
    </row>
    <row r="149" spans="1:14" ht="11.85" customHeight="1" x14ac:dyDescent="0.25">
      <c r="A149" s="18"/>
      <c r="B149" s="11">
        <v>2023</v>
      </c>
      <c r="C149" s="140">
        <v>135</v>
      </c>
      <c r="D149" s="140">
        <v>135</v>
      </c>
      <c r="E149" s="140">
        <v>145</v>
      </c>
      <c r="F149" s="140">
        <v>130</v>
      </c>
      <c r="G149" s="145">
        <v>130</v>
      </c>
      <c r="H149" s="140">
        <v>130</v>
      </c>
      <c r="I149" s="140">
        <v>136</v>
      </c>
      <c r="J149" s="140">
        <v>136</v>
      </c>
      <c r="K149" s="140">
        <v>136</v>
      </c>
      <c r="L149" s="140">
        <v>130</v>
      </c>
      <c r="M149" s="140">
        <v>140</v>
      </c>
      <c r="N149" s="140">
        <v>150</v>
      </c>
    </row>
    <row r="150" spans="1:14" ht="11.85" customHeight="1" x14ac:dyDescent="0.25">
      <c r="A150" s="19"/>
      <c r="B150" s="11">
        <v>2024</v>
      </c>
      <c r="C150" s="140">
        <v>143</v>
      </c>
      <c r="D150" s="140">
        <v>143</v>
      </c>
      <c r="E150" s="144">
        <v>135</v>
      </c>
      <c r="F150" s="140">
        <v>145</v>
      </c>
      <c r="G150" s="145">
        <v>145</v>
      </c>
      <c r="H150" s="140">
        <v>145</v>
      </c>
      <c r="I150" s="140">
        <v>145</v>
      </c>
      <c r="J150" s="140">
        <v>145</v>
      </c>
      <c r="K150" s="140">
        <v>135</v>
      </c>
      <c r="L150" s="141">
        <v>135</v>
      </c>
      <c r="M150" s="141">
        <v>138.33000000000001</v>
      </c>
      <c r="N150" s="141">
        <v>142</v>
      </c>
    </row>
    <row r="151" spans="1:14" ht="11.85" customHeight="1" x14ac:dyDescent="0.25">
      <c r="A151" s="165"/>
      <c r="B151" s="150">
        <v>2025</v>
      </c>
      <c r="C151" s="154">
        <v>149</v>
      </c>
      <c r="D151" s="154">
        <v>138</v>
      </c>
      <c r="E151" s="158">
        <v>145</v>
      </c>
      <c r="F151" s="154">
        <v>138</v>
      </c>
      <c r="G151" s="154">
        <v>143</v>
      </c>
      <c r="H151" s="154">
        <v>145</v>
      </c>
      <c r="I151" s="154">
        <v>150</v>
      </c>
      <c r="J151" s="154"/>
      <c r="K151" s="154"/>
      <c r="L151" s="143"/>
      <c r="M151" s="143"/>
      <c r="N151" s="143"/>
    </row>
    <row r="152" spans="1:14" ht="11.85" customHeight="1" x14ac:dyDescent="0.25">
      <c r="A152" s="18" t="s">
        <v>45</v>
      </c>
      <c r="B152" s="11">
        <v>2018</v>
      </c>
      <c r="C152" s="141">
        <v>102.5</v>
      </c>
      <c r="D152" s="142">
        <v>102.5</v>
      </c>
      <c r="E152" s="141">
        <v>102.5</v>
      </c>
      <c r="F152" s="140">
        <v>110</v>
      </c>
      <c r="G152" s="145">
        <v>110</v>
      </c>
      <c r="H152" s="140">
        <v>110</v>
      </c>
      <c r="I152" s="140">
        <v>110.83333333333333</v>
      </c>
      <c r="J152" s="140">
        <v>111</v>
      </c>
      <c r="K152" s="145">
        <v>111</v>
      </c>
      <c r="L152" s="145">
        <v>111</v>
      </c>
      <c r="M152" s="140">
        <v>111</v>
      </c>
      <c r="N152" s="145">
        <v>111</v>
      </c>
    </row>
    <row r="153" spans="1:14" ht="11.85" customHeight="1" x14ac:dyDescent="0.25">
      <c r="A153" s="18"/>
      <c r="B153" s="11">
        <v>2019</v>
      </c>
      <c r="C153" s="140">
        <v>104</v>
      </c>
      <c r="D153" s="145">
        <v>104</v>
      </c>
      <c r="E153" s="140">
        <v>104</v>
      </c>
      <c r="F153" s="140">
        <v>104</v>
      </c>
      <c r="G153" s="145">
        <v>104</v>
      </c>
      <c r="H153" s="140">
        <v>112</v>
      </c>
      <c r="I153" s="140">
        <v>111.66666666666667</v>
      </c>
      <c r="J153" s="141">
        <v>135</v>
      </c>
      <c r="K153" s="142">
        <v>113</v>
      </c>
      <c r="L153" s="145">
        <v>108</v>
      </c>
      <c r="M153" s="140">
        <v>113</v>
      </c>
      <c r="N153" s="145">
        <v>115</v>
      </c>
    </row>
    <row r="154" spans="1:14" ht="11.85" customHeight="1" x14ac:dyDescent="0.25">
      <c r="A154" s="18"/>
      <c r="B154" s="11">
        <v>2020</v>
      </c>
      <c r="C154" s="140">
        <v>115</v>
      </c>
      <c r="D154" s="145">
        <v>115</v>
      </c>
      <c r="E154" s="140">
        <v>115</v>
      </c>
      <c r="F154" s="140">
        <v>120</v>
      </c>
      <c r="G154" s="145">
        <v>115</v>
      </c>
      <c r="H154" s="140">
        <v>120</v>
      </c>
      <c r="I154" s="140">
        <v>115</v>
      </c>
      <c r="J154" s="140">
        <v>115</v>
      </c>
      <c r="K154" s="142">
        <v>115</v>
      </c>
      <c r="L154" s="145">
        <v>115</v>
      </c>
      <c r="M154" s="141">
        <v>115</v>
      </c>
      <c r="N154" s="142">
        <v>115</v>
      </c>
    </row>
    <row r="155" spans="1:14" ht="11.85" customHeight="1" x14ac:dyDescent="0.25">
      <c r="A155" s="18"/>
      <c r="B155" s="11">
        <v>2021</v>
      </c>
      <c r="C155" s="140">
        <v>120</v>
      </c>
      <c r="D155" s="145">
        <v>120</v>
      </c>
      <c r="E155" s="140">
        <v>120</v>
      </c>
      <c r="F155" s="140">
        <v>120</v>
      </c>
      <c r="G155" s="145">
        <v>120</v>
      </c>
      <c r="H155" s="140">
        <v>120</v>
      </c>
      <c r="I155" s="140">
        <v>110</v>
      </c>
      <c r="J155" s="140">
        <v>115</v>
      </c>
      <c r="K155" s="145">
        <v>115</v>
      </c>
      <c r="L155" s="145">
        <v>115</v>
      </c>
      <c r="M155" s="141">
        <v>115</v>
      </c>
      <c r="N155" s="142">
        <v>120</v>
      </c>
    </row>
    <row r="156" spans="1:14" ht="11.85" customHeight="1" x14ac:dyDescent="0.25">
      <c r="A156" s="18"/>
      <c r="B156" s="11">
        <v>2022</v>
      </c>
      <c r="C156" s="140">
        <v>120</v>
      </c>
      <c r="D156" s="145">
        <v>140</v>
      </c>
      <c r="E156" s="140">
        <v>137</v>
      </c>
      <c r="F156" s="140">
        <v>130</v>
      </c>
      <c r="G156" s="145">
        <v>130</v>
      </c>
      <c r="H156" s="140">
        <v>130</v>
      </c>
      <c r="I156" s="140">
        <v>150</v>
      </c>
      <c r="J156" s="140">
        <v>140</v>
      </c>
      <c r="K156" s="145">
        <v>130</v>
      </c>
      <c r="L156" s="145">
        <v>135</v>
      </c>
      <c r="M156" s="141">
        <v>140</v>
      </c>
      <c r="N156" s="145">
        <v>135</v>
      </c>
    </row>
    <row r="157" spans="1:14" ht="11.85" customHeight="1" x14ac:dyDescent="0.25">
      <c r="A157" s="18"/>
      <c r="B157" s="11">
        <v>2023</v>
      </c>
      <c r="C157" s="140">
        <v>135</v>
      </c>
      <c r="D157" s="140">
        <v>145</v>
      </c>
      <c r="E157" s="140">
        <v>145</v>
      </c>
      <c r="F157" s="140">
        <v>145</v>
      </c>
      <c r="G157" s="145">
        <v>145</v>
      </c>
      <c r="H157" s="140">
        <v>150</v>
      </c>
      <c r="I157" s="140">
        <v>160</v>
      </c>
      <c r="J157" s="140">
        <v>150</v>
      </c>
      <c r="K157" s="140">
        <v>150</v>
      </c>
      <c r="L157" s="140">
        <v>150</v>
      </c>
      <c r="M157" s="141">
        <v>150</v>
      </c>
      <c r="N157" s="141">
        <v>150</v>
      </c>
    </row>
    <row r="158" spans="1:14" ht="11.85" customHeight="1" x14ac:dyDescent="0.25">
      <c r="A158" s="19"/>
      <c r="B158" s="11">
        <v>2024</v>
      </c>
      <c r="C158" s="140">
        <v>145</v>
      </c>
      <c r="D158" s="140">
        <v>145</v>
      </c>
      <c r="E158" s="144">
        <v>165</v>
      </c>
      <c r="F158" s="140">
        <v>145</v>
      </c>
      <c r="G158" s="145">
        <v>145</v>
      </c>
      <c r="H158" s="140">
        <v>165</v>
      </c>
      <c r="I158" s="140">
        <v>145</v>
      </c>
      <c r="J158" s="140">
        <v>145</v>
      </c>
      <c r="K158" s="140">
        <v>165</v>
      </c>
      <c r="L158" s="141">
        <v>165</v>
      </c>
      <c r="M158" s="148" t="s">
        <v>4</v>
      </c>
      <c r="N158" s="141">
        <v>163</v>
      </c>
    </row>
    <row r="159" spans="1:14" ht="11.85" customHeight="1" x14ac:dyDescent="0.25">
      <c r="A159" s="165"/>
      <c r="B159" s="150">
        <v>2025</v>
      </c>
      <c r="C159" s="154">
        <v>162</v>
      </c>
      <c r="D159" s="154">
        <v>158</v>
      </c>
      <c r="E159" s="158">
        <v>157</v>
      </c>
      <c r="F159" s="154">
        <v>161</v>
      </c>
      <c r="G159" s="154">
        <v>161</v>
      </c>
      <c r="H159" s="154">
        <v>160</v>
      </c>
      <c r="I159" s="154">
        <v>142</v>
      </c>
      <c r="J159" s="154"/>
      <c r="K159" s="154"/>
      <c r="L159" s="143"/>
      <c r="M159" s="161"/>
      <c r="N159" s="143"/>
    </row>
    <row r="160" spans="1:14" ht="11.85" customHeight="1" x14ac:dyDescent="0.25">
      <c r="A160" s="18" t="s">
        <v>65</v>
      </c>
      <c r="B160" s="11">
        <v>2018</v>
      </c>
      <c r="C160" s="142">
        <v>53.5</v>
      </c>
      <c r="D160" s="142">
        <v>54</v>
      </c>
      <c r="E160" s="141">
        <v>53</v>
      </c>
      <c r="F160" s="140">
        <v>50</v>
      </c>
      <c r="G160" s="142">
        <v>53</v>
      </c>
      <c r="H160" s="142">
        <v>53</v>
      </c>
      <c r="I160" s="140">
        <v>56.111111111111114</v>
      </c>
      <c r="J160" s="140">
        <v>56</v>
      </c>
      <c r="K160" s="145">
        <v>56</v>
      </c>
      <c r="L160" s="145">
        <v>55</v>
      </c>
      <c r="M160" s="145">
        <v>55</v>
      </c>
      <c r="N160" s="145">
        <v>55.5</v>
      </c>
    </row>
    <row r="161" spans="1:14" ht="11.85" customHeight="1" x14ac:dyDescent="0.25">
      <c r="A161" s="18"/>
      <c r="B161" s="11">
        <v>2019</v>
      </c>
      <c r="C161" s="145">
        <v>55</v>
      </c>
      <c r="D161" s="145">
        <v>55</v>
      </c>
      <c r="E161" s="140">
        <v>56</v>
      </c>
      <c r="F161" s="140">
        <v>56</v>
      </c>
      <c r="G161" s="145">
        <v>56</v>
      </c>
      <c r="H161" s="145">
        <v>55</v>
      </c>
      <c r="I161" s="140">
        <v>55.9375</v>
      </c>
      <c r="J161" s="141">
        <v>56</v>
      </c>
      <c r="K161" s="142">
        <v>60</v>
      </c>
      <c r="L161" s="145">
        <v>60</v>
      </c>
      <c r="M161" s="145">
        <v>60</v>
      </c>
      <c r="N161" s="145">
        <v>60</v>
      </c>
    </row>
    <row r="162" spans="1:14" ht="11.85" customHeight="1" x14ac:dyDescent="0.25">
      <c r="A162" s="18"/>
      <c r="B162" s="11">
        <v>2020</v>
      </c>
      <c r="C162" s="145">
        <v>57.5</v>
      </c>
      <c r="D162" s="145">
        <v>57.5</v>
      </c>
      <c r="E162" s="147" t="s">
        <v>142</v>
      </c>
      <c r="F162" s="147" t="s">
        <v>142</v>
      </c>
      <c r="G162" s="145">
        <v>50</v>
      </c>
      <c r="H162" s="145">
        <v>50</v>
      </c>
      <c r="I162" s="147" t="s">
        <v>4</v>
      </c>
      <c r="J162" s="140">
        <v>53</v>
      </c>
      <c r="K162" s="142">
        <v>53</v>
      </c>
      <c r="L162" s="145">
        <v>53</v>
      </c>
      <c r="M162" s="142">
        <v>53</v>
      </c>
      <c r="N162" s="142">
        <v>53</v>
      </c>
    </row>
    <row r="163" spans="1:14" ht="11.85" customHeight="1" x14ac:dyDescent="0.25">
      <c r="A163" s="18"/>
      <c r="B163" s="11">
        <v>2021</v>
      </c>
      <c r="C163" s="145">
        <v>62.5</v>
      </c>
      <c r="D163" s="145">
        <v>57.5</v>
      </c>
      <c r="E163" s="140">
        <v>57.5</v>
      </c>
      <c r="F163" s="140">
        <v>57.5</v>
      </c>
      <c r="G163" s="145">
        <v>62.5</v>
      </c>
      <c r="H163" s="145">
        <v>57.5</v>
      </c>
      <c r="I163" s="140">
        <v>57.5</v>
      </c>
      <c r="J163" s="140">
        <v>57.5</v>
      </c>
      <c r="K163" s="145">
        <v>57.5</v>
      </c>
      <c r="L163" s="145">
        <v>57.5</v>
      </c>
      <c r="M163" s="142">
        <v>60</v>
      </c>
      <c r="N163" s="142">
        <v>60</v>
      </c>
    </row>
    <row r="164" spans="1:14" ht="11.85" customHeight="1" x14ac:dyDescent="0.25">
      <c r="A164" s="18"/>
      <c r="B164" s="11">
        <v>2022</v>
      </c>
      <c r="C164" s="145">
        <v>60</v>
      </c>
      <c r="D164" s="145">
        <v>60</v>
      </c>
      <c r="E164" s="140">
        <v>60</v>
      </c>
      <c r="F164" s="140">
        <v>60</v>
      </c>
      <c r="G164" s="145">
        <v>60</v>
      </c>
      <c r="H164" s="145">
        <v>60</v>
      </c>
      <c r="I164" s="140">
        <v>60</v>
      </c>
      <c r="J164" s="140">
        <v>62.5</v>
      </c>
      <c r="K164" s="145">
        <v>62.5</v>
      </c>
      <c r="L164" s="145">
        <v>65</v>
      </c>
      <c r="M164" s="145">
        <v>65</v>
      </c>
      <c r="N164" s="145">
        <v>62.5</v>
      </c>
    </row>
    <row r="165" spans="1:14" ht="11.85" customHeight="1" x14ac:dyDescent="0.25">
      <c r="A165" s="18"/>
      <c r="B165" s="11">
        <v>2023</v>
      </c>
      <c r="C165" s="140">
        <v>70</v>
      </c>
      <c r="D165" s="140">
        <v>73</v>
      </c>
      <c r="E165" s="140">
        <v>85</v>
      </c>
      <c r="F165" s="147" t="s">
        <v>142</v>
      </c>
      <c r="G165" s="156" t="s">
        <v>142</v>
      </c>
      <c r="H165" s="147" t="s">
        <v>142</v>
      </c>
      <c r="I165" s="147" t="s">
        <v>142</v>
      </c>
      <c r="J165" s="147" t="s">
        <v>142</v>
      </c>
      <c r="K165" s="147" t="s">
        <v>142</v>
      </c>
      <c r="L165" s="147" t="s">
        <v>142</v>
      </c>
      <c r="M165" s="147" t="s">
        <v>142</v>
      </c>
      <c r="N165" s="147" t="s">
        <v>142</v>
      </c>
    </row>
    <row r="166" spans="1:14" ht="11.85" customHeight="1" x14ac:dyDescent="0.25">
      <c r="A166" s="18"/>
      <c r="B166" s="11">
        <v>2024</v>
      </c>
      <c r="C166" s="23" t="s">
        <v>4</v>
      </c>
      <c r="D166" s="23" t="s">
        <v>4</v>
      </c>
      <c r="E166" s="144">
        <v>70</v>
      </c>
      <c r="F166" s="140">
        <v>95</v>
      </c>
      <c r="G166" s="145">
        <v>95</v>
      </c>
      <c r="H166" s="145">
        <v>95</v>
      </c>
      <c r="I166" s="147" t="s">
        <v>142</v>
      </c>
      <c r="J166" s="147" t="s">
        <v>142</v>
      </c>
      <c r="K166" s="147" t="s">
        <v>142</v>
      </c>
      <c r="L166" s="141">
        <v>70.080484330484339</v>
      </c>
      <c r="M166" s="141">
        <v>72.8</v>
      </c>
      <c r="N166" s="141">
        <v>71.400000000000006</v>
      </c>
    </row>
    <row r="167" spans="1:14" ht="11.85" customHeight="1" x14ac:dyDescent="0.25">
      <c r="A167" s="149"/>
      <c r="B167" s="150">
        <v>2025</v>
      </c>
      <c r="C167" s="154">
        <v>65</v>
      </c>
      <c r="D167" s="167">
        <v>78</v>
      </c>
      <c r="E167" s="161" t="s">
        <v>4</v>
      </c>
      <c r="F167" s="154">
        <v>68</v>
      </c>
      <c r="G167" s="154">
        <v>70</v>
      </c>
      <c r="H167" s="159">
        <v>73</v>
      </c>
      <c r="I167" s="159">
        <v>66</v>
      </c>
      <c r="J167" s="166"/>
      <c r="K167" s="166"/>
      <c r="L167" s="143"/>
      <c r="M167" s="143"/>
      <c r="N167" s="143"/>
    </row>
    <row r="168" spans="1:14" ht="11.85" customHeight="1" x14ac:dyDescent="0.25">
      <c r="A168" s="18" t="s">
        <v>55</v>
      </c>
      <c r="B168" s="11">
        <v>2018</v>
      </c>
      <c r="C168" s="140">
        <v>133.5</v>
      </c>
      <c r="D168" s="145">
        <v>133.5</v>
      </c>
      <c r="E168" s="140">
        <v>134.5</v>
      </c>
      <c r="F168" s="140">
        <v>134.5</v>
      </c>
      <c r="G168" s="140">
        <v>134.5</v>
      </c>
      <c r="H168" s="140">
        <v>134.5</v>
      </c>
      <c r="I168" s="140">
        <v>132.22222222222223</v>
      </c>
      <c r="J168" s="140">
        <v>131</v>
      </c>
      <c r="K168" s="145">
        <v>131</v>
      </c>
      <c r="L168" s="145">
        <v>129</v>
      </c>
      <c r="M168" s="140">
        <v>129</v>
      </c>
      <c r="N168" s="145">
        <v>129</v>
      </c>
    </row>
    <row r="169" spans="1:14" ht="11.85" customHeight="1" x14ac:dyDescent="0.25">
      <c r="A169" s="18"/>
      <c r="B169" s="11">
        <v>2019</v>
      </c>
      <c r="C169" s="140">
        <v>129</v>
      </c>
      <c r="D169" s="145">
        <v>129</v>
      </c>
      <c r="E169" s="140">
        <v>129</v>
      </c>
      <c r="F169" s="140">
        <v>131</v>
      </c>
      <c r="G169" s="140">
        <v>128.75</v>
      </c>
      <c r="H169" s="140">
        <v>129</v>
      </c>
      <c r="I169" s="140">
        <v>130.25</v>
      </c>
      <c r="J169" s="141">
        <v>130.25</v>
      </c>
      <c r="K169" s="142">
        <v>135</v>
      </c>
      <c r="L169" s="145">
        <v>145</v>
      </c>
      <c r="M169" s="140">
        <v>145</v>
      </c>
      <c r="N169" s="145">
        <v>145</v>
      </c>
    </row>
    <row r="170" spans="1:14" ht="11.85" customHeight="1" x14ac:dyDescent="0.25">
      <c r="A170" s="18"/>
      <c r="B170" s="11">
        <v>2020</v>
      </c>
      <c r="C170" s="140">
        <v>145</v>
      </c>
      <c r="D170" s="145">
        <v>135</v>
      </c>
      <c r="E170" s="147" t="s">
        <v>142</v>
      </c>
      <c r="F170" s="140">
        <v>145</v>
      </c>
      <c r="G170" s="140">
        <v>145</v>
      </c>
      <c r="H170" s="140">
        <v>145</v>
      </c>
      <c r="I170" s="140">
        <v>145</v>
      </c>
      <c r="J170" s="140">
        <v>145</v>
      </c>
      <c r="K170" s="145">
        <v>145</v>
      </c>
      <c r="L170" s="145">
        <v>145</v>
      </c>
      <c r="M170" s="140">
        <v>145</v>
      </c>
      <c r="N170" s="145">
        <v>145</v>
      </c>
    </row>
    <row r="171" spans="1:14" ht="11.85" customHeight="1" x14ac:dyDescent="0.25">
      <c r="A171" s="18"/>
      <c r="B171" s="11">
        <v>2021</v>
      </c>
      <c r="C171" s="140">
        <v>145</v>
      </c>
      <c r="D171" s="145">
        <v>145</v>
      </c>
      <c r="E171" s="140">
        <v>145</v>
      </c>
      <c r="F171" s="140">
        <v>150</v>
      </c>
      <c r="G171" s="140">
        <v>150</v>
      </c>
      <c r="H171" s="140">
        <v>130</v>
      </c>
      <c r="I171" s="140">
        <v>135</v>
      </c>
      <c r="J171" s="140">
        <v>145</v>
      </c>
      <c r="K171" s="145">
        <v>145</v>
      </c>
      <c r="L171" s="145">
        <v>145</v>
      </c>
      <c r="M171" s="140">
        <v>150</v>
      </c>
      <c r="N171" s="145">
        <v>150</v>
      </c>
    </row>
    <row r="172" spans="1:14" ht="11.85" customHeight="1" x14ac:dyDescent="0.25">
      <c r="A172" s="18"/>
      <c r="B172" s="11">
        <v>2022</v>
      </c>
      <c r="C172" s="140">
        <v>140</v>
      </c>
      <c r="D172" s="145">
        <v>140</v>
      </c>
      <c r="E172" s="140">
        <v>147</v>
      </c>
      <c r="F172" s="140">
        <v>150</v>
      </c>
      <c r="G172" s="140">
        <v>150</v>
      </c>
      <c r="H172" s="140">
        <v>150</v>
      </c>
      <c r="I172" s="140">
        <v>150</v>
      </c>
      <c r="J172" s="140">
        <v>150</v>
      </c>
      <c r="K172" s="145">
        <v>150</v>
      </c>
      <c r="L172" s="145">
        <v>150</v>
      </c>
      <c r="M172" s="140">
        <v>140</v>
      </c>
      <c r="N172" s="145">
        <v>140</v>
      </c>
    </row>
    <row r="173" spans="1:14" ht="11.85" customHeight="1" x14ac:dyDescent="0.25">
      <c r="A173" s="20"/>
      <c r="B173" s="21">
        <v>2023</v>
      </c>
      <c r="C173" s="147" t="s">
        <v>142</v>
      </c>
      <c r="D173" s="147" t="s">
        <v>142</v>
      </c>
      <c r="E173" s="147" t="s">
        <v>142</v>
      </c>
      <c r="F173" s="140">
        <v>112.5</v>
      </c>
      <c r="G173" s="140">
        <v>140</v>
      </c>
      <c r="H173" s="140">
        <v>140</v>
      </c>
      <c r="I173" s="140">
        <v>160</v>
      </c>
      <c r="J173" s="140">
        <v>138</v>
      </c>
      <c r="K173" s="140">
        <v>140</v>
      </c>
      <c r="L173" s="140">
        <v>162</v>
      </c>
      <c r="M173" s="140">
        <v>163</v>
      </c>
      <c r="N173" s="140">
        <v>160</v>
      </c>
    </row>
    <row r="174" spans="1:14" ht="11.85" customHeight="1" x14ac:dyDescent="0.25">
      <c r="A174" s="19"/>
      <c r="B174" s="11">
        <v>2024</v>
      </c>
      <c r="C174" s="140">
        <v>155</v>
      </c>
      <c r="D174" s="140">
        <v>155</v>
      </c>
      <c r="E174" s="144">
        <v>155</v>
      </c>
      <c r="F174" s="140">
        <v>145</v>
      </c>
      <c r="G174" s="140">
        <v>145</v>
      </c>
      <c r="H174" s="140">
        <v>145</v>
      </c>
      <c r="I174" s="140">
        <v>175</v>
      </c>
      <c r="J174" s="140">
        <v>165</v>
      </c>
      <c r="K174" s="140">
        <v>160.5</v>
      </c>
      <c r="L174" s="141">
        <v>151.77248677248679</v>
      </c>
      <c r="M174" s="141">
        <v>193.33</v>
      </c>
      <c r="N174" s="141">
        <v>145</v>
      </c>
    </row>
    <row r="175" spans="1:14" ht="11.85" customHeight="1" x14ac:dyDescent="0.25">
      <c r="A175" s="165"/>
      <c r="B175" s="150">
        <v>2025</v>
      </c>
      <c r="C175" s="154">
        <v>152</v>
      </c>
      <c r="D175" s="154">
        <v>160</v>
      </c>
      <c r="E175" s="158">
        <v>158</v>
      </c>
      <c r="F175" s="154">
        <v>158</v>
      </c>
      <c r="G175" s="154">
        <v>158</v>
      </c>
      <c r="H175" s="154">
        <v>141</v>
      </c>
      <c r="I175" s="154">
        <v>139</v>
      </c>
      <c r="J175" s="154"/>
      <c r="K175" s="154"/>
      <c r="L175" s="143"/>
      <c r="M175" s="143"/>
      <c r="N175" s="143"/>
    </row>
    <row r="176" spans="1:14" ht="11.85" customHeight="1" x14ac:dyDescent="0.25">
      <c r="A176" s="20" t="s">
        <v>90</v>
      </c>
      <c r="B176" s="21">
        <v>2018</v>
      </c>
      <c r="C176" s="140">
        <v>61.5</v>
      </c>
      <c r="D176" s="140">
        <v>61.5</v>
      </c>
      <c r="E176" s="140">
        <v>61.5</v>
      </c>
      <c r="F176" s="140">
        <v>61.5</v>
      </c>
      <c r="G176" s="140">
        <v>61.5</v>
      </c>
      <c r="H176" s="140">
        <v>61.5</v>
      </c>
      <c r="I176" s="140">
        <v>60.25</v>
      </c>
      <c r="J176" s="140">
        <v>64</v>
      </c>
      <c r="K176" s="140">
        <v>65</v>
      </c>
      <c r="L176" s="140">
        <v>65</v>
      </c>
      <c r="M176" s="140">
        <v>65</v>
      </c>
      <c r="N176" s="140">
        <v>65</v>
      </c>
    </row>
    <row r="177" spans="1:14" ht="11.85" customHeight="1" x14ac:dyDescent="0.25">
      <c r="A177" s="20"/>
      <c r="B177" s="21">
        <v>2019</v>
      </c>
      <c r="C177" s="140">
        <v>68</v>
      </c>
      <c r="D177" s="140">
        <v>63.541249999999998</v>
      </c>
      <c r="E177" s="140">
        <v>63.541249999999998</v>
      </c>
      <c r="F177" s="140">
        <v>68.125</v>
      </c>
      <c r="G177" s="140">
        <v>68.125</v>
      </c>
      <c r="H177" s="140">
        <v>68.125</v>
      </c>
      <c r="I177" s="140">
        <v>68.125</v>
      </c>
      <c r="J177" s="141">
        <v>63.125</v>
      </c>
      <c r="K177" s="141">
        <v>70</v>
      </c>
      <c r="L177" s="140">
        <v>60</v>
      </c>
      <c r="M177" s="140">
        <v>55</v>
      </c>
      <c r="N177" s="140">
        <v>55</v>
      </c>
    </row>
    <row r="178" spans="1:14" ht="11.85" customHeight="1" x14ac:dyDescent="0.25">
      <c r="A178" s="20"/>
      <c r="B178" s="21">
        <v>2020</v>
      </c>
      <c r="C178" s="140">
        <v>56.5</v>
      </c>
      <c r="D178" s="144">
        <v>67.5</v>
      </c>
      <c r="E178" s="140">
        <v>56.5</v>
      </c>
      <c r="F178" s="140">
        <v>56.5</v>
      </c>
      <c r="G178" s="140">
        <v>56.5</v>
      </c>
      <c r="H178" s="140">
        <v>56.5</v>
      </c>
      <c r="I178" s="140">
        <v>56.5</v>
      </c>
      <c r="J178" s="140">
        <v>56.5</v>
      </c>
      <c r="K178" s="140">
        <v>56.5</v>
      </c>
      <c r="L178" s="140">
        <v>56.5</v>
      </c>
      <c r="M178" s="140">
        <v>62.5</v>
      </c>
      <c r="N178" s="140">
        <v>56.5</v>
      </c>
    </row>
    <row r="179" spans="1:14" ht="11.85" customHeight="1" x14ac:dyDescent="0.25">
      <c r="A179" s="20"/>
      <c r="B179" s="21">
        <v>2021</v>
      </c>
      <c r="C179" s="147" t="s">
        <v>142</v>
      </c>
      <c r="D179" s="147" t="s">
        <v>4</v>
      </c>
      <c r="E179" s="147" t="s">
        <v>142</v>
      </c>
      <c r="F179" s="147" t="s">
        <v>142</v>
      </c>
      <c r="G179" s="147" t="s">
        <v>142</v>
      </c>
      <c r="H179" s="147" t="s">
        <v>142</v>
      </c>
      <c r="I179" s="147" t="s">
        <v>4</v>
      </c>
      <c r="J179" s="147" t="s">
        <v>142</v>
      </c>
      <c r="K179" s="147" t="s">
        <v>142</v>
      </c>
      <c r="L179" s="147" t="s">
        <v>142</v>
      </c>
      <c r="M179" s="147" t="s">
        <v>142</v>
      </c>
      <c r="N179" s="147" t="s">
        <v>142</v>
      </c>
    </row>
    <row r="180" spans="1:14" ht="11.85" customHeight="1" x14ac:dyDescent="0.25">
      <c r="A180" s="20"/>
      <c r="B180" s="21">
        <v>2022</v>
      </c>
      <c r="C180" s="140">
        <v>70</v>
      </c>
      <c r="D180" s="144">
        <v>60</v>
      </c>
      <c r="E180" s="144">
        <v>60</v>
      </c>
      <c r="F180" s="140">
        <v>70</v>
      </c>
      <c r="G180" s="140">
        <v>75</v>
      </c>
      <c r="H180" s="140">
        <v>105</v>
      </c>
      <c r="I180" s="140">
        <v>105</v>
      </c>
      <c r="J180" s="140">
        <v>78</v>
      </c>
      <c r="K180" s="140">
        <v>88</v>
      </c>
      <c r="L180" s="144">
        <v>88</v>
      </c>
      <c r="M180" s="144">
        <v>88</v>
      </c>
      <c r="N180" s="140">
        <v>90</v>
      </c>
    </row>
    <row r="181" spans="1:14" ht="11.85" customHeight="1" x14ac:dyDescent="0.25">
      <c r="A181" s="20"/>
      <c r="B181" s="21">
        <v>2023</v>
      </c>
      <c r="C181" s="140">
        <v>85</v>
      </c>
      <c r="D181" s="144">
        <v>85</v>
      </c>
      <c r="E181" s="144">
        <v>85</v>
      </c>
      <c r="F181" s="144">
        <v>85</v>
      </c>
      <c r="G181" s="140">
        <v>85</v>
      </c>
      <c r="H181" s="140">
        <v>85</v>
      </c>
      <c r="I181" s="140">
        <v>112</v>
      </c>
      <c r="J181" s="140">
        <v>115</v>
      </c>
      <c r="K181" s="140">
        <v>115</v>
      </c>
      <c r="L181" s="144">
        <v>115</v>
      </c>
      <c r="M181" s="144">
        <v>115</v>
      </c>
      <c r="N181" s="140">
        <v>115</v>
      </c>
    </row>
    <row r="182" spans="1:14" ht="11.85" customHeight="1" x14ac:dyDescent="0.25">
      <c r="A182" s="19"/>
      <c r="B182" s="11">
        <v>2024</v>
      </c>
      <c r="C182" s="140">
        <v>115</v>
      </c>
      <c r="D182" s="140">
        <v>115</v>
      </c>
      <c r="E182" s="144">
        <v>83</v>
      </c>
      <c r="F182" s="140">
        <v>80</v>
      </c>
      <c r="G182" s="145">
        <v>90</v>
      </c>
      <c r="H182" s="140">
        <v>96</v>
      </c>
      <c r="I182" s="140">
        <v>93</v>
      </c>
      <c r="J182" s="140">
        <v>100</v>
      </c>
      <c r="K182" s="140">
        <v>94</v>
      </c>
      <c r="L182" s="141">
        <v>90.833333333333329</v>
      </c>
      <c r="M182" s="141">
        <v>90.83</v>
      </c>
      <c r="N182" s="141">
        <v>63</v>
      </c>
    </row>
    <row r="183" spans="1:14" ht="11.85" customHeight="1" x14ac:dyDescent="0.25">
      <c r="A183" s="165"/>
      <c r="B183" s="150">
        <v>2025</v>
      </c>
      <c r="C183" s="154">
        <v>80</v>
      </c>
      <c r="D183" s="154">
        <v>90</v>
      </c>
      <c r="E183" s="158">
        <v>100</v>
      </c>
      <c r="F183" s="166" t="s">
        <v>142</v>
      </c>
      <c r="G183" s="154">
        <v>90</v>
      </c>
      <c r="H183" s="154">
        <v>85</v>
      </c>
      <c r="I183" s="154">
        <v>93</v>
      </c>
      <c r="J183" s="154"/>
      <c r="K183" s="154"/>
      <c r="L183" s="143"/>
      <c r="M183" s="143"/>
      <c r="N183" s="143"/>
    </row>
    <row r="184" spans="1:14" ht="11.85" customHeight="1" x14ac:dyDescent="0.25">
      <c r="A184" s="20" t="s">
        <v>72</v>
      </c>
      <c r="B184" s="21">
        <v>2018</v>
      </c>
      <c r="C184" s="140">
        <v>113</v>
      </c>
      <c r="D184" s="144">
        <v>122</v>
      </c>
      <c r="E184" s="140">
        <v>113</v>
      </c>
      <c r="F184" s="140">
        <v>113</v>
      </c>
      <c r="G184" s="145">
        <v>113</v>
      </c>
      <c r="H184" s="140">
        <v>122</v>
      </c>
      <c r="I184" s="140">
        <v>118.33333333333333</v>
      </c>
      <c r="J184" s="140">
        <v>122</v>
      </c>
      <c r="K184" s="140">
        <v>115</v>
      </c>
      <c r="L184" s="144">
        <v>122</v>
      </c>
      <c r="M184" s="140">
        <v>122</v>
      </c>
      <c r="N184" s="140">
        <v>122</v>
      </c>
    </row>
    <row r="185" spans="1:14" ht="11.85" customHeight="1" x14ac:dyDescent="0.25">
      <c r="A185" s="20"/>
      <c r="B185" s="21">
        <v>2019</v>
      </c>
      <c r="C185" s="140">
        <v>122</v>
      </c>
      <c r="D185" s="144">
        <v>122</v>
      </c>
      <c r="E185" s="140">
        <v>122</v>
      </c>
      <c r="F185" s="140">
        <v>122</v>
      </c>
      <c r="G185" s="145">
        <v>105</v>
      </c>
      <c r="H185" s="140">
        <v>103</v>
      </c>
      <c r="I185" s="140">
        <v>96.666666666666671</v>
      </c>
      <c r="J185" s="141">
        <v>102</v>
      </c>
      <c r="K185" s="141">
        <v>120</v>
      </c>
      <c r="L185" s="144">
        <v>105</v>
      </c>
      <c r="M185" s="140">
        <v>105</v>
      </c>
      <c r="N185" s="140">
        <v>100</v>
      </c>
    </row>
    <row r="186" spans="1:14" ht="11.85" customHeight="1" x14ac:dyDescent="0.25">
      <c r="A186" s="20"/>
      <c r="B186" s="21">
        <v>2020</v>
      </c>
      <c r="C186" s="140">
        <v>105</v>
      </c>
      <c r="D186" s="144">
        <v>105</v>
      </c>
      <c r="E186" s="140">
        <v>105</v>
      </c>
      <c r="F186" s="140">
        <v>100</v>
      </c>
      <c r="G186" s="145">
        <v>100</v>
      </c>
      <c r="H186" s="140">
        <v>105</v>
      </c>
      <c r="I186" s="140">
        <v>100</v>
      </c>
      <c r="J186" s="141">
        <v>105</v>
      </c>
      <c r="K186" s="140">
        <v>100</v>
      </c>
      <c r="L186" s="144">
        <v>105</v>
      </c>
      <c r="M186" s="141">
        <v>105</v>
      </c>
      <c r="N186" s="141">
        <v>105</v>
      </c>
    </row>
    <row r="187" spans="1:14" ht="11.85" customHeight="1" x14ac:dyDescent="0.25">
      <c r="A187" s="20"/>
      <c r="B187" s="21">
        <v>2021</v>
      </c>
      <c r="C187" s="140">
        <v>100</v>
      </c>
      <c r="D187" s="144">
        <v>100</v>
      </c>
      <c r="E187" s="140">
        <v>100</v>
      </c>
      <c r="F187" s="140">
        <v>100</v>
      </c>
      <c r="G187" s="145">
        <v>100</v>
      </c>
      <c r="H187" s="140">
        <v>100</v>
      </c>
      <c r="I187" s="140">
        <v>105</v>
      </c>
      <c r="J187" s="141">
        <v>105</v>
      </c>
      <c r="K187" s="141">
        <v>105</v>
      </c>
      <c r="L187" s="144">
        <v>105</v>
      </c>
      <c r="M187" s="141">
        <v>105</v>
      </c>
      <c r="N187" s="141">
        <v>115</v>
      </c>
    </row>
    <row r="188" spans="1:14" ht="11.85" customHeight="1" x14ac:dyDescent="0.25">
      <c r="A188" s="20"/>
      <c r="B188" s="21">
        <v>2022</v>
      </c>
      <c r="C188" s="140">
        <v>115</v>
      </c>
      <c r="D188" s="140">
        <v>115</v>
      </c>
      <c r="E188" s="140">
        <v>105</v>
      </c>
      <c r="F188" s="140">
        <v>100</v>
      </c>
      <c r="G188" s="145">
        <v>115</v>
      </c>
      <c r="H188" s="140">
        <v>115</v>
      </c>
      <c r="I188" s="140">
        <v>115</v>
      </c>
      <c r="J188" s="141">
        <v>115</v>
      </c>
      <c r="K188" s="141">
        <v>115</v>
      </c>
      <c r="L188" s="168">
        <v>115</v>
      </c>
      <c r="M188" s="168">
        <v>115</v>
      </c>
      <c r="N188" s="168">
        <v>115</v>
      </c>
    </row>
    <row r="189" spans="1:14" ht="11.85" customHeight="1" x14ac:dyDescent="0.25">
      <c r="A189" s="20"/>
      <c r="B189" s="21">
        <v>2023</v>
      </c>
      <c r="C189" s="140">
        <v>115</v>
      </c>
      <c r="D189" s="140">
        <v>115</v>
      </c>
      <c r="E189" s="140">
        <v>115</v>
      </c>
      <c r="F189" s="140">
        <v>145</v>
      </c>
      <c r="G189" s="145">
        <v>145</v>
      </c>
      <c r="H189" s="140">
        <v>145</v>
      </c>
      <c r="I189" s="140">
        <v>145</v>
      </c>
      <c r="J189" s="141">
        <v>150</v>
      </c>
      <c r="K189" s="141">
        <v>150</v>
      </c>
      <c r="L189" s="168">
        <v>150</v>
      </c>
      <c r="M189" s="168">
        <v>150</v>
      </c>
      <c r="N189" s="168">
        <v>150</v>
      </c>
    </row>
    <row r="190" spans="1:14" ht="11.85" customHeight="1" x14ac:dyDescent="0.25">
      <c r="A190" s="19"/>
      <c r="B190" s="11">
        <v>2024</v>
      </c>
      <c r="C190" s="140">
        <v>155</v>
      </c>
      <c r="D190" s="140">
        <v>150</v>
      </c>
      <c r="E190" s="144">
        <v>147</v>
      </c>
      <c r="F190" s="140">
        <v>150</v>
      </c>
      <c r="G190" s="145">
        <v>155</v>
      </c>
      <c r="H190" s="140">
        <v>155</v>
      </c>
      <c r="I190" s="140">
        <v>155</v>
      </c>
      <c r="J190" s="140">
        <v>140</v>
      </c>
      <c r="K190" s="140">
        <v>150</v>
      </c>
      <c r="L190" s="141">
        <v>140</v>
      </c>
      <c r="M190" s="148" t="s">
        <v>4</v>
      </c>
      <c r="N190" s="141">
        <v>153.30000000000001</v>
      </c>
    </row>
    <row r="191" spans="1:14" ht="11.85" customHeight="1" x14ac:dyDescent="0.25">
      <c r="A191" s="165"/>
      <c r="B191" s="150">
        <v>2025</v>
      </c>
      <c r="C191" s="154">
        <v>152</v>
      </c>
      <c r="D191" s="154">
        <v>152</v>
      </c>
      <c r="E191" s="158">
        <v>152</v>
      </c>
      <c r="F191" s="154">
        <v>155</v>
      </c>
      <c r="G191" s="154">
        <v>155</v>
      </c>
      <c r="H191" s="154">
        <v>158</v>
      </c>
      <c r="I191" s="154">
        <v>160</v>
      </c>
      <c r="J191" s="154"/>
      <c r="K191" s="154"/>
      <c r="L191" s="143"/>
      <c r="M191" s="161"/>
      <c r="N191" s="143"/>
    </row>
    <row r="192" spans="1:14" ht="11.85" customHeight="1" x14ac:dyDescent="0.25">
      <c r="A192" s="20" t="s">
        <v>76</v>
      </c>
      <c r="B192" s="21">
        <v>2018</v>
      </c>
      <c r="C192" s="140">
        <v>155</v>
      </c>
      <c r="D192" s="144">
        <v>155</v>
      </c>
      <c r="E192" s="140">
        <v>155</v>
      </c>
      <c r="F192" s="140">
        <v>155</v>
      </c>
      <c r="G192" s="145">
        <v>155</v>
      </c>
      <c r="H192" s="140">
        <v>170</v>
      </c>
      <c r="I192" s="140">
        <v>170</v>
      </c>
      <c r="J192" s="140">
        <v>170</v>
      </c>
      <c r="K192" s="140">
        <v>170</v>
      </c>
      <c r="L192" s="144">
        <v>170</v>
      </c>
      <c r="M192" s="140">
        <v>170</v>
      </c>
      <c r="N192" s="168">
        <v>140</v>
      </c>
    </row>
    <row r="193" spans="1:14" ht="11.85" customHeight="1" x14ac:dyDescent="0.25">
      <c r="A193" s="20"/>
      <c r="B193" s="21">
        <v>2019</v>
      </c>
      <c r="C193" s="140">
        <v>115</v>
      </c>
      <c r="D193" s="144">
        <v>115</v>
      </c>
      <c r="E193" s="140">
        <v>115</v>
      </c>
      <c r="F193" s="140">
        <v>115</v>
      </c>
      <c r="G193" s="145">
        <v>115</v>
      </c>
      <c r="H193" s="140">
        <v>115</v>
      </c>
      <c r="I193" s="140">
        <v>115</v>
      </c>
      <c r="J193" s="141">
        <v>115</v>
      </c>
      <c r="K193" s="141">
        <v>115</v>
      </c>
      <c r="L193" s="144">
        <v>115</v>
      </c>
      <c r="M193" s="140">
        <v>115</v>
      </c>
      <c r="N193" s="168">
        <v>115</v>
      </c>
    </row>
    <row r="194" spans="1:14" ht="11.85" customHeight="1" x14ac:dyDescent="0.25">
      <c r="A194" s="42"/>
      <c r="B194" s="21">
        <v>2020</v>
      </c>
      <c r="C194" s="140">
        <v>115</v>
      </c>
      <c r="D194" s="147" t="s">
        <v>4</v>
      </c>
      <c r="E194" s="147" t="s">
        <v>142</v>
      </c>
      <c r="F194" s="147" t="s">
        <v>142</v>
      </c>
      <c r="G194" s="156" t="s">
        <v>142</v>
      </c>
      <c r="H194" s="147" t="s">
        <v>142</v>
      </c>
      <c r="I194" s="147" t="s">
        <v>4</v>
      </c>
      <c r="J194" s="147" t="s">
        <v>142</v>
      </c>
      <c r="K194" s="147" t="s">
        <v>142</v>
      </c>
      <c r="L194" s="147" t="s">
        <v>142</v>
      </c>
      <c r="M194" s="147" t="s">
        <v>142</v>
      </c>
      <c r="N194" s="168" t="s">
        <v>142</v>
      </c>
    </row>
    <row r="195" spans="1:14" ht="11.85" customHeight="1" x14ac:dyDescent="0.25">
      <c r="A195" s="42"/>
      <c r="B195" s="21">
        <v>2021</v>
      </c>
      <c r="C195" s="147" t="s">
        <v>142</v>
      </c>
      <c r="D195" s="144">
        <v>115</v>
      </c>
      <c r="E195" s="147" t="s">
        <v>142</v>
      </c>
      <c r="F195" s="140">
        <v>120</v>
      </c>
      <c r="G195" s="145">
        <v>120</v>
      </c>
      <c r="H195" s="140">
        <v>120</v>
      </c>
      <c r="I195" s="140">
        <v>120</v>
      </c>
      <c r="J195" s="140">
        <v>120</v>
      </c>
      <c r="K195" s="147" t="s">
        <v>142</v>
      </c>
      <c r="L195" s="144">
        <v>145</v>
      </c>
      <c r="M195" s="140">
        <v>145</v>
      </c>
      <c r="N195" s="168">
        <v>145</v>
      </c>
    </row>
    <row r="196" spans="1:14" ht="11.85" customHeight="1" x14ac:dyDescent="0.25">
      <c r="A196" s="42"/>
      <c r="B196" s="21">
        <v>2022</v>
      </c>
      <c r="C196" s="169">
        <v>145</v>
      </c>
      <c r="D196" s="140">
        <v>145</v>
      </c>
      <c r="E196" s="140">
        <v>145</v>
      </c>
      <c r="F196" s="140">
        <v>130</v>
      </c>
      <c r="G196" s="145">
        <v>130</v>
      </c>
      <c r="H196" s="140">
        <v>130</v>
      </c>
      <c r="I196" s="140">
        <v>130</v>
      </c>
      <c r="J196" s="140">
        <v>130</v>
      </c>
      <c r="K196" s="147">
        <v>130</v>
      </c>
      <c r="L196" s="144">
        <v>130</v>
      </c>
      <c r="M196" s="144">
        <v>130</v>
      </c>
      <c r="N196" s="168">
        <v>135</v>
      </c>
    </row>
    <row r="197" spans="1:14" ht="11.85" customHeight="1" x14ac:dyDescent="0.25">
      <c r="A197" s="42"/>
      <c r="B197" s="21">
        <v>2023</v>
      </c>
      <c r="C197" s="169">
        <v>135</v>
      </c>
      <c r="D197" s="140">
        <v>135</v>
      </c>
      <c r="E197" s="140">
        <v>135</v>
      </c>
      <c r="F197" s="140">
        <v>130</v>
      </c>
      <c r="G197" s="145">
        <v>135</v>
      </c>
      <c r="H197" s="140">
        <v>135</v>
      </c>
      <c r="I197" s="140">
        <v>130</v>
      </c>
      <c r="J197" s="140">
        <v>130</v>
      </c>
      <c r="K197" s="140">
        <v>130</v>
      </c>
      <c r="L197" s="140">
        <v>130</v>
      </c>
      <c r="M197" s="144">
        <v>130</v>
      </c>
      <c r="N197" s="168">
        <v>125</v>
      </c>
    </row>
    <row r="198" spans="1:14" ht="11.85" customHeight="1" x14ac:dyDescent="0.25">
      <c r="A198" s="42"/>
      <c r="B198" s="21">
        <v>2024</v>
      </c>
      <c r="C198" s="169">
        <v>135</v>
      </c>
      <c r="D198" s="140">
        <v>130</v>
      </c>
      <c r="E198" s="140">
        <v>140</v>
      </c>
      <c r="F198" s="140">
        <v>150</v>
      </c>
      <c r="G198" s="145">
        <v>150</v>
      </c>
      <c r="H198" s="140">
        <v>150</v>
      </c>
      <c r="I198" s="140">
        <v>150</v>
      </c>
      <c r="J198" s="140">
        <v>150</v>
      </c>
      <c r="K198" s="140">
        <v>137</v>
      </c>
      <c r="L198" s="140">
        <v>115</v>
      </c>
      <c r="M198" s="144">
        <v>115</v>
      </c>
      <c r="N198" s="144">
        <v>115</v>
      </c>
    </row>
    <row r="199" spans="1:14" ht="11.85" customHeight="1" x14ac:dyDescent="0.25">
      <c r="A199" s="43"/>
      <c r="B199" s="25">
        <v>2025</v>
      </c>
      <c r="C199" s="161" t="s">
        <v>4</v>
      </c>
      <c r="D199" s="154">
        <v>115</v>
      </c>
      <c r="E199" s="154">
        <v>115</v>
      </c>
      <c r="F199" s="154">
        <v>115</v>
      </c>
      <c r="G199" s="154">
        <v>120</v>
      </c>
      <c r="H199" s="154">
        <v>120</v>
      </c>
      <c r="I199" s="154">
        <v>120</v>
      </c>
      <c r="J199" s="154"/>
      <c r="K199" s="154"/>
      <c r="L199" s="154"/>
      <c r="M199" s="158"/>
      <c r="N199" s="158"/>
    </row>
    <row r="200" spans="1:14" ht="9" customHeight="1" x14ac:dyDescent="0.25">
      <c r="A200" s="10" t="s">
        <v>87</v>
      </c>
      <c r="B200" s="170"/>
      <c r="C200" s="171"/>
      <c r="D200" s="171"/>
      <c r="E200" s="171"/>
      <c r="F200" s="171"/>
      <c r="G200" s="172"/>
      <c r="H200" s="171"/>
      <c r="I200" s="171"/>
      <c r="J200" s="171"/>
      <c r="K200" s="171"/>
      <c r="L200" s="171"/>
      <c r="M200" s="171"/>
      <c r="N200" s="171"/>
    </row>
    <row r="201" spans="1:14" ht="9" customHeight="1" x14ac:dyDescent="0.25">
      <c r="A201" s="135" t="s">
        <v>67</v>
      </c>
      <c r="B201" s="173"/>
      <c r="C201" s="174"/>
      <c r="D201" s="174"/>
      <c r="E201" s="174"/>
      <c r="F201" s="174"/>
      <c r="G201" s="175"/>
      <c r="H201" s="174"/>
      <c r="I201" s="171"/>
      <c r="J201" s="171"/>
      <c r="K201" s="171"/>
      <c r="L201" s="171"/>
      <c r="M201" s="171"/>
      <c r="N201" s="171"/>
    </row>
    <row r="202" spans="1:14" ht="9" customHeight="1" x14ac:dyDescent="0.2">
      <c r="A202" s="137" t="s">
        <v>68</v>
      </c>
      <c r="B202" s="12"/>
      <c r="C202" s="12"/>
      <c r="D202" s="12"/>
      <c r="E202" s="12"/>
      <c r="F202" s="12"/>
      <c r="G202" s="176"/>
      <c r="H202" s="12"/>
      <c r="I202" s="12"/>
      <c r="J202" s="12"/>
      <c r="K202" s="12"/>
      <c r="L202" s="12"/>
      <c r="M202" s="12"/>
      <c r="N202" s="12"/>
    </row>
    <row r="203" spans="1:14" ht="9" customHeight="1" x14ac:dyDescent="0.2">
      <c r="A203" s="137" t="s">
        <v>548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1:14" ht="10.5" customHeight="1" x14ac:dyDescent="0.2">
      <c r="A204" s="135"/>
    </row>
    <row r="205" spans="1:14" ht="6.75" customHeight="1" x14ac:dyDescent="0.2">
      <c r="A205" s="135"/>
    </row>
  </sheetData>
  <mergeCells count="3">
    <mergeCell ref="A1:N1"/>
    <mergeCell ref="A65:F65"/>
    <mergeCell ref="A133:F133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4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A1:N173"/>
  <sheetViews>
    <sheetView showGridLines="0" topLeftCell="A103" zoomScaleNormal="100" workbookViewId="0">
      <selection activeCell="A117" sqref="A117:N171"/>
    </sheetView>
  </sheetViews>
  <sheetFormatPr baseColWidth="10" defaultColWidth="11.42578125" defaultRowHeight="12.75" x14ac:dyDescent="0.2"/>
  <cols>
    <col min="1" max="1" width="13.140625" style="138" customWidth="1"/>
    <col min="2" max="2" width="5.42578125" style="138" customWidth="1"/>
    <col min="3" max="14" width="5.85546875" style="138" customWidth="1"/>
    <col min="15" max="16384" width="11.42578125" style="138"/>
  </cols>
  <sheetData>
    <row r="1" spans="1:14" ht="13.5" x14ac:dyDescent="0.25">
      <c r="A1" s="713" t="s">
        <v>549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</row>
    <row r="2" spans="1:14" ht="13.5" x14ac:dyDescent="0.25">
      <c r="A2" s="17" t="s">
        <v>122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8" customHeight="1" x14ac:dyDescent="0.2">
      <c r="A4" s="239" t="s">
        <v>95</v>
      </c>
      <c r="B4" s="239" t="s">
        <v>141</v>
      </c>
      <c r="C4" s="239" t="s">
        <v>97</v>
      </c>
      <c r="D4" s="239" t="s">
        <v>98</v>
      </c>
      <c r="E4" s="239" t="s">
        <v>99</v>
      </c>
      <c r="F4" s="239" t="s">
        <v>100</v>
      </c>
      <c r="G4" s="239" t="s">
        <v>101</v>
      </c>
      <c r="H4" s="239" t="s">
        <v>102</v>
      </c>
      <c r="I4" s="239" t="s">
        <v>103</v>
      </c>
      <c r="J4" s="239" t="s">
        <v>104</v>
      </c>
      <c r="K4" s="239" t="s">
        <v>105</v>
      </c>
      <c r="L4" s="239" t="s">
        <v>106</v>
      </c>
      <c r="M4" s="239" t="s">
        <v>107</v>
      </c>
      <c r="N4" s="239" t="s">
        <v>108</v>
      </c>
    </row>
    <row r="5" spans="1:14" ht="3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48"/>
      <c r="K5" s="14"/>
      <c r="L5" s="14"/>
      <c r="M5" s="14"/>
      <c r="N5" s="14"/>
    </row>
    <row r="6" spans="1:14" ht="12" customHeight="1" x14ac:dyDescent="0.25">
      <c r="A6" s="18" t="s">
        <v>52</v>
      </c>
      <c r="B6" s="11">
        <v>2018</v>
      </c>
      <c r="C6" s="182">
        <v>80</v>
      </c>
      <c r="D6" s="182">
        <v>81</v>
      </c>
      <c r="E6" s="182">
        <v>82</v>
      </c>
      <c r="F6" s="181">
        <v>82</v>
      </c>
      <c r="G6" s="181">
        <v>82</v>
      </c>
      <c r="H6" s="181">
        <v>82</v>
      </c>
      <c r="I6" s="182">
        <v>83</v>
      </c>
      <c r="J6" s="181">
        <v>82.5</v>
      </c>
      <c r="K6" s="181">
        <v>82.5</v>
      </c>
      <c r="L6" s="182">
        <v>82.5</v>
      </c>
      <c r="M6" s="181">
        <v>82.5</v>
      </c>
      <c r="N6" s="182">
        <v>82.5</v>
      </c>
    </row>
    <row r="7" spans="1:14" ht="12" customHeight="1" x14ac:dyDescent="0.25">
      <c r="A7" s="18"/>
      <c r="B7" s="11">
        <v>2019</v>
      </c>
      <c r="C7" s="182">
        <v>84.166666666666671</v>
      </c>
      <c r="D7" s="182">
        <v>84.2</v>
      </c>
      <c r="E7" s="182">
        <v>84.2</v>
      </c>
      <c r="F7" s="181">
        <v>85.9</v>
      </c>
      <c r="G7" s="181">
        <v>85.9</v>
      </c>
      <c r="H7" s="181">
        <v>85.9</v>
      </c>
      <c r="I7" s="182">
        <v>89.2</v>
      </c>
      <c r="J7" s="181">
        <v>89.2</v>
      </c>
      <c r="K7" s="181">
        <v>100</v>
      </c>
      <c r="L7" s="182">
        <v>100</v>
      </c>
      <c r="M7" s="181">
        <v>100</v>
      </c>
      <c r="N7" s="182">
        <v>105</v>
      </c>
    </row>
    <row r="8" spans="1:14" ht="12" customHeight="1" x14ac:dyDescent="0.25">
      <c r="A8" s="18"/>
      <c r="B8" s="11">
        <v>2020</v>
      </c>
      <c r="C8" s="182">
        <v>110</v>
      </c>
      <c r="D8" s="182">
        <v>109</v>
      </c>
      <c r="E8" s="182">
        <v>112.5</v>
      </c>
      <c r="F8" s="181">
        <v>110</v>
      </c>
      <c r="G8" s="181">
        <v>109</v>
      </c>
      <c r="H8" s="181">
        <v>109</v>
      </c>
      <c r="I8" s="182">
        <v>112.5</v>
      </c>
      <c r="J8" s="181">
        <v>109</v>
      </c>
      <c r="K8" s="181">
        <v>112.5</v>
      </c>
      <c r="L8" s="182">
        <v>109</v>
      </c>
      <c r="M8" s="181">
        <v>109</v>
      </c>
      <c r="N8" s="182">
        <v>109</v>
      </c>
    </row>
    <row r="9" spans="1:14" ht="12" customHeight="1" x14ac:dyDescent="0.25">
      <c r="A9" s="18"/>
      <c r="B9" s="11">
        <v>2021</v>
      </c>
      <c r="C9" s="182">
        <v>110</v>
      </c>
      <c r="D9" s="182">
        <v>110</v>
      </c>
      <c r="E9" s="182">
        <v>110</v>
      </c>
      <c r="F9" s="181">
        <v>112.5</v>
      </c>
      <c r="G9" s="181">
        <v>112.5</v>
      </c>
      <c r="H9" s="181">
        <v>112.5</v>
      </c>
      <c r="I9" s="182">
        <v>112.5</v>
      </c>
      <c r="J9" s="181">
        <v>112.5</v>
      </c>
      <c r="K9" s="181">
        <v>112.5</v>
      </c>
      <c r="L9" s="182">
        <v>112.5</v>
      </c>
      <c r="M9" s="181">
        <v>112.5</v>
      </c>
      <c r="N9" s="182">
        <v>112.5</v>
      </c>
    </row>
    <row r="10" spans="1:14" ht="12" customHeight="1" x14ac:dyDescent="0.25">
      <c r="A10" s="18"/>
      <c r="B10" s="11">
        <v>2022</v>
      </c>
      <c r="C10" s="182">
        <v>112.5</v>
      </c>
      <c r="D10" s="182">
        <v>112</v>
      </c>
      <c r="E10" s="182">
        <v>112</v>
      </c>
      <c r="F10" s="181">
        <v>112</v>
      </c>
      <c r="G10" s="181">
        <v>112.5</v>
      </c>
      <c r="H10" s="181">
        <v>112.5</v>
      </c>
      <c r="I10" s="182">
        <v>112.5</v>
      </c>
      <c r="J10" s="181">
        <v>112.5</v>
      </c>
      <c r="K10" s="181">
        <v>112.5</v>
      </c>
      <c r="L10" s="182">
        <v>112.5</v>
      </c>
      <c r="M10" s="181" t="s">
        <v>49</v>
      </c>
      <c r="N10" s="182">
        <v>101</v>
      </c>
    </row>
    <row r="11" spans="1:14" ht="12" customHeight="1" x14ac:dyDescent="0.25">
      <c r="A11" s="18"/>
      <c r="B11" s="11">
        <v>2023</v>
      </c>
      <c r="C11" s="183" t="s">
        <v>4</v>
      </c>
      <c r="D11" s="183" t="s">
        <v>4</v>
      </c>
      <c r="E11" s="183" t="s">
        <v>4</v>
      </c>
      <c r="F11" s="181">
        <v>120</v>
      </c>
      <c r="G11" s="181">
        <v>120</v>
      </c>
      <c r="H11" s="181">
        <v>100</v>
      </c>
      <c r="I11" s="181">
        <v>130</v>
      </c>
      <c r="J11" s="181">
        <v>130</v>
      </c>
      <c r="K11" s="181">
        <v>115</v>
      </c>
      <c r="L11" s="181">
        <v>120</v>
      </c>
      <c r="M11" s="181">
        <v>120</v>
      </c>
      <c r="N11" s="181">
        <v>120</v>
      </c>
    </row>
    <row r="12" spans="1:14" ht="12" customHeight="1" x14ac:dyDescent="0.25">
      <c r="A12" s="18"/>
      <c r="B12" s="11">
        <v>2024</v>
      </c>
      <c r="C12" s="182">
        <v>120</v>
      </c>
      <c r="D12" s="182">
        <v>120</v>
      </c>
      <c r="E12" s="5" t="s">
        <v>4</v>
      </c>
      <c r="F12" s="181">
        <v>105</v>
      </c>
      <c r="G12" s="182">
        <v>118</v>
      </c>
      <c r="H12" s="181">
        <v>118</v>
      </c>
      <c r="I12" s="181">
        <v>118</v>
      </c>
      <c r="J12" s="181">
        <v>118</v>
      </c>
      <c r="K12" s="181">
        <v>121</v>
      </c>
      <c r="L12" s="181">
        <v>112.734375</v>
      </c>
      <c r="M12" s="181">
        <v>94.49</v>
      </c>
      <c r="N12" s="181">
        <v>95</v>
      </c>
    </row>
    <row r="13" spans="1:14" ht="12" customHeight="1" x14ac:dyDescent="0.25">
      <c r="A13" s="149"/>
      <c r="B13" s="150">
        <v>2025</v>
      </c>
      <c r="C13" s="184">
        <v>110</v>
      </c>
      <c r="D13" s="184">
        <v>93</v>
      </c>
      <c r="E13" s="186">
        <v>110</v>
      </c>
      <c r="F13" s="186" t="s">
        <v>49</v>
      </c>
      <c r="G13" s="186" t="s">
        <v>49</v>
      </c>
      <c r="H13" s="186">
        <v>104</v>
      </c>
      <c r="I13" s="186">
        <v>110.4</v>
      </c>
      <c r="J13" s="186"/>
      <c r="K13" s="186"/>
      <c r="L13" s="186"/>
      <c r="M13" s="186"/>
      <c r="N13" s="186"/>
    </row>
    <row r="14" spans="1:14" ht="12" customHeight="1" x14ac:dyDescent="0.25">
      <c r="A14" s="155" t="s">
        <v>91</v>
      </c>
      <c r="B14" s="11">
        <v>2018</v>
      </c>
      <c r="C14" s="187">
        <v>95.5</v>
      </c>
      <c r="D14" s="187">
        <v>92</v>
      </c>
      <c r="E14" s="187">
        <v>92</v>
      </c>
      <c r="F14" s="181">
        <v>91</v>
      </c>
      <c r="G14" s="181">
        <v>87</v>
      </c>
      <c r="H14" s="181">
        <v>87</v>
      </c>
      <c r="I14" s="181">
        <v>87</v>
      </c>
      <c r="J14" s="181">
        <v>87</v>
      </c>
      <c r="K14" s="181">
        <v>87</v>
      </c>
      <c r="L14" s="182">
        <v>87</v>
      </c>
      <c r="M14" s="181">
        <v>87</v>
      </c>
      <c r="N14" s="182">
        <v>83</v>
      </c>
    </row>
    <row r="15" spans="1:14" ht="12" customHeight="1" x14ac:dyDescent="0.25">
      <c r="A15" s="155"/>
      <c r="B15" s="11">
        <v>2019</v>
      </c>
      <c r="C15" s="182">
        <v>92</v>
      </c>
      <c r="D15" s="182">
        <v>86</v>
      </c>
      <c r="E15" s="182">
        <v>86</v>
      </c>
      <c r="F15" s="181">
        <v>86</v>
      </c>
      <c r="G15" s="181">
        <v>88</v>
      </c>
      <c r="H15" s="181">
        <v>84</v>
      </c>
      <c r="I15" s="181">
        <v>83</v>
      </c>
      <c r="J15" s="181">
        <v>84</v>
      </c>
      <c r="K15" s="188">
        <v>80</v>
      </c>
      <c r="L15" s="187">
        <v>85</v>
      </c>
      <c r="M15" s="188">
        <v>85</v>
      </c>
      <c r="N15" s="187">
        <v>95</v>
      </c>
    </row>
    <row r="16" spans="1:14" ht="12" customHeight="1" x14ac:dyDescent="0.25">
      <c r="A16" s="155"/>
      <c r="B16" s="11">
        <v>2020</v>
      </c>
      <c r="C16" s="182">
        <v>82</v>
      </c>
      <c r="D16" s="182" t="s">
        <v>49</v>
      </c>
      <c r="E16" s="182" t="s">
        <v>49</v>
      </c>
      <c r="F16" s="181" t="s">
        <v>49</v>
      </c>
      <c r="G16" s="181" t="s">
        <v>49</v>
      </c>
      <c r="H16" s="181" t="s">
        <v>49</v>
      </c>
      <c r="I16" s="181" t="s">
        <v>49</v>
      </c>
      <c r="J16" s="188">
        <v>95</v>
      </c>
      <c r="K16" s="188">
        <v>92.5</v>
      </c>
      <c r="L16" s="187">
        <v>92.5</v>
      </c>
      <c r="M16" s="188">
        <v>94</v>
      </c>
      <c r="N16" s="187">
        <v>95</v>
      </c>
    </row>
    <row r="17" spans="1:14" ht="12" customHeight="1" x14ac:dyDescent="0.25">
      <c r="A17" s="155"/>
      <c r="B17" s="11">
        <v>2021</v>
      </c>
      <c r="C17" s="182">
        <v>87.5</v>
      </c>
      <c r="D17" s="182">
        <v>100</v>
      </c>
      <c r="E17" s="182">
        <v>100</v>
      </c>
      <c r="F17" s="181">
        <v>100</v>
      </c>
      <c r="G17" s="181">
        <v>100</v>
      </c>
      <c r="H17" s="181">
        <v>90</v>
      </c>
      <c r="I17" s="181">
        <v>90</v>
      </c>
      <c r="J17" s="188">
        <v>85</v>
      </c>
      <c r="K17" s="188">
        <v>90</v>
      </c>
      <c r="L17" s="187">
        <v>95</v>
      </c>
      <c r="M17" s="188">
        <v>100</v>
      </c>
      <c r="N17" s="187">
        <v>95</v>
      </c>
    </row>
    <row r="18" spans="1:14" ht="12" customHeight="1" x14ac:dyDescent="0.25">
      <c r="A18" s="155"/>
      <c r="B18" s="11">
        <v>2022</v>
      </c>
      <c r="C18" s="182">
        <v>102.5</v>
      </c>
      <c r="D18" s="182">
        <v>100</v>
      </c>
      <c r="E18" s="182">
        <v>96</v>
      </c>
      <c r="F18" s="181">
        <v>96</v>
      </c>
      <c r="G18" s="181">
        <v>96</v>
      </c>
      <c r="H18" s="181">
        <v>98</v>
      </c>
      <c r="I18" s="181">
        <v>96</v>
      </c>
      <c r="J18" s="188">
        <v>90</v>
      </c>
      <c r="K18" s="188">
        <v>100</v>
      </c>
      <c r="L18" s="187">
        <v>105</v>
      </c>
      <c r="M18" s="188">
        <v>100</v>
      </c>
      <c r="N18" s="187">
        <v>100</v>
      </c>
    </row>
    <row r="19" spans="1:14" ht="12" customHeight="1" x14ac:dyDescent="0.25">
      <c r="A19" s="155"/>
      <c r="B19" s="11">
        <v>2023</v>
      </c>
      <c r="C19" s="181">
        <v>140</v>
      </c>
      <c r="D19" s="181">
        <v>138</v>
      </c>
      <c r="E19" s="181">
        <v>140</v>
      </c>
      <c r="F19" s="181">
        <v>120</v>
      </c>
      <c r="G19" s="181">
        <v>110</v>
      </c>
      <c r="H19" s="181">
        <v>100</v>
      </c>
      <c r="I19" s="181">
        <v>138</v>
      </c>
      <c r="J19" s="188">
        <v>118</v>
      </c>
      <c r="K19" s="188">
        <v>120</v>
      </c>
      <c r="L19" s="188">
        <v>120</v>
      </c>
      <c r="M19" s="188">
        <v>120</v>
      </c>
      <c r="N19" s="188">
        <v>155</v>
      </c>
    </row>
    <row r="20" spans="1:14" ht="12" customHeight="1" x14ac:dyDescent="0.25">
      <c r="A20" s="18"/>
      <c r="B20" s="11">
        <v>2024</v>
      </c>
      <c r="C20" s="181">
        <v>160</v>
      </c>
      <c r="D20" s="181">
        <v>165</v>
      </c>
      <c r="E20" s="181">
        <v>158</v>
      </c>
      <c r="F20" s="181">
        <v>138</v>
      </c>
      <c r="G20" s="182">
        <v>138</v>
      </c>
      <c r="H20" s="181">
        <v>138</v>
      </c>
      <c r="I20" s="181">
        <v>155</v>
      </c>
      <c r="J20" s="181">
        <v>155</v>
      </c>
      <c r="K20" s="181">
        <v>137</v>
      </c>
      <c r="L20" s="181">
        <v>149</v>
      </c>
      <c r="M20" s="181">
        <v>135</v>
      </c>
      <c r="N20" s="181">
        <v>132</v>
      </c>
    </row>
    <row r="21" spans="1:14" ht="12" customHeight="1" x14ac:dyDescent="0.25">
      <c r="A21" s="149"/>
      <c r="B21" s="150">
        <v>2025</v>
      </c>
      <c r="C21" s="186">
        <v>140</v>
      </c>
      <c r="D21" s="186">
        <v>132</v>
      </c>
      <c r="E21" s="186">
        <v>133</v>
      </c>
      <c r="F21" s="186">
        <v>135</v>
      </c>
      <c r="G21" s="186">
        <v>137</v>
      </c>
      <c r="H21" s="186">
        <v>143</v>
      </c>
      <c r="I21" s="186">
        <v>118</v>
      </c>
      <c r="J21" s="186"/>
      <c r="K21" s="186"/>
      <c r="L21" s="186"/>
      <c r="M21" s="186"/>
      <c r="N21" s="186"/>
    </row>
    <row r="22" spans="1:14" ht="12" customHeight="1" x14ac:dyDescent="0.2">
      <c r="A22" s="72" t="s">
        <v>5</v>
      </c>
      <c r="B22" s="11">
        <v>2024</v>
      </c>
      <c r="C22" s="5" t="s">
        <v>4</v>
      </c>
      <c r="D22" s="5" t="s">
        <v>4</v>
      </c>
      <c r="E22" s="181">
        <v>195</v>
      </c>
      <c r="F22" s="181">
        <v>195</v>
      </c>
      <c r="G22" s="182">
        <v>195</v>
      </c>
      <c r="H22" s="181">
        <v>195</v>
      </c>
      <c r="I22" s="181">
        <v>195</v>
      </c>
      <c r="J22" s="181">
        <v>200</v>
      </c>
      <c r="K22" s="181">
        <v>201.66666666666666</v>
      </c>
      <c r="L22" s="181">
        <v>192.5</v>
      </c>
      <c r="M22" s="181">
        <v>190.95</v>
      </c>
      <c r="N22" s="181">
        <v>160</v>
      </c>
    </row>
    <row r="23" spans="1:14" ht="12" customHeight="1" x14ac:dyDescent="0.2">
      <c r="A23" s="196"/>
      <c r="B23" s="150">
        <v>2025</v>
      </c>
      <c r="C23" s="186">
        <v>177</v>
      </c>
      <c r="D23" s="186">
        <v>164</v>
      </c>
      <c r="E23" s="186">
        <v>164</v>
      </c>
      <c r="F23" s="186">
        <v>167</v>
      </c>
      <c r="G23" s="186">
        <v>148</v>
      </c>
      <c r="H23" s="186">
        <v>130</v>
      </c>
      <c r="I23" s="186">
        <v>146</v>
      </c>
      <c r="J23" s="186"/>
      <c r="K23" s="186"/>
      <c r="L23" s="186"/>
      <c r="M23" s="186"/>
      <c r="N23" s="186"/>
    </row>
    <row r="24" spans="1:14" ht="12" customHeight="1" x14ac:dyDescent="0.25">
      <c r="A24" s="155" t="s">
        <v>110</v>
      </c>
      <c r="B24" s="11">
        <v>2018</v>
      </c>
      <c r="C24" s="188">
        <v>88</v>
      </c>
      <c r="D24" s="187">
        <v>74</v>
      </c>
      <c r="E24" s="188">
        <v>76</v>
      </c>
      <c r="F24" s="181">
        <v>72</v>
      </c>
      <c r="G24" s="182">
        <v>74</v>
      </c>
      <c r="H24" s="181">
        <v>76</v>
      </c>
      <c r="I24" s="181">
        <v>76</v>
      </c>
      <c r="J24" s="181">
        <v>75</v>
      </c>
      <c r="K24" s="181">
        <v>75</v>
      </c>
      <c r="L24" s="182">
        <v>78</v>
      </c>
      <c r="M24" s="181">
        <v>82</v>
      </c>
      <c r="N24" s="182">
        <v>82</v>
      </c>
    </row>
    <row r="25" spans="1:14" ht="12" customHeight="1" x14ac:dyDescent="0.25">
      <c r="A25" s="155"/>
      <c r="B25" s="11">
        <v>2019</v>
      </c>
      <c r="C25" s="181">
        <v>77</v>
      </c>
      <c r="D25" s="182">
        <v>75</v>
      </c>
      <c r="E25" s="181">
        <v>76.5</v>
      </c>
      <c r="F25" s="181">
        <v>74</v>
      </c>
      <c r="G25" s="182">
        <v>76</v>
      </c>
      <c r="H25" s="181">
        <v>82</v>
      </c>
      <c r="I25" s="181">
        <v>80</v>
      </c>
      <c r="J25" s="188">
        <v>83.5</v>
      </c>
      <c r="K25" s="188">
        <v>100</v>
      </c>
      <c r="L25" s="187">
        <v>90</v>
      </c>
      <c r="M25" s="188">
        <v>90</v>
      </c>
      <c r="N25" s="187">
        <v>90</v>
      </c>
    </row>
    <row r="26" spans="1:14" ht="12" customHeight="1" x14ac:dyDescent="0.25">
      <c r="A26" s="155"/>
      <c r="B26" s="11">
        <v>2020</v>
      </c>
      <c r="C26" s="181">
        <v>90</v>
      </c>
      <c r="D26" s="182">
        <v>85</v>
      </c>
      <c r="E26" s="181">
        <v>95</v>
      </c>
      <c r="F26" s="181">
        <v>95</v>
      </c>
      <c r="G26" s="182">
        <v>90</v>
      </c>
      <c r="H26" s="181">
        <v>100</v>
      </c>
      <c r="I26" s="181">
        <v>95</v>
      </c>
      <c r="J26" s="181">
        <v>102.5</v>
      </c>
      <c r="K26" s="181">
        <v>100</v>
      </c>
      <c r="L26" s="182">
        <v>100</v>
      </c>
      <c r="M26" s="181">
        <v>100</v>
      </c>
      <c r="N26" s="182">
        <v>100</v>
      </c>
    </row>
    <row r="27" spans="1:14" ht="12" customHeight="1" x14ac:dyDescent="0.25">
      <c r="A27" s="155"/>
      <c r="B27" s="11">
        <v>2021</v>
      </c>
      <c r="C27" s="181">
        <v>105</v>
      </c>
      <c r="D27" s="182">
        <v>100</v>
      </c>
      <c r="E27" s="181">
        <v>110</v>
      </c>
      <c r="F27" s="181">
        <v>112.5</v>
      </c>
      <c r="G27" s="182">
        <v>95</v>
      </c>
      <c r="H27" s="181">
        <v>95</v>
      </c>
      <c r="I27" s="181">
        <v>125</v>
      </c>
      <c r="J27" s="181">
        <v>125</v>
      </c>
      <c r="K27" s="181">
        <v>115</v>
      </c>
      <c r="L27" s="182">
        <v>125</v>
      </c>
      <c r="M27" s="181">
        <v>125</v>
      </c>
      <c r="N27" s="182">
        <v>115</v>
      </c>
    </row>
    <row r="28" spans="1:14" ht="12" customHeight="1" x14ac:dyDescent="0.25">
      <c r="A28" s="155"/>
      <c r="B28" s="11">
        <v>2022</v>
      </c>
      <c r="C28" s="181">
        <v>122.5</v>
      </c>
      <c r="D28" s="182">
        <v>95</v>
      </c>
      <c r="E28" s="181">
        <v>95</v>
      </c>
      <c r="F28" s="181">
        <v>100</v>
      </c>
      <c r="G28" s="182">
        <v>95</v>
      </c>
      <c r="H28" s="181">
        <v>97.5</v>
      </c>
      <c r="I28" s="181">
        <v>100</v>
      </c>
      <c r="J28" s="181">
        <v>95</v>
      </c>
      <c r="K28" s="181">
        <v>85</v>
      </c>
      <c r="L28" s="182">
        <v>105</v>
      </c>
      <c r="M28" s="181">
        <v>100</v>
      </c>
      <c r="N28" s="182">
        <v>90</v>
      </c>
    </row>
    <row r="29" spans="1:14" ht="12" customHeight="1" x14ac:dyDescent="0.25">
      <c r="A29" s="155"/>
      <c r="B29" s="11">
        <v>2023</v>
      </c>
      <c r="C29" s="181">
        <v>90</v>
      </c>
      <c r="D29" s="181">
        <v>115</v>
      </c>
      <c r="E29" s="181">
        <v>105</v>
      </c>
      <c r="F29" s="181">
        <v>120</v>
      </c>
      <c r="G29" s="182">
        <v>105</v>
      </c>
      <c r="H29" s="181">
        <v>100</v>
      </c>
      <c r="I29" s="181">
        <v>120</v>
      </c>
      <c r="J29" s="181">
        <v>110</v>
      </c>
      <c r="K29" s="181">
        <v>125</v>
      </c>
      <c r="L29" s="181">
        <v>125</v>
      </c>
      <c r="M29" s="181">
        <v>125</v>
      </c>
      <c r="N29" s="181">
        <v>115</v>
      </c>
    </row>
    <row r="30" spans="1:14" ht="12" customHeight="1" x14ac:dyDescent="0.25">
      <c r="A30" s="18"/>
      <c r="B30" s="11">
        <v>2024</v>
      </c>
      <c r="C30" s="181">
        <v>123</v>
      </c>
      <c r="D30" s="181">
        <v>113</v>
      </c>
      <c r="E30" s="181">
        <v>120</v>
      </c>
      <c r="F30" s="181">
        <v>118</v>
      </c>
      <c r="G30" s="182">
        <v>135</v>
      </c>
      <c r="H30" s="181">
        <v>118</v>
      </c>
      <c r="I30" s="181">
        <v>130</v>
      </c>
      <c r="J30" s="181">
        <v>130</v>
      </c>
      <c r="K30" s="181">
        <v>122</v>
      </c>
      <c r="L30" s="181">
        <v>124.72447160682454</v>
      </c>
      <c r="M30" s="181">
        <v>126.52</v>
      </c>
      <c r="N30" s="181">
        <v>133</v>
      </c>
    </row>
    <row r="31" spans="1:14" ht="12" customHeight="1" x14ac:dyDescent="0.25">
      <c r="A31" s="149"/>
      <c r="B31" s="150">
        <v>2025</v>
      </c>
      <c r="C31" s="186">
        <v>124</v>
      </c>
      <c r="D31" s="186">
        <v>127</v>
      </c>
      <c r="E31" s="186">
        <v>125</v>
      </c>
      <c r="F31" s="186">
        <v>126</v>
      </c>
      <c r="G31" s="186">
        <v>135</v>
      </c>
      <c r="H31" s="186">
        <v>132</v>
      </c>
      <c r="I31" s="186">
        <v>140</v>
      </c>
      <c r="J31" s="186"/>
      <c r="K31" s="186"/>
      <c r="L31" s="186"/>
      <c r="M31" s="186"/>
      <c r="N31" s="186"/>
    </row>
    <row r="32" spans="1:14" ht="12" customHeight="1" x14ac:dyDescent="0.25">
      <c r="A32" s="155" t="s">
        <v>111</v>
      </c>
      <c r="B32" s="11">
        <v>2018</v>
      </c>
      <c r="C32" s="181">
        <v>66.2</v>
      </c>
      <c r="D32" s="182">
        <v>66.2</v>
      </c>
      <c r="E32" s="181">
        <v>66.2</v>
      </c>
      <c r="F32" s="181">
        <v>66.2</v>
      </c>
      <c r="G32" s="182">
        <v>66.2</v>
      </c>
      <c r="H32" s="181">
        <v>66.2</v>
      </c>
      <c r="I32" s="181">
        <v>66.2</v>
      </c>
      <c r="J32" s="181">
        <v>66.2</v>
      </c>
      <c r="K32" s="181">
        <v>66.2</v>
      </c>
      <c r="L32" s="182">
        <v>66.2</v>
      </c>
      <c r="M32" s="181">
        <v>66.2</v>
      </c>
      <c r="N32" s="182">
        <v>66.2</v>
      </c>
    </row>
    <row r="33" spans="1:14" ht="12" customHeight="1" x14ac:dyDescent="0.25">
      <c r="A33" s="155"/>
      <c r="B33" s="11">
        <v>2019</v>
      </c>
      <c r="C33" s="181">
        <v>61</v>
      </c>
      <c r="D33" s="182">
        <v>61</v>
      </c>
      <c r="E33" s="181">
        <v>61</v>
      </c>
      <c r="F33" s="181">
        <v>65</v>
      </c>
      <c r="G33" s="182">
        <v>54</v>
      </c>
      <c r="H33" s="181">
        <v>64.5</v>
      </c>
      <c r="I33" s="181">
        <v>64.5</v>
      </c>
      <c r="J33" s="188">
        <v>70</v>
      </c>
      <c r="K33" s="188">
        <v>70</v>
      </c>
      <c r="L33" s="182">
        <v>75</v>
      </c>
      <c r="M33" s="188">
        <v>72</v>
      </c>
      <c r="N33" s="187">
        <v>75</v>
      </c>
    </row>
    <row r="34" spans="1:14" ht="12" customHeight="1" x14ac:dyDescent="0.25">
      <c r="A34" s="155"/>
      <c r="B34" s="11">
        <v>2020</v>
      </c>
      <c r="C34" s="188">
        <v>75</v>
      </c>
      <c r="D34" s="182" t="s">
        <v>49</v>
      </c>
      <c r="E34" s="181" t="s">
        <v>49</v>
      </c>
      <c r="F34" s="181" t="s">
        <v>49</v>
      </c>
      <c r="G34" s="182" t="s">
        <v>49</v>
      </c>
      <c r="H34" s="181">
        <v>75</v>
      </c>
      <c r="I34" s="181">
        <v>75</v>
      </c>
      <c r="J34" s="181">
        <v>75</v>
      </c>
      <c r="K34" s="181">
        <v>75</v>
      </c>
      <c r="L34" s="182">
        <v>75</v>
      </c>
      <c r="M34" s="181">
        <v>75</v>
      </c>
      <c r="N34" s="182">
        <v>75</v>
      </c>
    </row>
    <row r="35" spans="1:14" ht="12" customHeight="1" x14ac:dyDescent="0.25">
      <c r="A35" s="155"/>
      <c r="B35" s="11">
        <v>2021</v>
      </c>
      <c r="C35" s="188">
        <v>77.5</v>
      </c>
      <c r="D35" s="182">
        <v>72.5</v>
      </c>
      <c r="E35" s="181">
        <v>75</v>
      </c>
      <c r="F35" s="181">
        <v>75</v>
      </c>
      <c r="G35" s="182">
        <v>75</v>
      </c>
      <c r="H35" s="181" t="s">
        <v>49</v>
      </c>
      <c r="I35" s="181">
        <v>75</v>
      </c>
      <c r="J35" s="181">
        <v>75</v>
      </c>
      <c r="K35" s="181">
        <v>75</v>
      </c>
      <c r="L35" s="182">
        <v>75</v>
      </c>
      <c r="M35" s="181">
        <v>80</v>
      </c>
      <c r="N35" s="182" t="s">
        <v>49</v>
      </c>
    </row>
    <row r="36" spans="1:14" ht="12" customHeight="1" x14ac:dyDescent="0.25">
      <c r="A36" s="155"/>
      <c r="B36" s="11">
        <v>2022</v>
      </c>
      <c r="C36" s="188">
        <v>95</v>
      </c>
      <c r="D36" s="182">
        <v>100</v>
      </c>
      <c r="E36" s="181">
        <v>97.5</v>
      </c>
      <c r="F36" s="181">
        <v>97.5</v>
      </c>
      <c r="G36" s="182">
        <v>97.5</v>
      </c>
      <c r="H36" s="181">
        <v>97.5</v>
      </c>
      <c r="I36" s="181">
        <v>100</v>
      </c>
      <c r="J36" s="181">
        <v>105</v>
      </c>
      <c r="K36" s="181">
        <v>100</v>
      </c>
      <c r="L36" s="182">
        <v>100</v>
      </c>
      <c r="M36" s="181">
        <v>105</v>
      </c>
      <c r="N36" s="182">
        <v>105</v>
      </c>
    </row>
    <row r="37" spans="1:14" ht="12" customHeight="1" x14ac:dyDescent="0.25">
      <c r="A37" s="155"/>
      <c r="B37" s="11">
        <v>2023</v>
      </c>
      <c r="C37" s="189" t="s">
        <v>4</v>
      </c>
      <c r="D37" s="181">
        <v>91</v>
      </c>
      <c r="E37" s="181">
        <v>100</v>
      </c>
      <c r="F37" s="181">
        <v>100</v>
      </c>
      <c r="G37" s="182">
        <v>100</v>
      </c>
      <c r="H37" s="181">
        <v>100</v>
      </c>
      <c r="I37" s="181">
        <v>100</v>
      </c>
      <c r="J37" s="181">
        <v>100</v>
      </c>
      <c r="K37" s="181">
        <v>100</v>
      </c>
      <c r="L37" s="181">
        <v>100</v>
      </c>
      <c r="M37" s="181">
        <v>100</v>
      </c>
      <c r="N37" s="181">
        <v>100</v>
      </c>
    </row>
    <row r="38" spans="1:14" ht="12" customHeight="1" x14ac:dyDescent="0.25">
      <c r="A38" s="18"/>
      <c r="B38" s="11">
        <v>2024</v>
      </c>
      <c r="C38" s="188">
        <v>108</v>
      </c>
      <c r="D38" s="181">
        <v>108</v>
      </c>
      <c r="E38" s="181">
        <v>98</v>
      </c>
      <c r="F38" s="181">
        <v>93</v>
      </c>
      <c r="G38" s="182">
        <v>107</v>
      </c>
      <c r="H38" s="181">
        <v>100</v>
      </c>
      <c r="I38" s="181">
        <v>98</v>
      </c>
      <c r="J38" s="181">
        <v>98</v>
      </c>
      <c r="K38" s="181">
        <v>105</v>
      </c>
      <c r="L38" s="181">
        <v>128.83333333333334</v>
      </c>
      <c r="M38" s="181">
        <v>119.23</v>
      </c>
      <c r="N38" s="181">
        <v>120</v>
      </c>
    </row>
    <row r="39" spans="1:14" ht="12" customHeight="1" x14ac:dyDescent="0.25">
      <c r="A39" s="149"/>
      <c r="B39" s="150">
        <v>2025</v>
      </c>
      <c r="C39" s="190">
        <v>130</v>
      </c>
      <c r="D39" s="186">
        <v>125</v>
      </c>
      <c r="E39" s="186">
        <v>117</v>
      </c>
      <c r="F39" s="186">
        <v>122</v>
      </c>
      <c r="G39" s="186">
        <v>121</v>
      </c>
      <c r="H39" s="186">
        <v>126</v>
      </c>
      <c r="I39" s="186">
        <v>126</v>
      </c>
      <c r="J39" s="186"/>
      <c r="K39" s="186"/>
      <c r="L39" s="186"/>
      <c r="M39" s="186"/>
      <c r="N39" s="186"/>
    </row>
    <row r="40" spans="1:14" ht="12" customHeight="1" x14ac:dyDescent="0.25">
      <c r="A40" s="155" t="s">
        <v>112</v>
      </c>
      <c r="B40" s="11">
        <v>2018</v>
      </c>
      <c r="C40" s="188">
        <v>74</v>
      </c>
      <c r="D40" s="187">
        <v>74</v>
      </c>
      <c r="E40" s="188">
        <v>77</v>
      </c>
      <c r="F40" s="181">
        <v>71</v>
      </c>
      <c r="G40" s="182">
        <v>77</v>
      </c>
      <c r="H40" s="181">
        <v>70</v>
      </c>
      <c r="I40" s="181">
        <v>71</v>
      </c>
      <c r="J40" s="181">
        <v>68</v>
      </c>
      <c r="K40" s="181">
        <v>70</v>
      </c>
      <c r="L40" s="182">
        <v>71</v>
      </c>
      <c r="M40" s="181">
        <v>70</v>
      </c>
      <c r="N40" s="182">
        <v>68</v>
      </c>
    </row>
    <row r="41" spans="1:14" ht="12" customHeight="1" x14ac:dyDescent="0.25">
      <c r="A41" s="155"/>
      <c r="B41" s="11">
        <v>2019</v>
      </c>
      <c r="C41" s="181">
        <v>71</v>
      </c>
      <c r="D41" s="182">
        <v>71</v>
      </c>
      <c r="E41" s="181">
        <v>74</v>
      </c>
      <c r="F41" s="181">
        <v>68</v>
      </c>
      <c r="G41" s="182">
        <v>69</v>
      </c>
      <c r="H41" s="181">
        <v>69</v>
      </c>
      <c r="I41" s="181">
        <v>72</v>
      </c>
      <c r="J41" s="188">
        <v>90</v>
      </c>
      <c r="K41" s="188">
        <v>90</v>
      </c>
      <c r="L41" s="187">
        <v>90</v>
      </c>
      <c r="M41" s="188">
        <v>90</v>
      </c>
      <c r="N41" s="187">
        <v>90</v>
      </c>
    </row>
    <row r="42" spans="1:14" ht="12" customHeight="1" x14ac:dyDescent="0.25">
      <c r="A42" s="155"/>
      <c r="B42" s="11">
        <v>2020</v>
      </c>
      <c r="C42" s="188">
        <v>90</v>
      </c>
      <c r="D42" s="182" t="s">
        <v>49</v>
      </c>
      <c r="E42" s="181" t="s">
        <v>49</v>
      </c>
      <c r="F42" s="181" t="s">
        <v>49</v>
      </c>
      <c r="G42" s="182" t="s">
        <v>49</v>
      </c>
      <c r="H42" s="181" t="s">
        <v>49</v>
      </c>
      <c r="I42" s="181" t="s">
        <v>49</v>
      </c>
      <c r="J42" s="181" t="s">
        <v>49</v>
      </c>
      <c r="K42" s="181" t="s">
        <v>49</v>
      </c>
      <c r="L42" s="182" t="s">
        <v>49</v>
      </c>
      <c r="M42" s="181" t="s">
        <v>49</v>
      </c>
      <c r="N42" s="182" t="s">
        <v>49</v>
      </c>
    </row>
    <row r="43" spans="1:14" ht="12" customHeight="1" x14ac:dyDescent="0.25">
      <c r="A43" s="155"/>
      <c r="B43" s="11">
        <v>2021</v>
      </c>
      <c r="C43" s="181" t="s">
        <v>49</v>
      </c>
      <c r="D43" s="182" t="s">
        <v>49</v>
      </c>
      <c r="E43" s="181" t="s">
        <v>49</v>
      </c>
      <c r="F43" s="181" t="s">
        <v>49</v>
      </c>
      <c r="G43" s="182" t="s">
        <v>49</v>
      </c>
      <c r="H43" s="181" t="s">
        <v>49</v>
      </c>
      <c r="I43" s="181">
        <v>95</v>
      </c>
      <c r="J43" s="181">
        <v>95</v>
      </c>
      <c r="K43" s="181" t="s">
        <v>49</v>
      </c>
      <c r="L43" s="182" t="s">
        <v>49</v>
      </c>
      <c r="M43" s="181">
        <v>95</v>
      </c>
      <c r="N43" s="182" t="s">
        <v>49</v>
      </c>
    </row>
    <row r="44" spans="1:14" ht="12" customHeight="1" x14ac:dyDescent="0.25">
      <c r="A44" s="155"/>
      <c r="B44" s="11">
        <v>2022</v>
      </c>
      <c r="C44" s="181">
        <v>100</v>
      </c>
      <c r="D44" s="181">
        <v>95</v>
      </c>
      <c r="E44" s="181">
        <v>95</v>
      </c>
      <c r="F44" s="181">
        <v>95</v>
      </c>
      <c r="G44" s="182">
        <v>95</v>
      </c>
      <c r="H44" s="181">
        <v>95</v>
      </c>
      <c r="I44" s="181">
        <v>95</v>
      </c>
      <c r="J44" s="181">
        <v>95</v>
      </c>
      <c r="K44" s="181">
        <v>95</v>
      </c>
      <c r="L44" s="182">
        <v>95</v>
      </c>
      <c r="M44" s="181" t="s">
        <v>49</v>
      </c>
      <c r="N44" s="182">
        <v>95</v>
      </c>
    </row>
    <row r="45" spans="1:14" ht="12" customHeight="1" x14ac:dyDescent="0.25">
      <c r="A45" s="155"/>
      <c r="B45" s="11">
        <v>2023</v>
      </c>
      <c r="C45" s="181">
        <v>100</v>
      </c>
      <c r="D45" s="181">
        <v>100</v>
      </c>
      <c r="E45" s="181">
        <v>100</v>
      </c>
      <c r="F45" s="181" t="s">
        <v>49</v>
      </c>
      <c r="G45" s="182" t="s">
        <v>49</v>
      </c>
      <c r="H45" s="181">
        <v>100</v>
      </c>
      <c r="I45" s="181">
        <v>100</v>
      </c>
      <c r="J45" s="181">
        <v>100</v>
      </c>
      <c r="K45" s="181">
        <v>100</v>
      </c>
      <c r="L45" s="181">
        <v>100</v>
      </c>
      <c r="M45" s="181">
        <v>100</v>
      </c>
      <c r="N45" s="181">
        <v>100</v>
      </c>
    </row>
    <row r="46" spans="1:14" ht="12" customHeight="1" x14ac:dyDescent="0.25">
      <c r="A46" s="18"/>
      <c r="B46" s="11">
        <v>2024</v>
      </c>
      <c r="C46" s="181">
        <v>100</v>
      </c>
      <c r="D46" s="181">
        <v>100</v>
      </c>
      <c r="E46" s="181">
        <v>100</v>
      </c>
      <c r="F46" s="181">
        <v>100</v>
      </c>
      <c r="G46" s="182">
        <v>100</v>
      </c>
      <c r="H46" s="181">
        <v>90</v>
      </c>
      <c r="I46" s="181">
        <v>95</v>
      </c>
      <c r="J46" s="181">
        <v>95</v>
      </c>
      <c r="K46" s="181">
        <v>89</v>
      </c>
      <c r="L46" s="5" t="s">
        <v>4</v>
      </c>
      <c r="M46" s="5" t="s">
        <v>4</v>
      </c>
      <c r="N46" s="181">
        <v>81</v>
      </c>
    </row>
    <row r="47" spans="1:14" ht="12" customHeight="1" x14ac:dyDescent="0.25">
      <c r="A47" s="149"/>
      <c r="B47" s="150">
        <v>2025</v>
      </c>
      <c r="C47" s="186" t="s">
        <v>49</v>
      </c>
      <c r="D47" s="186" t="s">
        <v>49</v>
      </c>
      <c r="E47" s="186" t="s">
        <v>49</v>
      </c>
      <c r="F47" s="186" t="s">
        <v>49</v>
      </c>
      <c r="G47" s="186" t="s">
        <v>49</v>
      </c>
      <c r="H47" s="186" t="s">
        <v>49</v>
      </c>
      <c r="I47" s="186" t="s">
        <v>49</v>
      </c>
      <c r="J47" s="186"/>
      <c r="K47" s="186"/>
      <c r="L47" s="185"/>
      <c r="M47" s="185"/>
      <c r="N47" s="186"/>
    </row>
    <row r="48" spans="1:14" ht="12" customHeight="1" x14ac:dyDescent="0.25">
      <c r="A48" s="18" t="s">
        <v>17</v>
      </c>
      <c r="B48" s="11">
        <v>2018</v>
      </c>
      <c r="C48" s="188">
        <v>59</v>
      </c>
      <c r="D48" s="187">
        <v>59</v>
      </c>
      <c r="E48" s="188">
        <v>59</v>
      </c>
      <c r="F48" s="188">
        <v>59</v>
      </c>
      <c r="G48" s="182">
        <v>67</v>
      </c>
      <c r="H48" s="181">
        <v>67</v>
      </c>
      <c r="I48" s="181">
        <v>65.5</v>
      </c>
      <c r="J48" s="181">
        <v>65.5</v>
      </c>
      <c r="K48" s="181">
        <v>67</v>
      </c>
      <c r="L48" s="182">
        <v>67</v>
      </c>
      <c r="M48" s="181">
        <v>67</v>
      </c>
      <c r="N48" s="182">
        <v>67</v>
      </c>
    </row>
    <row r="49" spans="1:14" ht="12" customHeight="1" x14ac:dyDescent="0.25">
      <c r="A49" s="18"/>
      <c r="B49" s="11">
        <v>2019</v>
      </c>
      <c r="C49" s="181">
        <v>67</v>
      </c>
      <c r="D49" s="182">
        <v>67</v>
      </c>
      <c r="E49" s="181">
        <v>71</v>
      </c>
      <c r="F49" s="181">
        <v>71</v>
      </c>
      <c r="G49" s="182">
        <v>72.5</v>
      </c>
      <c r="H49" s="181">
        <v>72.5</v>
      </c>
      <c r="I49" s="181">
        <v>72.5</v>
      </c>
      <c r="J49" s="188">
        <v>72.5</v>
      </c>
      <c r="K49" s="188">
        <v>70</v>
      </c>
      <c r="L49" s="187">
        <v>70</v>
      </c>
      <c r="M49" s="188">
        <v>70</v>
      </c>
      <c r="N49" s="187">
        <v>70</v>
      </c>
    </row>
    <row r="50" spans="1:14" ht="12" customHeight="1" x14ac:dyDescent="0.25">
      <c r="A50" s="18"/>
      <c r="B50" s="11">
        <v>2020</v>
      </c>
      <c r="C50" s="188">
        <v>70</v>
      </c>
      <c r="D50" s="182" t="s">
        <v>49</v>
      </c>
      <c r="E50" s="181" t="s">
        <v>49</v>
      </c>
      <c r="F50" s="181" t="s">
        <v>49</v>
      </c>
      <c r="G50" s="182">
        <v>70</v>
      </c>
      <c r="H50" s="181">
        <v>70</v>
      </c>
      <c r="I50" s="181">
        <v>70</v>
      </c>
      <c r="J50" s="181">
        <v>70</v>
      </c>
      <c r="K50" s="181" t="s">
        <v>49</v>
      </c>
      <c r="L50" s="187">
        <v>72.5</v>
      </c>
      <c r="M50" s="188">
        <v>72.5</v>
      </c>
      <c r="N50" s="187">
        <v>72.5</v>
      </c>
    </row>
    <row r="51" spans="1:14" ht="12" customHeight="1" x14ac:dyDescent="0.25">
      <c r="A51" s="18"/>
      <c r="B51" s="11">
        <v>2021</v>
      </c>
      <c r="C51" s="188">
        <v>72.5</v>
      </c>
      <c r="D51" s="187">
        <v>72.5</v>
      </c>
      <c r="E51" s="188">
        <v>72.5</v>
      </c>
      <c r="F51" s="188">
        <v>72.5</v>
      </c>
      <c r="G51" s="187">
        <v>72.5</v>
      </c>
      <c r="H51" s="188">
        <v>72.5</v>
      </c>
      <c r="I51" s="188">
        <v>72.5</v>
      </c>
      <c r="J51" s="181">
        <v>80</v>
      </c>
      <c r="K51" s="188">
        <v>82.5</v>
      </c>
      <c r="L51" s="187">
        <v>72.5</v>
      </c>
      <c r="M51" s="188">
        <v>72.5</v>
      </c>
      <c r="N51" s="187">
        <v>87.5</v>
      </c>
    </row>
    <row r="52" spans="1:14" ht="12" customHeight="1" x14ac:dyDescent="0.25">
      <c r="A52" s="18"/>
      <c r="B52" s="11">
        <v>2022</v>
      </c>
      <c r="C52" s="188">
        <v>102.5</v>
      </c>
      <c r="D52" s="187">
        <v>102.5</v>
      </c>
      <c r="E52" s="188">
        <v>102.5</v>
      </c>
      <c r="F52" s="188">
        <v>103</v>
      </c>
      <c r="G52" s="187">
        <v>100</v>
      </c>
      <c r="H52" s="188">
        <v>102.5</v>
      </c>
      <c r="I52" s="188">
        <v>102.5</v>
      </c>
      <c r="J52" s="188">
        <v>102.5</v>
      </c>
      <c r="K52" s="188">
        <v>102.5</v>
      </c>
      <c r="L52" s="187">
        <v>103</v>
      </c>
      <c r="M52" s="188">
        <v>103</v>
      </c>
      <c r="N52" s="187">
        <v>103</v>
      </c>
    </row>
    <row r="53" spans="1:14" ht="12" customHeight="1" x14ac:dyDescent="0.25">
      <c r="A53" s="18"/>
      <c r="B53" s="11">
        <v>2023</v>
      </c>
      <c r="C53" s="188">
        <v>103</v>
      </c>
      <c r="D53" s="188">
        <v>103</v>
      </c>
      <c r="E53" s="188">
        <v>103</v>
      </c>
      <c r="F53" s="188">
        <v>103</v>
      </c>
      <c r="G53" s="187">
        <v>103</v>
      </c>
      <c r="H53" s="188">
        <v>105</v>
      </c>
      <c r="I53" s="188">
        <v>103</v>
      </c>
      <c r="J53" s="188">
        <v>103</v>
      </c>
      <c r="K53" s="188">
        <v>103</v>
      </c>
      <c r="L53" s="188">
        <v>103</v>
      </c>
      <c r="M53" s="188">
        <v>103</v>
      </c>
      <c r="N53" s="188">
        <v>103</v>
      </c>
    </row>
    <row r="54" spans="1:14" ht="12" customHeight="1" x14ac:dyDescent="0.25">
      <c r="A54" s="18"/>
      <c r="B54" s="11">
        <v>2024</v>
      </c>
      <c r="C54" s="188">
        <v>103</v>
      </c>
      <c r="D54" s="188">
        <v>103</v>
      </c>
      <c r="E54" s="188">
        <v>110</v>
      </c>
      <c r="F54" s="181">
        <v>108</v>
      </c>
      <c r="G54" s="182">
        <v>108</v>
      </c>
      <c r="H54" s="181">
        <v>115</v>
      </c>
      <c r="I54" s="181">
        <v>120</v>
      </c>
      <c r="J54" s="181">
        <v>108</v>
      </c>
      <c r="K54" s="181">
        <v>100</v>
      </c>
      <c r="L54" s="181">
        <v>118.46618357487922</v>
      </c>
      <c r="M54" s="181">
        <v>100.28</v>
      </c>
      <c r="N54" s="181">
        <v>111.25</v>
      </c>
    </row>
    <row r="55" spans="1:14" ht="12" customHeight="1" x14ac:dyDescent="0.25">
      <c r="A55" s="149"/>
      <c r="B55" s="150">
        <v>2025</v>
      </c>
      <c r="C55" s="190">
        <v>116</v>
      </c>
      <c r="D55" s="190">
        <v>112</v>
      </c>
      <c r="E55" s="190">
        <v>116</v>
      </c>
      <c r="F55" s="186">
        <v>210</v>
      </c>
      <c r="G55" s="186">
        <v>192</v>
      </c>
      <c r="H55" s="186">
        <v>118</v>
      </c>
      <c r="I55" s="186">
        <v>164</v>
      </c>
      <c r="J55" s="186"/>
      <c r="K55" s="186"/>
      <c r="L55" s="186"/>
      <c r="M55" s="186"/>
      <c r="N55" s="186"/>
    </row>
    <row r="56" spans="1:14" ht="12" customHeight="1" x14ac:dyDescent="0.2">
      <c r="A56" s="179"/>
      <c r="B56" s="180"/>
      <c r="C56" s="40"/>
      <c r="D56" s="40"/>
      <c r="E56" s="162"/>
      <c r="F56" s="40"/>
      <c r="G56" s="40"/>
      <c r="H56" s="40"/>
      <c r="I56" s="162"/>
      <c r="J56" s="40"/>
      <c r="K56" s="40"/>
      <c r="L56" s="40"/>
      <c r="M56" s="197"/>
      <c r="N56" s="248" t="s">
        <v>26</v>
      </c>
    </row>
    <row r="57" spans="1:14" ht="12" customHeight="1" x14ac:dyDescent="0.25">
      <c r="A57" s="714" t="s">
        <v>148</v>
      </c>
      <c r="B57" s="714"/>
      <c r="C57" s="714"/>
      <c r="D57" s="714"/>
      <c r="E57" s="714"/>
      <c r="F57" s="714"/>
      <c r="G57" s="40"/>
      <c r="H57" s="40"/>
      <c r="I57" s="41"/>
      <c r="J57" s="23"/>
      <c r="K57" s="23"/>
      <c r="L57" s="23"/>
      <c r="M57" s="23"/>
      <c r="N57" s="182"/>
    </row>
    <row r="58" spans="1:14" ht="18" customHeight="1" x14ac:dyDescent="0.2">
      <c r="A58" s="239" t="s">
        <v>95</v>
      </c>
      <c r="B58" s="239" t="s">
        <v>141</v>
      </c>
      <c r="C58" s="239" t="s">
        <v>97</v>
      </c>
      <c r="D58" s="239" t="s">
        <v>98</v>
      </c>
      <c r="E58" s="239" t="s">
        <v>99</v>
      </c>
      <c r="F58" s="239" t="s">
        <v>100</v>
      </c>
      <c r="G58" s="239" t="s">
        <v>101</v>
      </c>
      <c r="H58" s="239" t="s">
        <v>102</v>
      </c>
      <c r="I58" s="239" t="s">
        <v>103</v>
      </c>
      <c r="J58" s="239" t="s">
        <v>104</v>
      </c>
      <c r="K58" s="239" t="s">
        <v>105</v>
      </c>
      <c r="L58" s="239" t="s">
        <v>106</v>
      </c>
      <c r="M58" s="239" t="s">
        <v>107</v>
      </c>
      <c r="N58" s="239" t="s">
        <v>108</v>
      </c>
    </row>
    <row r="59" spans="1:14" ht="3" customHeight="1" x14ac:dyDescent="0.25">
      <c r="A59" s="18"/>
      <c r="B59" s="11"/>
      <c r="C59" s="188"/>
      <c r="D59" s="188"/>
      <c r="E59" s="188"/>
      <c r="F59" s="181"/>
      <c r="G59" s="182"/>
      <c r="H59" s="181"/>
      <c r="I59" s="181"/>
      <c r="J59" s="181"/>
      <c r="K59" s="181"/>
      <c r="L59" s="181"/>
      <c r="M59" s="181"/>
      <c r="N59" s="181"/>
    </row>
    <row r="60" spans="1:14" ht="12" customHeight="1" x14ac:dyDescent="0.25">
      <c r="A60" s="18" t="s">
        <v>21</v>
      </c>
      <c r="B60" s="11">
        <v>2018</v>
      </c>
      <c r="C60" s="188">
        <v>75</v>
      </c>
      <c r="D60" s="187">
        <v>75</v>
      </c>
      <c r="E60" s="188">
        <v>75</v>
      </c>
      <c r="F60" s="181">
        <v>72.5</v>
      </c>
      <c r="G60" s="182">
        <v>72.5</v>
      </c>
      <c r="H60" s="181">
        <v>75</v>
      </c>
      <c r="I60" s="181">
        <v>75</v>
      </c>
      <c r="J60" s="181">
        <v>76</v>
      </c>
      <c r="K60" s="181">
        <v>76</v>
      </c>
      <c r="L60" s="182">
        <v>78</v>
      </c>
      <c r="M60" s="181">
        <v>78</v>
      </c>
      <c r="N60" s="182">
        <v>80</v>
      </c>
    </row>
    <row r="61" spans="1:14" ht="12" customHeight="1" x14ac:dyDescent="0.25">
      <c r="A61" s="18"/>
      <c r="B61" s="11">
        <v>2019</v>
      </c>
      <c r="C61" s="181">
        <v>80</v>
      </c>
      <c r="D61" s="182">
        <v>80</v>
      </c>
      <c r="E61" s="181">
        <v>81</v>
      </c>
      <c r="F61" s="181">
        <v>81</v>
      </c>
      <c r="G61" s="182">
        <v>83</v>
      </c>
      <c r="H61" s="181">
        <v>83</v>
      </c>
      <c r="I61" s="181">
        <v>82.5</v>
      </c>
      <c r="J61" s="188">
        <v>82.5</v>
      </c>
      <c r="K61" s="188">
        <v>80</v>
      </c>
      <c r="L61" s="187">
        <v>80</v>
      </c>
      <c r="M61" s="188">
        <v>80</v>
      </c>
      <c r="N61" s="187">
        <v>80</v>
      </c>
    </row>
    <row r="62" spans="1:14" ht="12" customHeight="1" x14ac:dyDescent="0.25">
      <c r="A62" s="18"/>
      <c r="B62" s="11">
        <v>2020</v>
      </c>
      <c r="C62" s="181">
        <v>85</v>
      </c>
      <c r="D62" s="182">
        <v>85</v>
      </c>
      <c r="E62" s="181" t="s">
        <v>49</v>
      </c>
      <c r="F62" s="181">
        <v>80</v>
      </c>
      <c r="G62" s="182">
        <v>85</v>
      </c>
      <c r="H62" s="181">
        <v>85</v>
      </c>
      <c r="I62" s="181">
        <v>85</v>
      </c>
      <c r="J62" s="181">
        <v>85</v>
      </c>
      <c r="K62" s="188">
        <v>80</v>
      </c>
      <c r="L62" s="182">
        <v>85</v>
      </c>
      <c r="M62" s="181">
        <v>85</v>
      </c>
      <c r="N62" s="182">
        <v>85</v>
      </c>
    </row>
    <row r="63" spans="1:14" ht="12" customHeight="1" x14ac:dyDescent="0.25">
      <c r="A63" s="18"/>
      <c r="B63" s="11">
        <v>2021</v>
      </c>
      <c r="C63" s="181">
        <v>80</v>
      </c>
      <c r="D63" s="182">
        <v>85</v>
      </c>
      <c r="E63" s="181">
        <v>85</v>
      </c>
      <c r="F63" s="181">
        <v>85</v>
      </c>
      <c r="G63" s="182">
        <v>85</v>
      </c>
      <c r="H63" s="181">
        <v>85</v>
      </c>
      <c r="I63" s="181">
        <v>85</v>
      </c>
      <c r="J63" s="181">
        <v>85</v>
      </c>
      <c r="K63" s="188">
        <v>90</v>
      </c>
      <c r="L63" s="187">
        <v>90</v>
      </c>
      <c r="M63" s="181">
        <v>95</v>
      </c>
      <c r="N63" s="182">
        <v>100</v>
      </c>
    </row>
    <row r="64" spans="1:14" ht="12" customHeight="1" x14ac:dyDescent="0.25">
      <c r="A64" s="18"/>
      <c r="B64" s="11">
        <v>2022</v>
      </c>
      <c r="C64" s="181">
        <v>100</v>
      </c>
      <c r="D64" s="182">
        <v>95</v>
      </c>
      <c r="E64" s="181">
        <v>95</v>
      </c>
      <c r="F64" s="181">
        <v>100</v>
      </c>
      <c r="G64" s="182">
        <v>100</v>
      </c>
      <c r="H64" s="181">
        <v>100</v>
      </c>
      <c r="I64" s="181">
        <v>110</v>
      </c>
      <c r="J64" s="181">
        <v>110</v>
      </c>
      <c r="K64" s="188">
        <v>105</v>
      </c>
      <c r="L64" s="187">
        <v>92.5</v>
      </c>
      <c r="M64" s="181">
        <v>100</v>
      </c>
      <c r="N64" s="187">
        <v>105</v>
      </c>
    </row>
    <row r="65" spans="1:14" ht="12" customHeight="1" x14ac:dyDescent="0.25">
      <c r="A65" s="18"/>
      <c r="B65" s="21">
        <v>2023</v>
      </c>
      <c r="C65" s="181">
        <v>115</v>
      </c>
      <c r="D65" s="181">
        <v>115</v>
      </c>
      <c r="E65" s="181">
        <v>110</v>
      </c>
      <c r="F65" s="181">
        <v>115</v>
      </c>
      <c r="G65" s="182">
        <v>115</v>
      </c>
      <c r="H65" s="181">
        <v>115</v>
      </c>
      <c r="I65" s="181">
        <v>115</v>
      </c>
      <c r="J65" s="181">
        <v>115</v>
      </c>
      <c r="K65" s="188">
        <v>115</v>
      </c>
      <c r="L65" s="188">
        <v>115</v>
      </c>
      <c r="M65" s="181">
        <v>120</v>
      </c>
      <c r="N65" s="188">
        <v>123</v>
      </c>
    </row>
    <row r="66" spans="1:14" ht="12" customHeight="1" x14ac:dyDescent="0.25">
      <c r="A66" s="18"/>
      <c r="B66" s="11">
        <v>2024</v>
      </c>
      <c r="C66" s="181">
        <v>123</v>
      </c>
      <c r="D66" s="181">
        <v>110</v>
      </c>
      <c r="E66" s="181">
        <v>125</v>
      </c>
      <c r="F66" s="181">
        <v>120</v>
      </c>
      <c r="G66" s="182">
        <v>135</v>
      </c>
      <c r="H66" s="181">
        <v>135</v>
      </c>
      <c r="I66" s="181">
        <v>125</v>
      </c>
      <c r="J66" s="181">
        <v>135</v>
      </c>
      <c r="K66" s="181">
        <v>117.5</v>
      </c>
      <c r="L66" s="181">
        <v>125.33730756322035</v>
      </c>
      <c r="M66" s="181">
        <v>115.58</v>
      </c>
      <c r="N66" s="181">
        <v>126</v>
      </c>
    </row>
    <row r="67" spans="1:14" ht="12" customHeight="1" x14ac:dyDescent="0.25">
      <c r="A67" s="149"/>
      <c r="B67" s="150">
        <v>2025</v>
      </c>
      <c r="C67" s="186">
        <v>123</v>
      </c>
      <c r="D67" s="186">
        <v>123</v>
      </c>
      <c r="E67" s="186">
        <v>127</v>
      </c>
      <c r="F67" s="186">
        <v>123</v>
      </c>
      <c r="G67" s="186">
        <v>121</v>
      </c>
      <c r="H67" s="186">
        <v>121</v>
      </c>
      <c r="I67" s="186">
        <v>121</v>
      </c>
      <c r="J67" s="186"/>
      <c r="K67" s="186"/>
      <c r="L67" s="186"/>
      <c r="M67" s="186"/>
      <c r="N67" s="186"/>
    </row>
    <row r="68" spans="1:14" ht="12" customHeight="1" x14ac:dyDescent="0.25">
      <c r="A68" s="18" t="s">
        <v>53</v>
      </c>
      <c r="B68" s="11">
        <v>2018</v>
      </c>
      <c r="C68" s="188">
        <v>70</v>
      </c>
      <c r="D68" s="187">
        <v>70</v>
      </c>
      <c r="E68" s="188">
        <v>70</v>
      </c>
      <c r="F68" s="188">
        <v>70</v>
      </c>
      <c r="G68" s="188">
        <v>70</v>
      </c>
      <c r="H68" s="188">
        <v>70</v>
      </c>
      <c r="I68" s="181">
        <v>74.5</v>
      </c>
      <c r="J68" s="181">
        <v>74.5</v>
      </c>
      <c r="K68" s="181">
        <v>71.900000000000006</v>
      </c>
      <c r="L68" s="182">
        <v>69</v>
      </c>
      <c r="M68" s="181">
        <v>69</v>
      </c>
      <c r="N68" s="182">
        <v>69</v>
      </c>
    </row>
    <row r="69" spans="1:14" ht="12" customHeight="1" x14ac:dyDescent="0.25">
      <c r="A69" s="18"/>
      <c r="B69" s="11">
        <v>2019</v>
      </c>
      <c r="C69" s="181">
        <v>74</v>
      </c>
      <c r="D69" s="182">
        <v>74.5</v>
      </c>
      <c r="E69" s="181">
        <v>68</v>
      </c>
      <c r="F69" s="181">
        <v>70</v>
      </c>
      <c r="G69" s="181">
        <v>74</v>
      </c>
      <c r="H69" s="181">
        <v>74</v>
      </c>
      <c r="I69" s="181">
        <v>75</v>
      </c>
      <c r="J69" s="188">
        <v>76</v>
      </c>
      <c r="K69" s="188">
        <v>80</v>
      </c>
      <c r="L69" s="187">
        <v>80</v>
      </c>
      <c r="M69" s="188">
        <v>80</v>
      </c>
      <c r="N69" s="187">
        <v>80</v>
      </c>
    </row>
    <row r="70" spans="1:14" ht="12" customHeight="1" x14ac:dyDescent="0.25">
      <c r="A70" s="18"/>
      <c r="B70" s="11">
        <v>2020</v>
      </c>
      <c r="C70" s="181">
        <v>80</v>
      </c>
      <c r="D70" s="182" t="s">
        <v>49</v>
      </c>
      <c r="E70" s="181" t="s">
        <v>49</v>
      </c>
      <c r="F70" s="181" t="s">
        <v>49</v>
      </c>
      <c r="G70" s="181" t="s">
        <v>49</v>
      </c>
      <c r="H70" s="181" t="s">
        <v>49</v>
      </c>
      <c r="I70" s="181" t="s">
        <v>49</v>
      </c>
      <c r="J70" s="181" t="s">
        <v>49</v>
      </c>
      <c r="K70" s="181" t="s">
        <v>49</v>
      </c>
      <c r="L70" s="182" t="s">
        <v>49</v>
      </c>
      <c r="M70" s="181" t="s">
        <v>49</v>
      </c>
      <c r="N70" s="182" t="s">
        <v>49</v>
      </c>
    </row>
    <row r="71" spans="1:14" ht="12" customHeight="1" x14ac:dyDescent="0.25">
      <c r="A71" s="18"/>
      <c r="B71" s="11">
        <v>2021</v>
      </c>
      <c r="C71" s="181">
        <v>90</v>
      </c>
      <c r="D71" s="182">
        <v>90</v>
      </c>
      <c r="E71" s="181">
        <v>72.5</v>
      </c>
      <c r="F71" s="181">
        <v>75</v>
      </c>
      <c r="G71" s="181">
        <v>77.5</v>
      </c>
      <c r="H71" s="181">
        <v>77.5</v>
      </c>
      <c r="I71" s="181">
        <v>77.5</v>
      </c>
      <c r="J71" s="181">
        <v>84</v>
      </c>
      <c r="K71" s="188">
        <v>82.5</v>
      </c>
      <c r="L71" s="182">
        <v>92.5</v>
      </c>
      <c r="M71" s="181">
        <v>87.5</v>
      </c>
      <c r="N71" s="182">
        <v>82.5</v>
      </c>
    </row>
    <row r="72" spans="1:14" ht="12" customHeight="1" x14ac:dyDescent="0.25">
      <c r="A72" s="18"/>
      <c r="B72" s="11">
        <v>2022</v>
      </c>
      <c r="C72" s="181">
        <v>80</v>
      </c>
      <c r="D72" s="182">
        <v>79</v>
      </c>
      <c r="E72" s="181">
        <v>82</v>
      </c>
      <c r="F72" s="181">
        <v>80</v>
      </c>
      <c r="G72" s="181">
        <v>85</v>
      </c>
      <c r="H72" s="181">
        <v>85</v>
      </c>
      <c r="I72" s="181">
        <v>97.5</v>
      </c>
      <c r="J72" s="181">
        <v>97.5</v>
      </c>
      <c r="K72" s="188">
        <v>95</v>
      </c>
      <c r="L72" s="182">
        <v>90</v>
      </c>
      <c r="M72" s="181">
        <v>90</v>
      </c>
      <c r="N72" s="181">
        <v>90</v>
      </c>
    </row>
    <row r="73" spans="1:14" ht="12" customHeight="1" x14ac:dyDescent="0.25">
      <c r="A73" s="18"/>
      <c r="B73" s="21">
        <v>2023</v>
      </c>
      <c r="C73" s="181" t="s">
        <v>49</v>
      </c>
      <c r="D73" s="182" t="s">
        <v>49</v>
      </c>
      <c r="E73" s="182" t="s">
        <v>49</v>
      </c>
      <c r="F73" s="182" t="s">
        <v>49</v>
      </c>
      <c r="G73" s="182" t="s">
        <v>49</v>
      </c>
      <c r="H73" s="181" t="s">
        <v>49</v>
      </c>
      <c r="I73" s="181">
        <v>123</v>
      </c>
      <c r="J73" s="181">
        <v>120</v>
      </c>
      <c r="K73" s="188">
        <v>120</v>
      </c>
      <c r="L73" s="181">
        <v>117</v>
      </c>
      <c r="M73" s="181">
        <v>118</v>
      </c>
      <c r="N73" s="181">
        <v>118</v>
      </c>
    </row>
    <row r="74" spans="1:14" ht="12" customHeight="1" x14ac:dyDescent="0.25">
      <c r="A74" s="20"/>
      <c r="B74" s="21">
        <v>2024</v>
      </c>
      <c r="C74" s="181">
        <v>120</v>
      </c>
      <c r="D74" s="182">
        <v>120</v>
      </c>
      <c r="E74" s="181">
        <v>120</v>
      </c>
      <c r="F74" s="181">
        <v>110</v>
      </c>
      <c r="G74" s="181">
        <v>160</v>
      </c>
      <c r="H74" s="181">
        <v>120</v>
      </c>
      <c r="I74" s="181">
        <v>130</v>
      </c>
      <c r="J74" s="181">
        <v>131</v>
      </c>
      <c r="K74" s="181">
        <v>113.5</v>
      </c>
      <c r="L74" s="181">
        <v>113.2</v>
      </c>
      <c r="M74" s="181">
        <v>113.7</v>
      </c>
      <c r="N74" s="181">
        <v>113.7</v>
      </c>
    </row>
    <row r="75" spans="1:14" ht="12" customHeight="1" x14ac:dyDescent="0.25">
      <c r="A75" s="24"/>
      <c r="B75" s="25">
        <v>2025</v>
      </c>
      <c r="C75" s="186">
        <v>123.5</v>
      </c>
      <c r="D75" s="184">
        <v>123</v>
      </c>
      <c r="E75" s="186">
        <v>129</v>
      </c>
      <c r="F75" s="186">
        <v>128</v>
      </c>
      <c r="G75" s="186">
        <v>128</v>
      </c>
      <c r="H75" s="186">
        <v>128</v>
      </c>
      <c r="I75" s="186">
        <v>114.3</v>
      </c>
      <c r="J75" s="186"/>
      <c r="K75" s="186"/>
      <c r="L75" s="186"/>
      <c r="M75" s="186"/>
      <c r="N75" s="186"/>
    </row>
    <row r="76" spans="1:14" ht="12" customHeight="1" x14ac:dyDescent="0.25">
      <c r="A76" s="20" t="s">
        <v>27</v>
      </c>
      <c r="B76" s="21">
        <v>2018</v>
      </c>
      <c r="C76" s="188">
        <v>95</v>
      </c>
      <c r="D76" s="188">
        <v>95</v>
      </c>
      <c r="E76" s="188">
        <v>96</v>
      </c>
      <c r="F76" s="188">
        <v>96</v>
      </c>
      <c r="G76" s="181">
        <v>98</v>
      </c>
      <c r="H76" s="181">
        <v>97.5</v>
      </c>
      <c r="I76" s="181">
        <v>97.5</v>
      </c>
      <c r="J76" s="181">
        <v>97.5</v>
      </c>
      <c r="K76" s="181">
        <v>96</v>
      </c>
      <c r="L76" s="182">
        <v>96</v>
      </c>
      <c r="M76" s="181">
        <v>96</v>
      </c>
      <c r="N76" s="182">
        <v>100</v>
      </c>
    </row>
    <row r="77" spans="1:14" ht="12" customHeight="1" x14ac:dyDescent="0.25">
      <c r="A77" s="20"/>
      <c r="B77" s="21">
        <v>2019</v>
      </c>
      <c r="C77" s="181">
        <v>100</v>
      </c>
      <c r="D77" s="181">
        <v>107.5</v>
      </c>
      <c r="E77" s="181">
        <v>109</v>
      </c>
      <c r="F77" s="181">
        <v>108</v>
      </c>
      <c r="G77" s="181">
        <v>108</v>
      </c>
      <c r="H77" s="181">
        <v>106</v>
      </c>
      <c r="I77" s="181">
        <v>106</v>
      </c>
      <c r="J77" s="188">
        <v>107</v>
      </c>
      <c r="K77" s="188">
        <v>110</v>
      </c>
      <c r="L77" s="182">
        <v>110</v>
      </c>
      <c r="M77" s="181">
        <v>115</v>
      </c>
      <c r="N77" s="182">
        <v>115</v>
      </c>
    </row>
    <row r="78" spans="1:14" ht="12" customHeight="1" x14ac:dyDescent="0.25">
      <c r="A78" s="20"/>
      <c r="B78" s="21">
        <v>2020</v>
      </c>
      <c r="C78" s="181">
        <v>115</v>
      </c>
      <c r="D78" s="181">
        <v>115</v>
      </c>
      <c r="E78" s="181">
        <v>115</v>
      </c>
      <c r="F78" s="181">
        <v>115</v>
      </c>
      <c r="G78" s="181">
        <v>122.5</v>
      </c>
      <c r="H78" s="181">
        <v>122.5</v>
      </c>
      <c r="I78" s="181">
        <v>122.5</v>
      </c>
      <c r="J78" s="181">
        <v>122.5</v>
      </c>
      <c r="K78" s="181">
        <v>122.5</v>
      </c>
      <c r="L78" s="182">
        <v>122.5</v>
      </c>
      <c r="M78" s="181">
        <v>122.5</v>
      </c>
      <c r="N78" s="182">
        <v>125</v>
      </c>
    </row>
    <row r="79" spans="1:14" ht="12" customHeight="1" x14ac:dyDescent="0.25">
      <c r="A79" s="20"/>
      <c r="B79" s="21">
        <v>2021</v>
      </c>
      <c r="C79" s="181">
        <v>130</v>
      </c>
      <c r="D79" s="181">
        <v>125</v>
      </c>
      <c r="E79" s="181">
        <v>130</v>
      </c>
      <c r="F79" s="181">
        <v>130</v>
      </c>
      <c r="G79" s="181">
        <v>130</v>
      </c>
      <c r="H79" s="181">
        <v>130</v>
      </c>
      <c r="I79" s="181">
        <v>130</v>
      </c>
      <c r="J79" s="181">
        <v>130</v>
      </c>
      <c r="K79" s="181">
        <v>130</v>
      </c>
      <c r="L79" s="182">
        <v>130</v>
      </c>
      <c r="M79" s="181">
        <v>130</v>
      </c>
      <c r="N79" s="145">
        <v>130</v>
      </c>
    </row>
    <row r="80" spans="1:14" ht="12" customHeight="1" x14ac:dyDescent="0.25">
      <c r="A80" s="20"/>
      <c r="B80" s="21">
        <v>2022</v>
      </c>
      <c r="C80" s="181">
        <v>130</v>
      </c>
      <c r="D80" s="181">
        <v>130</v>
      </c>
      <c r="E80" s="181">
        <v>130</v>
      </c>
      <c r="F80" s="181">
        <v>130</v>
      </c>
      <c r="G80" s="181">
        <v>130</v>
      </c>
      <c r="H80" s="181">
        <v>130</v>
      </c>
      <c r="I80" s="181">
        <v>130</v>
      </c>
      <c r="J80" s="181">
        <v>130</v>
      </c>
      <c r="K80" s="181">
        <v>130</v>
      </c>
      <c r="L80" s="182">
        <v>140</v>
      </c>
      <c r="M80" s="181">
        <v>130</v>
      </c>
      <c r="N80" s="145">
        <v>120</v>
      </c>
    </row>
    <row r="81" spans="1:14" ht="12" customHeight="1" x14ac:dyDescent="0.25">
      <c r="A81" s="42"/>
      <c r="B81" s="21">
        <v>2023</v>
      </c>
      <c r="C81" s="181">
        <v>132</v>
      </c>
      <c r="D81" s="181">
        <v>133</v>
      </c>
      <c r="E81" s="181">
        <v>150</v>
      </c>
      <c r="F81" s="181">
        <v>128</v>
      </c>
      <c r="G81" s="181">
        <v>145</v>
      </c>
      <c r="H81" s="181">
        <v>133</v>
      </c>
      <c r="I81" s="181">
        <v>140</v>
      </c>
      <c r="J81" s="181">
        <v>140</v>
      </c>
      <c r="K81" s="181">
        <v>143</v>
      </c>
      <c r="L81" s="181">
        <v>158</v>
      </c>
      <c r="M81" s="181">
        <v>158</v>
      </c>
      <c r="N81" s="140">
        <v>150</v>
      </c>
    </row>
    <row r="82" spans="1:14" ht="12" customHeight="1" x14ac:dyDescent="0.25">
      <c r="A82" s="20"/>
      <c r="B82" s="21">
        <v>2024</v>
      </c>
      <c r="C82" s="181">
        <v>160</v>
      </c>
      <c r="D82" s="181">
        <v>150</v>
      </c>
      <c r="E82" s="181">
        <v>150</v>
      </c>
      <c r="F82" s="181">
        <v>164</v>
      </c>
      <c r="G82" s="182">
        <v>165</v>
      </c>
      <c r="H82" s="181">
        <v>165</v>
      </c>
      <c r="I82" s="181">
        <v>165</v>
      </c>
      <c r="J82" s="181">
        <v>165</v>
      </c>
      <c r="K82" s="181">
        <v>159</v>
      </c>
      <c r="L82" s="5" t="s">
        <v>4</v>
      </c>
      <c r="M82" s="181">
        <v>150</v>
      </c>
      <c r="N82" s="140">
        <v>150</v>
      </c>
    </row>
    <row r="83" spans="1:14" ht="12" customHeight="1" x14ac:dyDescent="0.25">
      <c r="A83" s="24"/>
      <c r="B83" s="25">
        <v>2025</v>
      </c>
      <c r="C83" s="186">
        <v>163</v>
      </c>
      <c r="D83" s="185" t="s">
        <v>4</v>
      </c>
      <c r="E83" s="186">
        <v>170</v>
      </c>
      <c r="F83" s="186">
        <v>170</v>
      </c>
      <c r="G83" s="186">
        <v>170</v>
      </c>
      <c r="H83" s="186">
        <v>170</v>
      </c>
      <c r="I83" s="186">
        <v>170</v>
      </c>
      <c r="J83" s="186"/>
      <c r="K83" s="186"/>
      <c r="L83" s="185"/>
      <c r="M83" s="186"/>
      <c r="N83" s="154"/>
    </row>
    <row r="84" spans="1:14" ht="12" customHeight="1" x14ac:dyDescent="0.25">
      <c r="A84" s="20" t="s">
        <v>114</v>
      </c>
      <c r="B84" s="21">
        <v>2018</v>
      </c>
      <c r="C84" s="181">
        <v>77.916666666666671</v>
      </c>
      <c r="D84" s="181">
        <v>76.875</v>
      </c>
      <c r="E84" s="181">
        <v>75</v>
      </c>
      <c r="F84" s="181">
        <v>75</v>
      </c>
      <c r="G84" s="182">
        <v>73.400000000000006</v>
      </c>
      <c r="H84" s="181">
        <v>74.599999999999994</v>
      </c>
      <c r="I84" s="181">
        <v>73.8</v>
      </c>
      <c r="J84" s="181">
        <v>75.400000000000006</v>
      </c>
      <c r="K84" s="181">
        <v>75.5</v>
      </c>
      <c r="L84" s="182">
        <v>76.5</v>
      </c>
      <c r="M84" s="181">
        <v>78.3</v>
      </c>
      <c r="N84" s="182">
        <v>78.3</v>
      </c>
    </row>
    <row r="85" spans="1:14" ht="12" customHeight="1" x14ac:dyDescent="0.25">
      <c r="A85" s="20"/>
      <c r="B85" s="21">
        <v>2019</v>
      </c>
      <c r="C85" s="181">
        <v>77</v>
      </c>
      <c r="D85" s="181">
        <v>77</v>
      </c>
      <c r="E85" s="181">
        <v>76.7</v>
      </c>
      <c r="F85" s="181">
        <v>77</v>
      </c>
      <c r="G85" s="182">
        <v>76.7</v>
      </c>
      <c r="H85" s="181">
        <v>75.5</v>
      </c>
      <c r="I85" s="181">
        <v>75</v>
      </c>
      <c r="J85" s="188">
        <v>72.900000000000006</v>
      </c>
      <c r="K85" s="188">
        <v>80</v>
      </c>
      <c r="L85" s="182">
        <v>95</v>
      </c>
      <c r="M85" s="181">
        <v>95</v>
      </c>
      <c r="N85" s="182">
        <v>95</v>
      </c>
    </row>
    <row r="86" spans="1:14" ht="12" customHeight="1" x14ac:dyDescent="0.25">
      <c r="A86" s="20"/>
      <c r="B86" s="21">
        <v>2020</v>
      </c>
      <c r="C86" s="181">
        <v>95</v>
      </c>
      <c r="D86" s="181" t="s">
        <v>49</v>
      </c>
      <c r="E86" s="181" t="s">
        <v>49</v>
      </c>
      <c r="F86" s="181" t="s">
        <v>49</v>
      </c>
      <c r="G86" s="182" t="s">
        <v>49</v>
      </c>
      <c r="H86" s="181" t="s">
        <v>49</v>
      </c>
      <c r="I86" s="181">
        <v>110</v>
      </c>
      <c r="J86" s="181">
        <v>110</v>
      </c>
      <c r="K86" s="181">
        <v>110</v>
      </c>
      <c r="L86" s="182">
        <v>100</v>
      </c>
      <c r="M86" s="181">
        <v>100</v>
      </c>
      <c r="N86" s="182">
        <v>100</v>
      </c>
    </row>
    <row r="87" spans="1:14" ht="12" customHeight="1" x14ac:dyDescent="0.25">
      <c r="A87" s="20"/>
      <c r="B87" s="21">
        <v>2021</v>
      </c>
      <c r="C87" s="181">
        <v>95</v>
      </c>
      <c r="D87" s="181">
        <v>95</v>
      </c>
      <c r="E87" s="181">
        <v>95</v>
      </c>
      <c r="F87" s="181">
        <v>92.5</v>
      </c>
      <c r="G87" s="182">
        <v>92.5</v>
      </c>
      <c r="H87" s="181">
        <v>95</v>
      </c>
      <c r="I87" s="181">
        <v>100</v>
      </c>
      <c r="J87" s="181">
        <v>100</v>
      </c>
      <c r="K87" s="181">
        <v>100</v>
      </c>
      <c r="L87" s="182">
        <v>100</v>
      </c>
      <c r="M87" s="181">
        <v>100</v>
      </c>
      <c r="N87" s="182">
        <v>95</v>
      </c>
    </row>
    <row r="88" spans="1:14" ht="12" customHeight="1" x14ac:dyDescent="0.25">
      <c r="A88" s="20"/>
      <c r="B88" s="21">
        <v>2022</v>
      </c>
      <c r="C88" s="181">
        <v>110</v>
      </c>
      <c r="D88" s="181">
        <v>110</v>
      </c>
      <c r="E88" s="181">
        <v>110</v>
      </c>
      <c r="F88" s="181">
        <v>110</v>
      </c>
      <c r="G88" s="182">
        <v>110</v>
      </c>
      <c r="H88" s="181">
        <v>115</v>
      </c>
      <c r="I88" s="181">
        <v>110</v>
      </c>
      <c r="J88" s="181">
        <v>110</v>
      </c>
      <c r="K88" s="181">
        <v>115</v>
      </c>
      <c r="L88" s="182">
        <v>110</v>
      </c>
      <c r="M88" s="181">
        <v>110</v>
      </c>
      <c r="N88" s="182">
        <v>110</v>
      </c>
    </row>
    <row r="89" spans="1:14" ht="12" customHeight="1" x14ac:dyDescent="0.25">
      <c r="A89" s="20"/>
      <c r="B89" s="21">
        <v>2023</v>
      </c>
      <c r="C89" s="181">
        <v>115</v>
      </c>
      <c r="D89" s="181">
        <v>120</v>
      </c>
      <c r="E89" s="181">
        <v>130</v>
      </c>
      <c r="F89" s="181">
        <v>130</v>
      </c>
      <c r="G89" s="182">
        <v>140</v>
      </c>
      <c r="H89" s="181">
        <v>140</v>
      </c>
      <c r="I89" s="181">
        <v>130</v>
      </c>
      <c r="J89" s="181">
        <v>130</v>
      </c>
      <c r="K89" s="181">
        <v>130</v>
      </c>
      <c r="L89" s="181">
        <v>138</v>
      </c>
      <c r="M89" s="181">
        <v>135</v>
      </c>
      <c r="N89" s="181">
        <v>135</v>
      </c>
    </row>
    <row r="90" spans="1:14" ht="12" customHeight="1" x14ac:dyDescent="0.25">
      <c r="A90" s="20"/>
      <c r="B90" s="21">
        <v>2024</v>
      </c>
      <c r="C90" s="181">
        <v>135</v>
      </c>
      <c r="D90" s="181">
        <v>123</v>
      </c>
      <c r="E90" s="181">
        <v>124</v>
      </c>
      <c r="F90" s="181">
        <v>158</v>
      </c>
      <c r="G90" s="182">
        <v>140</v>
      </c>
      <c r="H90" s="181">
        <v>140</v>
      </c>
      <c r="I90" s="181">
        <v>140</v>
      </c>
      <c r="J90" s="181">
        <v>120</v>
      </c>
      <c r="K90" s="181">
        <v>123</v>
      </c>
      <c r="L90" s="181">
        <v>121.81818181818181</v>
      </c>
      <c r="M90" s="181">
        <v>146.04</v>
      </c>
      <c r="N90" s="181">
        <v>165</v>
      </c>
    </row>
    <row r="91" spans="1:14" ht="12" customHeight="1" x14ac:dyDescent="0.25">
      <c r="A91" s="24"/>
      <c r="B91" s="25">
        <v>2025</v>
      </c>
      <c r="C91" s="186">
        <v>131</v>
      </c>
      <c r="D91" s="186">
        <v>120</v>
      </c>
      <c r="E91" s="186">
        <v>126</v>
      </c>
      <c r="F91" s="186">
        <v>126</v>
      </c>
      <c r="G91" s="186">
        <v>128</v>
      </c>
      <c r="H91" s="186">
        <v>127</v>
      </c>
      <c r="I91" s="186">
        <v>127</v>
      </c>
      <c r="J91" s="186"/>
      <c r="K91" s="186"/>
      <c r="L91" s="186"/>
      <c r="M91" s="186"/>
      <c r="N91" s="186"/>
    </row>
    <row r="92" spans="1:14" ht="12" customHeight="1" x14ac:dyDescent="0.25">
      <c r="A92" s="20" t="s">
        <v>38</v>
      </c>
      <c r="B92" s="21">
        <v>2018</v>
      </c>
      <c r="C92" s="181">
        <v>84</v>
      </c>
      <c r="D92" s="181">
        <v>82.5</v>
      </c>
      <c r="E92" s="181">
        <v>82.5</v>
      </c>
      <c r="F92" s="181">
        <v>82.5</v>
      </c>
      <c r="G92" s="182">
        <v>82.5</v>
      </c>
      <c r="H92" s="181">
        <v>82.5</v>
      </c>
      <c r="I92" s="181">
        <v>89.5</v>
      </c>
      <c r="J92" s="181">
        <v>89.5</v>
      </c>
      <c r="K92" s="181">
        <v>91</v>
      </c>
      <c r="L92" s="182">
        <v>93</v>
      </c>
      <c r="M92" s="181">
        <v>93</v>
      </c>
      <c r="N92" s="182">
        <v>93</v>
      </c>
    </row>
    <row r="93" spans="1:14" ht="12" customHeight="1" x14ac:dyDescent="0.25">
      <c r="A93" s="20"/>
      <c r="B93" s="21">
        <v>2019</v>
      </c>
      <c r="C93" s="181">
        <v>76.5</v>
      </c>
      <c r="D93" s="181">
        <v>85</v>
      </c>
      <c r="E93" s="181">
        <v>70</v>
      </c>
      <c r="F93" s="181">
        <v>68</v>
      </c>
      <c r="G93" s="182">
        <v>67</v>
      </c>
      <c r="H93" s="181">
        <v>69</v>
      </c>
      <c r="I93" s="181">
        <v>74</v>
      </c>
      <c r="J93" s="181">
        <v>74</v>
      </c>
      <c r="K93" s="188">
        <v>77</v>
      </c>
      <c r="L93" s="182">
        <v>77.5</v>
      </c>
      <c r="M93" s="181">
        <v>75</v>
      </c>
      <c r="N93" s="182">
        <v>75</v>
      </c>
    </row>
    <row r="94" spans="1:14" ht="12" customHeight="1" x14ac:dyDescent="0.25">
      <c r="A94" s="20"/>
      <c r="B94" s="21">
        <v>2020</v>
      </c>
      <c r="C94" s="181">
        <v>70</v>
      </c>
      <c r="D94" s="181">
        <v>75</v>
      </c>
      <c r="E94" s="181">
        <v>85</v>
      </c>
      <c r="F94" s="181" t="s">
        <v>49</v>
      </c>
      <c r="G94" s="182" t="s">
        <v>49</v>
      </c>
      <c r="H94" s="181">
        <v>75</v>
      </c>
      <c r="I94" s="181">
        <v>75</v>
      </c>
      <c r="J94" s="181">
        <v>75</v>
      </c>
      <c r="K94" s="181">
        <v>65</v>
      </c>
      <c r="L94" s="182" t="s">
        <v>49</v>
      </c>
      <c r="M94" s="181">
        <v>55</v>
      </c>
      <c r="N94" s="182">
        <v>77.5</v>
      </c>
    </row>
    <row r="95" spans="1:14" ht="12" customHeight="1" x14ac:dyDescent="0.25">
      <c r="A95" s="20"/>
      <c r="B95" s="21">
        <v>2021</v>
      </c>
      <c r="C95" s="181">
        <v>78.5</v>
      </c>
      <c r="D95" s="181">
        <v>77.5</v>
      </c>
      <c r="E95" s="181">
        <v>77.5</v>
      </c>
      <c r="F95" s="181">
        <v>77.5</v>
      </c>
      <c r="G95" s="182">
        <v>75</v>
      </c>
      <c r="H95" s="181">
        <v>80</v>
      </c>
      <c r="I95" s="181">
        <v>80</v>
      </c>
      <c r="J95" s="181">
        <v>80</v>
      </c>
      <c r="K95" s="181">
        <v>80</v>
      </c>
      <c r="L95" s="182">
        <v>80</v>
      </c>
      <c r="M95" s="181">
        <v>75</v>
      </c>
      <c r="N95" s="182">
        <v>80</v>
      </c>
    </row>
    <row r="96" spans="1:14" ht="12" customHeight="1" x14ac:dyDescent="0.25">
      <c r="A96" s="20"/>
      <c r="B96" s="21">
        <v>2022</v>
      </c>
      <c r="C96" s="181">
        <v>80</v>
      </c>
      <c r="D96" s="181">
        <v>80</v>
      </c>
      <c r="E96" s="181">
        <v>85</v>
      </c>
      <c r="F96" s="181">
        <v>90</v>
      </c>
      <c r="G96" s="182">
        <v>90</v>
      </c>
      <c r="H96" s="181">
        <v>90</v>
      </c>
      <c r="I96" s="181">
        <v>90</v>
      </c>
      <c r="J96" s="181">
        <v>90</v>
      </c>
      <c r="K96" s="181">
        <v>90</v>
      </c>
      <c r="L96" s="182">
        <v>95</v>
      </c>
      <c r="M96" s="181">
        <v>90</v>
      </c>
      <c r="N96" s="182">
        <v>88</v>
      </c>
    </row>
    <row r="97" spans="1:14" ht="12" customHeight="1" x14ac:dyDescent="0.25">
      <c r="A97" s="20"/>
      <c r="B97" s="21">
        <v>2023</v>
      </c>
      <c r="C97" s="181">
        <v>97.5</v>
      </c>
      <c r="D97" s="181">
        <v>97.5</v>
      </c>
      <c r="E97" s="181">
        <v>97.5</v>
      </c>
      <c r="F97" s="181">
        <v>97.5</v>
      </c>
      <c r="G97" s="182">
        <v>97.5</v>
      </c>
      <c r="H97" s="181">
        <v>97.5</v>
      </c>
      <c r="I97" s="181">
        <v>97.5</v>
      </c>
      <c r="J97" s="181">
        <v>97.5</v>
      </c>
      <c r="K97" s="181">
        <v>97.5</v>
      </c>
      <c r="L97" s="181">
        <v>98</v>
      </c>
      <c r="M97" s="181">
        <v>98</v>
      </c>
      <c r="N97" s="181">
        <v>98</v>
      </c>
    </row>
    <row r="98" spans="1:14" ht="12" customHeight="1" x14ac:dyDescent="0.25">
      <c r="A98" s="20"/>
      <c r="B98" s="21">
        <v>2024</v>
      </c>
      <c r="C98" s="181">
        <v>98</v>
      </c>
      <c r="D98" s="181">
        <v>94</v>
      </c>
      <c r="E98" s="181">
        <v>94</v>
      </c>
      <c r="F98" s="181">
        <v>94</v>
      </c>
      <c r="G98" s="182">
        <v>94</v>
      </c>
      <c r="H98" s="181">
        <v>96</v>
      </c>
      <c r="I98" s="181">
        <v>98</v>
      </c>
      <c r="J98" s="181">
        <v>94</v>
      </c>
      <c r="K98" s="181">
        <v>94</v>
      </c>
      <c r="L98" s="181">
        <v>94.166666666666671</v>
      </c>
      <c r="M98" s="181">
        <v>94.17</v>
      </c>
      <c r="N98" s="181">
        <v>94.17</v>
      </c>
    </row>
    <row r="99" spans="1:14" ht="12" customHeight="1" x14ac:dyDescent="0.25">
      <c r="A99" s="24"/>
      <c r="B99" s="25">
        <v>2025</v>
      </c>
      <c r="C99" s="186">
        <v>105</v>
      </c>
      <c r="D99" s="186">
        <v>94</v>
      </c>
      <c r="E99" s="186">
        <v>90</v>
      </c>
      <c r="F99" s="186">
        <v>94</v>
      </c>
      <c r="G99" s="186">
        <v>94</v>
      </c>
      <c r="H99" s="186">
        <v>105</v>
      </c>
      <c r="I99" s="186">
        <v>103.33</v>
      </c>
      <c r="J99" s="186"/>
      <c r="K99" s="186"/>
      <c r="L99" s="186"/>
      <c r="M99" s="186"/>
      <c r="N99" s="186"/>
    </row>
    <row r="100" spans="1:14" ht="12" customHeight="1" x14ac:dyDescent="0.25">
      <c r="A100" s="20" t="s">
        <v>149</v>
      </c>
      <c r="B100" s="21">
        <v>2018</v>
      </c>
      <c r="C100" s="188">
        <v>142</v>
      </c>
      <c r="D100" s="188">
        <v>142</v>
      </c>
      <c r="E100" s="188">
        <v>142</v>
      </c>
      <c r="F100" s="188">
        <v>142</v>
      </c>
      <c r="G100" s="187">
        <v>142</v>
      </c>
      <c r="H100" s="188">
        <v>142</v>
      </c>
      <c r="I100" s="188">
        <v>142</v>
      </c>
      <c r="J100" s="188">
        <v>142</v>
      </c>
      <c r="K100" s="188">
        <v>142</v>
      </c>
      <c r="L100" s="187">
        <v>142</v>
      </c>
      <c r="M100" s="188">
        <v>142</v>
      </c>
      <c r="N100" s="187">
        <v>142</v>
      </c>
    </row>
    <row r="101" spans="1:14" ht="12" customHeight="1" x14ac:dyDescent="0.25">
      <c r="A101" s="20"/>
      <c r="B101" s="21">
        <v>2019</v>
      </c>
      <c r="C101" s="188">
        <v>142</v>
      </c>
      <c r="D101" s="181">
        <v>145</v>
      </c>
      <c r="E101" s="181">
        <v>145</v>
      </c>
      <c r="F101" s="181">
        <v>145</v>
      </c>
      <c r="G101" s="182">
        <v>145</v>
      </c>
      <c r="H101" s="181">
        <v>145</v>
      </c>
      <c r="I101" s="181">
        <v>145</v>
      </c>
      <c r="J101" s="188">
        <v>145</v>
      </c>
      <c r="K101" s="188">
        <v>140</v>
      </c>
      <c r="L101" s="182">
        <v>140</v>
      </c>
      <c r="M101" s="181">
        <v>140</v>
      </c>
      <c r="N101" s="182">
        <v>140</v>
      </c>
    </row>
    <row r="102" spans="1:14" ht="12" customHeight="1" x14ac:dyDescent="0.25">
      <c r="A102" s="20"/>
      <c r="B102" s="21">
        <v>2020</v>
      </c>
      <c r="C102" s="181">
        <v>140</v>
      </c>
      <c r="D102" s="181">
        <v>140</v>
      </c>
      <c r="E102" s="181" t="s">
        <v>49</v>
      </c>
      <c r="F102" s="181" t="s">
        <v>49</v>
      </c>
      <c r="G102" s="182" t="s">
        <v>49</v>
      </c>
      <c r="H102" s="181" t="s">
        <v>49</v>
      </c>
      <c r="I102" s="181">
        <v>140</v>
      </c>
      <c r="J102" s="181">
        <v>140</v>
      </c>
      <c r="K102" s="181" t="s">
        <v>49</v>
      </c>
      <c r="L102" s="182">
        <v>140</v>
      </c>
      <c r="M102" s="181">
        <v>140</v>
      </c>
      <c r="N102" s="182">
        <v>140</v>
      </c>
    </row>
    <row r="103" spans="1:14" ht="12" customHeight="1" x14ac:dyDescent="0.25">
      <c r="A103" s="20"/>
      <c r="B103" s="21">
        <v>2021</v>
      </c>
      <c r="C103" s="181">
        <v>140</v>
      </c>
      <c r="D103" s="181" t="s">
        <v>49</v>
      </c>
      <c r="E103" s="181" t="s">
        <v>49</v>
      </c>
      <c r="F103" s="181" t="s">
        <v>49</v>
      </c>
      <c r="G103" s="182" t="s">
        <v>49</v>
      </c>
      <c r="H103" s="181">
        <v>140</v>
      </c>
      <c r="I103" s="181">
        <v>140</v>
      </c>
      <c r="J103" s="181">
        <v>140</v>
      </c>
      <c r="K103" s="181">
        <v>155</v>
      </c>
      <c r="L103" s="182">
        <v>140</v>
      </c>
      <c r="M103" s="181">
        <v>140</v>
      </c>
      <c r="N103" s="182">
        <v>140</v>
      </c>
    </row>
    <row r="104" spans="1:14" ht="12" customHeight="1" x14ac:dyDescent="0.25">
      <c r="A104" s="20"/>
      <c r="B104" s="21">
        <v>2022</v>
      </c>
      <c r="C104" s="181">
        <v>140</v>
      </c>
      <c r="D104" s="181">
        <v>140</v>
      </c>
      <c r="E104" s="181">
        <v>140</v>
      </c>
      <c r="F104" s="181">
        <v>140</v>
      </c>
      <c r="G104" s="182">
        <v>140</v>
      </c>
      <c r="H104" s="181">
        <v>140</v>
      </c>
      <c r="I104" s="181">
        <v>140</v>
      </c>
      <c r="J104" s="181">
        <v>140</v>
      </c>
      <c r="K104" s="181">
        <v>140</v>
      </c>
      <c r="L104" s="182">
        <v>140</v>
      </c>
      <c r="M104" s="181">
        <v>140</v>
      </c>
      <c r="N104" s="182">
        <v>140</v>
      </c>
    </row>
    <row r="105" spans="1:14" ht="12" customHeight="1" x14ac:dyDescent="0.25">
      <c r="A105" s="20"/>
      <c r="B105" s="21">
        <v>2023</v>
      </c>
      <c r="C105" s="181">
        <v>165</v>
      </c>
      <c r="D105" s="181">
        <v>165</v>
      </c>
      <c r="E105" s="181">
        <v>160</v>
      </c>
      <c r="F105" s="181">
        <v>160</v>
      </c>
      <c r="G105" s="182">
        <v>160</v>
      </c>
      <c r="H105" s="181">
        <v>160</v>
      </c>
      <c r="I105" s="181">
        <v>160</v>
      </c>
      <c r="J105" s="181">
        <v>160</v>
      </c>
      <c r="K105" s="181">
        <v>140</v>
      </c>
      <c r="L105" s="181">
        <v>140</v>
      </c>
      <c r="M105" s="181">
        <v>140</v>
      </c>
      <c r="N105" s="181">
        <v>135</v>
      </c>
    </row>
    <row r="106" spans="1:14" ht="12" customHeight="1" x14ac:dyDescent="0.25">
      <c r="A106" s="20"/>
      <c r="B106" s="21">
        <v>2024</v>
      </c>
      <c r="C106" s="181">
        <v>135</v>
      </c>
      <c r="D106" s="181">
        <v>135</v>
      </c>
      <c r="E106" s="5" t="s">
        <v>4</v>
      </c>
      <c r="F106" s="5" t="s">
        <v>4</v>
      </c>
      <c r="G106" s="183" t="s">
        <v>4</v>
      </c>
      <c r="H106" s="183" t="s">
        <v>4</v>
      </c>
      <c r="I106" s="5" t="s">
        <v>4</v>
      </c>
      <c r="J106" s="5" t="s">
        <v>4</v>
      </c>
      <c r="K106" s="5" t="s">
        <v>4</v>
      </c>
      <c r="L106" s="5" t="s">
        <v>4</v>
      </c>
      <c r="M106" s="5" t="s">
        <v>4</v>
      </c>
      <c r="N106" s="5" t="s">
        <v>4</v>
      </c>
    </row>
    <row r="107" spans="1:14" ht="12" customHeight="1" x14ac:dyDescent="0.25">
      <c r="A107" s="24"/>
      <c r="B107" s="25">
        <v>2025</v>
      </c>
      <c r="C107" s="186">
        <v>293</v>
      </c>
      <c r="D107" s="186">
        <v>280</v>
      </c>
      <c r="E107" s="186">
        <v>230</v>
      </c>
      <c r="F107" s="186">
        <v>218</v>
      </c>
      <c r="G107" s="184">
        <v>230</v>
      </c>
      <c r="H107" s="184">
        <v>171</v>
      </c>
      <c r="I107" s="184">
        <v>98</v>
      </c>
      <c r="J107" s="185"/>
      <c r="K107" s="185"/>
      <c r="L107" s="185"/>
      <c r="M107" s="185"/>
      <c r="N107" s="185"/>
    </row>
    <row r="108" spans="1:14" ht="12" customHeight="1" x14ac:dyDescent="0.25">
      <c r="A108" s="20" t="s">
        <v>116</v>
      </c>
      <c r="B108" s="21">
        <v>2018</v>
      </c>
      <c r="C108" s="188">
        <v>119</v>
      </c>
      <c r="D108" s="188">
        <v>119</v>
      </c>
      <c r="E108" s="188">
        <v>119</v>
      </c>
      <c r="F108" s="188">
        <v>119</v>
      </c>
      <c r="G108" s="187">
        <v>119</v>
      </c>
      <c r="H108" s="181" t="s">
        <v>49</v>
      </c>
      <c r="I108" s="181" t="s">
        <v>49</v>
      </c>
      <c r="J108" s="181" t="s">
        <v>49</v>
      </c>
      <c r="K108" s="181" t="s">
        <v>49</v>
      </c>
      <c r="L108" s="182" t="s">
        <v>49</v>
      </c>
      <c r="M108" s="181" t="s">
        <v>49</v>
      </c>
      <c r="N108" s="182" t="s">
        <v>49</v>
      </c>
    </row>
    <row r="109" spans="1:14" ht="12" customHeight="1" x14ac:dyDescent="0.25">
      <c r="A109" s="20"/>
      <c r="B109" s="21">
        <v>2019</v>
      </c>
      <c r="C109" s="181">
        <v>117</v>
      </c>
      <c r="D109" s="181">
        <v>109</v>
      </c>
      <c r="E109" s="181">
        <v>122</v>
      </c>
      <c r="F109" s="181">
        <v>121.96458333333334</v>
      </c>
      <c r="G109" s="182">
        <v>116.13125000000001</v>
      </c>
      <c r="H109" s="181">
        <v>121.13125000000001</v>
      </c>
      <c r="I109" s="181">
        <v>127.79791666666667</v>
      </c>
      <c r="J109" s="188">
        <v>127</v>
      </c>
      <c r="K109" s="188">
        <v>105</v>
      </c>
      <c r="L109" s="187">
        <v>110</v>
      </c>
      <c r="M109" s="181">
        <v>110</v>
      </c>
      <c r="N109" s="182">
        <v>110</v>
      </c>
    </row>
    <row r="110" spans="1:14" ht="12" customHeight="1" x14ac:dyDescent="0.25">
      <c r="A110" s="20"/>
      <c r="B110" s="21">
        <v>2020</v>
      </c>
      <c r="C110" s="181">
        <v>105</v>
      </c>
      <c r="D110" s="181">
        <v>125</v>
      </c>
      <c r="E110" s="181" t="s">
        <v>49</v>
      </c>
      <c r="F110" s="181" t="s">
        <v>49</v>
      </c>
      <c r="G110" s="182">
        <v>105</v>
      </c>
      <c r="H110" s="181">
        <v>105</v>
      </c>
      <c r="I110" s="181">
        <v>105</v>
      </c>
      <c r="J110" s="181">
        <v>105</v>
      </c>
      <c r="K110" s="181">
        <v>105</v>
      </c>
      <c r="L110" s="182">
        <v>105</v>
      </c>
      <c r="M110" s="181" t="s">
        <v>49</v>
      </c>
      <c r="N110" s="182">
        <v>105</v>
      </c>
    </row>
    <row r="111" spans="1:14" ht="12" customHeight="1" x14ac:dyDescent="0.25">
      <c r="A111" s="20"/>
      <c r="B111" s="21">
        <v>2021</v>
      </c>
      <c r="C111" s="181">
        <v>105</v>
      </c>
      <c r="D111" s="181">
        <v>105</v>
      </c>
      <c r="E111" s="181">
        <v>105</v>
      </c>
      <c r="F111" s="181">
        <v>105</v>
      </c>
      <c r="G111" s="182">
        <v>125</v>
      </c>
      <c r="H111" s="181">
        <v>105</v>
      </c>
      <c r="I111" s="181">
        <v>105</v>
      </c>
      <c r="J111" s="181">
        <v>130</v>
      </c>
      <c r="K111" s="181">
        <v>130</v>
      </c>
      <c r="L111" s="182">
        <v>130</v>
      </c>
      <c r="M111" s="181">
        <v>105</v>
      </c>
      <c r="N111" s="182">
        <v>130</v>
      </c>
    </row>
    <row r="112" spans="1:14" ht="12" customHeight="1" x14ac:dyDescent="0.25">
      <c r="A112" s="20"/>
      <c r="B112" s="21">
        <v>2022</v>
      </c>
      <c r="C112" s="181">
        <v>132.5</v>
      </c>
      <c r="D112" s="181">
        <v>132.5</v>
      </c>
      <c r="E112" s="181">
        <v>125</v>
      </c>
      <c r="F112" s="181">
        <v>125</v>
      </c>
      <c r="G112" s="182">
        <v>125</v>
      </c>
      <c r="H112" s="181">
        <v>147</v>
      </c>
      <c r="I112" s="181">
        <v>140</v>
      </c>
      <c r="J112" s="181">
        <v>158</v>
      </c>
      <c r="K112" s="181">
        <v>158</v>
      </c>
      <c r="L112" s="182">
        <v>158</v>
      </c>
      <c r="M112" s="181">
        <v>157</v>
      </c>
      <c r="N112" s="182">
        <v>158</v>
      </c>
    </row>
    <row r="113" spans="1:14" ht="12" customHeight="1" x14ac:dyDescent="0.25">
      <c r="A113" s="20"/>
      <c r="B113" s="21">
        <v>2023</v>
      </c>
      <c r="C113" s="181" t="s">
        <v>49</v>
      </c>
      <c r="D113" s="181" t="s">
        <v>49</v>
      </c>
      <c r="E113" s="181">
        <v>200</v>
      </c>
      <c r="F113" s="181">
        <v>200</v>
      </c>
      <c r="G113" s="182">
        <v>185</v>
      </c>
      <c r="H113" s="181">
        <v>185</v>
      </c>
      <c r="I113" s="181">
        <v>188</v>
      </c>
      <c r="J113" s="181">
        <v>188</v>
      </c>
      <c r="K113" s="181">
        <v>200</v>
      </c>
      <c r="L113" s="181">
        <v>200</v>
      </c>
      <c r="M113" s="181">
        <v>202</v>
      </c>
      <c r="N113" s="182">
        <v>200</v>
      </c>
    </row>
    <row r="114" spans="1:14" ht="12" customHeight="1" x14ac:dyDescent="0.25">
      <c r="A114" s="20"/>
      <c r="B114" s="21">
        <v>2024</v>
      </c>
      <c r="C114" s="181">
        <v>160</v>
      </c>
      <c r="D114" s="181">
        <v>160</v>
      </c>
      <c r="E114" s="181">
        <v>146</v>
      </c>
      <c r="F114" s="181">
        <v>168</v>
      </c>
      <c r="G114" s="182">
        <v>169</v>
      </c>
      <c r="H114" s="181">
        <v>168</v>
      </c>
      <c r="I114" s="181">
        <v>163</v>
      </c>
      <c r="J114" s="181">
        <v>168</v>
      </c>
      <c r="K114" s="181">
        <v>160</v>
      </c>
      <c r="L114" s="181">
        <v>160.83333333333334</v>
      </c>
      <c r="M114" s="181">
        <v>160</v>
      </c>
      <c r="N114" s="181">
        <v>195</v>
      </c>
    </row>
    <row r="115" spans="1:14" ht="12" customHeight="1" x14ac:dyDescent="0.25">
      <c r="A115" s="24"/>
      <c r="B115" s="25">
        <v>2025</v>
      </c>
      <c r="C115" s="186">
        <v>198</v>
      </c>
      <c r="D115" s="186">
        <v>250</v>
      </c>
      <c r="E115" s="186">
        <v>250</v>
      </c>
      <c r="F115" s="186" t="s">
        <v>49</v>
      </c>
      <c r="G115" s="186">
        <v>250</v>
      </c>
      <c r="H115" s="186" t="s">
        <v>49</v>
      </c>
      <c r="I115" s="186" t="s">
        <v>49</v>
      </c>
      <c r="J115" s="186"/>
      <c r="K115" s="186"/>
      <c r="L115" s="186"/>
      <c r="M115" s="186"/>
      <c r="N115" s="186"/>
    </row>
    <row r="116" spans="1:14" ht="12" customHeight="1" x14ac:dyDescent="0.2">
      <c r="A116" s="179"/>
      <c r="B116" s="180"/>
      <c r="C116" s="40"/>
      <c r="D116" s="40"/>
      <c r="E116" s="162"/>
      <c r="F116" s="40"/>
      <c r="G116" s="40"/>
      <c r="H116" s="40"/>
      <c r="I116" s="162"/>
      <c r="J116" s="40"/>
      <c r="K116" s="40"/>
      <c r="L116" s="40"/>
      <c r="M116" s="197"/>
      <c r="N116" s="248" t="s">
        <v>26</v>
      </c>
    </row>
    <row r="117" spans="1:14" ht="12" customHeight="1" x14ac:dyDescent="0.25">
      <c r="A117" s="714" t="s">
        <v>148</v>
      </c>
      <c r="B117" s="714"/>
      <c r="C117" s="714"/>
      <c r="D117" s="714"/>
      <c r="E117" s="714"/>
      <c r="F117" s="714"/>
      <c r="G117" s="40"/>
      <c r="H117" s="40"/>
      <c r="I117" s="41"/>
      <c r="J117" s="23"/>
      <c r="K117" s="23"/>
      <c r="L117" s="23"/>
      <c r="M117" s="23"/>
      <c r="N117" s="182"/>
    </row>
    <row r="118" spans="1:14" ht="15.95" customHeight="1" x14ac:dyDescent="0.2">
      <c r="A118" s="239" t="s">
        <v>95</v>
      </c>
      <c r="B118" s="239" t="s">
        <v>141</v>
      </c>
      <c r="C118" s="239" t="s">
        <v>97</v>
      </c>
      <c r="D118" s="239" t="s">
        <v>98</v>
      </c>
      <c r="E118" s="239" t="s">
        <v>99</v>
      </c>
      <c r="F118" s="239" t="s">
        <v>100</v>
      </c>
      <c r="G118" s="239" t="s">
        <v>101</v>
      </c>
      <c r="H118" s="239" t="s">
        <v>102</v>
      </c>
      <c r="I118" s="239" t="s">
        <v>103</v>
      </c>
      <c r="J118" s="239" t="s">
        <v>104</v>
      </c>
      <c r="K118" s="239" t="s">
        <v>105</v>
      </c>
      <c r="L118" s="239" t="s">
        <v>106</v>
      </c>
      <c r="M118" s="239" t="s">
        <v>107</v>
      </c>
      <c r="N118" s="239" t="s">
        <v>108</v>
      </c>
    </row>
    <row r="119" spans="1:14" ht="3" customHeight="1" x14ac:dyDescent="0.25">
      <c r="A119" s="20"/>
      <c r="B119" s="21"/>
      <c r="C119" s="181"/>
      <c r="D119" s="181"/>
      <c r="E119" s="5"/>
      <c r="F119" s="5"/>
      <c r="G119" s="183"/>
      <c r="H119" s="198"/>
      <c r="I119" s="5"/>
      <c r="J119" s="5"/>
      <c r="K119" s="5"/>
      <c r="L119" s="5"/>
      <c r="M119" s="5"/>
      <c r="N119" s="5"/>
    </row>
    <row r="120" spans="1:14" ht="12" customHeight="1" x14ac:dyDescent="0.25">
      <c r="A120" s="20" t="s">
        <v>120</v>
      </c>
      <c r="B120" s="21">
        <v>2018</v>
      </c>
      <c r="C120" s="188">
        <v>92.5</v>
      </c>
      <c r="D120" s="188">
        <v>126</v>
      </c>
      <c r="E120" s="188">
        <v>125</v>
      </c>
      <c r="F120" s="181">
        <v>125</v>
      </c>
      <c r="G120" s="182">
        <v>125</v>
      </c>
      <c r="H120" s="181">
        <v>125</v>
      </c>
      <c r="I120" s="181">
        <v>125</v>
      </c>
      <c r="J120" s="181">
        <v>125</v>
      </c>
      <c r="K120" s="181">
        <v>125</v>
      </c>
      <c r="L120" s="182">
        <v>125</v>
      </c>
      <c r="M120" s="181">
        <v>125</v>
      </c>
      <c r="N120" s="181">
        <v>125</v>
      </c>
    </row>
    <row r="121" spans="1:14" ht="12" customHeight="1" x14ac:dyDescent="0.25">
      <c r="A121" s="20"/>
      <c r="B121" s="21">
        <v>2019</v>
      </c>
      <c r="C121" s="181">
        <v>125</v>
      </c>
      <c r="D121" s="181">
        <v>125</v>
      </c>
      <c r="E121" s="181">
        <v>125</v>
      </c>
      <c r="F121" s="181">
        <v>125</v>
      </c>
      <c r="G121" s="182">
        <v>125</v>
      </c>
      <c r="H121" s="181">
        <v>125</v>
      </c>
      <c r="I121" s="181">
        <v>125</v>
      </c>
      <c r="J121" s="188">
        <v>125</v>
      </c>
      <c r="K121" s="188">
        <v>125</v>
      </c>
      <c r="L121" s="182">
        <v>125</v>
      </c>
      <c r="M121" s="181">
        <v>125</v>
      </c>
      <c r="N121" s="182">
        <v>125</v>
      </c>
    </row>
    <row r="122" spans="1:14" ht="12" customHeight="1" x14ac:dyDescent="0.25">
      <c r="A122" s="20"/>
      <c r="B122" s="21">
        <v>2020</v>
      </c>
      <c r="C122" s="181">
        <v>125</v>
      </c>
      <c r="D122" s="181" t="s">
        <v>49</v>
      </c>
      <c r="E122" s="181" t="s">
        <v>49</v>
      </c>
      <c r="F122" s="181" t="s">
        <v>49</v>
      </c>
      <c r="G122" s="182" t="s">
        <v>49</v>
      </c>
      <c r="H122" s="181" t="s">
        <v>49</v>
      </c>
      <c r="I122" s="181" t="s">
        <v>49</v>
      </c>
      <c r="J122" s="181" t="s">
        <v>49</v>
      </c>
      <c r="K122" s="181" t="s">
        <v>49</v>
      </c>
      <c r="L122" s="182" t="s">
        <v>49</v>
      </c>
      <c r="M122" s="181" t="s">
        <v>49</v>
      </c>
      <c r="N122" s="182" t="s">
        <v>49</v>
      </c>
    </row>
    <row r="123" spans="1:14" ht="12" customHeight="1" x14ac:dyDescent="0.25">
      <c r="A123" s="20"/>
      <c r="B123" s="21">
        <v>2021</v>
      </c>
      <c r="C123" s="181" t="s">
        <v>49</v>
      </c>
      <c r="D123" s="181" t="s">
        <v>49</v>
      </c>
      <c r="E123" s="181" t="s">
        <v>49</v>
      </c>
      <c r="F123" s="181" t="s">
        <v>49</v>
      </c>
      <c r="G123" s="182" t="s">
        <v>49</v>
      </c>
      <c r="H123" s="181">
        <v>125</v>
      </c>
      <c r="I123" s="181">
        <v>125</v>
      </c>
      <c r="J123" s="181">
        <v>125</v>
      </c>
      <c r="K123" s="181" t="s">
        <v>49</v>
      </c>
      <c r="L123" s="182">
        <v>114</v>
      </c>
      <c r="M123" s="181" t="s">
        <v>49</v>
      </c>
      <c r="N123" s="182" t="s">
        <v>49</v>
      </c>
    </row>
    <row r="124" spans="1:14" ht="12" customHeight="1" x14ac:dyDescent="0.25">
      <c r="A124" s="20"/>
      <c r="B124" s="21">
        <v>2022</v>
      </c>
      <c r="C124" s="181">
        <v>141</v>
      </c>
      <c r="D124" s="181">
        <v>145</v>
      </c>
      <c r="E124" s="181">
        <v>145</v>
      </c>
      <c r="F124" s="181">
        <v>145</v>
      </c>
      <c r="G124" s="182" t="s">
        <v>49</v>
      </c>
      <c r="H124" s="181">
        <v>145</v>
      </c>
      <c r="I124" s="181">
        <v>150</v>
      </c>
      <c r="J124" s="181">
        <v>170</v>
      </c>
      <c r="K124" s="181">
        <v>170</v>
      </c>
      <c r="L124" s="182">
        <v>170</v>
      </c>
      <c r="M124" s="181">
        <v>170</v>
      </c>
      <c r="N124" s="182">
        <v>170</v>
      </c>
    </row>
    <row r="125" spans="1:14" ht="12" customHeight="1" x14ac:dyDescent="0.25">
      <c r="A125" s="20"/>
      <c r="B125" s="21">
        <v>2023</v>
      </c>
      <c r="C125" s="181">
        <v>170</v>
      </c>
      <c r="D125" s="181">
        <v>170</v>
      </c>
      <c r="E125" s="181">
        <v>170</v>
      </c>
      <c r="F125" s="181">
        <v>175</v>
      </c>
      <c r="G125" s="182">
        <v>175</v>
      </c>
      <c r="H125" s="181">
        <v>175</v>
      </c>
      <c r="I125" s="181">
        <v>175</v>
      </c>
      <c r="J125" s="181">
        <v>175</v>
      </c>
      <c r="K125" s="181">
        <v>175</v>
      </c>
      <c r="L125" s="181">
        <v>175</v>
      </c>
      <c r="M125" s="181">
        <v>175</v>
      </c>
      <c r="N125" s="181">
        <v>175</v>
      </c>
    </row>
    <row r="126" spans="1:14" ht="12" customHeight="1" x14ac:dyDescent="0.25">
      <c r="A126" s="20"/>
      <c r="B126" s="21">
        <v>2024</v>
      </c>
      <c r="C126" s="181">
        <v>175</v>
      </c>
      <c r="D126" s="181">
        <v>155</v>
      </c>
      <c r="E126" s="181">
        <v>148</v>
      </c>
      <c r="F126" s="181">
        <v>155</v>
      </c>
      <c r="G126" s="182">
        <v>155</v>
      </c>
      <c r="H126" s="181">
        <v>150</v>
      </c>
      <c r="I126" s="181">
        <v>150</v>
      </c>
      <c r="J126" s="181">
        <v>150</v>
      </c>
      <c r="K126" s="181">
        <v>148.5</v>
      </c>
      <c r="L126" s="181">
        <v>137</v>
      </c>
      <c r="M126" s="181">
        <v>137</v>
      </c>
      <c r="N126" s="181">
        <v>137</v>
      </c>
    </row>
    <row r="127" spans="1:14" ht="12" customHeight="1" x14ac:dyDescent="0.25">
      <c r="A127" s="24"/>
      <c r="B127" s="25">
        <v>2025</v>
      </c>
      <c r="C127" s="186">
        <v>152</v>
      </c>
      <c r="D127" s="186">
        <v>144</v>
      </c>
      <c r="E127" s="186">
        <v>144</v>
      </c>
      <c r="F127" s="186">
        <v>155</v>
      </c>
      <c r="G127" s="186">
        <v>170</v>
      </c>
      <c r="H127" s="186">
        <v>170</v>
      </c>
      <c r="I127" s="186">
        <v>130</v>
      </c>
      <c r="J127" s="186"/>
      <c r="K127" s="186"/>
      <c r="L127" s="186"/>
      <c r="M127" s="186"/>
      <c r="N127" s="186"/>
    </row>
    <row r="128" spans="1:14" ht="12" customHeight="1" x14ac:dyDescent="0.25">
      <c r="A128" s="18" t="s">
        <v>41</v>
      </c>
      <c r="B128" s="11">
        <v>2018</v>
      </c>
      <c r="C128" s="188">
        <v>96.25</v>
      </c>
      <c r="D128" s="187">
        <v>100</v>
      </c>
      <c r="E128" s="188">
        <v>100</v>
      </c>
      <c r="F128" s="181">
        <v>100</v>
      </c>
      <c r="G128" s="181">
        <v>100</v>
      </c>
      <c r="H128" s="181">
        <v>100</v>
      </c>
      <c r="I128" s="181">
        <v>100</v>
      </c>
      <c r="J128" s="182">
        <v>100</v>
      </c>
      <c r="K128" s="181">
        <v>100</v>
      </c>
      <c r="L128" s="182">
        <v>100</v>
      </c>
      <c r="M128" s="181">
        <v>105</v>
      </c>
      <c r="N128" s="182">
        <v>105</v>
      </c>
    </row>
    <row r="129" spans="1:14" ht="12" customHeight="1" x14ac:dyDescent="0.25">
      <c r="A129" s="18"/>
      <c r="B129" s="11">
        <v>2019</v>
      </c>
      <c r="C129" s="181">
        <v>105</v>
      </c>
      <c r="D129" s="182">
        <v>105</v>
      </c>
      <c r="E129" s="181">
        <v>105</v>
      </c>
      <c r="F129" s="181">
        <v>105</v>
      </c>
      <c r="G129" s="181">
        <v>105</v>
      </c>
      <c r="H129" s="181">
        <v>105</v>
      </c>
      <c r="I129" s="181">
        <v>105</v>
      </c>
      <c r="J129" s="187">
        <v>105</v>
      </c>
      <c r="K129" s="188">
        <v>105</v>
      </c>
      <c r="L129" s="182">
        <v>105</v>
      </c>
      <c r="M129" s="181">
        <v>105</v>
      </c>
      <c r="N129" s="182">
        <v>105</v>
      </c>
    </row>
    <row r="130" spans="1:14" ht="12" customHeight="1" x14ac:dyDescent="0.25">
      <c r="A130" s="18"/>
      <c r="B130" s="11">
        <v>2020</v>
      </c>
      <c r="C130" s="181">
        <v>105</v>
      </c>
      <c r="D130" s="182">
        <v>105</v>
      </c>
      <c r="E130" s="181" t="s">
        <v>49</v>
      </c>
      <c r="F130" s="181" t="s">
        <v>49</v>
      </c>
      <c r="G130" s="181" t="s">
        <v>49</v>
      </c>
      <c r="H130" s="181">
        <v>105</v>
      </c>
      <c r="I130" s="181">
        <v>107.5</v>
      </c>
      <c r="J130" s="182">
        <v>107.5</v>
      </c>
      <c r="K130" s="181" t="s">
        <v>49</v>
      </c>
      <c r="L130" s="182" t="s">
        <v>49</v>
      </c>
      <c r="M130" s="181">
        <v>105</v>
      </c>
      <c r="N130" s="182">
        <v>107.5</v>
      </c>
    </row>
    <row r="131" spans="1:14" ht="12" customHeight="1" x14ac:dyDescent="0.25">
      <c r="A131" s="18"/>
      <c r="B131" s="11">
        <v>2021</v>
      </c>
      <c r="C131" s="181">
        <v>115</v>
      </c>
      <c r="D131" s="182">
        <v>110</v>
      </c>
      <c r="E131" s="181">
        <v>110</v>
      </c>
      <c r="F131" s="181">
        <v>110</v>
      </c>
      <c r="G131" s="181">
        <v>110</v>
      </c>
      <c r="H131" s="181">
        <v>110</v>
      </c>
      <c r="I131" s="181">
        <v>110</v>
      </c>
      <c r="J131" s="182">
        <v>110</v>
      </c>
      <c r="K131" s="181">
        <v>110</v>
      </c>
      <c r="L131" s="183" t="s">
        <v>150</v>
      </c>
      <c r="M131" s="5" t="s">
        <v>150</v>
      </c>
      <c r="N131" s="183" t="s">
        <v>150</v>
      </c>
    </row>
    <row r="132" spans="1:14" ht="12" customHeight="1" x14ac:dyDescent="0.25">
      <c r="A132" s="18"/>
      <c r="B132" s="11">
        <v>2022</v>
      </c>
      <c r="C132" s="181">
        <v>110</v>
      </c>
      <c r="D132" s="182">
        <v>120</v>
      </c>
      <c r="E132" s="181">
        <v>120</v>
      </c>
      <c r="F132" s="181">
        <v>120</v>
      </c>
      <c r="G132" s="181">
        <v>120</v>
      </c>
      <c r="H132" s="181">
        <v>120</v>
      </c>
      <c r="I132" s="181">
        <v>120</v>
      </c>
      <c r="J132" s="182">
        <v>120</v>
      </c>
      <c r="K132" s="181">
        <v>122</v>
      </c>
      <c r="L132" s="182">
        <v>120</v>
      </c>
      <c r="M132" s="181">
        <v>120</v>
      </c>
      <c r="N132" s="182">
        <v>125</v>
      </c>
    </row>
    <row r="133" spans="1:14" ht="12" customHeight="1" x14ac:dyDescent="0.25">
      <c r="A133" s="18"/>
      <c r="B133" s="11">
        <v>2023</v>
      </c>
      <c r="C133" s="181">
        <v>125</v>
      </c>
      <c r="D133" s="181">
        <v>125</v>
      </c>
      <c r="E133" s="181">
        <v>122</v>
      </c>
      <c r="F133" s="181">
        <v>110</v>
      </c>
      <c r="G133" s="181">
        <v>110</v>
      </c>
      <c r="H133" s="181">
        <v>110</v>
      </c>
      <c r="I133" s="181">
        <v>120</v>
      </c>
      <c r="J133" s="181">
        <v>120</v>
      </c>
      <c r="K133" s="181">
        <v>118</v>
      </c>
      <c r="L133" s="181">
        <v>130</v>
      </c>
      <c r="M133" s="181">
        <v>118</v>
      </c>
      <c r="N133" s="181">
        <v>118</v>
      </c>
    </row>
    <row r="134" spans="1:14" ht="12" customHeight="1" x14ac:dyDescent="0.25">
      <c r="A134" s="18"/>
      <c r="B134" s="11">
        <v>2024</v>
      </c>
      <c r="C134" s="5" t="s">
        <v>4</v>
      </c>
      <c r="D134" s="181">
        <v>170</v>
      </c>
      <c r="E134" s="181">
        <v>163</v>
      </c>
      <c r="F134" s="181">
        <v>170</v>
      </c>
      <c r="G134" s="182">
        <v>170</v>
      </c>
      <c r="H134" s="181">
        <v>170</v>
      </c>
      <c r="I134" s="181">
        <v>170</v>
      </c>
      <c r="J134" s="181">
        <v>175</v>
      </c>
      <c r="K134" s="181">
        <v>172.5</v>
      </c>
      <c r="L134" s="181">
        <v>182.5</v>
      </c>
      <c r="M134" s="181">
        <v>182.5</v>
      </c>
      <c r="N134" s="181">
        <v>185</v>
      </c>
    </row>
    <row r="135" spans="1:14" ht="12" customHeight="1" x14ac:dyDescent="0.25">
      <c r="A135" s="149"/>
      <c r="B135" s="150">
        <v>2025</v>
      </c>
      <c r="C135" s="186">
        <v>155</v>
      </c>
      <c r="D135" s="186">
        <v>155</v>
      </c>
      <c r="E135" s="186">
        <v>163</v>
      </c>
      <c r="F135" s="186">
        <v>110</v>
      </c>
      <c r="G135" s="186">
        <v>167</v>
      </c>
      <c r="H135" s="186">
        <v>143</v>
      </c>
      <c r="I135" s="186">
        <v>143.30000000000001</v>
      </c>
      <c r="J135" s="186"/>
      <c r="K135" s="186"/>
      <c r="L135" s="186"/>
      <c r="M135" s="186"/>
      <c r="N135" s="186"/>
    </row>
    <row r="136" spans="1:14" ht="12" customHeight="1" x14ac:dyDescent="0.25">
      <c r="A136" s="18" t="s">
        <v>45</v>
      </c>
      <c r="B136" s="11">
        <v>2018</v>
      </c>
      <c r="C136" s="188">
        <v>50</v>
      </c>
      <c r="D136" s="187">
        <v>50</v>
      </c>
      <c r="E136" s="188">
        <v>50</v>
      </c>
      <c r="F136" s="181">
        <v>49</v>
      </c>
      <c r="G136" s="182">
        <v>49</v>
      </c>
      <c r="H136" s="181">
        <v>49</v>
      </c>
      <c r="I136" s="181">
        <v>49</v>
      </c>
      <c r="J136" s="181">
        <v>49</v>
      </c>
      <c r="K136" s="181">
        <v>49</v>
      </c>
      <c r="L136" s="182">
        <v>49</v>
      </c>
      <c r="M136" s="181">
        <v>49</v>
      </c>
      <c r="N136" s="182">
        <v>48</v>
      </c>
    </row>
    <row r="137" spans="1:14" ht="12" customHeight="1" x14ac:dyDescent="0.25">
      <c r="A137" s="18"/>
      <c r="B137" s="11">
        <v>2019</v>
      </c>
      <c r="C137" s="181">
        <v>50</v>
      </c>
      <c r="D137" s="182">
        <v>50</v>
      </c>
      <c r="E137" s="181">
        <v>50</v>
      </c>
      <c r="F137" s="181">
        <v>54</v>
      </c>
      <c r="G137" s="182">
        <v>55</v>
      </c>
      <c r="H137" s="181">
        <v>50</v>
      </c>
      <c r="I137" s="181">
        <v>50</v>
      </c>
      <c r="J137" s="188">
        <v>50</v>
      </c>
      <c r="K137" s="188">
        <v>65</v>
      </c>
      <c r="L137" s="182">
        <v>70</v>
      </c>
      <c r="M137" s="181">
        <v>70</v>
      </c>
      <c r="N137" s="182">
        <v>73</v>
      </c>
    </row>
    <row r="138" spans="1:14" ht="12" customHeight="1" x14ac:dyDescent="0.25">
      <c r="A138" s="18"/>
      <c r="B138" s="11">
        <v>2020</v>
      </c>
      <c r="C138" s="181">
        <v>70</v>
      </c>
      <c r="D138" s="182">
        <v>70</v>
      </c>
      <c r="E138" s="181">
        <v>70</v>
      </c>
      <c r="F138" s="181">
        <v>70</v>
      </c>
      <c r="G138" s="182">
        <v>60</v>
      </c>
      <c r="H138" s="181">
        <v>60</v>
      </c>
      <c r="I138" s="181">
        <v>60</v>
      </c>
      <c r="J138" s="188">
        <v>70</v>
      </c>
      <c r="K138" s="181">
        <v>60</v>
      </c>
      <c r="L138" s="182">
        <v>52.5</v>
      </c>
      <c r="M138" s="181">
        <v>60</v>
      </c>
      <c r="N138" s="182">
        <v>60</v>
      </c>
    </row>
    <row r="139" spans="1:14" ht="12" customHeight="1" x14ac:dyDescent="0.25">
      <c r="A139" s="18"/>
      <c r="B139" s="11">
        <v>2021</v>
      </c>
      <c r="C139" s="181">
        <v>72.5</v>
      </c>
      <c r="D139" s="182">
        <v>77.5</v>
      </c>
      <c r="E139" s="181">
        <v>75</v>
      </c>
      <c r="F139" s="181">
        <v>75</v>
      </c>
      <c r="G139" s="182">
        <v>75</v>
      </c>
      <c r="H139" s="181">
        <v>75</v>
      </c>
      <c r="I139" s="181">
        <v>75</v>
      </c>
      <c r="J139" s="181">
        <v>75</v>
      </c>
      <c r="K139" s="181">
        <v>85</v>
      </c>
      <c r="L139" s="182">
        <v>75</v>
      </c>
      <c r="M139" s="181">
        <v>75</v>
      </c>
      <c r="N139" s="182">
        <v>75</v>
      </c>
    </row>
    <row r="140" spans="1:14" ht="12" customHeight="1" x14ac:dyDescent="0.25">
      <c r="A140" s="18"/>
      <c r="B140" s="11">
        <v>2022</v>
      </c>
      <c r="C140" s="181">
        <v>75</v>
      </c>
      <c r="D140" s="182">
        <v>75</v>
      </c>
      <c r="E140" s="181">
        <v>73</v>
      </c>
      <c r="F140" s="181">
        <v>73</v>
      </c>
      <c r="G140" s="182">
        <v>80</v>
      </c>
      <c r="H140" s="181">
        <v>80</v>
      </c>
      <c r="I140" s="181">
        <v>80</v>
      </c>
      <c r="J140" s="181">
        <v>112</v>
      </c>
      <c r="K140" s="181">
        <v>123</v>
      </c>
      <c r="L140" s="182">
        <v>123</v>
      </c>
      <c r="M140" s="181">
        <v>80</v>
      </c>
      <c r="N140" s="182">
        <v>97.5</v>
      </c>
    </row>
    <row r="141" spans="1:14" ht="12" customHeight="1" x14ac:dyDescent="0.25">
      <c r="A141" s="18"/>
      <c r="B141" s="11">
        <v>2023</v>
      </c>
      <c r="C141" s="181">
        <v>125</v>
      </c>
      <c r="D141" s="181">
        <v>125</v>
      </c>
      <c r="E141" s="181">
        <v>125</v>
      </c>
      <c r="F141" s="181">
        <v>145</v>
      </c>
      <c r="G141" s="182">
        <v>125</v>
      </c>
      <c r="H141" s="181">
        <v>125</v>
      </c>
      <c r="I141" s="181">
        <v>125</v>
      </c>
      <c r="J141" s="181">
        <v>125</v>
      </c>
      <c r="K141" s="181">
        <v>125</v>
      </c>
      <c r="L141" s="181">
        <v>125</v>
      </c>
      <c r="M141" s="181">
        <v>125</v>
      </c>
      <c r="N141" s="181">
        <v>125</v>
      </c>
    </row>
    <row r="142" spans="1:14" ht="12" customHeight="1" x14ac:dyDescent="0.25">
      <c r="A142" s="18"/>
      <c r="B142" s="11">
        <v>2024</v>
      </c>
      <c r="C142" s="181">
        <v>105</v>
      </c>
      <c r="D142" s="181">
        <v>95</v>
      </c>
      <c r="E142" s="181">
        <v>86</v>
      </c>
      <c r="F142" s="181">
        <v>95</v>
      </c>
      <c r="G142" s="182">
        <v>130</v>
      </c>
      <c r="H142" s="181">
        <v>108</v>
      </c>
      <c r="I142" s="181">
        <v>130</v>
      </c>
      <c r="J142" s="181">
        <v>145</v>
      </c>
      <c r="K142" s="181">
        <v>100</v>
      </c>
      <c r="L142" s="181">
        <v>100</v>
      </c>
      <c r="M142" s="182" t="s">
        <v>49</v>
      </c>
      <c r="N142" s="181">
        <v>107.5</v>
      </c>
    </row>
    <row r="143" spans="1:14" ht="12" customHeight="1" x14ac:dyDescent="0.25">
      <c r="A143" s="149"/>
      <c r="B143" s="150">
        <v>2025</v>
      </c>
      <c r="C143" s="186">
        <v>108</v>
      </c>
      <c r="D143" s="186">
        <v>105</v>
      </c>
      <c r="E143" s="186">
        <v>108</v>
      </c>
      <c r="F143" s="186">
        <v>108</v>
      </c>
      <c r="G143" s="186">
        <v>88</v>
      </c>
      <c r="H143" s="186">
        <v>95</v>
      </c>
      <c r="I143" s="186">
        <v>94</v>
      </c>
      <c r="J143" s="186"/>
      <c r="K143" s="186"/>
      <c r="L143" s="186"/>
      <c r="M143" s="184"/>
      <c r="N143" s="186"/>
    </row>
    <row r="144" spans="1:14" ht="12" customHeight="1" x14ac:dyDescent="0.25">
      <c r="A144" s="18" t="s">
        <v>65</v>
      </c>
      <c r="B144" s="11">
        <v>2018</v>
      </c>
      <c r="C144" s="188">
        <v>56.5</v>
      </c>
      <c r="D144" s="187">
        <v>56</v>
      </c>
      <c r="E144" s="188">
        <v>58</v>
      </c>
      <c r="F144" s="181">
        <v>60</v>
      </c>
      <c r="G144" s="182">
        <v>59</v>
      </c>
      <c r="H144" s="181">
        <v>59</v>
      </c>
      <c r="I144" s="181">
        <v>58</v>
      </c>
      <c r="J144" s="181">
        <v>58</v>
      </c>
      <c r="K144" s="181">
        <v>58</v>
      </c>
      <c r="L144" s="182">
        <v>60</v>
      </c>
      <c r="M144" s="181">
        <v>60</v>
      </c>
      <c r="N144" s="182">
        <v>60</v>
      </c>
    </row>
    <row r="145" spans="1:14" ht="12" customHeight="1" x14ac:dyDescent="0.25">
      <c r="A145" s="18"/>
      <c r="B145" s="11">
        <v>2019</v>
      </c>
      <c r="C145" s="181">
        <v>60</v>
      </c>
      <c r="D145" s="182">
        <v>60</v>
      </c>
      <c r="E145" s="181">
        <v>63</v>
      </c>
      <c r="F145" s="181">
        <v>62.5</v>
      </c>
      <c r="G145" s="182">
        <v>62.5</v>
      </c>
      <c r="H145" s="181">
        <v>60</v>
      </c>
      <c r="I145" s="181">
        <v>60</v>
      </c>
      <c r="J145" s="188">
        <v>62</v>
      </c>
      <c r="K145" s="188">
        <v>62.5</v>
      </c>
      <c r="L145" s="182">
        <v>62.5</v>
      </c>
      <c r="M145" s="182">
        <v>62.5</v>
      </c>
      <c r="N145" s="182">
        <v>62.5</v>
      </c>
    </row>
    <row r="146" spans="1:14" ht="12" customHeight="1" x14ac:dyDescent="0.25">
      <c r="A146" s="18"/>
      <c r="B146" s="11">
        <v>2020</v>
      </c>
      <c r="C146" s="181">
        <v>60</v>
      </c>
      <c r="D146" s="182">
        <v>62.5</v>
      </c>
      <c r="E146" s="181" t="s">
        <v>49</v>
      </c>
      <c r="F146" s="181" t="s">
        <v>49</v>
      </c>
      <c r="G146" s="182">
        <v>62.5</v>
      </c>
      <c r="H146" s="181">
        <v>62.5</v>
      </c>
      <c r="I146" s="181" t="s">
        <v>49</v>
      </c>
      <c r="J146" s="181">
        <v>62.5</v>
      </c>
      <c r="K146" s="188">
        <v>75</v>
      </c>
      <c r="L146" s="187">
        <v>75</v>
      </c>
      <c r="M146" s="187">
        <v>75</v>
      </c>
      <c r="N146" s="187">
        <v>75</v>
      </c>
    </row>
    <row r="147" spans="1:14" ht="12" customHeight="1" x14ac:dyDescent="0.25">
      <c r="A147" s="18"/>
      <c r="B147" s="11">
        <v>2021</v>
      </c>
      <c r="C147" s="181">
        <v>65</v>
      </c>
      <c r="D147" s="182">
        <v>65</v>
      </c>
      <c r="E147" s="181">
        <v>65</v>
      </c>
      <c r="F147" s="181">
        <v>65</v>
      </c>
      <c r="G147" s="182">
        <v>65</v>
      </c>
      <c r="H147" s="181">
        <v>66</v>
      </c>
      <c r="I147" s="181">
        <v>65</v>
      </c>
      <c r="J147" s="181">
        <v>70</v>
      </c>
      <c r="K147" s="181">
        <v>70</v>
      </c>
      <c r="L147" s="182">
        <v>70</v>
      </c>
      <c r="M147" s="182">
        <v>70</v>
      </c>
      <c r="N147" s="182">
        <v>70</v>
      </c>
    </row>
    <row r="148" spans="1:14" ht="12" customHeight="1" x14ac:dyDescent="0.25">
      <c r="A148" s="18"/>
      <c r="B148" s="11">
        <v>2022</v>
      </c>
      <c r="C148" s="181">
        <v>70</v>
      </c>
      <c r="D148" s="182">
        <v>70</v>
      </c>
      <c r="E148" s="181">
        <v>70</v>
      </c>
      <c r="F148" s="181">
        <v>75</v>
      </c>
      <c r="G148" s="182">
        <v>71</v>
      </c>
      <c r="H148" s="181">
        <v>75</v>
      </c>
      <c r="I148" s="181">
        <v>75</v>
      </c>
      <c r="J148" s="181">
        <v>75</v>
      </c>
      <c r="K148" s="181">
        <v>75</v>
      </c>
      <c r="L148" s="182">
        <v>75</v>
      </c>
      <c r="M148" s="182">
        <v>75</v>
      </c>
      <c r="N148" s="182">
        <v>75</v>
      </c>
    </row>
    <row r="149" spans="1:14" ht="12" customHeight="1" x14ac:dyDescent="0.25">
      <c r="A149" s="18"/>
      <c r="B149" s="11">
        <v>2023</v>
      </c>
      <c r="C149" s="181">
        <v>80</v>
      </c>
      <c r="D149" s="181">
        <v>90</v>
      </c>
      <c r="E149" s="181">
        <v>95</v>
      </c>
      <c r="F149" s="181">
        <v>95</v>
      </c>
      <c r="G149" s="182">
        <v>95</v>
      </c>
      <c r="H149" s="181">
        <v>95</v>
      </c>
      <c r="I149" s="181">
        <v>95</v>
      </c>
      <c r="J149" s="181">
        <v>95</v>
      </c>
      <c r="K149" s="181">
        <v>95</v>
      </c>
      <c r="L149" s="181">
        <v>95</v>
      </c>
      <c r="M149" s="182" t="s">
        <v>49</v>
      </c>
      <c r="N149" s="182" t="s">
        <v>49</v>
      </c>
    </row>
    <row r="150" spans="1:14" ht="12" customHeight="1" x14ac:dyDescent="0.25">
      <c r="A150" s="18"/>
      <c r="B150" s="11">
        <v>2024</v>
      </c>
      <c r="C150" s="5" t="s">
        <v>4</v>
      </c>
      <c r="D150" s="5" t="s">
        <v>4</v>
      </c>
      <c r="E150" s="181">
        <v>88</v>
      </c>
      <c r="F150" s="181">
        <v>100</v>
      </c>
      <c r="G150" s="182">
        <v>95</v>
      </c>
      <c r="H150" s="5" t="s">
        <v>4</v>
      </c>
      <c r="I150" s="5" t="s">
        <v>4</v>
      </c>
      <c r="J150" s="5" t="s">
        <v>4</v>
      </c>
      <c r="K150" s="5" t="s">
        <v>4</v>
      </c>
      <c r="L150" s="181">
        <v>110</v>
      </c>
      <c r="M150" s="181">
        <v>108</v>
      </c>
      <c r="N150" s="181">
        <v>125</v>
      </c>
    </row>
    <row r="151" spans="1:14" ht="12" customHeight="1" x14ac:dyDescent="0.25">
      <c r="A151" s="149"/>
      <c r="B151" s="150">
        <v>2025</v>
      </c>
      <c r="C151" s="186">
        <v>80</v>
      </c>
      <c r="D151" s="185" t="s">
        <v>4</v>
      </c>
      <c r="E151" s="185" t="s">
        <v>4</v>
      </c>
      <c r="F151" s="186">
        <v>96</v>
      </c>
      <c r="G151" s="186">
        <v>96</v>
      </c>
      <c r="H151" s="185">
        <v>94</v>
      </c>
      <c r="I151" s="185">
        <v>82.3</v>
      </c>
      <c r="J151" s="185"/>
      <c r="K151" s="185"/>
      <c r="L151" s="186"/>
      <c r="M151" s="186"/>
      <c r="N151" s="186"/>
    </row>
    <row r="152" spans="1:14" ht="12" customHeight="1" x14ac:dyDescent="0.25">
      <c r="A152" s="18" t="s">
        <v>90</v>
      </c>
      <c r="B152" s="11">
        <v>2018</v>
      </c>
      <c r="C152" s="188">
        <v>170</v>
      </c>
      <c r="D152" s="187">
        <v>170</v>
      </c>
      <c r="E152" s="188">
        <v>170</v>
      </c>
      <c r="F152" s="181">
        <v>170</v>
      </c>
      <c r="G152" s="182">
        <v>170</v>
      </c>
      <c r="H152" s="181">
        <v>170</v>
      </c>
      <c r="I152" s="181">
        <v>170</v>
      </c>
      <c r="J152" s="181">
        <v>170</v>
      </c>
      <c r="K152" s="181">
        <v>170</v>
      </c>
      <c r="L152" s="182">
        <v>170</v>
      </c>
      <c r="M152" s="182">
        <v>170</v>
      </c>
      <c r="N152" s="182">
        <v>170</v>
      </c>
    </row>
    <row r="153" spans="1:14" ht="12" customHeight="1" x14ac:dyDescent="0.25">
      <c r="A153" s="18"/>
      <c r="B153" s="11">
        <v>2019</v>
      </c>
      <c r="C153" s="181">
        <v>119</v>
      </c>
      <c r="D153" s="182">
        <v>119</v>
      </c>
      <c r="E153" s="181">
        <v>119</v>
      </c>
      <c r="F153" s="181">
        <v>121</v>
      </c>
      <c r="G153" s="182">
        <v>121</v>
      </c>
      <c r="H153" s="181">
        <v>119</v>
      </c>
      <c r="I153" s="181">
        <v>119</v>
      </c>
      <c r="J153" s="188">
        <v>121</v>
      </c>
      <c r="K153" s="188">
        <v>125</v>
      </c>
      <c r="L153" s="182">
        <v>125</v>
      </c>
      <c r="M153" s="182">
        <v>125</v>
      </c>
      <c r="N153" s="182">
        <v>125</v>
      </c>
    </row>
    <row r="154" spans="1:14" ht="12" customHeight="1" x14ac:dyDescent="0.25">
      <c r="A154" s="18"/>
      <c r="B154" s="11">
        <v>2020</v>
      </c>
      <c r="C154" s="181">
        <v>125</v>
      </c>
      <c r="D154" s="182">
        <v>125</v>
      </c>
      <c r="E154" s="181">
        <v>125</v>
      </c>
      <c r="F154" s="181">
        <v>125</v>
      </c>
      <c r="G154" s="182">
        <v>125</v>
      </c>
      <c r="H154" s="181">
        <v>125</v>
      </c>
      <c r="I154" s="181">
        <v>125</v>
      </c>
      <c r="J154" s="181">
        <v>125</v>
      </c>
      <c r="K154" s="181">
        <v>125</v>
      </c>
      <c r="L154" s="182">
        <v>125</v>
      </c>
      <c r="M154" s="182">
        <v>125</v>
      </c>
      <c r="N154" s="182">
        <v>125</v>
      </c>
    </row>
    <row r="155" spans="1:14" ht="12" customHeight="1" x14ac:dyDescent="0.25">
      <c r="A155" s="18"/>
      <c r="B155" s="11">
        <v>2021</v>
      </c>
      <c r="C155" s="181" t="s">
        <v>49</v>
      </c>
      <c r="D155" s="182" t="s">
        <v>49</v>
      </c>
      <c r="E155" s="181" t="s">
        <v>49</v>
      </c>
      <c r="F155" s="181" t="s">
        <v>49</v>
      </c>
      <c r="G155" s="182" t="s">
        <v>49</v>
      </c>
      <c r="H155" s="181" t="s">
        <v>49</v>
      </c>
      <c r="I155" s="181" t="s">
        <v>49</v>
      </c>
      <c r="J155" s="181" t="s">
        <v>49</v>
      </c>
      <c r="K155" s="181" t="s">
        <v>49</v>
      </c>
      <c r="L155" s="182" t="s">
        <v>49</v>
      </c>
      <c r="M155" s="182" t="s">
        <v>49</v>
      </c>
      <c r="N155" s="182" t="s">
        <v>49</v>
      </c>
    </row>
    <row r="156" spans="1:14" ht="12" customHeight="1" x14ac:dyDescent="0.25">
      <c r="A156" s="18"/>
      <c r="B156" s="11">
        <v>2022</v>
      </c>
      <c r="C156" s="181">
        <v>72.5</v>
      </c>
      <c r="D156" s="182">
        <v>72.5</v>
      </c>
      <c r="E156" s="181">
        <v>75</v>
      </c>
      <c r="F156" s="181">
        <v>70</v>
      </c>
      <c r="G156" s="182" t="s">
        <v>49</v>
      </c>
      <c r="H156" s="181" t="s">
        <v>49</v>
      </c>
      <c r="I156" s="181" t="s">
        <v>49</v>
      </c>
      <c r="J156" s="181">
        <v>77.5</v>
      </c>
      <c r="K156" s="181">
        <v>75</v>
      </c>
      <c r="L156" s="182">
        <v>75</v>
      </c>
      <c r="M156" s="182">
        <v>77.5</v>
      </c>
      <c r="N156" s="182">
        <v>70</v>
      </c>
    </row>
    <row r="157" spans="1:14" ht="12" customHeight="1" x14ac:dyDescent="0.25">
      <c r="A157" s="18"/>
      <c r="B157" s="11">
        <v>2023</v>
      </c>
      <c r="C157" s="181">
        <v>150</v>
      </c>
      <c r="D157" s="181">
        <v>123</v>
      </c>
      <c r="E157" s="181" t="s">
        <v>49</v>
      </c>
      <c r="F157" s="181">
        <v>125</v>
      </c>
      <c r="G157" s="182">
        <v>125</v>
      </c>
      <c r="H157" s="181">
        <v>125</v>
      </c>
      <c r="I157" s="181">
        <v>125</v>
      </c>
      <c r="J157" s="181">
        <v>125</v>
      </c>
      <c r="K157" s="181">
        <v>125</v>
      </c>
      <c r="L157" s="181">
        <v>125</v>
      </c>
      <c r="M157" s="181">
        <v>120</v>
      </c>
      <c r="N157" s="181">
        <v>120</v>
      </c>
    </row>
    <row r="158" spans="1:14" ht="12" customHeight="1" x14ac:dyDescent="0.25">
      <c r="A158" s="18"/>
      <c r="B158" s="11">
        <v>2024</v>
      </c>
      <c r="C158" s="5" t="s">
        <v>4</v>
      </c>
      <c r="D158" s="181">
        <v>105</v>
      </c>
      <c r="E158" s="181">
        <v>105</v>
      </c>
      <c r="F158" s="181">
        <v>105</v>
      </c>
      <c r="G158" s="183" t="s">
        <v>4</v>
      </c>
      <c r="H158" s="181">
        <v>100</v>
      </c>
      <c r="I158" s="5" t="s">
        <v>4</v>
      </c>
      <c r="J158" s="5" t="s">
        <v>4</v>
      </c>
      <c r="K158" s="5" t="s">
        <v>4</v>
      </c>
      <c r="L158" s="181">
        <v>150</v>
      </c>
      <c r="M158" s="181">
        <v>245</v>
      </c>
      <c r="N158" s="5" t="s">
        <v>4</v>
      </c>
    </row>
    <row r="159" spans="1:14" ht="12" customHeight="1" x14ac:dyDescent="0.25">
      <c r="A159" s="149"/>
      <c r="B159" s="150">
        <v>2025</v>
      </c>
      <c r="C159" s="186">
        <v>100</v>
      </c>
      <c r="D159" s="186">
        <v>100</v>
      </c>
      <c r="E159" s="185" t="s">
        <v>4</v>
      </c>
      <c r="F159" s="186">
        <v>250</v>
      </c>
      <c r="G159" s="186">
        <v>100</v>
      </c>
      <c r="H159" s="185" t="s">
        <v>4</v>
      </c>
      <c r="I159" s="186">
        <v>100</v>
      </c>
      <c r="J159" s="185"/>
      <c r="K159" s="185"/>
      <c r="L159" s="186"/>
      <c r="M159" s="186"/>
      <c r="N159" s="185"/>
    </row>
    <row r="160" spans="1:14" ht="12" customHeight="1" x14ac:dyDescent="0.25">
      <c r="A160" s="18" t="s">
        <v>72</v>
      </c>
      <c r="B160" s="11">
        <v>2018</v>
      </c>
      <c r="C160" s="188">
        <v>132.5</v>
      </c>
      <c r="D160" s="187">
        <v>127.5</v>
      </c>
      <c r="E160" s="188">
        <v>135</v>
      </c>
      <c r="F160" s="181">
        <v>132.5</v>
      </c>
      <c r="G160" s="182">
        <v>125</v>
      </c>
      <c r="H160" s="181">
        <v>127.5</v>
      </c>
      <c r="I160" s="181">
        <v>107.5</v>
      </c>
      <c r="J160" s="181">
        <v>132.5</v>
      </c>
      <c r="K160" s="181">
        <v>112.5</v>
      </c>
      <c r="L160" s="182">
        <v>132.5</v>
      </c>
      <c r="M160" s="182">
        <v>132.5</v>
      </c>
      <c r="N160" s="182">
        <v>132.5</v>
      </c>
    </row>
    <row r="161" spans="1:14" ht="12" customHeight="1" x14ac:dyDescent="0.25">
      <c r="A161" s="18"/>
      <c r="B161" s="11">
        <v>2019</v>
      </c>
      <c r="C161" s="181">
        <v>132.5</v>
      </c>
      <c r="D161" s="182">
        <v>132.5</v>
      </c>
      <c r="E161" s="181">
        <v>132.5</v>
      </c>
      <c r="F161" s="181">
        <v>132.5</v>
      </c>
      <c r="G161" s="182">
        <v>132.5</v>
      </c>
      <c r="H161" s="181">
        <v>127.5</v>
      </c>
      <c r="I161" s="181">
        <v>127.5</v>
      </c>
      <c r="J161" s="188">
        <v>132.5</v>
      </c>
      <c r="K161" s="188">
        <v>140</v>
      </c>
      <c r="L161" s="182">
        <v>140</v>
      </c>
      <c r="M161" s="182">
        <v>140</v>
      </c>
      <c r="N161" s="182">
        <v>115</v>
      </c>
    </row>
    <row r="162" spans="1:14" ht="12" customHeight="1" x14ac:dyDescent="0.25">
      <c r="A162" s="19"/>
      <c r="B162" s="11">
        <v>2020</v>
      </c>
      <c r="C162" s="181">
        <v>135</v>
      </c>
      <c r="D162" s="182">
        <v>135</v>
      </c>
      <c r="E162" s="181">
        <v>135</v>
      </c>
      <c r="F162" s="181">
        <v>135</v>
      </c>
      <c r="G162" s="182">
        <v>135</v>
      </c>
      <c r="H162" s="181">
        <v>135</v>
      </c>
      <c r="I162" s="181">
        <v>135</v>
      </c>
      <c r="J162" s="188">
        <v>125</v>
      </c>
      <c r="K162" s="188">
        <v>125</v>
      </c>
      <c r="L162" s="182">
        <v>135</v>
      </c>
      <c r="M162" s="182">
        <v>140</v>
      </c>
      <c r="N162" s="182">
        <v>135</v>
      </c>
    </row>
    <row r="163" spans="1:14" ht="12" customHeight="1" x14ac:dyDescent="0.25">
      <c r="A163" s="19"/>
      <c r="B163" s="11">
        <v>2021</v>
      </c>
      <c r="C163" s="181">
        <v>135</v>
      </c>
      <c r="D163" s="182">
        <v>115</v>
      </c>
      <c r="E163" s="181">
        <v>95</v>
      </c>
      <c r="F163" s="181">
        <v>95</v>
      </c>
      <c r="G163" s="182">
        <v>140</v>
      </c>
      <c r="H163" s="181">
        <v>140</v>
      </c>
      <c r="I163" s="181">
        <v>140</v>
      </c>
      <c r="J163" s="181">
        <v>140</v>
      </c>
      <c r="K163" s="181">
        <v>140</v>
      </c>
      <c r="L163" s="182">
        <v>140</v>
      </c>
      <c r="M163" s="182">
        <v>140</v>
      </c>
      <c r="N163" s="182">
        <v>140</v>
      </c>
    </row>
    <row r="164" spans="1:14" ht="12" customHeight="1" x14ac:dyDescent="0.25">
      <c r="A164" s="19"/>
      <c r="B164" s="11">
        <v>2022</v>
      </c>
      <c r="C164" s="181">
        <v>130</v>
      </c>
      <c r="D164" s="182">
        <v>130</v>
      </c>
      <c r="E164" s="181">
        <v>125</v>
      </c>
      <c r="F164" s="181">
        <v>125</v>
      </c>
      <c r="G164" s="182">
        <v>125</v>
      </c>
      <c r="H164" s="181">
        <v>125</v>
      </c>
      <c r="I164" s="181">
        <v>125</v>
      </c>
      <c r="J164" s="181">
        <v>125</v>
      </c>
      <c r="K164" s="181">
        <v>125</v>
      </c>
      <c r="L164" s="182">
        <v>125</v>
      </c>
      <c r="M164" s="181">
        <v>125</v>
      </c>
      <c r="N164" s="182">
        <v>125</v>
      </c>
    </row>
    <row r="165" spans="1:14" ht="12" customHeight="1" x14ac:dyDescent="0.25">
      <c r="A165" s="19"/>
      <c r="B165" s="11">
        <v>2023</v>
      </c>
      <c r="C165" s="181">
        <v>125</v>
      </c>
      <c r="D165" s="181">
        <v>130</v>
      </c>
      <c r="E165" s="181">
        <v>130</v>
      </c>
      <c r="F165" s="181">
        <v>125</v>
      </c>
      <c r="G165" s="182">
        <v>135</v>
      </c>
      <c r="H165" s="181">
        <v>125</v>
      </c>
      <c r="I165" s="181">
        <v>125</v>
      </c>
      <c r="J165" s="181">
        <v>125</v>
      </c>
      <c r="K165" s="181">
        <v>130</v>
      </c>
      <c r="L165" s="181">
        <v>130</v>
      </c>
      <c r="M165" s="182">
        <v>120</v>
      </c>
      <c r="N165" s="181">
        <v>120</v>
      </c>
    </row>
    <row r="166" spans="1:14" ht="12" customHeight="1" x14ac:dyDescent="0.25">
      <c r="A166" s="19"/>
      <c r="B166" s="11">
        <v>2024</v>
      </c>
      <c r="C166" s="181">
        <v>105</v>
      </c>
      <c r="D166" s="181">
        <v>120</v>
      </c>
      <c r="E166" s="181">
        <v>115</v>
      </c>
      <c r="F166" s="181">
        <v>120</v>
      </c>
      <c r="G166" s="182">
        <v>120</v>
      </c>
      <c r="H166" s="181">
        <v>120</v>
      </c>
      <c r="I166" s="181">
        <v>120</v>
      </c>
      <c r="J166" s="181">
        <v>120</v>
      </c>
      <c r="K166" s="181">
        <v>115</v>
      </c>
      <c r="L166" s="5" t="s">
        <v>4</v>
      </c>
      <c r="M166" s="5" t="s">
        <v>4</v>
      </c>
      <c r="N166" s="181">
        <v>110</v>
      </c>
    </row>
    <row r="167" spans="1:14" ht="12" customHeight="1" x14ac:dyDescent="0.25">
      <c r="A167" s="165"/>
      <c r="B167" s="150">
        <v>2025</v>
      </c>
      <c r="C167" s="186">
        <v>110</v>
      </c>
      <c r="D167" s="186">
        <v>110</v>
      </c>
      <c r="E167" s="186">
        <v>110</v>
      </c>
      <c r="F167" s="186">
        <v>110</v>
      </c>
      <c r="G167" s="186">
        <v>110</v>
      </c>
      <c r="H167" s="186">
        <v>145</v>
      </c>
      <c r="I167" s="186">
        <v>145</v>
      </c>
      <c r="J167" s="186"/>
      <c r="K167" s="186"/>
      <c r="L167" s="185"/>
      <c r="M167" s="185"/>
      <c r="N167" s="186"/>
    </row>
    <row r="168" spans="1:14" ht="9" customHeight="1" x14ac:dyDescent="0.25">
      <c r="A168" s="10" t="s">
        <v>87</v>
      </c>
      <c r="B168" s="191"/>
      <c r="C168" s="19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</row>
    <row r="169" spans="1:14" ht="9" customHeight="1" x14ac:dyDescent="0.25">
      <c r="A169" s="135" t="s">
        <v>67</v>
      </c>
      <c r="B169" s="193"/>
      <c r="C169" s="194"/>
      <c r="D169" s="175"/>
      <c r="E169" s="175"/>
      <c r="F169" s="175"/>
      <c r="G169" s="175"/>
      <c r="H169" s="172"/>
      <c r="I169" s="172"/>
      <c r="J169" s="172"/>
      <c r="K169" s="172"/>
      <c r="L169" s="172"/>
      <c r="M169" s="172"/>
      <c r="N169" s="172"/>
    </row>
    <row r="170" spans="1:14" ht="9" customHeight="1" x14ac:dyDescent="0.2">
      <c r="A170" s="137" t="s">
        <v>68</v>
      </c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</row>
    <row r="171" spans="1:14" ht="9" customHeight="1" x14ac:dyDescent="0.2">
      <c r="A171" s="137" t="s">
        <v>121</v>
      </c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</row>
    <row r="172" spans="1:14" ht="9" customHeight="1" x14ac:dyDescent="0.2">
      <c r="A172" s="137"/>
    </row>
    <row r="173" spans="1:14" ht="9.75" customHeight="1" x14ac:dyDescent="0.2">
      <c r="A173" s="137"/>
    </row>
  </sheetData>
  <mergeCells count="3">
    <mergeCell ref="A1:N1"/>
    <mergeCell ref="A57:F57"/>
    <mergeCell ref="A117:F117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5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A1:I134"/>
  <sheetViews>
    <sheetView showGridLines="0" zoomScaleNormal="100" workbookViewId="0">
      <selection activeCell="A68" sqref="A68:B128"/>
    </sheetView>
  </sheetViews>
  <sheetFormatPr baseColWidth="10" defaultColWidth="11.42578125" defaultRowHeight="12.75" x14ac:dyDescent="0.2"/>
  <cols>
    <col min="1" max="1" width="21.85546875" style="244" customWidth="1"/>
    <col min="2" max="7" width="7.85546875" style="244" customWidth="1"/>
    <col min="8" max="16384" width="11.42578125" style="244"/>
  </cols>
  <sheetData>
    <row r="1" spans="1:7" ht="13.5" x14ac:dyDescent="0.2">
      <c r="A1" s="256" t="s">
        <v>151</v>
      </c>
      <c r="B1" s="257"/>
      <c r="C1" s="257"/>
      <c r="D1" s="257"/>
      <c r="E1" s="257"/>
      <c r="F1" s="257"/>
      <c r="G1" s="53"/>
    </row>
    <row r="2" spans="1:7" ht="13.5" x14ac:dyDescent="0.2">
      <c r="A2" s="256" t="s">
        <v>550</v>
      </c>
      <c r="B2" s="257"/>
      <c r="C2" s="257"/>
      <c r="D2" s="257"/>
      <c r="E2" s="257"/>
      <c r="F2" s="257"/>
      <c r="G2" s="53"/>
    </row>
    <row r="3" spans="1:7" ht="5.0999999999999996" customHeight="1" x14ac:dyDescent="0.2">
      <c r="A3" s="199"/>
      <c r="B3" s="257"/>
      <c r="C3" s="257"/>
      <c r="D3" s="257"/>
      <c r="E3" s="257"/>
      <c r="F3" s="257"/>
      <c r="G3" s="53"/>
    </row>
    <row r="4" spans="1:7" ht="14.1" customHeight="1" x14ac:dyDescent="0.2">
      <c r="A4" s="715" t="s">
        <v>0</v>
      </c>
      <c r="B4" s="717" t="s">
        <v>152</v>
      </c>
      <c r="C4" s="718"/>
      <c r="D4" s="719"/>
      <c r="E4" s="717" t="s">
        <v>153</v>
      </c>
      <c r="F4" s="718"/>
      <c r="G4" s="719"/>
    </row>
    <row r="5" spans="1:7" ht="14.1" customHeight="1" x14ac:dyDescent="0.2">
      <c r="A5" s="716"/>
      <c r="B5" s="249" t="s">
        <v>154</v>
      </c>
      <c r="C5" s="249" t="s">
        <v>162</v>
      </c>
      <c r="D5" s="250" t="s">
        <v>1</v>
      </c>
      <c r="E5" s="249" t="s">
        <v>154</v>
      </c>
      <c r="F5" s="249" t="s">
        <v>162</v>
      </c>
      <c r="G5" s="250" t="s">
        <v>1</v>
      </c>
    </row>
    <row r="6" spans="1:7" ht="3" customHeight="1" x14ac:dyDescent="0.2">
      <c r="A6" s="251"/>
      <c r="B6" s="252"/>
      <c r="C6" s="252"/>
      <c r="D6" s="253"/>
      <c r="E6" s="252"/>
      <c r="F6" s="252"/>
      <c r="G6" s="253"/>
    </row>
    <row r="7" spans="1:7" ht="12" customHeight="1" x14ac:dyDescent="0.2">
      <c r="A7" s="246" t="s">
        <v>490</v>
      </c>
      <c r="B7" s="259"/>
      <c r="C7" s="259"/>
      <c r="D7" s="258"/>
      <c r="E7" s="259"/>
      <c r="F7" s="259"/>
      <c r="G7" s="258"/>
    </row>
    <row r="8" spans="1:7" ht="12" customHeight="1" x14ac:dyDescent="0.2">
      <c r="A8" s="273" t="s">
        <v>495</v>
      </c>
      <c r="B8" s="265">
        <v>165</v>
      </c>
      <c r="C8" s="265">
        <v>165</v>
      </c>
      <c r="D8" s="267">
        <f t="shared" ref="D8:D13" si="0">((C8/B8)     -    1)*100</f>
        <v>0</v>
      </c>
      <c r="E8" s="265">
        <v>153</v>
      </c>
      <c r="F8" s="265">
        <v>153</v>
      </c>
      <c r="G8" s="267">
        <f t="shared" ref="G8:G13" si="1">((F8/E8)     -    1)*100</f>
        <v>0</v>
      </c>
    </row>
    <row r="9" spans="1:7" ht="12" customHeight="1" x14ac:dyDescent="0.2">
      <c r="A9" s="273" t="s">
        <v>505</v>
      </c>
      <c r="B9" s="265">
        <v>130</v>
      </c>
      <c r="C9" s="265">
        <v>130</v>
      </c>
      <c r="D9" s="267">
        <f t="shared" si="0"/>
        <v>0</v>
      </c>
      <c r="E9" s="265">
        <v>105</v>
      </c>
      <c r="F9" s="265">
        <v>105</v>
      </c>
      <c r="G9" s="267">
        <f t="shared" si="1"/>
        <v>0</v>
      </c>
    </row>
    <row r="10" spans="1:7" ht="12" customHeight="1" x14ac:dyDescent="0.2">
      <c r="A10" s="273" t="s">
        <v>541</v>
      </c>
      <c r="B10" s="265">
        <v>120</v>
      </c>
      <c r="C10" s="265">
        <v>120</v>
      </c>
      <c r="D10" s="267">
        <f t="shared" si="0"/>
        <v>0</v>
      </c>
      <c r="E10" s="265">
        <v>90</v>
      </c>
      <c r="F10" s="265">
        <v>90</v>
      </c>
      <c r="G10" s="267">
        <f t="shared" si="1"/>
        <v>0</v>
      </c>
    </row>
    <row r="11" spans="1:7" ht="12" customHeight="1" x14ac:dyDescent="0.2">
      <c r="A11" s="273" t="s">
        <v>491</v>
      </c>
      <c r="B11" s="265">
        <v>135</v>
      </c>
      <c r="C11" s="265">
        <v>135</v>
      </c>
      <c r="D11" s="267">
        <f t="shared" si="0"/>
        <v>0</v>
      </c>
      <c r="E11" s="265">
        <v>135</v>
      </c>
      <c r="F11" s="265">
        <v>135</v>
      </c>
      <c r="G11" s="267">
        <f t="shared" si="1"/>
        <v>0</v>
      </c>
    </row>
    <row r="12" spans="1:7" ht="12" customHeight="1" x14ac:dyDescent="0.2">
      <c r="A12" s="273" t="s">
        <v>492</v>
      </c>
      <c r="B12" s="265">
        <v>105</v>
      </c>
      <c r="C12" s="265">
        <v>105</v>
      </c>
      <c r="D12" s="267">
        <f t="shared" si="0"/>
        <v>0</v>
      </c>
      <c r="E12" s="265">
        <v>95</v>
      </c>
      <c r="F12" s="265">
        <v>95</v>
      </c>
      <c r="G12" s="267">
        <f t="shared" si="1"/>
        <v>0</v>
      </c>
    </row>
    <row r="13" spans="1:7" ht="12" customHeight="1" x14ac:dyDescent="0.2">
      <c r="A13" s="273" t="s">
        <v>493</v>
      </c>
      <c r="B13" s="265">
        <v>130</v>
      </c>
      <c r="C13" s="265">
        <v>130</v>
      </c>
      <c r="D13" s="267">
        <f t="shared" si="0"/>
        <v>0</v>
      </c>
      <c r="E13" s="265">
        <v>85</v>
      </c>
      <c r="F13" s="265">
        <v>85</v>
      </c>
      <c r="G13" s="267">
        <f t="shared" si="1"/>
        <v>0</v>
      </c>
    </row>
    <row r="14" spans="1:7" ht="12" customHeight="1" x14ac:dyDescent="0.2">
      <c r="A14" s="246" t="s">
        <v>77</v>
      </c>
      <c r="B14" s="259"/>
      <c r="C14" s="259"/>
      <c r="D14" s="258"/>
      <c r="E14" s="259"/>
      <c r="F14" s="259"/>
      <c r="G14" s="258"/>
    </row>
    <row r="15" spans="1:7" ht="12" customHeight="1" x14ac:dyDescent="0.2">
      <c r="A15" s="273" t="s">
        <v>155</v>
      </c>
      <c r="B15" s="265">
        <v>80</v>
      </c>
      <c r="C15" s="265">
        <v>85</v>
      </c>
      <c r="D15" s="267">
        <f>((C15/B15)     -    1)*100</f>
        <v>6.25</v>
      </c>
      <c r="E15" s="265">
        <v>165</v>
      </c>
      <c r="F15" s="265">
        <v>110</v>
      </c>
      <c r="G15" s="267">
        <f>((F15/E15)     -    1)*100</f>
        <v>-33.333333333333336</v>
      </c>
    </row>
    <row r="16" spans="1:7" ht="12" customHeight="1" x14ac:dyDescent="0.2">
      <c r="A16" s="273" t="s">
        <v>570</v>
      </c>
      <c r="B16" s="265">
        <v>109</v>
      </c>
      <c r="C16" s="265">
        <v>100</v>
      </c>
      <c r="D16" s="267">
        <f>((C16/B16)     -    1)*100</f>
        <v>-8.2568807339449499</v>
      </c>
      <c r="E16" s="265">
        <v>200</v>
      </c>
      <c r="F16" s="265">
        <v>100</v>
      </c>
      <c r="G16" s="267">
        <f>((F16/E16)     -    1)*100</f>
        <v>-50</v>
      </c>
    </row>
    <row r="17" spans="1:9" ht="12" customHeight="1" x14ac:dyDescent="0.2">
      <c r="A17" s="273" t="s">
        <v>156</v>
      </c>
      <c r="B17" s="65" t="s">
        <v>160</v>
      </c>
      <c r="C17" s="265">
        <v>100</v>
      </c>
      <c r="D17" s="258" t="s">
        <v>157</v>
      </c>
      <c r="E17" s="65" t="s">
        <v>160</v>
      </c>
      <c r="F17" s="265">
        <v>150</v>
      </c>
      <c r="G17" s="258" t="s">
        <v>157</v>
      </c>
    </row>
    <row r="18" spans="1:9" ht="12" customHeight="1" x14ac:dyDescent="0.2">
      <c r="A18" s="273" t="s">
        <v>158</v>
      </c>
      <c r="B18" s="265">
        <v>80</v>
      </c>
      <c r="C18" s="265">
        <v>95</v>
      </c>
      <c r="D18" s="267">
        <f>((C18/B18)     -    1)*100</f>
        <v>18.75</v>
      </c>
      <c r="E18" s="265">
        <v>73</v>
      </c>
      <c r="F18" s="265">
        <v>105</v>
      </c>
      <c r="G18" s="267">
        <f>((F18/E18)     -    1)*100</f>
        <v>43.835616438356162</v>
      </c>
    </row>
    <row r="19" spans="1:9" ht="12" customHeight="1" x14ac:dyDescent="0.2">
      <c r="A19" s="273" t="s">
        <v>159</v>
      </c>
      <c r="B19" s="65" t="s">
        <v>160</v>
      </c>
      <c r="C19" s="265">
        <v>105</v>
      </c>
      <c r="D19" s="258" t="s">
        <v>157</v>
      </c>
      <c r="E19" s="65" t="s">
        <v>160</v>
      </c>
      <c r="F19" s="265">
        <v>125</v>
      </c>
      <c r="G19" s="258" t="s">
        <v>157</v>
      </c>
    </row>
    <row r="20" spans="1:9" ht="12" customHeight="1" x14ac:dyDescent="0.2">
      <c r="A20" s="273" t="s">
        <v>188</v>
      </c>
      <c r="B20" s="65" t="s">
        <v>160</v>
      </c>
      <c r="C20" s="265">
        <v>100</v>
      </c>
      <c r="D20" s="258" t="s">
        <v>157</v>
      </c>
      <c r="E20" s="65" t="s">
        <v>160</v>
      </c>
      <c r="F20" s="265">
        <v>100</v>
      </c>
      <c r="G20" s="258" t="s">
        <v>157</v>
      </c>
    </row>
    <row r="21" spans="1:9" ht="12" customHeight="1" x14ac:dyDescent="0.2">
      <c r="A21" s="273" t="s">
        <v>161</v>
      </c>
      <c r="B21" s="65" t="s">
        <v>160</v>
      </c>
      <c r="C21" s="265">
        <v>105</v>
      </c>
      <c r="D21" s="258" t="s">
        <v>157</v>
      </c>
      <c r="E21" s="65" t="s">
        <v>160</v>
      </c>
      <c r="F21" s="265">
        <v>135</v>
      </c>
      <c r="G21" s="258" t="s">
        <v>157</v>
      </c>
      <c r="I21" s="258"/>
    </row>
    <row r="22" spans="1:9" ht="12" customHeight="1" x14ac:dyDescent="0.2">
      <c r="A22" s="246" t="s">
        <v>2</v>
      </c>
      <c r="B22" s="260"/>
      <c r="C22" s="260"/>
      <c r="D22" s="1"/>
      <c r="E22" s="13"/>
      <c r="F22" s="13"/>
      <c r="G22" s="258"/>
    </row>
    <row r="23" spans="1:9" ht="12" customHeight="1" x14ac:dyDescent="0.2">
      <c r="A23" s="272" t="s">
        <v>5</v>
      </c>
      <c r="B23" s="265">
        <v>110</v>
      </c>
      <c r="C23" s="265">
        <v>101</v>
      </c>
      <c r="D23" s="268">
        <f t="shared" ref="D23:D29" si="2">((C23/B23)     -    1)*100</f>
        <v>-8.1818181818181799</v>
      </c>
      <c r="E23" s="65" t="s">
        <v>160</v>
      </c>
      <c r="F23" s="65" t="s">
        <v>160</v>
      </c>
      <c r="G23" s="258" t="s">
        <v>157</v>
      </c>
    </row>
    <row r="24" spans="1:9" ht="12" customHeight="1" x14ac:dyDescent="0.2">
      <c r="A24" s="272" t="s">
        <v>78</v>
      </c>
      <c r="B24" s="265">
        <v>120</v>
      </c>
      <c r="C24" s="265">
        <v>120</v>
      </c>
      <c r="D24" s="268">
        <f t="shared" ref="D24:D27" si="3">((C24/B24)     -    1)*100</f>
        <v>0</v>
      </c>
      <c r="E24" s="65" t="s">
        <v>160</v>
      </c>
      <c r="F24" s="65" t="s">
        <v>160</v>
      </c>
      <c r="G24" s="258" t="s">
        <v>157</v>
      </c>
    </row>
    <row r="25" spans="1:9" ht="12" customHeight="1" x14ac:dyDescent="0.2">
      <c r="A25" s="272" t="s">
        <v>418</v>
      </c>
      <c r="B25" s="265">
        <v>120</v>
      </c>
      <c r="C25" s="265">
        <v>135</v>
      </c>
      <c r="D25" s="268">
        <f t="shared" si="3"/>
        <v>12.5</v>
      </c>
      <c r="E25" s="65" t="s">
        <v>160</v>
      </c>
      <c r="F25" s="65" t="s">
        <v>160</v>
      </c>
      <c r="G25" s="258" t="s">
        <v>157</v>
      </c>
    </row>
    <row r="26" spans="1:9" ht="12" customHeight="1" x14ac:dyDescent="0.2">
      <c r="A26" s="272" t="s">
        <v>85</v>
      </c>
      <c r="B26" s="265">
        <v>105</v>
      </c>
      <c r="C26" s="265">
        <v>105</v>
      </c>
      <c r="D26" s="268">
        <f t="shared" ref="D26" si="4">((C26/B26)     -    1)*100</f>
        <v>0</v>
      </c>
      <c r="E26" s="65" t="s">
        <v>160</v>
      </c>
      <c r="F26" s="265">
        <v>200</v>
      </c>
      <c r="G26" s="258" t="s">
        <v>157</v>
      </c>
    </row>
    <row r="27" spans="1:9" ht="12" customHeight="1" x14ac:dyDescent="0.2">
      <c r="A27" s="272" t="s">
        <v>61</v>
      </c>
      <c r="B27" s="265">
        <v>115</v>
      </c>
      <c r="C27" s="265">
        <v>93</v>
      </c>
      <c r="D27" s="268">
        <f t="shared" si="3"/>
        <v>-19.130434782608695</v>
      </c>
      <c r="E27" s="265">
        <v>105</v>
      </c>
      <c r="F27" s="265">
        <v>113</v>
      </c>
      <c r="G27" s="267">
        <f t="shared" ref="G27" si="5">((F27/E27)     -    1)*100</f>
        <v>7.6190476190476142</v>
      </c>
    </row>
    <row r="28" spans="1:9" ht="12" customHeight="1" x14ac:dyDescent="0.2">
      <c r="A28" s="272" t="s">
        <v>190</v>
      </c>
      <c r="B28" s="265">
        <v>165</v>
      </c>
      <c r="C28" s="265">
        <v>310</v>
      </c>
      <c r="D28" s="268">
        <f t="shared" si="2"/>
        <v>87.87878787878789</v>
      </c>
      <c r="E28" s="65" t="s">
        <v>160</v>
      </c>
      <c r="F28" s="65" t="s">
        <v>160</v>
      </c>
      <c r="G28" s="258" t="s">
        <v>157</v>
      </c>
    </row>
    <row r="29" spans="1:9" ht="12" customHeight="1" x14ac:dyDescent="0.2">
      <c r="A29" s="272" t="s">
        <v>128</v>
      </c>
      <c r="B29" s="265">
        <v>130</v>
      </c>
      <c r="C29" s="265">
        <v>130</v>
      </c>
      <c r="D29" s="268">
        <f t="shared" si="2"/>
        <v>0</v>
      </c>
      <c r="E29" s="265">
        <v>145</v>
      </c>
      <c r="F29" s="265">
        <v>150</v>
      </c>
      <c r="G29" s="267">
        <f>((F29/E29)     -    1)*100</f>
        <v>3.4482758620689724</v>
      </c>
    </row>
    <row r="30" spans="1:9" ht="12" customHeight="1" x14ac:dyDescent="0.2">
      <c r="A30" s="246" t="s">
        <v>6</v>
      </c>
      <c r="B30" s="260"/>
      <c r="C30" s="260"/>
      <c r="D30" s="1"/>
      <c r="E30" s="260"/>
      <c r="F30" s="260"/>
      <c r="G30" s="1"/>
    </row>
    <row r="31" spans="1:9" ht="12" customHeight="1" x14ac:dyDescent="0.2">
      <c r="A31" s="272" t="s">
        <v>7</v>
      </c>
      <c r="B31" s="265">
        <v>70</v>
      </c>
      <c r="C31" s="265">
        <v>60</v>
      </c>
      <c r="D31" s="268">
        <f>((C31/B31)     -    1)*100</f>
        <v>-14.28571428571429</v>
      </c>
      <c r="E31" s="65" t="s">
        <v>160</v>
      </c>
      <c r="F31" s="65" t="s">
        <v>160</v>
      </c>
      <c r="G31" s="258" t="s">
        <v>157</v>
      </c>
    </row>
    <row r="32" spans="1:9" ht="12" customHeight="1" x14ac:dyDescent="0.2">
      <c r="A32" s="272" t="s">
        <v>8</v>
      </c>
      <c r="B32" s="265">
        <v>65</v>
      </c>
      <c r="C32" s="265">
        <v>70</v>
      </c>
      <c r="D32" s="268">
        <f>((C32/B32)     -    1)*100</f>
        <v>7.6923076923076872</v>
      </c>
      <c r="E32" s="265">
        <v>100</v>
      </c>
      <c r="F32" s="265">
        <v>135</v>
      </c>
      <c r="G32" s="268">
        <f t="shared" ref="G32" si="6">((F32/E32)     -    1)*100</f>
        <v>35.000000000000007</v>
      </c>
    </row>
    <row r="33" spans="1:7" ht="12" customHeight="1" x14ac:dyDescent="0.2">
      <c r="A33" s="272" t="s">
        <v>488</v>
      </c>
      <c r="B33" s="265">
        <v>68</v>
      </c>
      <c r="C33" s="265">
        <v>74</v>
      </c>
      <c r="D33" s="268">
        <f>((C33/B33)     -    1)*100</f>
        <v>8.8235294117646959</v>
      </c>
      <c r="E33" s="65" t="s">
        <v>160</v>
      </c>
      <c r="F33" s="65" t="s">
        <v>160</v>
      </c>
      <c r="G33" s="258" t="s">
        <v>157</v>
      </c>
    </row>
    <row r="34" spans="1:7" ht="12" customHeight="1" x14ac:dyDescent="0.2">
      <c r="A34" s="272" t="s">
        <v>11</v>
      </c>
      <c r="B34" s="265">
        <v>150</v>
      </c>
      <c r="C34" s="265">
        <v>97</v>
      </c>
      <c r="D34" s="268">
        <f>((C34/B34)     -    1)*100</f>
        <v>-35.333333333333336</v>
      </c>
      <c r="E34" s="265">
        <v>185</v>
      </c>
      <c r="F34" s="265">
        <v>156</v>
      </c>
      <c r="G34" s="268">
        <f t="shared" ref="G34" si="7">((F34/E34)     -    1)*100</f>
        <v>-15.67567567567567</v>
      </c>
    </row>
    <row r="35" spans="1:7" ht="12" customHeight="1" x14ac:dyDescent="0.2">
      <c r="A35" s="272" t="s">
        <v>12</v>
      </c>
      <c r="B35" s="265">
        <v>125</v>
      </c>
      <c r="C35" s="265">
        <v>103</v>
      </c>
      <c r="D35" s="268">
        <f>((C35/B35)     -    1)*100</f>
        <v>-17.600000000000005</v>
      </c>
      <c r="E35" s="265">
        <v>120</v>
      </c>
      <c r="F35" s="265">
        <v>183</v>
      </c>
      <c r="G35" s="268">
        <f>((F35/E35)     -    1)*100</f>
        <v>52.499999999999993</v>
      </c>
    </row>
    <row r="36" spans="1:7" ht="12" customHeight="1" x14ac:dyDescent="0.2">
      <c r="A36" s="272" t="s">
        <v>13</v>
      </c>
      <c r="B36" s="265">
        <v>85</v>
      </c>
      <c r="C36" s="265">
        <v>94</v>
      </c>
      <c r="D36" s="268">
        <f t="shared" ref="D36:D37" si="8">((C36/B36)     -    1)*100</f>
        <v>10.588235294117654</v>
      </c>
      <c r="E36" s="265">
        <v>150</v>
      </c>
      <c r="F36" s="265">
        <v>174</v>
      </c>
      <c r="G36" s="268">
        <f t="shared" ref="G36:G37" si="9">((F36/E36)     -    1)*100</f>
        <v>15.999999999999993</v>
      </c>
    </row>
    <row r="37" spans="1:7" ht="12" customHeight="1" x14ac:dyDescent="0.2">
      <c r="A37" s="272" t="s">
        <v>14</v>
      </c>
      <c r="B37" s="265">
        <v>95</v>
      </c>
      <c r="C37" s="265">
        <v>101</v>
      </c>
      <c r="D37" s="268">
        <f t="shared" si="8"/>
        <v>6.315789473684208</v>
      </c>
      <c r="E37" s="265">
        <v>165</v>
      </c>
      <c r="F37" s="265">
        <v>90</v>
      </c>
      <c r="G37" s="268">
        <f t="shared" si="9"/>
        <v>-45.45454545454546</v>
      </c>
    </row>
    <row r="38" spans="1:7" ht="12" customHeight="1" x14ac:dyDescent="0.2">
      <c r="A38" s="272" t="s">
        <v>79</v>
      </c>
      <c r="B38" s="265">
        <v>130</v>
      </c>
      <c r="C38" s="265">
        <v>115</v>
      </c>
      <c r="D38" s="268">
        <f t="shared" ref="D38" si="10">((C38/B38)     -    1)*100</f>
        <v>-11.538461538461542</v>
      </c>
      <c r="E38" s="265">
        <v>90</v>
      </c>
      <c r="F38" s="265">
        <v>120</v>
      </c>
      <c r="G38" s="268">
        <f t="shared" ref="G38" si="11">((F38/E38)     -    1)*100</f>
        <v>33.333333333333329</v>
      </c>
    </row>
    <row r="39" spans="1:7" ht="12" customHeight="1" x14ac:dyDescent="0.2">
      <c r="A39" s="272" t="s">
        <v>92</v>
      </c>
      <c r="B39" s="265">
        <v>100</v>
      </c>
      <c r="C39" s="265">
        <v>87</v>
      </c>
      <c r="D39" s="268">
        <f>((C39/B39)     -    1)*100</f>
        <v>-13</v>
      </c>
      <c r="E39" s="265">
        <v>125</v>
      </c>
      <c r="F39" s="265">
        <v>127</v>
      </c>
      <c r="G39" s="268">
        <f>((F39/E39)     -    1)*100</f>
        <v>1.6000000000000014</v>
      </c>
    </row>
    <row r="40" spans="1:7" ht="12" customHeight="1" x14ac:dyDescent="0.2">
      <c r="A40" s="246" t="s">
        <v>15</v>
      </c>
      <c r="B40" s="259"/>
      <c r="C40" s="259"/>
      <c r="D40" s="258"/>
      <c r="E40" s="260"/>
      <c r="F40" s="260"/>
      <c r="G40" s="1"/>
    </row>
    <row r="41" spans="1:7" ht="12" customHeight="1" x14ac:dyDescent="0.2">
      <c r="A41" s="272" t="s">
        <v>191</v>
      </c>
      <c r="B41" s="265">
        <v>90</v>
      </c>
      <c r="C41" s="265">
        <v>80</v>
      </c>
      <c r="D41" s="268">
        <f>((C41/B41)     -    1)*100</f>
        <v>-11.111111111111116</v>
      </c>
      <c r="E41" s="265">
        <v>100</v>
      </c>
      <c r="F41" s="265">
        <v>113</v>
      </c>
      <c r="G41" s="268">
        <f>((F41/E41)     -    1)*100</f>
        <v>12.999999999999989</v>
      </c>
    </row>
    <row r="42" spans="1:7" ht="12" customHeight="1" x14ac:dyDescent="0.2">
      <c r="A42" s="272" t="s">
        <v>543</v>
      </c>
      <c r="B42" s="265">
        <v>89</v>
      </c>
      <c r="C42" s="265">
        <v>93</v>
      </c>
      <c r="D42" s="268">
        <f>((C42/B42)     -    1)*100</f>
        <v>4.4943820224719211</v>
      </c>
      <c r="E42" s="265">
        <v>88</v>
      </c>
      <c r="F42" s="265">
        <v>120</v>
      </c>
      <c r="G42" s="268">
        <f>((F42/E42)     -    1)*100</f>
        <v>36.363636363636353</v>
      </c>
    </row>
    <row r="43" spans="1:7" ht="12" customHeight="1" x14ac:dyDescent="0.2">
      <c r="A43" s="272" t="s">
        <v>70</v>
      </c>
      <c r="B43" s="265">
        <v>80</v>
      </c>
      <c r="C43" s="265">
        <v>80</v>
      </c>
      <c r="D43" s="268">
        <f>((C43/B43)     -    1)*100</f>
        <v>0</v>
      </c>
      <c r="E43" s="265">
        <v>145</v>
      </c>
      <c r="F43" s="265">
        <v>150</v>
      </c>
      <c r="G43" s="268">
        <f>((F43/E43)     -    1)*100</f>
        <v>3.4482758620689724</v>
      </c>
    </row>
    <row r="44" spans="1:7" ht="12" customHeight="1" x14ac:dyDescent="0.2">
      <c r="A44" s="272" t="s">
        <v>69</v>
      </c>
      <c r="B44" s="265">
        <v>105</v>
      </c>
      <c r="C44" s="265">
        <v>128</v>
      </c>
      <c r="D44" s="268">
        <f>((C44/B44)     -    1)*100</f>
        <v>21.904761904761916</v>
      </c>
      <c r="E44" s="265">
        <v>125</v>
      </c>
      <c r="F44" s="265">
        <v>120</v>
      </c>
      <c r="G44" s="268">
        <f>((F44/E44)     -    1)*100</f>
        <v>-4.0000000000000036</v>
      </c>
    </row>
    <row r="45" spans="1:7" ht="12" customHeight="1" x14ac:dyDescent="0.2">
      <c r="A45" s="246" t="s">
        <v>16</v>
      </c>
      <c r="B45" s="260"/>
      <c r="C45" s="260"/>
      <c r="D45" s="1"/>
      <c r="E45" s="260"/>
      <c r="F45" s="260"/>
      <c r="G45" s="1"/>
    </row>
    <row r="46" spans="1:7" ht="12" customHeight="1" x14ac:dyDescent="0.2">
      <c r="A46" s="272" t="s">
        <v>544</v>
      </c>
      <c r="B46" s="265">
        <v>65</v>
      </c>
      <c r="C46" s="265">
        <v>81</v>
      </c>
      <c r="D46" s="269">
        <f>((C46/B46)     -    1)*100</f>
        <v>24.615384615384617</v>
      </c>
      <c r="E46" s="265">
        <v>135</v>
      </c>
      <c r="F46" s="265">
        <v>127</v>
      </c>
      <c r="G46" s="268">
        <f>((F46/E46)     -    1)*100</f>
        <v>-5.9259259259259238</v>
      </c>
    </row>
    <row r="47" spans="1:7" ht="12" customHeight="1" x14ac:dyDescent="0.2">
      <c r="A47" s="272" t="s">
        <v>489</v>
      </c>
      <c r="B47" s="265">
        <v>105</v>
      </c>
      <c r="C47" s="265">
        <v>84</v>
      </c>
      <c r="D47" s="269">
        <f>((C47/B47)     -    1)*100</f>
        <v>-19.999999999999996</v>
      </c>
      <c r="E47" s="65" t="s">
        <v>160</v>
      </c>
      <c r="F47" s="65" t="s">
        <v>160</v>
      </c>
      <c r="G47" s="258" t="s">
        <v>157</v>
      </c>
    </row>
    <row r="48" spans="1:7" ht="12" customHeight="1" x14ac:dyDescent="0.2">
      <c r="A48" s="272" t="s">
        <v>497</v>
      </c>
      <c r="B48" s="265">
        <v>88</v>
      </c>
      <c r="C48" s="265">
        <v>90</v>
      </c>
      <c r="D48" s="269">
        <f>((C48/B48)     -    1)*100</f>
        <v>2.2727272727272707</v>
      </c>
      <c r="E48" s="265">
        <v>88</v>
      </c>
      <c r="F48" s="265">
        <v>150</v>
      </c>
      <c r="G48" s="268">
        <f>((F48/E48)     -    1)*100</f>
        <v>70.454545454545453</v>
      </c>
    </row>
    <row r="49" spans="1:8" ht="12" customHeight="1" x14ac:dyDescent="0.2">
      <c r="A49" s="272" t="s">
        <v>17</v>
      </c>
      <c r="B49" s="265">
        <v>105</v>
      </c>
      <c r="C49" s="265">
        <v>100</v>
      </c>
      <c r="D49" s="269">
        <f>((C49/B49)     -    1)*100</f>
        <v>-4.7619047619047672</v>
      </c>
      <c r="E49" s="65" t="s">
        <v>160</v>
      </c>
      <c r="F49" s="65" t="s">
        <v>160</v>
      </c>
      <c r="G49" s="258" t="s">
        <v>157</v>
      </c>
    </row>
    <row r="50" spans="1:8" ht="12" customHeight="1" x14ac:dyDescent="0.2">
      <c r="A50" s="272" t="s">
        <v>192</v>
      </c>
      <c r="B50" s="265">
        <v>90</v>
      </c>
      <c r="C50" s="275">
        <v>94</v>
      </c>
      <c r="D50" s="269">
        <f>((C50/B50)     -    1)*100</f>
        <v>4.4444444444444509</v>
      </c>
      <c r="E50" s="265">
        <v>140</v>
      </c>
      <c r="F50" s="265">
        <v>198</v>
      </c>
      <c r="G50" s="269">
        <f>((F50/E50)     -    1)*100</f>
        <v>41.428571428571438</v>
      </c>
    </row>
    <row r="51" spans="1:8" ht="12" customHeight="1" x14ac:dyDescent="0.2">
      <c r="A51" s="246" t="s">
        <v>18</v>
      </c>
      <c r="B51" s="260"/>
      <c r="C51" s="260"/>
      <c r="D51" s="1"/>
      <c r="E51" s="260"/>
      <c r="F51" s="260"/>
      <c r="G51" s="1"/>
    </row>
    <row r="52" spans="1:8" ht="12" customHeight="1" x14ac:dyDescent="0.2">
      <c r="A52" s="272" t="s">
        <v>19</v>
      </c>
      <c r="B52" s="265">
        <v>135</v>
      </c>
      <c r="C52" s="265">
        <v>126</v>
      </c>
      <c r="D52" s="268">
        <f>((C52/B52)     -    1)*100</f>
        <v>-6.6666666666666652</v>
      </c>
      <c r="E52" s="265">
        <v>90</v>
      </c>
      <c r="F52" s="265">
        <v>121</v>
      </c>
      <c r="G52" s="269">
        <f t="shared" ref="G52:G59" si="12">((F52/E52)     -    1)*100</f>
        <v>34.444444444444457</v>
      </c>
    </row>
    <row r="53" spans="1:8" ht="12" customHeight="1" x14ac:dyDescent="0.2">
      <c r="A53" s="272" t="s">
        <v>20</v>
      </c>
      <c r="B53" s="265">
        <v>110</v>
      </c>
      <c r="C53" s="265">
        <v>137</v>
      </c>
      <c r="D53" s="268">
        <f>((C53/B53)     -    1)*100</f>
        <v>24.545454545454536</v>
      </c>
      <c r="E53" s="265">
        <v>100</v>
      </c>
      <c r="F53" s="265">
        <v>183</v>
      </c>
      <c r="G53" s="269">
        <f t="shared" si="12"/>
        <v>83</v>
      </c>
    </row>
    <row r="54" spans="1:8" ht="12" customHeight="1" x14ac:dyDescent="0.2">
      <c r="A54" s="272" t="s">
        <v>62</v>
      </c>
      <c r="B54" s="65" t="s">
        <v>160</v>
      </c>
      <c r="C54" s="65" t="s">
        <v>160</v>
      </c>
      <c r="D54" s="258" t="s">
        <v>157</v>
      </c>
      <c r="E54" s="265">
        <v>150</v>
      </c>
      <c r="F54" s="265">
        <v>120</v>
      </c>
      <c r="G54" s="269">
        <f t="shared" si="12"/>
        <v>-19.999999999999996</v>
      </c>
    </row>
    <row r="55" spans="1:8" ht="12" customHeight="1" x14ac:dyDescent="0.2">
      <c r="A55" s="272" t="s">
        <v>80</v>
      </c>
      <c r="B55" s="265">
        <v>103</v>
      </c>
      <c r="C55" s="265">
        <v>124</v>
      </c>
      <c r="D55" s="268">
        <f>((C55/B55)     -    1)*100</f>
        <v>20.388349514563096</v>
      </c>
      <c r="E55" s="265">
        <v>123</v>
      </c>
      <c r="F55" s="265">
        <v>120</v>
      </c>
      <c r="G55" s="269">
        <f t="shared" si="12"/>
        <v>-2.4390243902439046</v>
      </c>
    </row>
    <row r="56" spans="1:8" ht="12" customHeight="1" x14ac:dyDescent="0.2">
      <c r="A56" s="272" t="s">
        <v>21</v>
      </c>
      <c r="B56" s="265">
        <v>145</v>
      </c>
      <c r="C56" s="265">
        <v>120</v>
      </c>
      <c r="D56" s="268">
        <f>((C56/B56)     -    1)*100</f>
        <v>-17.241379310344829</v>
      </c>
      <c r="E56" s="265">
        <v>90</v>
      </c>
      <c r="F56" s="265">
        <v>111</v>
      </c>
      <c r="G56" s="269">
        <f t="shared" si="12"/>
        <v>23.333333333333339</v>
      </c>
    </row>
    <row r="57" spans="1:8" ht="12" customHeight="1" x14ac:dyDescent="0.2">
      <c r="A57" s="272" t="s">
        <v>125</v>
      </c>
      <c r="B57" s="265">
        <v>110</v>
      </c>
      <c r="C57" s="265">
        <v>119</v>
      </c>
      <c r="D57" s="268">
        <f>((C57/B57)     -    1)*100</f>
        <v>8.1818181818181799</v>
      </c>
      <c r="E57" s="265">
        <v>123</v>
      </c>
      <c r="F57" s="265">
        <v>140</v>
      </c>
      <c r="G57" s="269">
        <f t="shared" si="12"/>
        <v>13.821138211382111</v>
      </c>
    </row>
    <row r="58" spans="1:8" ht="12" customHeight="1" x14ac:dyDescent="0.2">
      <c r="A58" s="272" t="s">
        <v>22</v>
      </c>
      <c r="B58" s="265">
        <v>178</v>
      </c>
      <c r="C58" s="265">
        <v>173</v>
      </c>
      <c r="D58" s="268">
        <f>((C58/B58)     -    1)*100</f>
        <v>-2.8089887640449396</v>
      </c>
      <c r="E58" s="65" t="s">
        <v>160</v>
      </c>
      <c r="F58" s="65" t="s">
        <v>160</v>
      </c>
      <c r="G58" s="258" t="s">
        <v>157</v>
      </c>
      <c r="H58" s="278"/>
    </row>
    <row r="59" spans="1:8" ht="12" customHeight="1" x14ac:dyDescent="0.2">
      <c r="A59" s="272" t="s">
        <v>23</v>
      </c>
      <c r="B59" s="65" t="s">
        <v>160</v>
      </c>
      <c r="C59" s="265">
        <v>170</v>
      </c>
      <c r="D59" s="258" t="s">
        <v>157</v>
      </c>
      <c r="E59" s="265">
        <v>125</v>
      </c>
      <c r="F59" s="265">
        <v>131</v>
      </c>
      <c r="G59" s="269">
        <f t="shared" si="12"/>
        <v>4.8000000000000043</v>
      </c>
      <c r="H59" s="278"/>
    </row>
    <row r="60" spans="1:8" ht="12" customHeight="1" x14ac:dyDescent="0.2">
      <c r="A60" s="272" t="s">
        <v>24</v>
      </c>
      <c r="B60" s="265">
        <v>130</v>
      </c>
      <c r="C60" s="265">
        <v>107</v>
      </c>
      <c r="D60" s="268">
        <f>((C60/B60)     -    1)*100</f>
        <v>-17.692307692307697</v>
      </c>
      <c r="E60" s="265">
        <v>100</v>
      </c>
      <c r="F60" s="265">
        <v>100</v>
      </c>
      <c r="G60" s="269">
        <f>((F60/E60)     -    1)*100</f>
        <v>0</v>
      </c>
      <c r="H60" s="278"/>
    </row>
    <row r="61" spans="1:8" ht="12" customHeight="1" x14ac:dyDescent="0.2">
      <c r="A61" s="272" t="s">
        <v>126</v>
      </c>
      <c r="B61" s="265">
        <v>155</v>
      </c>
      <c r="C61" s="265">
        <v>169</v>
      </c>
      <c r="D61" s="268">
        <f>((C61/B61)     -    1)*100</f>
        <v>9.0322580645161299</v>
      </c>
      <c r="E61" s="65" t="s">
        <v>160</v>
      </c>
      <c r="F61" s="65" t="s">
        <v>160</v>
      </c>
      <c r="G61" s="258" t="s">
        <v>157</v>
      </c>
      <c r="H61" s="278"/>
    </row>
    <row r="62" spans="1:8" ht="12" customHeight="1" x14ac:dyDescent="0.2">
      <c r="A62" s="272" t="s">
        <v>63</v>
      </c>
      <c r="B62" s="265">
        <v>125</v>
      </c>
      <c r="C62" s="265">
        <v>110</v>
      </c>
      <c r="D62" s="268">
        <f>((C62/B62)     -    1)*100</f>
        <v>-12</v>
      </c>
      <c r="E62" s="265">
        <v>75</v>
      </c>
      <c r="F62" s="265">
        <v>100</v>
      </c>
      <c r="G62" s="269">
        <f>((F62/E62)     -    1)*100</f>
        <v>33.333333333333329</v>
      </c>
      <c r="H62" s="278"/>
    </row>
    <row r="63" spans="1:8" ht="12" customHeight="1" x14ac:dyDescent="0.2">
      <c r="A63" s="261"/>
      <c r="B63" s="242"/>
      <c r="C63" s="242"/>
      <c r="D63" s="242"/>
      <c r="E63" s="200"/>
      <c r="F63" s="262"/>
      <c r="G63" s="254" t="s">
        <v>26</v>
      </c>
      <c r="H63" s="278"/>
    </row>
    <row r="64" spans="1:8" ht="12" customHeight="1" x14ac:dyDescent="0.25">
      <c r="A64" s="255" t="s">
        <v>507</v>
      </c>
      <c r="B64" s="7"/>
      <c r="C64" s="7"/>
      <c r="D64" s="201"/>
      <c r="E64" s="202"/>
      <c r="F64" s="203"/>
      <c r="G64" s="263"/>
      <c r="H64" s="278"/>
    </row>
    <row r="65" spans="1:8" ht="12" customHeight="1" x14ac:dyDescent="0.2">
      <c r="A65" s="715" t="s">
        <v>0</v>
      </c>
      <c r="B65" s="717" t="s">
        <v>152</v>
      </c>
      <c r="C65" s="718"/>
      <c r="D65" s="719"/>
      <c r="E65" s="717" t="s">
        <v>153</v>
      </c>
      <c r="F65" s="718"/>
      <c r="G65" s="719"/>
      <c r="H65" s="278"/>
    </row>
    <row r="66" spans="1:8" ht="12" customHeight="1" x14ac:dyDescent="0.2">
      <c r="A66" s="716"/>
      <c r="B66" s="249" t="s">
        <v>154</v>
      </c>
      <c r="C66" s="249" t="s">
        <v>162</v>
      </c>
      <c r="D66" s="250" t="s">
        <v>1</v>
      </c>
      <c r="E66" s="249" t="s">
        <v>154</v>
      </c>
      <c r="F66" s="249" t="s">
        <v>162</v>
      </c>
      <c r="G66" s="250" t="s">
        <v>1</v>
      </c>
      <c r="H66" s="278"/>
    </row>
    <row r="67" spans="1:8" ht="3" customHeight="1" x14ac:dyDescent="0.2">
      <c r="A67" s="272"/>
      <c r="B67" s="265"/>
      <c r="C67" s="265"/>
      <c r="D67" s="268"/>
      <c r="E67" s="265"/>
      <c r="F67" s="265"/>
      <c r="G67" s="269"/>
      <c r="H67" s="278"/>
    </row>
    <row r="68" spans="1:8" ht="12" customHeight="1" x14ac:dyDescent="0.2">
      <c r="A68" s="246" t="s">
        <v>25</v>
      </c>
      <c r="B68" s="260"/>
      <c r="C68" s="260"/>
      <c r="D68" s="1"/>
      <c r="E68" s="260"/>
      <c r="F68" s="260"/>
      <c r="G68" s="1"/>
      <c r="H68" s="278"/>
    </row>
    <row r="69" spans="1:8" ht="12" customHeight="1" x14ac:dyDescent="0.2">
      <c r="A69" s="272" t="s">
        <v>53</v>
      </c>
      <c r="B69" s="265">
        <v>145</v>
      </c>
      <c r="C69" s="265">
        <v>145</v>
      </c>
      <c r="D69" s="268">
        <f>((C69/B69)     -    1)*100</f>
        <v>0</v>
      </c>
      <c r="E69" s="265">
        <v>89</v>
      </c>
      <c r="F69" s="265">
        <v>94</v>
      </c>
      <c r="G69" s="269">
        <f t="shared" ref="G69:G72" si="13">((F69/E69)     -    1)*100</f>
        <v>5.6179775280898792</v>
      </c>
      <c r="H69" s="278"/>
    </row>
    <row r="70" spans="1:8" ht="12" customHeight="1" x14ac:dyDescent="0.2">
      <c r="A70" s="272" t="s">
        <v>58</v>
      </c>
      <c r="B70" s="265">
        <v>125</v>
      </c>
      <c r="C70" s="265">
        <v>135</v>
      </c>
      <c r="D70" s="268">
        <f>((C70/B70)     -    1)*100</f>
        <v>8.0000000000000071</v>
      </c>
      <c r="E70" s="265">
        <v>110</v>
      </c>
      <c r="F70" s="265">
        <v>135</v>
      </c>
      <c r="G70" s="269">
        <f t="shared" si="13"/>
        <v>22.72727272727273</v>
      </c>
      <c r="H70" s="278"/>
    </row>
    <row r="71" spans="1:8" ht="12" customHeight="1" x14ac:dyDescent="0.2">
      <c r="A71" s="246" t="s">
        <v>81</v>
      </c>
      <c r="B71" s="13"/>
      <c r="C71" s="13"/>
      <c r="D71" s="258"/>
      <c r="E71" s="13"/>
      <c r="F71" s="13"/>
      <c r="G71" s="258"/>
      <c r="H71" s="278"/>
    </row>
    <row r="72" spans="1:8" ht="12" customHeight="1" x14ac:dyDescent="0.2">
      <c r="A72" s="272" t="s">
        <v>88</v>
      </c>
      <c r="B72" s="265">
        <v>125</v>
      </c>
      <c r="C72" s="265">
        <v>92</v>
      </c>
      <c r="D72" s="268">
        <f>((C72/B72)     -    1)*100</f>
        <v>-26.400000000000002</v>
      </c>
      <c r="E72" s="265">
        <v>160</v>
      </c>
      <c r="F72" s="265">
        <v>170</v>
      </c>
      <c r="G72" s="269">
        <f t="shared" si="13"/>
        <v>6.25</v>
      </c>
      <c r="H72" s="278"/>
    </row>
    <row r="73" spans="1:8" ht="12" customHeight="1" x14ac:dyDescent="0.2">
      <c r="A73" s="246" t="s">
        <v>86</v>
      </c>
      <c r="B73" s="260"/>
      <c r="C73" s="260"/>
      <c r="D73" s="1"/>
      <c r="E73" s="260"/>
      <c r="F73" s="260"/>
      <c r="G73" s="1"/>
      <c r="H73" s="278"/>
    </row>
    <row r="74" spans="1:8" ht="12" customHeight="1" x14ac:dyDescent="0.2">
      <c r="A74" s="272" t="s">
        <v>28</v>
      </c>
      <c r="B74" s="265">
        <v>165</v>
      </c>
      <c r="C74" s="265">
        <v>155</v>
      </c>
      <c r="D74" s="268">
        <f t="shared" ref="D74:D83" si="14">((C74/B74)     -    1)*100</f>
        <v>-6.0606060606060552</v>
      </c>
      <c r="E74" s="265">
        <v>173</v>
      </c>
      <c r="F74" s="265">
        <v>175</v>
      </c>
      <c r="G74" s="268">
        <f>((F74/E74)     -    1)*100</f>
        <v>1.1560693641618602</v>
      </c>
      <c r="H74" s="278"/>
    </row>
    <row r="75" spans="1:8" ht="12" customHeight="1" x14ac:dyDescent="0.2">
      <c r="A75" s="272" t="s">
        <v>82</v>
      </c>
      <c r="B75" s="65" t="s">
        <v>160</v>
      </c>
      <c r="C75" s="65" t="s">
        <v>160</v>
      </c>
      <c r="D75" s="258" t="s">
        <v>157</v>
      </c>
      <c r="E75" s="65" t="s">
        <v>160</v>
      </c>
      <c r="F75" s="265">
        <v>110</v>
      </c>
      <c r="G75" s="258" t="s">
        <v>157</v>
      </c>
      <c r="H75" s="278"/>
    </row>
    <row r="76" spans="1:8" ht="12" customHeight="1" x14ac:dyDescent="0.2">
      <c r="A76" s="272" t="s">
        <v>29</v>
      </c>
      <c r="B76" s="265">
        <v>165</v>
      </c>
      <c r="C76" s="265">
        <v>165</v>
      </c>
      <c r="D76" s="268">
        <f t="shared" si="14"/>
        <v>0</v>
      </c>
      <c r="E76" s="65" t="s">
        <v>160</v>
      </c>
      <c r="F76" s="65" t="s">
        <v>160</v>
      </c>
      <c r="G76" s="258" t="s">
        <v>157</v>
      </c>
      <c r="H76" s="278"/>
    </row>
    <row r="77" spans="1:8" ht="12" customHeight="1" x14ac:dyDescent="0.2">
      <c r="A77" s="272" t="s">
        <v>30</v>
      </c>
      <c r="B77" s="265">
        <v>150</v>
      </c>
      <c r="C77" s="265">
        <v>140</v>
      </c>
      <c r="D77" s="268">
        <f t="shared" si="14"/>
        <v>-6.6666666666666652</v>
      </c>
      <c r="E77" s="265">
        <v>200</v>
      </c>
      <c r="F77" s="265">
        <v>210</v>
      </c>
      <c r="G77" s="268">
        <f t="shared" ref="G77:G83" si="15">((F77/E77)     -    1)*100</f>
        <v>5.0000000000000044</v>
      </c>
      <c r="H77" s="278"/>
    </row>
    <row r="78" spans="1:8" ht="12" customHeight="1" x14ac:dyDescent="0.2">
      <c r="A78" s="272" t="s">
        <v>64</v>
      </c>
      <c r="B78" s="265">
        <v>83</v>
      </c>
      <c r="C78" s="265">
        <v>85</v>
      </c>
      <c r="D78" s="268">
        <f t="shared" si="14"/>
        <v>2.4096385542168752</v>
      </c>
      <c r="E78" s="265">
        <v>75</v>
      </c>
      <c r="F78" s="265">
        <v>100</v>
      </c>
      <c r="G78" s="268">
        <f t="shared" si="15"/>
        <v>33.333333333333329</v>
      </c>
      <c r="H78" s="278"/>
    </row>
    <row r="79" spans="1:8" ht="12" customHeight="1" x14ac:dyDescent="0.2">
      <c r="A79" s="272" t="s">
        <v>31</v>
      </c>
      <c r="B79" s="265">
        <v>95</v>
      </c>
      <c r="C79" s="265">
        <v>95</v>
      </c>
      <c r="D79" s="268">
        <f t="shared" si="14"/>
        <v>0</v>
      </c>
      <c r="E79" s="265">
        <v>95</v>
      </c>
      <c r="F79" s="265">
        <v>98</v>
      </c>
      <c r="G79" s="268">
        <f t="shared" si="15"/>
        <v>3.1578947368421151</v>
      </c>
      <c r="H79" s="278"/>
    </row>
    <row r="80" spans="1:8" ht="12" customHeight="1" x14ac:dyDescent="0.2">
      <c r="A80" s="272" t="s">
        <v>54</v>
      </c>
      <c r="B80" s="265">
        <v>170</v>
      </c>
      <c r="C80" s="265">
        <v>170</v>
      </c>
      <c r="D80" s="268">
        <f t="shared" si="14"/>
        <v>0</v>
      </c>
      <c r="E80" s="265">
        <v>135</v>
      </c>
      <c r="F80" s="265">
        <v>153</v>
      </c>
      <c r="G80" s="268">
        <f t="shared" si="15"/>
        <v>13.33333333333333</v>
      </c>
      <c r="H80" s="278"/>
    </row>
    <row r="81" spans="1:8" ht="12" customHeight="1" x14ac:dyDescent="0.2">
      <c r="A81" s="272" t="s">
        <v>83</v>
      </c>
      <c r="B81" s="265">
        <v>110</v>
      </c>
      <c r="C81" s="265">
        <v>110</v>
      </c>
      <c r="D81" s="268">
        <f t="shared" si="14"/>
        <v>0</v>
      </c>
      <c r="E81" s="265">
        <v>110</v>
      </c>
      <c r="F81" s="265">
        <v>110</v>
      </c>
      <c r="G81" s="268">
        <f t="shared" si="15"/>
        <v>0</v>
      </c>
      <c r="H81" s="278"/>
    </row>
    <row r="82" spans="1:8" ht="12" customHeight="1" x14ac:dyDescent="0.2">
      <c r="A82" s="272" t="s">
        <v>32</v>
      </c>
      <c r="B82" s="265">
        <v>80</v>
      </c>
      <c r="C82" s="265">
        <v>85</v>
      </c>
      <c r="D82" s="268">
        <f t="shared" si="14"/>
        <v>6.25</v>
      </c>
      <c r="E82" s="265">
        <v>90</v>
      </c>
      <c r="F82" s="265">
        <v>105</v>
      </c>
      <c r="G82" s="268">
        <f t="shared" si="15"/>
        <v>16.666666666666675</v>
      </c>
      <c r="H82" s="278"/>
    </row>
    <row r="83" spans="1:8" ht="12" customHeight="1" x14ac:dyDescent="0.2">
      <c r="A83" s="272" t="s">
        <v>33</v>
      </c>
      <c r="B83" s="265">
        <v>70</v>
      </c>
      <c r="C83" s="265">
        <v>65</v>
      </c>
      <c r="D83" s="268">
        <f t="shared" si="14"/>
        <v>-7.1428571428571397</v>
      </c>
      <c r="E83" s="265">
        <v>65</v>
      </c>
      <c r="F83" s="265">
        <v>68</v>
      </c>
      <c r="G83" s="268">
        <f t="shared" si="15"/>
        <v>4.6153846153846212</v>
      </c>
      <c r="H83" s="278"/>
    </row>
    <row r="84" spans="1:8" ht="12" customHeight="1" x14ac:dyDescent="0.2">
      <c r="A84" s="272" t="s">
        <v>34</v>
      </c>
      <c r="B84" s="265">
        <v>140</v>
      </c>
      <c r="C84" s="265">
        <v>163</v>
      </c>
      <c r="D84" s="268">
        <f>((C84/B84)     -    1)*100</f>
        <v>16.428571428571438</v>
      </c>
      <c r="E84" s="265">
        <v>125</v>
      </c>
      <c r="F84" s="265">
        <v>125</v>
      </c>
      <c r="G84" s="268">
        <f>((F84/E84)     -    1)*100</f>
        <v>0</v>
      </c>
      <c r="H84" s="278"/>
    </row>
    <row r="85" spans="1:8" ht="12" customHeight="1" x14ac:dyDescent="0.2">
      <c r="A85" s="272" t="s">
        <v>66</v>
      </c>
      <c r="B85" s="65" t="s">
        <v>160</v>
      </c>
      <c r="C85" s="265">
        <v>188</v>
      </c>
      <c r="D85" s="258" t="s">
        <v>157</v>
      </c>
      <c r="E85" s="65" t="s">
        <v>160</v>
      </c>
      <c r="F85" s="265">
        <v>145</v>
      </c>
      <c r="G85" s="258" t="s">
        <v>157</v>
      </c>
      <c r="H85" s="278"/>
    </row>
    <row r="86" spans="1:8" ht="12" customHeight="1" x14ac:dyDescent="0.2">
      <c r="A86" s="246" t="s">
        <v>35</v>
      </c>
      <c r="B86" s="260"/>
      <c r="C86" s="260"/>
      <c r="D86" s="1"/>
      <c r="E86" s="260"/>
      <c r="F86" s="260"/>
      <c r="G86" s="1"/>
      <c r="H86" s="278"/>
    </row>
    <row r="87" spans="1:8" ht="12" customHeight="1" x14ac:dyDescent="0.2">
      <c r="A87" s="272" t="s">
        <v>36</v>
      </c>
      <c r="B87" s="265">
        <v>175</v>
      </c>
      <c r="C87" s="265">
        <v>175</v>
      </c>
      <c r="D87" s="268">
        <f>((C87/B87)     -    1)*100</f>
        <v>0</v>
      </c>
      <c r="E87" s="265">
        <v>90</v>
      </c>
      <c r="F87" s="265">
        <v>100</v>
      </c>
      <c r="G87" s="268">
        <f>((F87/E87)     -    1)*100</f>
        <v>11.111111111111116</v>
      </c>
      <c r="H87" s="278"/>
    </row>
    <row r="88" spans="1:8" ht="12" customHeight="1" x14ac:dyDescent="0.2">
      <c r="A88" s="272" t="s">
        <v>37</v>
      </c>
      <c r="B88" s="265">
        <v>180</v>
      </c>
      <c r="C88" s="265">
        <v>185</v>
      </c>
      <c r="D88" s="268">
        <f>((C88/B88)     -    1)*100</f>
        <v>2.7777777777777679</v>
      </c>
      <c r="E88" s="265">
        <v>103</v>
      </c>
      <c r="F88" s="265">
        <v>110</v>
      </c>
      <c r="G88" s="268">
        <f>((F88/E88)     -    1)*100</f>
        <v>6.7961165048543659</v>
      </c>
      <c r="H88" s="278"/>
    </row>
    <row r="89" spans="1:8" ht="12" customHeight="1" x14ac:dyDescent="0.2">
      <c r="A89" s="272" t="s">
        <v>38</v>
      </c>
      <c r="B89" s="265">
        <v>175</v>
      </c>
      <c r="C89" s="265">
        <v>175</v>
      </c>
      <c r="D89" s="268">
        <f>((C89/B89)     -    1)*100</f>
        <v>0</v>
      </c>
      <c r="E89" s="265">
        <v>90</v>
      </c>
      <c r="F89" s="265">
        <v>100</v>
      </c>
      <c r="G89" s="268">
        <f>((F89/E89)     -    1)*100</f>
        <v>11.111111111111116</v>
      </c>
      <c r="H89" s="278"/>
    </row>
    <row r="90" spans="1:8" ht="12" customHeight="1" x14ac:dyDescent="0.2">
      <c r="A90" s="246" t="s">
        <v>208</v>
      </c>
      <c r="B90" s="65"/>
      <c r="C90" s="265"/>
      <c r="D90" s="258"/>
      <c r="E90" s="65"/>
      <c r="F90" s="65"/>
      <c r="G90" s="258"/>
      <c r="H90" s="278"/>
    </row>
    <row r="91" spans="1:8" ht="12" customHeight="1" x14ac:dyDescent="0.2">
      <c r="A91" s="272" t="s">
        <v>145</v>
      </c>
      <c r="B91" s="265">
        <v>95</v>
      </c>
      <c r="C91" s="265">
        <v>167</v>
      </c>
      <c r="D91" s="268">
        <f t="shared" ref="D91" si="16">((C91/B91)     -    1)*100</f>
        <v>75.78947368421052</v>
      </c>
      <c r="E91" s="65" t="s">
        <v>160</v>
      </c>
      <c r="F91" s="265">
        <v>97</v>
      </c>
      <c r="G91" s="258" t="s">
        <v>157</v>
      </c>
      <c r="H91" s="278"/>
    </row>
    <row r="92" spans="1:8" ht="12" customHeight="1" x14ac:dyDescent="0.2">
      <c r="A92" s="246" t="s">
        <v>194</v>
      </c>
      <c r="B92" s="260"/>
      <c r="C92" s="260"/>
      <c r="D92" s="1"/>
      <c r="E92" s="260"/>
      <c r="F92" s="260"/>
      <c r="G92" s="1"/>
      <c r="H92" s="278"/>
    </row>
    <row r="93" spans="1:8" ht="12" customHeight="1" x14ac:dyDescent="0.2">
      <c r="A93" s="656" t="s">
        <v>195</v>
      </c>
      <c r="B93" s="65" t="s">
        <v>160</v>
      </c>
      <c r="C93" s="265">
        <v>100</v>
      </c>
      <c r="D93" s="258" t="s">
        <v>157</v>
      </c>
      <c r="E93" s="65" t="s">
        <v>160</v>
      </c>
      <c r="F93" s="265">
        <v>80</v>
      </c>
      <c r="G93" s="258" t="s">
        <v>157</v>
      </c>
      <c r="H93" s="278"/>
    </row>
    <row r="94" spans="1:8" ht="12" customHeight="1" x14ac:dyDescent="0.2">
      <c r="A94" s="272" t="s">
        <v>196</v>
      </c>
      <c r="B94" s="265">
        <v>95</v>
      </c>
      <c r="C94" s="265">
        <v>100</v>
      </c>
      <c r="D94" s="268">
        <f>((C94/B94)     -    1)*100</f>
        <v>5.2631578947368363</v>
      </c>
      <c r="E94" s="265">
        <v>260</v>
      </c>
      <c r="F94" s="265">
        <v>260</v>
      </c>
      <c r="G94" s="268">
        <f>((F94/E94)     -    1)*100</f>
        <v>0</v>
      </c>
      <c r="H94" s="278"/>
    </row>
    <row r="95" spans="1:8" ht="12" customHeight="1" x14ac:dyDescent="0.2">
      <c r="A95" s="272" t="s">
        <v>209</v>
      </c>
      <c r="B95" s="65" t="s">
        <v>160</v>
      </c>
      <c r="C95" s="65" t="s">
        <v>160</v>
      </c>
      <c r="D95" s="258" t="s">
        <v>157</v>
      </c>
      <c r="E95" s="65" t="s">
        <v>160</v>
      </c>
      <c r="F95" s="265">
        <v>50</v>
      </c>
      <c r="G95" s="258" t="s">
        <v>157</v>
      </c>
      <c r="H95" s="278"/>
    </row>
    <row r="96" spans="1:8" ht="12" customHeight="1" x14ac:dyDescent="0.2">
      <c r="A96" s="272" t="s">
        <v>197</v>
      </c>
      <c r="B96" s="265">
        <v>120</v>
      </c>
      <c r="C96" s="265">
        <v>120</v>
      </c>
      <c r="D96" s="268">
        <f>((C96/B96)     -    1)*100</f>
        <v>0</v>
      </c>
      <c r="E96" s="265">
        <v>180</v>
      </c>
      <c r="F96" s="265">
        <v>100</v>
      </c>
      <c r="G96" s="268">
        <f>((F96/E96)     -    1)*100</f>
        <v>-44.444444444444443</v>
      </c>
      <c r="H96" s="278"/>
    </row>
    <row r="97" spans="1:8" ht="12" customHeight="1" x14ac:dyDescent="0.2">
      <c r="A97" s="246" t="s">
        <v>39</v>
      </c>
      <c r="B97" s="260"/>
      <c r="C97" s="260"/>
      <c r="D97" s="1"/>
      <c r="E97" s="260"/>
      <c r="F97" s="260"/>
      <c r="G97" s="1"/>
      <c r="H97" s="278"/>
    </row>
    <row r="98" spans="1:8" ht="12" customHeight="1" x14ac:dyDescent="0.2">
      <c r="A98" s="272" t="s">
        <v>93</v>
      </c>
      <c r="B98" s="265">
        <v>110</v>
      </c>
      <c r="C98" s="265">
        <v>120</v>
      </c>
      <c r="D98" s="268">
        <f>((C98/B98)     -    1)*100</f>
        <v>9.0909090909090828</v>
      </c>
      <c r="E98" s="65" t="s">
        <v>160</v>
      </c>
      <c r="F98" s="65" t="s">
        <v>160</v>
      </c>
      <c r="G98" s="258" t="s">
        <v>157</v>
      </c>
      <c r="H98" s="278"/>
    </row>
    <row r="99" spans="1:8" ht="12" customHeight="1" x14ac:dyDescent="0.2">
      <c r="A99" s="272" t="s">
        <v>40</v>
      </c>
      <c r="B99" s="265">
        <v>185</v>
      </c>
      <c r="C99" s="265">
        <v>157</v>
      </c>
      <c r="D99" s="268">
        <f>((C99/B99)     -    1)*100</f>
        <v>-15.135135135135137</v>
      </c>
      <c r="E99" s="65" t="s">
        <v>160</v>
      </c>
      <c r="F99" s="65" t="s">
        <v>160</v>
      </c>
      <c r="G99" s="258" t="s">
        <v>157</v>
      </c>
      <c r="H99" s="278"/>
    </row>
    <row r="100" spans="1:8" ht="12" customHeight="1" x14ac:dyDescent="0.2">
      <c r="A100" s="272" t="s">
        <v>41</v>
      </c>
      <c r="B100" s="265">
        <v>110</v>
      </c>
      <c r="C100" s="265">
        <v>143</v>
      </c>
      <c r="D100" s="268">
        <f>((C100/B100)     -    1)*100</f>
        <v>30.000000000000004</v>
      </c>
      <c r="E100" s="265">
        <v>145</v>
      </c>
      <c r="F100" s="265">
        <v>143.30000000000001</v>
      </c>
      <c r="G100" s="268">
        <f>((F100/E100)     -    1)*100</f>
        <v>-1.172413793103444</v>
      </c>
      <c r="H100" s="278"/>
    </row>
    <row r="101" spans="1:8" ht="12" customHeight="1" x14ac:dyDescent="0.2">
      <c r="A101" s="246" t="s">
        <v>42</v>
      </c>
      <c r="B101" s="260"/>
      <c r="C101" s="260"/>
      <c r="D101" s="1"/>
      <c r="E101" s="260"/>
      <c r="F101" s="260"/>
      <c r="G101" s="1"/>
      <c r="H101" s="278"/>
    </row>
    <row r="102" spans="1:8" ht="12" customHeight="1" x14ac:dyDescent="0.2">
      <c r="A102" s="272" t="s">
        <v>44</v>
      </c>
      <c r="B102" s="265">
        <v>105</v>
      </c>
      <c r="C102" s="265">
        <v>98</v>
      </c>
      <c r="D102" s="268">
        <f>((C102/B102)     -    1)*100</f>
        <v>-6.6666666666666652</v>
      </c>
      <c r="E102" s="265">
        <v>65</v>
      </c>
      <c r="F102" s="265">
        <v>101.4</v>
      </c>
      <c r="G102" s="268">
        <f>((F102/E102)     -    1)*100</f>
        <v>56.000000000000007</v>
      </c>
    </row>
    <row r="103" spans="1:8" ht="12" customHeight="1" x14ac:dyDescent="0.2">
      <c r="A103" s="272" t="s">
        <v>427</v>
      </c>
      <c r="B103" s="265">
        <v>198</v>
      </c>
      <c r="C103" s="265">
        <v>170</v>
      </c>
      <c r="D103" s="268">
        <f>((C103/B103)     -    1)*100</f>
        <v>-14.141414141414144</v>
      </c>
      <c r="E103" s="265">
        <v>68</v>
      </c>
      <c r="F103" s="265">
        <v>79</v>
      </c>
      <c r="G103" s="268">
        <f>((F103/E103)     -    1)*100</f>
        <v>16.176470588235304</v>
      </c>
    </row>
    <row r="104" spans="1:8" ht="12" customHeight="1" x14ac:dyDescent="0.2">
      <c r="A104" s="246" t="s">
        <v>198</v>
      </c>
    </row>
    <row r="105" spans="1:8" ht="12" customHeight="1" x14ac:dyDescent="0.2">
      <c r="A105" s="272" t="s">
        <v>206</v>
      </c>
      <c r="B105" s="65" t="s">
        <v>160</v>
      </c>
      <c r="C105" s="265">
        <v>81</v>
      </c>
      <c r="D105" s="258" t="s">
        <v>157</v>
      </c>
      <c r="E105" s="65" t="s">
        <v>160</v>
      </c>
      <c r="F105" s="65" t="s">
        <v>160</v>
      </c>
      <c r="G105" s="258" t="s">
        <v>157</v>
      </c>
    </row>
    <row r="106" spans="1:8" ht="12" customHeight="1" x14ac:dyDescent="0.2">
      <c r="A106" s="272" t="s">
        <v>200</v>
      </c>
      <c r="B106" s="65" t="s">
        <v>160</v>
      </c>
      <c r="C106" s="265">
        <v>67</v>
      </c>
      <c r="D106" s="258" t="s">
        <v>157</v>
      </c>
      <c r="E106" s="65" t="s">
        <v>160</v>
      </c>
      <c r="F106" s="265">
        <v>80</v>
      </c>
      <c r="G106" s="258" t="s">
        <v>157</v>
      </c>
    </row>
    <row r="107" spans="1:8" ht="12" customHeight="1" x14ac:dyDescent="0.2">
      <c r="A107" s="272" t="s">
        <v>203</v>
      </c>
      <c r="B107" s="65" t="s">
        <v>160</v>
      </c>
      <c r="C107" s="265">
        <v>67</v>
      </c>
      <c r="D107" s="258" t="s">
        <v>157</v>
      </c>
      <c r="E107" s="65" t="s">
        <v>160</v>
      </c>
      <c r="F107" s="65" t="s">
        <v>160</v>
      </c>
      <c r="G107" s="258" t="s">
        <v>157</v>
      </c>
    </row>
    <row r="108" spans="1:8" ht="12" customHeight="1" x14ac:dyDescent="0.2">
      <c r="A108" s="272" t="s">
        <v>202</v>
      </c>
      <c r="B108" s="65" t="s">
        <v>160</v>
      </c>
      <c r="C108" s="265">
        <v>74</v>
      </c>
      <c r="D108" s="258" t="s">
        <v>157</v>
      </c>
      <c r="E108" s="65" t="s">
        <v>160</v>
      </c>
      <c r="F108" s="65" t="s">
        <v>160</v>
      </c>
      <c r="G108" s="258" t="s">
        <v>157</v>
      </c>
    </row>
    <row r="109" spans="1:8" ht="12" customHeight="1" x14ac:dyDescent="0.2">
      <c r="A109" s="272" t="s">
        <v>204</v>
      </c>
      <c r="B109" s="65" t="s">
        <v>160</v>
      </c>
      <c r="C109" s="265">
        <v>78</v>
      </c>
      <c r="D109" s="258" t="s">
        <v>157</v>
      </c>
      <c r="E109" s="65" t="s">
        <v>160</v>
      </c>
      <c r="F109" s="265">
        <v>90</v>
      </c>
      <c r="G109" s="258" t="s">
        <v>157</v>
      </c>
    </row>
    <row r="110" spans="1:8" ht="12" customHeight="1" x14ac:dyDescent="0.2">
      <c r="A110" s="272" t="s">
        <v>65</v>
      </c>
      <c r="B110" s="65" t="s">
        <v>160</v>
      </c>
      <c r="C110" s="265">
        <v>75</v>
      </c>
      <c r="D110" s="258" t="s">
        <v>157</v>
      </c>
      <c r="E110" s="65" t="s">
        <v>160</v>
      </c>
      <c r="F110" s="65" t="s">
        <v>160</v>
      </c>
      <c r="G110" s="258" t="s">
        <v>157</v>
      </c>
    </row>
    <row r="111" spans="1:8" ht="12" customHeight="1" x14ac:dyDescent="0.2">
      <c r="A111" s="272" t="s">
        <v>506</v>
      </c>
      <c r="B111" s="65" t="s">
        <v>160</v>
      </c>
      <c r="C111" s="265">
        <v>65</v>
      </c>
      <c r="D111" s="258" t="s">
        <v>157</v>
      </c>
      <c r="E111" s="65" t="s">
        <v>160</v>
      </c>
      <c r="F111" s="265">
        <v>170</v>
      </c>
      <c r="G111" s="258" t="s">
        <v>157</v>
      </c>
    </row>
    <row r="112" spans="1:8" ht="12" customHeight="1" x14ac:dyDescent="0.2">
      <c r="A112" s="272" t="s">
        <v>201</v>
      </c>
      <c r="B112" s="65" t="s">
        <v>160</v>
      </c>
      <c r="C112" s="265">
        <v>82</v>
      </c>
      <c r="D112" s="258" t="s">
        <v>157</v>
      </c>
      <c r="E112" s="65" t="s">
        <v>160</v>
      </c>
      <c r="F112" s="265">
        <v>128</v>
      </c>
      <c r="G112" s="258" t="s">
        <v>157</v>
      </c>
    </row>
    <row r="113" spans="1:7" ht="12" customHeight="1" x14ac:dyDescent="0.2">
      <c r="A113" s="272" t="s">
        <v>199</v>
      </c>
      <c r="B113" s="65" t="s">
        <v>160</v>
      </c>
      <c r="C113" s="265">
        <v>54</v>
      </c>
      <c r="D113" s="258" t="s">
        <v>157</v>
      </c>
      <c r="E113" s="65" t="s">
        <v>160</v>
      </c>
      <c r="F113" s="265">
        <v>70</v>
      </c>
      <c r="G113" s="258" t="s">
        <v>157</v>
      </c>
    </row>
    <row r="114" spans="1:7" ht="12" customHeight="1" x14ac:dyDescent="0.2">
      <c r="A114" s="246" t="s">
        <v>84</v>
      </c>
      <c r="B114" s="260"/>
      <c r="C114" s="260"/>
      <c r="D114" s="1"/>
      <c r="E114" s="260"/>
      <c r="F114" s="260"/>
      <c r="G114" s="1"/>
    </row>
    <row r="115" spans="1:7" ht="12" customHeight="1" x14ac:dyDescent="0.2">
      <c r="A115" s="272" t="s">
        <v>499</v>
      </c>
      <c r="B115" s="265">
        <v>155</v>
      </c>
      <c r="C115" s="265">
        <v>141</v>
      </c>
      <c r="D115" s="267">
        <f>((C115/B115)     -    1)*100</f>
        <v>-9.0322580645161299</v>
      </c>
      <c r="E115" s="65" t="s">
        <v>160</v>
      </c>
      <c r="F115" s="65" t="s">
        <v>160</v>
      </c>
      <c r="G115" s="258" t="s">
        <v>157</v>
      </c>
    </row>
    <row r="116" spans="1:7" ht="12" customHeight="1" x14ac:dyDescent="0.2">
      <c r="A116" s="272" t="s">
        <v>59</v>
      </c>
      <c r="B116" s="265">
        <v>190</v>
      </c>
      <c r="C116" s="265">
        <v>185</v>
      </c>
      <c r="D116" s="267">
        <f t="shared" ref="D116" si="17">((C116/B116)     -    1)*100</f>
        <v>-2.6315789473684181</v>
      </c>
      <c r="E116" s="65" t="s">
        <v>160</v>
      </c>
      <c r="F116" s="65" t="s">
        <v>160</v>
      </c>
      <c r="G116" s="258" t="s">
        <v>157</v>
      </c>
    </row>
    <row r="117" spans="1:7" ht="12" customHeight="1" x14ac:dyDescent="0.2">
      <c r="A117" s="272" t="s">
        <v>545</v>
      </c>
      <c r="B117" s="265">
        <v>140</v>
      </c>
      <c r="C117" s="265">
        <v>131</v>
      </c>
      <c r="D117" s="267">
        <f t="shared" ref="D117" si="18">((C117/B117)     -    1)*100</f>
        <v>-6.4285714285714279</v>
      </c>
      <c r="E117" s="65" t="s">
        <v>160</v>
      </c>
      <c r="F117" s="65" t="s">
        <v>160</v>
      </c>
      <c r="G117" s="258" t="s">
        <v>157</v>
      </c>
    </row>
    <row r="118" spans="1:7" ht="12" customHeight="1" x14ac:dyDescent="0.2">
      <c r="A118" s="272" t="s">
        <v>60</v>
      </c>
      <c r="B118" s="265">
        <v>175</v>
      </c>
      <c r="C118" s="265">
        <v>128.30000000000001</v>
      </c>
      <c r="D118" s="267">
        <f>((C118/B118)     -    1)*100</f>
        <v>-26.68571428571428</v>
      </c>
      <c r="E118" s="65" t="s">
        <v>160</v>
      </c>
      <c r="F118" s="65" t="s">
        <v>160</v>
      </c>
      <c r="G118" s="258" t="s">
        <v>157</v>
      </c>
    </row>
    <row r="119" spans="1:7" ht="12" customHeight="1" x14ac:dyDescent="0.2">
      <c r="A119" s="272" t="s">
        <v>55</v>
      </c>
      <c r="B119" s="265">
        <v>175</v>
      </c>
      <c r="C119" s="265">
        <v>145</v>
      </c>
      <c r="D119" s="267">
        <f>((C119/B119)     -    1)*100</f>
        <v>-17.142857142857139</v>
      </c>
      <c r="E119" s="65" t="s">
        <v>160</v>
      </c>
      <c r="F119" s="65" t="s">
        <v>160</v>
      </c>
      <c r="G119" s="258" t="s">
        <v>157</v>
      </c>
    </row>
    <row r="120" spans="1:7" ht="12" customHeight="1" x14ac:dyDescent="0.2">
      <c r="A120" s="246" t="s">
        <v>89</v>
      </c>
      <c r="B120" s="260"/>
      <c r="C120" s="260"/>
      <c r="D120" s="1"/>
      <c r="E120" s="260"/>
      <c r="F120" s="260"/>
      <c r="G120" s="1"/>
    </row>
    <row r="121" spans="1:7" ht="12" customHeight="1" x14ac:dyDescent="0.2">
      <c r="A121" s="272" t="s">
        <v>466</v>
      </c>
      <c r="B121" s="65" t="s">
        <v>160</v>
      </c>
      <c r="C121" s="265">
        <v>110</v>
      </c>
      <c r="D121" s="258" t="s">
        <v>157</v>
      </c>
      <c r="E121" s="65" t="s">
        <v>160</v>
      </c>
      <c r="F121" s="265">
        <v>100</v>
      </c>
      <c r="G121" s="258" t="s">
        <v>157</v>
      </c>
    </row>
    <row r="122" spans="1:7" ht="12" customHeight="1" x14ac:dyDescent="0.2">
      <c r="A122" s="272" t="s">
        <v>546</v>
      </c>
      <c r="B122" s="65" t="s">
        <v>160</v>
      </c>
      <c r="C122" s="265">
        <v>85</v>
      </c>
      <c r="D122" s="258" t="s">
        <v>157</v>
      </c>
      <c r="E122" s="65" t="s">
        <v>160</v>
      </c>
      <c r="F122" s="65" t="s">
        <v>160</v>
      </c>
      <c r="G122" s="258" t="s">
        <v>157</v>
      </c>
    </row>
    <row r="123" spans="1:7" ht="12" customHeight="1" x14ac:dyDescent="0.2">
      <c r="A123" s="246" t="s">
        <v>71</v>
      </c>
      <c r="B123" s="260"/>
      <c r="C123" s="260"/>
      <c r="D123" s="1"/>
      <c r="E123" s="260"/>
      <c r="F123" s="260"/>
      <c r="G123" s="1"/>
    </row>
    <row r="124" spans="1:7" ht="12" customHeight="1" x14ac:dyDescent="0.2">
      <c r="A124" s="272" t="s">
        <v>74</v>
      </c>
      <c r="B124" s="265">
        <v>140</v>
      </c>
      <c r="C124" s="265">
        <v>160</v>
      </c>
      <c r="D124" s="268">
        <f>((C124/B124)     -    1)*100</f>
        <v>14.285714285714279</v>
      </c>
      <c r="E124" s="65" t="s">
        <v>160</v>
      </c>
      <c r="F124" s="65" t="s">
        <v>160</v>
      </c>
      <c r="G124" s="258" t="s">
        <v>157</v>
      </c>
    </row>
    <row r="125" spans="1:7" ht="12" customHeight="1" x14ac:dyDescent="0.2">
      <c r="A125" s="272" t="s">
        <v>72</v>
      </c>
      <c r="B125" s="265">
        <v>150</v>
      </c>
      <c r="C125" s="265">
        <v>160</v>
      </c>
      <c r="D125" s="267">
        <f>((C125/B125)     -    1)*100</f>
        <v>6.6666666666666652</v>
      </c>
      <c r="E125" s="65" t="s">
        <v>160</v>
      </c>
      <c r="F125" s="65" t="s">
        <v>160</v>
      </c>
      <c r="G125" s="258" t="s">
        <v>157</v>
      </c>
    </row>
    <row r="126" spans="1:7" ht="12" customHeight="1" x14ac:dyDescent="0.2">
      <c r="A126" s="272" t="s">
        <v>73</v>
      </c>
      <c r="B126" s="265">
        <v>160</v>
      </c>
      <c r="C126" s="265">
        <v>160</v>
      </c>
      <c r="D126" s="268">
        <f>((C126/B126)     -    1)*100</f>
        <v>0</v>
      </c>
      <c r="E126" s="265">
        <v>135</v>
      </c>
      <c r="F126" s="265">
        <v>145</v>
      </c>
      <c r="G126" s="267">
        <f>((F126/E126)     -    1)*100</f>
        <v>7.4074074074074181</v>
      </c>
    </row>
    <row r="127" spans="1:7" ht="12" customHeight="1" x14ac:dyDescent="0.2">
      <c r="A127" s="246" t="s">
        <v>46</v>
      </c>
      <c r="B127" s="260"/>
      <c r="C127" s="260"/>
      <c r="D127" s="1"/>
      <c r="E127" s="260"/>
      <c r="F127" s="260"/>
      <c r="G127" s="1"/>
    </row>
    <row r="128" spans="1:7" ht="12" customHeight="1" x14ac:dyDescent="0.2">
      <c r="A128" s="274" t="s">
        <v>47</v>
      </c>
      <c r="B128" s="266">
        <v>130</v>
      </c>
      <c r="C128" s="266">
        <v>120</v>
      </c>
      <c r="D128" s="270">
        <f>((C128/B128)     -    1)*100</f>
        <v>-7.6923076923076872</v>
      </c>
      <c r="E128" s="66" t="s">
        <v>160</v>
      </c>
      <c r="F128" s="66" t="s">
        <v>160</v>
      </c>
      <c r="G128" s="264" t="s">
        <v>157</v>
      </c>
    </row>
    <row r="129" spans="1:7" ht="9" customHeight="1" x14ac:dyDescent="0.2">
      <c r="A129" s="10" t="s">
        <v>87</v>
      </c>
      <c r="B129" s="55"/>
      <c r="C129" s="55"/>
      <c r="D129" s="55"/>
      <c r="E129" s="55"/>
      <c r="F129" s="55"/>
      <c r="G129" s="55"/>
    </row>
    <row r="130" spans="1:7" ht="9" customHeight="1" x14ac:dyDescent="0.2">
      <c r="A130" s="135" t="s">
        <v>67</v>
      </c>
      <c r="B130" s="55"/>
      <c r="C130" s="55"/>
      <c r="D130" s="55"/>
      <c r="E130" s="55"/>
      <c r="F130" s="55"/>
      <c r="G130" s="55"/>
    </row>
    <row r="131" spans="1:7" ht="9" customHeight="1" x14ac:dyDescent="0.2">
      <c r="A131" s="135" t="s">
        <v>68</v>
      </c>
      <c r="B131" s="55"/>
      <c r="C131" s="55"/>
      <c r="D131" s="55"/>
      <c r="E131" s="55"/>
      <c r="F131" s="55"/>
      <c r="G131" s="55"/>
    </row>
    <row r="132" spans="1:7" ht="9" customHeight="1" x14ac:dyDescent="0.2">
      <c r="A132" s="135"/>
      <c r="B132" s="55"/>
      <c r="C132" s="55"/>
      <c r="D132" s="55"/>
      <c r="E132" s="55"/>
      <c r="F132" s="55"/>
      <c r="G132" s="55"/>
    </row>
    <row r="133" spans="1:7" ht="9.75" customHeight="1" x14ac:dyDescent="0.2">
      <c r="A133" s="135"/>
    </row>
    <row r="134" spans="1:7" ht="8.25" customHeight="1" x14ac:dyDescent="0.2"/>
  </sheetData>
  <mergeCells count="6">
    <mergeCell ref="A4:A5"/>
    <mergeCell ref="B4:D4"/>
    <mergeCell ref="E4:G4"/>
    <mergeCell ref="A65:A66"/>
    <mergeCell ref="B65:D65"/>
    <mergeCell ref="E65:G65"/>
  </mergeCells>
  <pageMargins left="0.27559055118110237" right="0.27559055118110237" top="0.39370078740157483" bottom="0.39370078740157483" header="0" footer="0"/>
  <pageSetup paperSize="9" orientation="portrait" r:id="rId1"/>
  <ignoredErrors>
    <ignoredError sqref="B5:G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8"/>
  <dimension ref="A1:G658"/>
  <sheetViews>
    <sheetView showGridLines="0" topLeftCell="A15" zoomScaleNormal="100" workbookViewId="0">
      <selection activeCell="A49" sqref="A49:G98"/>
    </sheetView>
  </sheetViews>
  <sheetFormatPr baseColWidth="10" defaultColWidth="11.42578125" defaultRowHeight="15" customHeight="1" x14ac:dyDescent="0.2"/>
  <cols>
    <col min="1" max="1" width="20.140625" style="2" customWidth="1"/>
    <col min="2" max="2" width="14.42578125" style="2" customWidth="1"/>
    <col min="3" max="3" width="20" style="2" customWidth="1"/>
    <col min="4" max="4" width="7.7109375" style="2" customWidth="1"/>
    <col min="5" max="5" width="8.28515625" style="2" customWidth="1"/>
    <col min="6" max="7" width="6.7109375" style="2" customWidth="1"/>
    <col min="8" max="16384" width="11.42578125" style="2"/>
  </cols>
  <sheetData>
    <row r="1" spans="1:7" ht="19.350000000000001" customHeight="1" x14ac:dyDescent="0.25">
      <c r="A1" s="296" t="s">
        <v>593</v>
      </c>
      <c r="B1" s="296"/>
      <c r="C1" s="321"/>
      <c r="D1" s="322"/>
      <c r="E1" s="321"/>
      <c r="F1" s="321"/>
      <c r="G1" s="323"/>
    </row>
    <row r="2" spans="1:7" ht="12" customHeight="1" x14ac:dyDescent="0.25">
      <c r="A2" s="296" t="s">
        <v>551</v>
      </c>
      <c r="B2" s="296"/>
      <c r="C2" s="324"/>
      <c r="D2" s="325"/>
      <c r="E2" s="324"/>
      <c r="F2" s="324"/>
      <c r="G2" s="326"/>
    </row>
    <row r="3" spans="1:7" ht="5.0999999999999996" customHeight="1" x14ac:dyDescent="0.25">
      <c r="B3" s="296" t="s">
        <v>345</v>
      </c>
      <c r="C3" s="296"/>
      <c r="D3" s="296"/>
      <c r="E3" s="296"/>
      <c r="F3" s="296"/>
      <c r="G3" s="327"/>
    </row>
    <row r="4" spans="1:7" ht="15.95" customHeight="1" x14ac:dyDescent="0.2">
      <c r="A4" s="328" t="s">
        <v>210</v>
      </c>
      <c r="B4" s="328" t="s">
        <v>346</v>
      </c>
      <c r="C4" s="328" t="s">
        <v>248</v>
      </c>
      <c r="D4" s="328" t="s">
        <v>347</v>
      </c>
      <c r="E4" s="328" t="s">
        <v>213</v>
      </c>
      <c r="F4" s="328" t="s">
        <v>348</v>
      </c>
      <c r="G4" s="328" t="s">
        <v>349</v>
      </c>
    </row>
    <row r="5" spans="1:7" ht="12.95" customHeight="1" x14ac:dyDescent="0.2">
      <c r="A5" s="507" t="s">
        <v>350</v>
      </c>
      <c r="B5" s="334" t="s">
        <v>332</v>
      </c>
      <c r="C5" s="334" t="s">
        <v>470</v>
      </c>
      <c r="D5" s="335" t="s">
        <v>353</v>
      </c>
      <c r="E5" s="336" t="s">
        <v>353</v>
      </c>
      <c r="F5" s="337">
        <v>16</v>
      </c>
      <c r="G5" s="338">
        <v>12</v>
      </c>
    </row>
    <row r="6" spans="1:7" ht="12.95" customHeight="1" x14ac:dyDescent="0.2">
      <c r="A6" s="720" t="s">
        <v>224</v>
      </c>
      <c r="B6" s="329" t="s">
        <v>351</v>
      </c>
      <c r="C6" s="329" t="s">
        <v>355</v>
      </c>
      <c r="D6" s="330" t="s">
        <v>353</v>
      </c>
      <c r="E6" s="331" t="s">
        <v>353</v>
      </c>
      <c r="F6" s="339">
        <v>600</v>
      </c>
      <c r="G6" s="333">
        <v>4</v>
      </c>
    </row>
    <row r="7" spans="1:7" ht="12.95" customHeight="1" x14ac:dyDescent="0.2">
      <c r="A7" s="721"/>
      <c r="B7" s="329" t="s">
        <v>351</v>
      </c>
      <c r="C7" s="329" t="s">
        <v>357</v>
      </c>
      <c r="D7" s="330" t="s">
        <v>353</v>
      </c>
      <c r="E7" s="331" t="s">
        <v>356</v>
      </c>
      <c r="F7" s="339">
        <v>1193</v>
      </c>
      <c r="G7" s="333">
        <v>5</v>
      </c>
    </row>
    <row r="8" spans="1:7" ht="12.95" customHeight="1" x14ac:dyDescent="0.2">
      <c r="A8" s="721"/>
      <c r="B8" s="329" t="s">
        <v>351</v>
      </c>
      <c r="C8" s="329" t="s">
        <v>358</v>
      </c>
      <c r="D8" s="330" t="s">
        <v>353</v>
      </c>
      <c r="E8" s="331" t="s">
        <v>356</v>
      </c>
      <c r="F8" s="339">
        <v>50</v>
      </c>
      <c r="G8" s="333">
        <v>5</v>
      </c>
    </row>
    <row r="9" spans="1:7" ht="12.95" customHeight="1" x14ac:dyDescent="0.2">
      <c r="A9" s="721"/>
      <c r="B9" s="329" t="s">
        <v>334</v>
      </c>
      <c r="C9" s="329" t="s">
        <v>359</v>
      </c>
      <c r="D9" s="330" t="s">
        <v>353</v>
      </c>
      <c r="E9" s="331" t="s">
        <v>353</v>
      </c>
      <c r="F9" s="339">
        <v>1909</v>
      </c>
      <c r="G9" s="333">
        <v>3.5</v>
      </c>
    </row>
    <row r="10" spans="1:7" ht="12.95" customHeight="1" x14ac:dyDescent="0.2">
      <c r="A10" s="721"/>
      <c r="B10" s="329" t="s">
        <v>338</v>
      </c>
      <c r="C10" s="329" t="s">
        <v>552</v>
      </c>
      <c r="D10" s="330" t="s">
        <v>353</v>
      </c>
      <c r="E10" s="331" t="s">
        <v>353</v>
      </c>
      <c r="F10" s="332">
        <v>480</v>
      </c>
      <c r="G10" s="333">
        <v>8</v>
      </c>
    </row>
    <row r="11" spans="1:7" ht="12.95" customHeight="1" x14ac:dyDescent="0.2">
      <c r="A11" s="721"/>
      <c r="B11" s="329" t="s">
        <v>332</v>
      </c>
      <c r="C11" s="329" t="s">
        <v>471</v>
      </c>
      <c r="D11" s="330" t="s">
        <v>353</v>
      </c>
      <c r="E11" s="331" t="s">
        <v>356</v>
      </c>
      <c r="F11" s="332">
        <v>1080</v>
      </c>
      <c r="G11" s="333">
        <v>12</v>
      </c>
    </row>
    <row r="12" spans="1:7" ht="12.95" customHeight="1" x14ac:dyDescent="0.2">
      <c r="A12" s="721"/>
      <c r="B12" s="329" t="s">
        <v>332</v>
      </c>
      <c r="C12" s="329" t="s">
        <v>360</v>
      </c>
      <c r="D12" s="330" t="s">
        <v>353</v>
      </c>
      <c r="E12" s="331" t="s">
        <v>354</v>
      </c>
      <c r="F12" s="332">
        <v>30</v>
      </c>
      <c r="G12" s="333">
        <v>13</v>
      </c>
    </row>
    <row r="13" spans="1:7" ht="12.95" customHeight="1" x14ac:dyDescent="0.2">
      <c r="A13" s="721"/>
      <c r="B13" s="329" t="s">
        <v>342</v>
      </c>
      <c r="C13" s="329" t="s">
        <v>361</v>
      </c>
      <c r="D13" s="330" t="s">
        <v>353</v>
      </c>
      <c r="E13" s="331" t="s">
        <v>362</v>
      </c>
      <c r="F13" s="332">
        <v>4620</v>
      </c>
      <c r="G13" s="333">
        <v>6</v>
      </c>
    </row>
    <row r="14" spans="1:7" ht="12.95" customHeight="1" x14ac:dyDescent="0.2">
      <c r="A14" s="721"/>
      <c r="B14" s="329" t="s">
        <v>330</v>
      </c>
      <c r="C14" s="329" t="s">
        <v>363</v>
      </c>
      <c r="D14" s="330" t="s">
        <v>353</v>
      </c>
      <c r="E14" s="331" t="s">
        <v>356</v>
      </c>
      <c r="F14" s="332">
        <v>44</v>
      </c>
      <c r="G14" s="333">
        <v>5</v>
      </c>
    </row>
    <row r="15" spans="1:7" ht="12.95" customHeight="1" x14ac:dyDescent="0.2">
      <c r="A15" s="721"/>
      <c r="B15" s="329" t="s">
        <v>343</v>
      </c>
      <c r="C15" s="329" t="s">
        <v>364</v>
      </c>
      <c r="D15" s="330" t="s">
        <v>353</v>
      </c>
      <c r="E15" s="331" t="s">
        <v>356</v>
      </c>
      <c r="F15" s="332">
        <v>3284</v>
      </c>
      <c r="G15" s="333">
        <v>5</v>
      </c>
    </row>
    <row r="16" spans="1:7" ht="12.95" customHeight="1" x14ac:dyDescent="0.2">
      <c r="A16" s="722"/>
      <c r="B16" s="329" t="s">
        <v>343</v>
      </c>
      <c r="C16" s="329" t="s">
        <v>364</v>
      </c>
      <c r="D16" s="330" t="s">
        <v>353</v>
      </c>
      <c r="E16" s="331" t="s">
        <v>353</v>
      </c>
      <c r="F16" s="332">
        <v>84</v>
      </c>
      <c r="G16" s="333">
        <v>4</v>
      </c>
    </row>
    <row r="17" spans="1:7" ht="12.95" customHeight="1" x14ac:dyDescent="0.2">
      <c r="A17" s="720" t="s">
        <v>5</v>
      </c>
      <c r="B17" s="345" t="s">
        <v>475</v>
      </c>
      <c r="C17" s="345" t="s">
        <v>472</v>
      </c>
      <c r="D17" s="346" t="s">
        <v>353</v>
      </c>
      <c r="E17" s="347" t="s">
        <v>353</v>
      </c>
      <c r="F17" s="348">
        <v>3725</v>
      </c>
      <c r="G17" s="344">
        <v>6.5</v>
      </c>
    </row>
    <row r="18" spans="1:7" ht="12.95" customHeight="1" x14ac:dyDescent="0.2">
      <c r="A18" s="721"/>
      <c r="B18" s="329" t="s">
        <v>331</v>
      </c>
      <c r="C18" s="329" t="s">
        <v>361</v>
      </c>
      <c r="D18" s="330" t="s">
        <v>353</v>
      </c>
      <c r="E18" s="331" t="s">
        <v>353</v>
      </c>
      <c r="F18" s="339">
        <v>875</v>
      </c>
      <c r="G18" s="333">
        <v>6</v>
      </c>
    </row>
    <row r="19" spans="1:7" ht="12.95" customHeight="1" x14ac:dyDescent="0.2">
      <c r="A19" s="722"/>
      <c r="B19" s="334" t="s">
        <v>331</v>
      </c>
      <c r="C19" s="334" t="s">
        <v>361</v>
      </c>
      <c r="D19" s="335" t="s">
        <v>353</v>
      </c>
      <c r="E19" s="336" t="s">
        <v>354</v>
      </c>
      <c r="F19" s="337">
        <v>875</v>
      </c>
      <c r="G19" s="333">
        <v>6.5</v>
      </c>
    </row>
    <row r="20" spans="1:7" ht="12.95" customHeight="1" x14ac:dyDescent="0.2">
      <c r="A20" s="720" t="s">
        <v>366</v>
      </c>
      <c r="B20" s="329" t="s">
        <v>351</v>
      </c>
      <c r="C20" s="329" t="s">
        <v>367</v>
      </c>
      <c r="D20" s="330" t="s">
        <v>353</v>
      </c>
      <c r="E20" s="331" t="s">
        <v>354</v>
      </c>
      <c r="F20" s="339">
        <v>50</v>
      </c>
      <c r="G20" s="344">
        <v>7.9</v>
      </c>
    </row>
    <row r="21" spans="1:7" ht="12.95" customHeight="1" x14ac:dyDescent="0.2">
      <c r="A21" s="721"/>
      <c r="B21" s="329" t="s">
        <v>339</v>
      </c>
      <c r="C21" s="329" t="s">
        <v>368</v>
      </c>
      <c r="D21" s="330" t="s">
        <v>353</v>
      </c>
      <c r="E21" s="331" t="s">
        <v>356</v>
      </c>
      <c r="F21" s="339">
        <v>120</v>
      </c>
      <c r="G21" s="333">
        <v>15</v>
      </c>
    </row>
    <row r="22" spans="1:7" ht="12.95" customHeight="1" x14ac:dyDescent="0.2">
      <c r="A22" s="721"/>
      <c r="B22" s="329" t="s">
        <v>474</v>
      </c>
      <c r="C22" s="329" t="s">
        <v>553</v>
      </c>
      <c r="D22" s="330" t="s">
        <v>353</v>
      </c>
      <c r="E22" s="331" t="s">
        <v>354</v>
      </c>
      <c r="F22" s="339">
        <v>800</v>
      </c>
      <c r="G22" s="333">
        <v>3.8</v>
      </c>
    </row>
    <row r="23" spans="1:7" ht="12.95" customHeight="1" x14ac:dyDescent="0.2">
      <c r="A23" s="722"/>
      <c r="B23" s="334" t="s">
        <v>330</v>
      </c>
      <c r="C23" s="334" t="s">
        <v>369</v>
      </c>
      <c r="D23" s="335" t="s">
        <v>353</v>
      </c>
      <c r="E23" s="336" t="s">
        <v>354</v>
      </c>
      <c r="F23" s="337">
        <v>1200</v>
      </c>
      <c r="G23" s="338">
        <v>7.5</v>
      </c>
    </row>
    <row r="24" spans="1:7" ht="12.95" customHeight="1" x14ac:dyDescent="0.2">
      <c r="A24" s="720" t="s">
        <v>228</v>
      </c>
      <c r="B24" s="329" t="s">
        <v>351</v>
      </c>
      <c r="C24" s="329" t="s">
        <v>352</v>
      </c>
      <c r="D24" s="330" t="s">
        <v>353</v>
      </c>
      <c r="E24" s="331" t="s">
        <v>354</v>
      </c>
      <c r="F24" s="339">
        <v>12</v>
      </c>
      <c r="G24" s="333">
        <v>6</v>
      </c>
    </row>
    <row r="25" spans="1:7" ht="12.95" customHeight="1" x14ac:dyDescent="0.2">
      <c r="A25" s="721"/>
      <c r="B25" s="329" t="s">
        <v>334</v>
      </c>
      <c r="C25" s="329" t="s">
        <v>402</v>
      </c>
      <c r="D25" s="330" t="s">
        <v>353</v>
      </c>
      <c r="E25" s="331" t="s">
        <v>354</v>
      </c>
      <c r="F25" s="339">
        <v>416</v>
      </c>
      <c r="G25" s="333">
        <v>8</v>
      </c>
    </row>
    <row r="26" spans="1:7" ht="12.95" customHeight="1" x14ac:dyDescent="0.2">
      <c r="A26" s="721"/>
      <c r="B26" s="329" t="s">
        <v>475</v>
      </c>
      <c r="C26" s="329" t="s">
        <v>472</v>
      </c>
      <c r="D26" s="330" t="s">
        <v>353</v>
      </c>
      <c r="E26" s="331" t="s">
        <v>356</v>
      </c>
      <c r="F26" s="339">
        <v>2364</v>
      </c>
      <c r="G26" s="333">
        <v>15</v>
      </c>
    </row>
    <row r="27" spans="1:7" ht="12.95" customHeight="1" x14ac:dyDescent="0.2">
      <c r="A27" s="721"/>
      <c r="B27" s="329" t="s">
        <v>332</v>
      </c>
      <c r="C27" s="329" t="s">
        <v>370</v>
      </c>
      <c r="D27" s="330" t="s">
        <v>353</v>
      </c>
      <c r="E27" s="331" t="s">
        <v>354</v>
      </c>
      <c r="F27" s="339">
        <v>958</v>
      </c>
      <c r="G27" s="333">
        <v>15</v>
      </c>
    </row>
    <row r="28" spans="1:7" ht="12.95" customHeight="1" x14ac:dyDescent="0.2">
      <c r="A28" s="721"/>
      <c r="B28" s="329" t="s">
        <v>336</v>
      </c>
      <c r="C28" s="329" t="s">
        <v>558</v>
      </c>
      <c r="D28" s="330" t="s">
        <v>353</v>
      </c>
      <c r="E28" s="331" t="s">
        <v>356</v>
      </c>
      <c r="F28" s="339">
        <v>1744</v>
      </c>
      <c r="G28" s="333">
        <v>20</v>
      </c>
    </row>
    <row r="29" spans="1:7" ht="12.95" customHeight="1" x14ac:dyDescent="0.2">
      <c r="A29" s="722"/>
      <c r="B29" s="334" t="s">
        <v>330</v>
      </c>
      <c r="C29" s="334" t="s">
        <v>554</v>
      </c>
      <c r="D29" s="335" t="s">
        <v>353</v>
      </c>
      <c r="E29" s="336" t="s">
        <v>354</v>
      </c>
      <c r="F29" s="337">
        <v>5100</v>
      </c>
      <c r="G29" s="338">
        <v>6</v>
      </c>
    </row>
    <row r="30" spans="1:7" ht="12.95" customHeight="1" x14ac:dyDescent="0.2">
      <c r="A30" s="720" t="s">
        <v>229</v>
      </c>
      <c r="B30" s="329" t="s">
        <v>331</v>
      </c>
      <c r="C30" s="329" t="s">
        <v>403</v>
      </c>
      <c r="D30" s="330" t="s">
        <v>353</v>
      </c>
      <c r="E30" s="331" t="s">
        <v>362</v>
      </c>
      <c r="F30" s="339">
        <v>50</v>
      </c>
      <c r="G30" s="333">
        <v>13</v>
      </c>
    </row>
    <row r="31" spans="1:7" ht="12.95" customHeight="1" x14ac:dyDescent="0.2">
      <c r="A31" s="722"/>
      <c r="B31" s="334" t="s">
        <v>331</v>
      </c>
      <c r="C31" s="334" t="s">
        <v>371</v>
      </c>
      <c r="D31" s="335" t="s">
        <v>353</v>
      </c>
      <c r="E31" s="336" t="s">
        <v>353</v>
      </c>
      <c r="F31" s="337">
        <v>2450</v>
      </c>
      <c r="G31" s="338">
        <v>8</v>
      </c>
    </row>
    <row r="32" spans="1:7" ht="12.95" customHeight="1" x14ac:dyDescent="0.2">
      <c r="A32" s="561" t="s">
        <v>372</v>
      </c>
      <c r="B32" s="334" t="s">
        <v>331</v>
      </c>
      <c r="C32" s="334" t="s">
        <v>403</v>
      </c>
      <c r="D32" s="335" t="s">
        <v>362</v>
      </c>
      <c r="E32" s="342" t="s">
        <v>362</v>
      </c>
      <c r="F32" s="337">
        <v>641</v>
      </c>
      <c r="G32" s="338">
        <v>12</v>
      </c>
    </row>
    <row r="33" spans="1:7" ht="12.95" customHeight="1" x14ac:dyDescent="0.2">
      <c r="A33" s="720" t="s">
        <v>508</v>
      </c>
      <c r="B33" s="345" t="s">
        <v>373</v>
      </c>
      <c r="C33" s="345" t="s">
        <v>374</v>
      </c>
      <c r="D33" s="346" t="s">
        <v>353</v>
      </c>
      <c r="E33" s="331" t="s">
        <v>354</v>
      </c>
      <c r="F33" s="348">
        <v>425</v>
      </c>
      <c r="G33" s="344">
        <v>17</v>
      </c>
    </row>
    <row r="34" spans="1:7" ht="12.95" customHeight="1" x14ac:dyDescent="0.2">
      <c r="A34" s="722"/>
      <c r="B34" s="334" t="s">
        <v>373</v>
      </c>
      <c r="C34" s="334" t="s">
        <v>374</v>
      </c>
      <c r="D34" s="335" t="s">
        <v>353</v>
      </c>
      <c r="E34" s="336" t="s">
        <v>353</v>
      </c>
      <c r="F34" s="337">
        <v>200</v>
      </c>
      <c r="G34" s="338">
        <v>16</v>
      </c>
    </row>
    <row r="35" spans="1:7" ht="12.95" customHeight="1" x14ac:dyDescent="0.2">
      <c r="A35" s="720" t="s">
        <v>232</v>
      </c>
      <c r="B35" s="329" t="s">
        <v>332</v>
      </c>
      <c r="C35" s="345" t="s">
        <v>375</v>
      </c>
      <c r="D35" s="346" t="s">
        <v>353</v>
      </c>
      <c r="E35" s="347" t="s">
        <v>354</v>
      </c>
      <c r="F35" s="348">
        <v>30</v>
      </c>
      <c r="G35" s="344">
        <v>12.01</v>
      </c>
    </row>
    <row r="36" spans="1:7" ht="12.95" customHeight="1" x14ac:dyDescent="0.2">
      <c r="A36" s="722"/>
      <c r="B36" s="329" t="s">
        <v>330</v>
      </c>
      <c r="C36" s="329" t="s">
        <v>376</v>
      </c>
      <c r="D36" s="330" t="s">
        <v>353</v>
      </c>
      <c r="E36" s="331" t="s">
        <v>353</v>
      </c>
      <c r="F36" s="339">
        <v>1300</v>
      </c>
      <c r="G36" s="333">
        <v>4.9800000000000004</v>
      </c>
    </row>
    <row r="37" spans="1:7" ht="12.95" customHeight="1" x14ac:dyDescent="0.2">
      <c r="A37" s="560" t="s">
        <v>377</v>
      </c>
      <c r="B37" s="340" t="s">
        <v>333</v>
      </c>
      <c r="C37" s="340" t="s">
        <v>365</v>
      </c>
      <c r="D37" s="341" t="s">
        <v>353</v>
      </c>
      <c r="E37" s="342" t="s">
        <v>353</v>
      </c>
      <c r="F37" s="343">
        <v>3880</v>
      </c>
      <c r="G37" s="349">
        <v>3</v>
      </c>
    </row>
    <row r="38" spans="1:7" ht="12.95" customHeight="1" x14ac:dyDescent="0.2">
      <c r="A38" s="720" t="s">
        <v>234</v>
      </c>
      <c r="B38" s="329" t="s">
        <v>333</v>
      </c>
      <c r="C38" s="329" t="s">
        <v>378</v>
      </c>
      <c r="D38" s="330" t="s">
        <v>353</v>
      </c>
      <c r="E38" s="331" t="s">
        <v>353</v>
      </c>
      <c r="F38" s="332">
        <v>2640</v>
      </c>
      <c r="G38" s="333">
        <v>3.7</v>
      </c>
    </row>
    <row r="39" spans="1:7" ht="12.95" customHeight="1" x14ac:dyDescent="0.2">
      <c r="A39" s="721"/>
      <c r="B39" s="329" t="s">
        <v>333</v>
      </c>
      <c r="C39" s="329" t="s">
        <v>378</v>
      </c>
      <c r="D39" s="330" t="s">
        <v>353</v>
      </c>
      <c r="E39" s="331" t="s">
        <v>354</v>
      </c>
      <c r="F39" s="332">
        <v>760</v>
      </c>
      <c r="G39" s="333">
        <v>10.5</v>
      </c>
    </row>
    <row r="40" spans="1:7" ht="12.95" customHeight="1" x14ac:dyDescent="0.2">
      <c r="A40" s="721"/>
      <c r="B40" s="329" t="s">
        <v>333</v>
      </c>
      <c r="C40" s="329" t="s">
        <v>379</v>
      </c>
      <c r="D40" s="330" t="s">
        <v>353</v>
      </c>
      <c r="E40" s="331" t="s">
        <v>354</v>
      </c>
      <c r="F40" s="332">
        <v>300</v>
      </c>
      <c r="G40" s="333">
        <v>10.5</v>
      </c>
    </row>
    <row r="41" spans="1:7" ht="12.95" customHeight="1" x14ac:dyDescent="0.2">
      <c r="A41" s="721"/>
      <c r="B41" s="329" t="s">
        <v>333</v>
      </c>
      <c r="C41" s="329" t="s">
        <v>379</v>
      </c>
      <c r="D41" s="330" t="s">
        <v>353</v>
      </c>
      <c r="E41" s="331" t="s">
        <v>353</v>
      </c>
      <c r="F41" s="332">
        <v>200</v>
      </c>
      <c r="G41" s="333">
        <v>3.7</v>
      </c>
    </row>
    <row r="42" spans="1:7" ht="12.95" customHeight="1" x14ac:dyDescent="0.2">
      <c r="A42" s="721"/>
      <c r="B42" s="329" t="s">
        <v>333</v>
      </c>
      <c r="C42" s="329" t="s">
        <v>380</v>
      </c>
      <c r="D42" s="330" t="s">
        <v>353</v>
      </c>
      <c r="E42" s="331" t="s">
        <v>353</v>
      </c>
      <c r="F42" s="332">
        <v>40</v>
      </c>
      <c r="G42" s="333">
        <v>3.7</v>
      </c>
    </row>
    <row r="43" spans="1:7" ht="12.95" customHeight="1" x14ac:dyDescent="0.2">
      <c r="A43" s="721"/>
      <c r="B43" s="329" t="s">
        <v>331</v>
      </c>
      <c r="C43" s="329" t="s">
        <v>509</v>
      </c>
      <c r="D43" s="330" t="s">
        <v>353</v>
      </c>
      <c r="E43" s="331" t="s">
        <v>353</v>
      </c>
      <c r="F43" s="332">
        <v>528</v>
      </c>
      <c r="G43" s="333">
        <v>10</v>
      </c>
    </row>
    <row r="44" spans="1:7" ht="12.95" customHeight="1" x14ac:dyDescent="0.2">
      <c r="A44" s="721"/>
      <c r="B44" s="329" t="s">
        <v>331</v>
      </c>
      <c r="C44" s="329" t="s">
        <v>371</v>
      </c>
      <c r="D44" s="330" t="s">
        <v>353</v>
      </c>
      <c r="E44" s="331" t="s">
        <v>354</v>
      </c>
      <c r="F44" s="332">
        <v>680</v>
      </c>
      <c r="G44" s="333">
        <v>19.91</v>
      </c>
    </row>
    <row r="45" spans="1:7" ht="12.95" customHeight="1" x14ac:dyDescent="0.2">
      <c r="A45" s="721"/>
      <c r="B45" s="329" t="s">
        <v>331</v>
      </c>
      <c r="C45" s="329" t="s">
        <v>371</v>
      </c>
      <c r="D45" s="330" t="s">
        <v>353</v>
      </c>
      <c r="E45" s="331" t="s">
        <v>353</v>
      </c>
      <c r="F45" s="332">
        <v>3212</v>
      </c>
      <c r="G45" s="333">
        <v>10.32</v>
      </c>
    </row>
    <row r="46" spans="1:7" ht="12.95" customHeight="1" x14ac:dyDescent="0.2">
      <c r="A46" s="722"/>
      <c r="B46" s="334" t="s">
        <v>331</v>
      </c>
      <c r="C46" s="334" t="s">
        <v>371</v>
      </c>
      <c r="D46" s="335" t="s">
        <v>353</v>
      </c>
      <c r="E46" s="336" t="s">
        <v>356</v>
      </c>
      <c r="F46" s="337">
        <v>1300</v>
      </c>
      <c r="G46" s="338">
        <v>50.63</v>
      </c>
    </row>
    <row r="47" spans="1:7" ht="12.95" customHeight="1" x14ac:dyDescent="0.2">
      <c r="A47" s="561" t="s">
        <v>291</v>
      </c>
      <c r="B47" s="334" t="s">
        <v>383</v>
      </c>
      <c r="C47" s="334" t="s">
        <v>381</v>
      </c>
      <c r="D47" s="335" t="s">
        <v>353</v>
      </c>
      <c r="E47" s="336" t="s">
        <v>353</v>
      </c>
      <c r="F47" s="337">
        <v>2079</v>
      </c>
      <c r="G47" s="338">
        <v>5.62</v>
      </c>
    </row>
    <row r="48" spans="1:7" ht="12.75" x14ac:dyDescent="0.2">
      <c r="A48" s="350"/>
      <c r="B48" s="351"/>
      <c r="C48" s="351"/>
      <c r="D48" s="352"/>
      <c r="E48" s="353"/>
      <c r="F48" s="4"/>
      <c r="G48" s="354" t="s">
        <v>296</v>
      </c>
    </row>
    <row r="49" spans="1:7" ht="13.5" x14ac:dyDescent="0.25">
      <c r="A49" s="355" t="s">
        <v>610</v>
      </c>
      <c r="B49" s="356"/>
      <c r="C49" s="356"/>
      <c r="D49" s="356"/>
      <c r="E49" s="356"/>
      <c r="F49" s="356"/>
      <c r="G49" s="357"/>
    </row>
    <row r="50" spans="1:7" ht="15.95" customHeight="1" x14ac:dyDescent="0.2">
      <c r="A50" s="328" t="s">
        <v>210</v>
      </c>
      <c r="B50" s="328" t="s">
        <v>346</v>
      </c>
      <c r="C50" s="328" t="s">
        <v>248</v>
      </c>
      <c r="D50" s="328" t="s">
        <v>347</v>
      </c>
      <c r="E50" s="328" t="s">
        <v>213</v>
      </c>
      <c r="F50" s="328" t="s">
        <v>348</v>
      </c>
      <c r="G50" s="328" t="s">
        <v>349</v>
      </c>
    </row>
    <row r="51" spans="1:7" ht="3" customHeight="1" x14ac:dyDescent="0.2">
      <c r="A51" s="507"/>
      <c r="B51" s="345"/>
      <c r="C51" s="345"/>
      <c r="D51" s="346"/>
      <c r="E51" s="347"/>
      <c r="F51" s="348"/>
      <c r="G51" s="344"/>
    </row>
    <row r="52" spans="1:7" ht="12.95" customHeight="1" x14ac:dyDescent="0.2">
      <c r="A52" s="721" t="s">
        <v>240</v>
      </c>
      <c r="B52" s="329" t="s">
        <v>373</v>
      </c>
      <c r="C52" s="329" t="s">
        <v>374</v>
      </c>
      <c r="D52" s="330" t="s">
        <v>353</v>
      </c>
      <c r="E52" s="331" t="s">
        <v>356</v>
      </c>
      <c r="F52" s="339">
        <v>145</v>
      </c>
      <c r="G52" s="333">
        <v>15</v>
      </c>
    </row>
    <row r="53" spans="1:7" ht="12.95" customHeight="1" x14ac:dyDescent="0.2">
      <c r="A53" s="722"/>
      <c r="B53" s="334" t="s">
        <v>373</v>
      </c>
      <c r="C53" s="334" t="s">
        <v>382</v>
      </c>
      <c r="D53" s="335" t="s">
        <v>353</v>
      </c>
      <c r="E53" s="336" t="s">
        <v>356</v>
      </c>
      <c r="F53" s="337">
        <v>275</v>
      </c>
      <c r="G53" s="338">
        <v>15</v>
      </c>
    </row>
    <row r="54" spans="1:7" ht="12.95" customHeight="1" x14ac:dyDescent="0.2">
      <c r="A54" s="560" t="s">
        <v>473</v>
      </c>
      <c r="B54" s="329" t="s">
        <v>474</v>
      </c>
      <c r="C54" s="329" t="s">
        <v>510</v>
      </c>
      <c r="D54" s="330" t="s">
        <v>353</v>
      </c>
      <c r="E54" s="331" t="s">
        <v>353</v>
      </c>
      <c r="F54" s="339">
        <v>2900</v>
      </c>
      <c r="G54" s="349">
        <v>3</v>
      </c>
    </row>
    <row r="55" spans="1:7" ht="12.95" customHeight="1" x14ac:dyDescent="0.2">
      <c r="A55" s="720" t="s">
        <v>305</v>
      </c>
      <c r="B55" s="345" t="s">
        <v>383</v>
      </c>
      <c r="C55" s="345" t="s">
        <v>384</v>
      </c>
      <c r="D55" s="346" t="s">
        <v>353</v>
      </c>
      <c r="E55" s="347" t="s">
        <v>353</v>
      </c>
      <c r="F55" s="348">
        <v>420</v>
      </c>
      <c r="G55" s="333">
        <v>10.7</v>
      </c>
    </row>
    <row r="56" spans="1:7" ht="12.95" customHeight="1" x14ac:dyDescent="0.2">
      <c r="A56" s="721"/>
      <c r="B56" s="329" t="s">
        <v>373</v>
      </c>
      <c r="C56" s="329" t="s">
        <v>385</v>
      </c>
      <c r="D56" s="330" t="s">
        <v>353</v>
      </c>
      <c r="E56" s="331" t="s">
        <v>353</v>
      </c>
      <c r="F56" s="339">
        <v>3</v>
      </c>
      <c r="G56" s="333">
        <v>19.18</v>
      </c>
    </row>
    <row r="57" spans="1:7" ht="12.95" customHeight="1" x14ac:dyDescent="0.2">
      <c r="A57" s="722"/>
      <c r="B57" s="334" t="s">
        <v>331</v>
      </c>
      <c r="C57" s="334" t="s">
        <v>511</v>
      </c>
      <c r="D57" s="335" t="s">
        <v>353</v>
      </c>
      <c r="E57" s="336" t="s">
        <v>356</v>
      </c>
      <c r="F57" s="337">
        <v>75</v>
      </c>
      <c r="G57" s="338">
        <v>8.0299999999999994</v>
      </c>
    </row>
    <row r="58" spans="1:7" ht="12.95" customHeight="1" x14ac:dyDescent="0.2">
      <c r="A58" s="507" t="s">
        <v>322</v>
      </c>
      <c r="B58" s="334" t="s">
        <v>331</v>
      </c>
      <c r="C58" s="334" t="s">
        <v>386</v>
      </c>
      <c r="D58" s="335" t="s">
        <v>353</v>
      </c>
      <c r="E58" s="336" t="s">
        <v>354</v>
      </c>
      <c r="F58" s="337">
        <v>254</v>
      </c>
      <c r="G58" s="338">
        <v>15</v>
      </c>
    </row>
    <row r="59" spans="1:7" ht="12.95" customHeight="1" x14ac:dyDescent="0.2">
      <c r="A59" s="720" t="s">
        <v>241</v>
      </c>
      <c r="B59" s="329" t="s">
        <v>474</v>
      </c>
      <c r="C59" s="329" t="s">
        <v>557</v>
      </c>
      <c r="D59" s="330" t="s">
        <v>353</v>
      </c>
      <c r="E59" s="331" t="s">
        <v>356</v>
      </c>
      <c r="F59" s="339">
        <v>1881</v>
      </c>
      <c r="G59" s="333">
        <v>3.5</v>
      </c>
    </row>
    <row r="60" spans="1:7" ht="12.95" customHeight="1" x14ac:dyDescent="0.2">
      <c r="A60" s="721"/>
      <c r="B60" s="329" t="s">
        <v>474</v>
      </c>
      <c r="C60" s="329" t="s">
        <v>510</v>
      </c>
      <c r="D60" s="330" t="s">
        <v>353</v>
      </c>
      <c r="E60" s="331" t="s">
        <v>356</v>
      </c>
      <c r="F60" s="339">
        <v>3263</v>
      </c>
      <c r="G60" s="333">
        <v>3.5</v>
      </c>
    </row>
    <row r="61" spans="1:7" ht="12.95" customHeight="1" x14ac:dyDescent="0.2">
      <c r="A61" s="721"/>
      <c r="B61" s="329" t="s">
        <v>474</v>
      </c>
      <c r="C61" s="329" t="s">
        <v>510</v>
      </c>
      <c r="D61" s="330" t="s">
        <v>353</v>
      </c>
      <c r="E61" s="331" t="s">
        <v>354</v>
      </c>
      <c r="F61" s="339">
        <v>11050</v>
      </c>
      <c r="G61" s="333">
        <v>3</v>
      </c>
    </row>
    <row r="62" spans="1:7" ht="12.95" customHeight="1" x14ac:dyDescent="0.2">
      <c r="A62" s="721"/>
      <c r="B62" s="329" t="s">
        <v>474</v>
      </c>
      <c r="C62" s="329" t="s">
        <v>465</v>
      </c>
      <c r="D62" s="330" t="s">
        <v>353</v>
      </c>
      <c r="E62" s="331" t="s">
        <v>354</v>
      </c>
      <c r="F62" s="339">
        <v>12350</v>
      </c>
      <c r="G62" s="333">
        <v>3</v>
      </c>
    </row>
    <row r="63" spans="1:7" ht="12.95" customHeight="1" x14ac:dyDescent="0.2">
      <c r="A63" s="721"/>
      <c r="B63" s="329" t="s">
        <v>474</v>
      </c>
      <c r="C63" s="329" t="s">
        <v>465</v>
      </c>
      <c r="D63" s="330" t="s">
        <v>353</v>
      </c>
      <c r="E63" s="331" t="s">
        <v>356</v>
      </c>
      <c r="F63" s="339">
        <v>9979</v>
      </c>
      <c r="G63" s="333">
        <v>3.5</v>
      </c>
    </row>
    <row r="64" spans="1:7" ht="12.95" customHeight="1" x14ac:dyDescent="0.2">
      <c r="A64" s="721"/>
      <c r="B64" s="329" t="s">
        <v>336</v>
      </c>
      <c r="C64" s="329" t="s">
        <v>387</v>
      </c>
      <c r="D64" s="330" t="s">
        <v>353</v>
      </c>
      <c r="E64" s="331" t="s">
        <v>356</v>
      </c>
      <c r="F64" s="332">
        <v>50</v>
      </c>
      <c r="G64" s="333">
        <v>10.57</v>
      </c>
    </row>
    <row r="65" spans="1:7" ht="12.95" customHeight="1" x14ac:dyDescent="0.2">
      <c r="A65" s="721"/>
      <c r="B65" s="329" t="s">
        <v>336</v>
      </c>
      <c r="C65" s="329" t="s">
        <v>388</v>
      </c>
      <c r="D65" s="330" t="s">
        <v>353</v>
      </c>
      <c r="E65" s="331" t="s">
        <v>354</v>
      </c>
      <c r="F65" s="332">
        <v>3050</v>
      </c>
      <c r="G65" s="333">
        <v>9.75</v>
      </c>
    </row>
    <row r="66" spans="1:7" ht="12.95" customHeight="1" x14ac:dyDescent="0.2">
      <c r="A66" s="721"/>
      <c r="B66" s="329" t="s">
        <v>340</v>
      </c>
      <c r="C66" s="329" t="s">
        <v>389</v>
      </c>
      <c r="D66" s="330" t="s">
        <v>353</v>
      </c>
      <c r="E66" s="331" t="s">
        <v>353</v>
      </c>
      <c r="F66" s="332">
        <v>900</v>
      </c>
      <c r="G66" s="333">
        <v>10.35</v>
      </c>
    </row>
    <row r="67" spans="1:7" ht="12.95" customHeight="1" x14ac:dyDescent="0.2">
      <c r="A67" s="721"/>
      <c r="B67" s="329" t="s">
        <v>340</v>
      </c>
      <c r="C67" s="329" t="s">
        <v>389</v>
      </c>
      <c r="D67" s="330" t="s">
        <v>353</v>
      </c>
      <c r="E67" s="331" t="s">
        <v>354</v>
      </c>
      <c r="F67" s="332">
        <v>150</v>
      </c>
      <c r="G67" s="333">
        <v>10.89</v>
      </c>
    </row>
    <row r="68" spans="1:7" ht="12.95" customHeight="1" x14ac:dyDescent="0.2">
      <c r="A68" s="721"/>
      <c r="B68" s="329" t="s">
        <v>340</v>
      </c>
      <c r="C68" s="329" t="s">
        <v>389</v>
      </c>
      <c r="D68" s="330" t="s">
        <v>353</v>
      </c>
      <c r="E68" s="331" t="s">
        <v>356</v>
      </c>
      <c r="F68" s="332">
        <v>100</v>
      </c>
      <c r="G68" s="333">
        <v>12</v>
      </c>
    </row>
    <row r="69" spans="1:7" ht="12.95" customHeight="1" x14ac:dyDescent="0.2">
      <c r="A69" s="721"/>
      <c r="B69" s="329" t="s">
        <v>340</v>
      </c>
      <c r="C69" s="329" t="s">
        <v>390</v>
      </c>
      <c r="D69" s="330" t="s">
        <v>353</v>
      </c>
      <c r="E69" s="331" t="s">
        <v>356</v>
      </c>
      <c r="F69" s="332">
        <v>150</v>
      </c>
      <c r="G69" s="333">
        <v>12</v>
      </c>
    </row>
    <row r="70" spans="1:7" ht="12.95" customHeight="1" x14ac:dyDescent="0.2">
      <c r="A70" s="722"/>
      <c r="B70" s="334" t="s">
        <v>330</v>
      </c>
      <c r="C70" s="334" t="s">
        <v>391</v>
      </c>
      <c r="D70" s="335" t="s">
        <v>353</v>
      </c>
      <c r="E70" s="336" t="s">
        <v>354</v>
      </c>
      <c r="F70" s="337">
        <v>3550</v>
      </c>
      <c r="G70" s="338">
        <v>5.41</v>
      </c>
    </row>
    <row r="71" spans="1:7" ht="12.95" customHeight="1" x14ac:dyDescent="0.2">
      <c r="A71" s="720" t="s">
        <v>243</v>
      </c>
      <c r="B71" s="329" t="s">
        <v>333</v>
      </c>
      <c r="C71" s="329" t="s">
        <v>392</v>
      </c>
      <c r="D71" s="330" t="s">
        <v>353</v>
      </c>
      <c r="E71" s="331" t="s">
        <v>354</v>
      </c>
      <c r="F71" s="339">
        <v>560</v>
      </c>
      <c r="G71" s="333">
        <v>5.51</v>
      </c>
    </row>
    <row r="72" spans="1:7" ht="12.95" customHeight="1" x14ac:dyDescent="0.2">
      <c r="A72" s="721"/>
      <c r="B72" s="329" t="s">
        <v>333</v>
      </c>
      <c r="C72" s="329" t="s">
        <v>392</v>
      </c>
      <c r="D72" s="330" t="s">
        <v>353</v>
      </c>
      <c r="E72" s="331" t="s">
        <v>356</v>
      </c>
      <c r="F72" s="332">
        <v>274</v>
      </c>
      <c r="G72" s="333">
        <v>80.400000000000006</v>
      </c>
    </row>
    <row r="73" spans="1:7" ht="12.95" customHeight="1" x14ac:dyDescent="0.2">
      <c r="A73" s="721"/>
      <c r="B73" s="329" t="s">
        <v>333</v>
      </c>
      <c r="C73" s="329" t="s">
        <v>393</v>
      </c>
      <c r="D73" s="330" t="s">
        <v>353</v>
      </c>
      <c r="E73" s="331" t="s">
        <v>356</v>
      </c>
      <c r="F73" s="332">
        <v>204</v>
      </c>
      <c r="G73" s="333">
        <v>80.400000000000006</v>
      </c>
    </row>
    <row r="74" spans="1:7" ht="12.95" customHeight="1" x14ac:dyDescent="0.2">
      <c r="A74" s="721"/>
      <c r="B74" s="329" t="s">
        <v>333</v>
      </c>
      <c r="C74" s="329" t="s">
        <v>393</v>
      </c>
      <c r="D74" s="330" t="s">
        <v>353</v>
      </c>
      <c r="E74" s="331" t="s">
        <v>354</v>
      </c>
      <c r="F74" s="332">
        <v>130</v>
      </c>
      <c r="G74" s="333">
        <v>5.51</v>
      </c>
    </row>
    <row r="75" spans="1:7" ht="12.95" customHeight="1" x14ac:dyDescent="0.2">
      <c r="A75" s="721"/>
      <c r="B75" s="329" t="s">
        <v>333</v>
      </c>
      <c r="C75" s="329" t="s">
        <v>394</v>
      </c>
      <c r="D75" s="330" t="s">
        <v>353</v>
      </c>
      <c r="E75" s="331" t="s">
        <v>356</v>
      </c>
      <c r="F75" s="332">
        <v>291</v>
      </c>
      <c r="G75" s="333">
        <v>80.400000000000006</v>
      </c>
    </row>
    <row r="76" spans="1:7" ht="12.95" customHeight="1" x14ac:dyDescent="0.2">
      <c r="A76" s="721"/>
      <c r="B76" s="329" t="s">
        <v>333</v>
      </c>
      <c r="C76" s="454" t="s">
        <v>404</v>
      </c>
      <c r="D76" s="330" t="s">
        <v>353</v>
      </c>
      <c r="E76" s="331" t="s">
        <v>356</v>
      </c>
      <c r="F76" s="332">
        <v>469</v>
      </c>
      <c r="G76" s="333">
        <v>80.400000000000006</v>
      </c>
    </row>
    <row r="77" spans="1:7" ht="12.95" customHeight="1" x14ac:dyDescent="0.2">
      <c r="A77" s="721"/>
      <c r="B77" s="329" t="s">
        <v>333</v>
      </c>
      <c r="C77" s="454" t="s">
        <v>404</v>
      </c>
      <c r="D77" s="330" t="s">
        <v>353</v>
      </c>
      <c r="E77" s="331" t="s">
        <v>354</v>
      </c>
      <c r="F77" s="332">
        <v>1857</v>
      </c>
      <c r="G77" s="333">
        <v>5.51</v>
      </c>
    </row>
    <row r="78" spans="1:7" ht="12.95" customHeight="1" x14ac:dyDescent="0.2">
      <c r="A78" s="721"/>
      <c r="B78" s="329" t="s">
        <v>333</v>
      </c>
      <c r="C78" s="329" t="s">
        <v>395</v>
      </c>
      <c r="D78" s="330" t="s">
        <v>353</v>
      </c>
      <c r="E78" s="331" t="s">
        <v>356</v>
      </c>
      <c r="F78" s="332">
        <v>531</v>
      </c>
      <c r="G78" s="333">
        <v>80.400000000000006</v>
      </c>
    </row>
    <row r="79" spans="1:7" ht="12.95" customHeight="1" x14ac:dyDescent="0.2">
      <c r="A79" s="721"/>
      <c r="B79" s="329" t="s">
        <v>333</v>
      </c>
      <c r="C79" s="329" t="s">
        <v>395</v>
      </c>
      <c r="D79" s="330" t="s">
        <v>353</v>
      </c>
      <c r="E79" s="331" t="s">
        <v>354</v>
      </c>
      <c r="F79" s="332">
        <v>1715</v>
      </c>
      <c r="G79" s="333">
        <v>5.51</v>
      </c>
    </row>
    <row r="80" spans="1:7" ht="12.95" customHeight="1" x14ac:dyDescent="0.2">
      <c r="A80" s="721"/>
      <c r="B80" s="329" t="s">
        <v>333</v>
      </c>
      <c r="C80" s="329" t="s">
        <v>396</v>
      </c>
      <c r="D80" s="330" t="s">
        <v>353</v>
      </c>
      <c r="E80" s="331" t="s">
        <v>354</v>
      </c>
      <c r="F80" s="332">
        <v>1582</v>
      </c>
      <c r="G80" s="333">
        <v>5.51</v>
      </c>
    </row>
    <row r="81" spans="1:7" ht="12.95" customHeight="1" x14ac:dyDescent="0.2">
      <c r="A81" s="721"/>
      <c r="B81" s="329" t="s">
        <v>333</v>
      </c>
      <c r="C81" s="329" t="s">
        <v>396</v>
      </c>
      <c r="D81" s="330" t="s">
        <v>353</v>
      </c>
      <c r="E81" s="331" t="s">
        <v>356</v>
      </c>
      <c r="F81" s="332">
        <v>766</v>
      </c>
      <c r="G81" s="333">
        <v>80.400000000000006</v>
      </c>
    </row>
    <row r="82" spans="1:7" ht="12.95" customHeight="1" x14ac:dyDescent="0.2">
      <c r="A82" s="721"/>
      <c r="B82" s="329" t="s">
        <v>333</v>
      </c>
      <c r="C82" s="329" t="s">
        <v>397</v>
      </c>
      <c r="D82" s="330" t="s">
        <v>353</v>
      </c>
      <c r="E82" s="331" t="s">
        <v>356</v>
      </c>
      <c r="F82" s="332">
        <v>447</v>
      </c>
      <c r="G82" s="333">
        <v>80.400000000000006</v>
      </c>
    </row>
    <row r="83" spans="1:7" ht="12.95" customHeight="1" x14ac:dyDescent="0.2">
      <c r="A83" s="721"/>
      <c r="B83" s="329" t="s">
        <v>333</v>
      </c>
      <c r="C83" s="329" t="s">
        <v>397</v>
      </c>
      <c r="D83" s="330" t="s">
        <v>353</v>
      </c>
      <c r="E83" s="331" t="s">
        <v>354</v>
      </c>
      <c r="F83" s="332">
        <v>894</v>
      </c>
      <c r="G83" s="333">
        <v>5.51</v>
      </c>
    </row>
    <row r="84" spans="1:7" ht="12.95" customHeight="1" x14ac:dyDescent="0.2">
      <c r="A84" s="721"/>
      <c r="B84" s="329" t="s">
        <v>383</v>
      </c>
      <c r="C84" s="329" t="s">
        <v>398</v>
      </c>
      <c r="D84" s="330" t="s">
        <v>353</v>
      </c>
      <c r="E84" s="331" t="s">
        <v>356</v>
      </c>
      <c r="F84" s="332">
        <v>25</v>
      </c>
      <c r="G84" s="333">
        <v>12.91</v>
      </c>
    </row>
    <row r="85" spans="1:7" ht="12.95" customHeight="1" x14ac:dyDescent="0.2">
      <c r="A85" s="721"/>
      <c r="B85" s="329" t="s">
        <v>383</v>
      </c>
      <c r="C85" s="329" t="s">
        <v>398</v>
      </c>
      <c r="D85" s="330" t="s">
        <v>353</v>
      </c>
      <c r="E85" s="331" t="s">
        <v>354</v>
      </c>
      <c r="F85" s="332">
        <v>25</v>
      </c>
      <c r="G85" s="333">
        <v>10.94</v>
      </c>
    </row>
    <row r="86" spans="1:7" ht="12.95" customHeight="1" x14ac:dyDescent="0.2">
      <c r="A86" s="721"/>
      <c r="B86" s="329" t="s">
        <v>383</v>
      </c>
      <c r="C86" s="329" t="s">
        <v>398</v>
      </c>
      <c r="D86" s="330" t="s">
        <v>353</v>
      </c>
      <c r="E86" s="331" t="s">
        <v>353</v>
      </c>
      <c r="F86" s="332">
        <v>1075</v>
      </c>
      <c r="G86" s="333">
        <v>8.99</v>
      </c>
    </row>
    <row r="87" spans="1:7" ht="12.95" customHeight="1" x14ac:dyDescent="0.2">
      <c r="A87" s="721"/>
      <c r="B87" s="329" t="s">
        <v>383</v>
      </c>
      <c r="C87" s="329" t="s">
        <v>381</v>
      </c>
      <c r="D87" s="330" t="s">
        <v>353</v>
      </c>
      <c r="E87" s="331" t="s">
        <v>356</v>
      </c>
      <c r="F87" s="332">
        <v>644</v>
      </c>
      <c r="G87" s="333">
        <v>12.91</v>
      </c>
    </row>
    <row r="88" spans="1:7" ht="12.95" customHeight="1" x14ac:dyDescent="0.2">
      <c r="A88" s="721"/>
      <c r="B88" s="329" t="s">
        <v>383</v>
      </c>
      <c r="C88" s="329" t="s">
        <v>381</v>
      </c>
      <c r="D88" s="330" t="s">
        <v>353</v>
      </c>
      <c r="E88" s="331" t="s">
        <v>354</v>
      </c>
      <c r="F88" s="332">
        <v>782</v>
      </c>
      <c r="G88" s="333">
        <v>10.94</v>
      </c>
    </row>
    <row r="89" spans="1:7" ht="12.95" customHeight="1" x14ac:dyDescent="0.2">
      <c r="A89" s="721"/>
      <c r="B89" s="329" t="s">
        <v>331</v>
      </c>
      <c r="C89" s="329" t="s">
        <v>555</v>
      </c>
      <c r="D89" s="330" t="s">
        <v>353</v>
      </c>
      <c r="E89" s="331" t="s">
        <v>362</v>
      </c>
      <c r="F89" s="332">
        <v>3497</v>
      </c>
      <c r="G89" s="333">
        <v>16.43</v>
      </c>
    </row>
    <row r="90" spans="1:7" ht="12.95" customHeight="1" x14ac:dyDescent="0.2">
      <c r="A90" s="721"/>
      <c r="B90" s="329" t="s">
        <v>331</v>
      </c>
      <c r="C90" s="329" t="s">
        <v>371</v>
      </c>
      <c r="D90" s="330" t="s">
        <v>353</v>
      </c>
      <c r="E90" s="331" t="s">
        <v>356</v>
      </c>
      <c r="F90" s="332">
        <v>304</v>
      </c>
      <c r="G90" s="333">
        <v>8.98</v>
      </c>
    </row>
    <row r="91" spans="1:7" ht="12.95" customHeight="1" x14ac:dyDescent="0.2">
      <c r="A91" s="721"/>
      <c r="B91" s="329" t="s">
        <v>331</v>
      </c>
      <c r="C91" s="329" t="s">
        <v>371</v>
      </c>
      <c r="D91" s="330" t="s">
        <v>353</v>
      </c>
      <c r="E91" s="331" t="s">
        <v>354</v>
      </c>
      <c r="F91" s="332">
        <v>1533</v>
      </c>
      <c r="G91" s="333">
        <v>5.5</v>
      </c>
    </row>
    <row r="92" spans="1:7" ht="12.95" customHeight="1" x14ac:dyDescent="0.2">
      <c r="A92" s="721"/>
      <c r="B92" s="329" t="s">
        <v>331</v>
      </c>
      <c r="C92" s="329" t="s">
        <v>371</v>
      </c>
      <c r="D92" s="330" t="s">
        <v>353</v>
      </c>
      <c r="E92" s="331" t="s">
        <v>353</v>
      </c>
      <c r="F92" s="332">
        <v>16829</v>
      </c>
      <c r="G92" s="333">
        <v>4.83</v>
      </c>
    </row>
    <row r="93" spans="1:7" ht="12.95" customHeight="1" x14ac:dyDescent="0.2">
      <c r="A93" s="721"/>
      <c r="B93" s="329" t="s">
        <v>331</v>
      </c>
      <c r="C93" s="329" t="s">
        <v>399</v>
      </c>
      <c r="D93" s="330" t="s">
        <v>556</v>
      </c>
      <c r="E93" s="331" t="s">
        <v>401</v>
      </c>
      <c r="F93" s="332">
        <v>6463</v>
      </c>
      <c r="G93" s="333">
        <v>63.04</v>
      </c>
    </row>
    <row r="94" spans="1:7" ht="12.95" customHeight="1" x14ac:dyDescent="0.2">
      <c r="A94" s="722"/>
      <c r="B94" s="329" t="s">
        <v>331</v>
      </c>
      <c r="C94" s="329" t="s">
        <v>400</v>
      </c>
      <c r="D94" s="330" t="s">
        <v>556</v>
      </c>
      <c r="E94" s="336" t="s">
        <v>401</v>
      </c>
      <c r="F94" s="339">
        <v>2871</v>
      </c>
      <c r="G94" s="333">
        <v>63.04</v>
      </c>
    </row>
    <row r="95" spans="1:7" ht="9" customHeight="1" x14ac:dyDescent="0.2">
      <c r="A95" s="294" t="s">
        <v>246</v>
      </c>
      <c r="B95" s="293"/>
      <c r="C95" s="4"/>
      <c r="D95" s="4"/>
      <c r="F95" s="4"/>
      <c r="G95" s="4"/>
    </row>
    <row r="96" spans="1:7" ht="9" customHeight="1" x14ac:dyDescent="0.2">
      <c r="A96" s="555" t="s">
        <v>67</v>
      </c>
      <c r="B96" s="294"/>
    </row>
    <row r="97" spans="1:1" ht="9" customHeight="1" x14ac:dyDescent="0.2">
      <c r="A97" s="556" t="s">
        <v>68</v>
      </c>
    </row>
    <row r="98" spans="1:1" ht="12.75" x14ac:dyDescent="0.2"/>
    <row r="99" spans="1:1" ht="12.75" x14ac:dyDescent="0.2"/>
    <row r="100" spans="1:1" ht="12.75" x14ac:dyDescent="0.2"/>
    <row r="101" spans="1:1" ht="12.75" x14ac:dyDescent="0.2"/>
    <row r="102" spans="1:1" ht="12.75" x14ac:dyDescent="0.2"/>
    <row r="103" spans="1:1" ht="12.75" x14ac:dyDescent="0.2"/>
    <row r="104" spans="1:1" ht="12.75" x14ac:dyDescent="0.2"/>
    <row r="105" spans="1:1" ht="12.75" x14ac:dyDescent="0.2"/>
    <row r="106" spans="1:1" ht="12.75" x14ac:dyDescent="0.2"/>
    <row r="107" spans="1:1" ht="12.75" x14ac:dyDescent="0.2"/>
    <row r="108" spans="1:1" ht="12.75" x14ac:dyDescent="0.2"/>
    <row r="109" spans="1:1" ht="12.75" x14ac:dyDescent="0.2"/>
    <row r="110" spans="1:1" ht="12.75" x14ac:dyDescent="0.2"/>
    <row r="111" spans="1:1" ht="12.75" x14ac:dyDescent="0.2"/>
    <row r="112" spans="1:1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</sheetData>
  <mergeCells count="12">
    <mergeCell ref="A71:A94"/>
    <mergeCell ref="A24:A29"/>
    <mergeCell ref="A33:A34"/>
    <mergeCell ref="A35:A36"/>
    <mergeCell ref="A38:A46"/>
    <mergeCell ref="A52:A53"/>
    <mergeCell ref="A30:A31"/>
    <mergeCell ref="A6:A16"/>
    <mergeCell ref="A17:A19"/>
    <mergeCell ref="A20:A23"/>
    <mergeCell ref="A55:A57"/>
    <mergeCell ref="A59:A70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9"/>
  <dimension ref="A1:D879"/>
  <sheetViews>
    <sheetView showGridLines="0" zoomScaleNormal="100" workbookViewId="0">
      <selection sqref="A1:D31"/>
    </sheetView>
  </sheetViews>
  <sheetFormatPr baseColWidth="10" defaultColWidth="10.7109375" defaultRowHeight="15" customHeight="1" x14ac:dyDescent="0.2"/>
  <cols>
    <col min="1" max="1" width="16.7109375" style="282" customWidth="1"/>
    <col min="2" max="4" width="15.7109375" style="282" customWidth="1"/>
    <col min="5" max="5" width="10.7109375" style="282"/>
    <col min="6" max="6" width="15.42578125" style="282" customWidth="1"/>
    <col min="7" max="16384" width="10.7109375" style="282"/>
  </cols>
  <sheetData>
    <row r="1" spans="1:4" ht="22.35" customHeight="1" x14ac:dyDescent="0.25">
      <c r="A1" s="296" t="s">
        <v>594</v>
      </c>
      <c r="B1" s="305"/>
      <c r="C1" s="305"/>
      <c r="D1" s="306"/>
    </row>
    <row r="2" spans="1:4" ht="12" customHeight="1" x14ac:dyDescent="0.25">
      <c r="A2" s="723" t="s">
        <v>559</v>
      </c>
      <c r="B2" s="723"/>
      <c r="C2" s="723"/>
      <c r="D2" s="723"/>
    </row>
    <row r="3" spans="1:4" ht="6" customHeight="1" x14ac:dyDescent="0.2">
      <c r="A3" s="305"/>
      <c r="B3" s="305"/>
      <c r="C3" s="305"/>
      <c r="D3" s="305"/>
    </row>
    <row r="4" spans="1:4" ht="25.5" x14ac:dyDescent="0.2">
      <c r="A4" s="301" t="s">
        <v>56</v>
      </c>
      <c r="B4" s="300" t="s">
        <v>326</v>
      </c>
      <c r="C4" s="300" t="s">
        <v>327</v>
      </c>
      <c r="D4" s="300" t="s">
        <v>328</v>
      </c>
    </row>
    <row r="5" spans="1:4" ht="13.5" x14ac:dyDescent="0.2">
      <c r="A5" s="286"/>
      <c r="B5" s="286"/>
      <c r="C5" s="286"/>
      <c r="D5" s="286"/>
    </row>
    <row r="6" spans="1:4" ht="13.5" x14ac:dyDescent="0.2">
      <c r="A6" s="246" t="s">
        <v>329</v>
      </c>
      <c r="B6" s="560"/>
      <c r="C6" s="307"/>
      <c r="D6" s="560"/>
    </row>
    <row r="7" spans="1:4" ht="13.5" x14ac:dyDescent="0.25">
      <c r="A7" s="3" t="s">
        <v>330</v>
      </c>
      <c r="B7" s="308">
        <v>11194</v>
      </c>
      <c r="C7" s="309">
        <v>140</v>
      </c>
      <c r="D7" s="310">
        <f>+B7/C7</f>
        <v>79.957142857142856</v>
      </c>
    </row>
    <row r="8" spans="1:4" ht="13.5" x14ac:dyDescent="0.25">
      <c r="A8" s="3" t="s">
        <v>331</v>
      </c>
      <c r="B8" s="308">
        <v>42437</v>
      </c>
      <c r="C8" s="309">
        <v>25</v>
      </c>
      <c r="D8" s="310">
        <f t="shared" ref="D8:D14" si="0">+B8/C8</f>
        <v>1697.48</v>
      </c>
    </row>
    <row r="9" spans="1:4" ht="13.5" x14ac:dyDescent="0.25">
      <c r="A9" s="3" t="s">
        <v>332</v>
      </c>
      <c r="B9" s="308">
        <v>2114</v>
      </c>
      <c r="C9" s="309">
        <v>60</v>
      </c>
      <c r="D9" s="310">
        <f t="shared" si="0"/>
        <v>35.233333333333334</v>
      </c>
    </row>
    <row r="10" spans="1:4" ht="13.5" x14ac:dyDescent="0.25">
      <c r="A10" s="3" t="s">
        <v>475</v>
      </c>
      <c r="B10" s="308">
        <v>6089</v>
      </c>
      <c r="C10" s="309">
        <v>60</v>
      </c>
      <c r="D10" s="310">
        <f t="shared" si="0"/>
        <v>101.48333333333333</v>
      </c>
    </row>
    <row r="11" spans="1:4" ht="13.5" x14ac:dyDescent="0.25">
      <c r="A11" s="3" t="s">
        <v>333</v>
      </c>
      <c r="B11" s="308">
        <v>17540</v>
      </c>
      <c r="C11" s="309">
        <v>50</v>
      </c>
      <c r="D11" s="310">
        <f t="shared" si="0"/>
        <v>350.8</v>
      </c>
    </row>
    <row r="12" spans="1:4" ht="13.5" x14ac:dyDescent="0.25">
      <c r="A12" s="3" t="s">
        <v>334</v>
      </c>
      <c r="B12" s="308">
        <v>2325</v>
      </c>
      <c r="C12" s="309">
        <v>75</v>
      </c>
      <c r="D12" s="310">
        <f t="shared" si="0"/>
        <v>31</v>
      </c>
    </row>
    <row r="13" spans="1:4" ht="13.5" x14ac:dyDescent="0.25">
      <c r="A13" s="3" t="s">
        <v>335</v>
      </c>
      <c r="B13" s="308">
        <v>1905</v>
      </c>
      <c r="C13" s="309">
        <v>100</v>
      </c>
      <c r="D13" s="310">
        <f t="shared" si="0"/>
        <v>19.05</v>
      </c>
    </row>
    <row r="14" spans="1:4" ht="13.5" x14ac:dyDescent="0.25">
      <c r="A14" s="3" t="s">
        <v>336</v>
      </c>
      <c r="B14" s="308">
        <v>4844</v>
      </c>
      <c r="C14" s="309">
        <v>120</v>
      </c>
      <c r="D14" s="310">
        <f t="shared" si="0"/>
        <v>40.366666666666667</v>
      </c>
    </row>
    <row r="15" spans="1:4" ht="13.5" x14ac:dyDescent="0.25">
      <c r="A15" s="311"/>
      <c r="B15" s="308"/>
      <c r="C15" s="309"/>
      <c r="D15" s="310"/>
    </row>
    <row r="16" spans="1:4" ht="13.5" x14ac:dyDescent="0.25">
      <c r="A16" s="312" t="s">
        <v>337</v>
      </c>
      <c r="B16" s="308"/>
      <c r="C16" s="309"/>
      <c r="D16" s="310"/>
    </row>
    <row r="17" spans="1:4" ht="13.5" x14ac:dyDescent="0.25">
      <c r="A17" s="3" t="s">
        <v>338</v>
      </c>
      <c r="B17" s="308">
        <v>480</v>
      </c>
      <c r="C17" s="309">
        <v>65</v>
      </c>
      <c r="D17" s="310">
        <f>+B17/C17</f>
        <v>7.384615384615385</v>
      </c>
    </row>
    <row r="18" spans="1:4" ht="13.5" x14ac:dyDescent="0.25">
      <c r="A18" s="3" t="s">
        <v>560</v>
      </c>
      <c r="B18" s="308">
        <v>6098</v>
      </c>
      <c r="C18" s="309">
        <v>60</v>
      </c>
      <c r="D18" s="310">
        <f>+B18/C18</f>
        <v>101.63333333333334</v>
      </c>
    </row>
    <row r="19" spans="1:4" ht="13.5" x14ac:dyDescent="0.25">
      <c r="A19" s="3" t="s">
        <v>339</v>
      </c>
      <c r="B19" s="308">
        <v>120</v>
      </c>
      <c r="C19" s="309">
        <v>60</v>
      </c>
      <c r="D19" s="310">
        <f>+B19/C19</f>
        <v>2</v>
      </c>
    </row>
    <row r="20" spans="1:4" ht="13.5" x14ac:dyDescent="0.25">
      <c r="A20" s="3" t="s">
        <v>340</v>
      </c>
      <c r="B20" s="308">
        <v>1300</v>
      </c>
      <c r="C20" s="309">
        <v>100</v>
      </c>
      <c r="D20" s="310">
        <f>+B20/C20</f>
        <v>13</v>
      </c>
    </row>
    <row r="21" spans="1:4" ht="13.5" x14ac:dyDescent="0.25">
      <c r="A21" s="3"/>
      <c r="B21" s="308"/>
      <c r="C21" s="309"/>
      <c r="D21" s="310"/>
    </row>
    <row r="22" spans="1:4" ht="13.5" x14ac:dyDescent="0.25">
      <c r="A22" s="312" t="s">
        <v>476</v>
      </c>
      <c r="B22" s="308"/>
      <c r="C22" s="309"/>
      <c r="D22" s="310"/>
    </row>
    <row r="23" spans="1:4" ht="13.5" x14ac:dyDescent="0.25">
      <c r="A23" s="3" t="s">
        <v>474</v>
      </c>
      <c r="B23" s="308">
        <v>42223</v>
      </c>
      <c r="C23" s="309">
        <v>2000</v>
      </c>
      <c r="D23" s="310">
        <f>+B23/C23</f>
        <v>21.111499999999999</v>
      </c>
    </row>
    <row r="24" spans="1:4" ht="13.5" x14ac:dyDescent="0.25">
      <c r="A24" s="311"/>
      <c r="B24" s="308"/>
      <c r="C24" s="309"/>
      <c r="D24" s="310"/>
    </row>
    <row r="25" spans="1:4" ht="13.5" x14ac:dyDescent="0.25">
      <c r="A25" s="312" t="s">
        <v>341</v>
      </c>
      <c r="B25" s="308"/>
      <c r="C25" s="313"/>
      <c r="D25" s="314"/>
    </row>
    <row r="26" spans="1:4" ht="13.5" x14ac:dyDescent="0.25">
      <c r="A26" s="3" t="s">
        <v>342</v>
      </c>
      <c r="B26" s="308">
        <v>4620</v>
      </c>
      <c r="C26" s="313">
        <v>40</v>
      </c>
      <c r="D26" s="310">
        <f>+B26/C26</f>
        <v>115.5</v>
      </c>
    </row>
    <row r="27" spans="1:4" ht="13.5" x14ac:dyDescent="0.25">
      <c r="A27" s="315" t="s">
        <v>343</v>
      </c>
      <c r="B27" s="316">
        <v>3368</v>
      </c>
      <c r="C27" s="317">
        <v>150</v>
      </c>
      <c r="D27" s="318">
        <f>+B27/C27</f>
        <v>22.453333333333333</v>
      </c>
    </row>
    <row r="28" spans="1:4" ht="9" customHeight="1" x14ac:dyDescent="0.15">
      <c r="A28" s="562" t="s">
        <v>344</v>
      </c>
      <c r="B28" s="319"/>
      <c r="C28" s="563"/>
      <c r="D28" s="305"/>
    </row>
    <row r="29" spans="1:4" ht="9" customHeight="1" x14ac:dyDescent="0.2">
      <c r="A29" s="555" t="s">
        <v>67</v>
      </c>
      <c r="B29" s="320"/>
      <c r="C29" s="320"/>
      <c r="D29" s="564"/>
    </row>
    <row r="30" spans="1:4" ht="9" customHeight="1" x14ac:dyDescent="0.15">
      <c r="A30" s="556" t="s">
        <v>68</v>
      </c>
    </row>
    <row r="31" spans="1:4" ht="13.5" x14ac:dyDescent="0.2"/>
    <row r="32" spans="1:4" ht="13.5" x14ac:dyDescent="0.2"/>
    <row r="33" s="282" customFormat="1" ht="13.5" x14ac:dyDescent="0.2"/>
    <row r="34" s="282" customFormat="1" ht="13.5" x14ac:dyDescent="0.2"/>
    <row r="35" s="282" customFormat="1" ht="13.5" x14ac:dyDescent="0.2"/>
    <row r="36" s="282" customFormat="1" ht="13.5" x14ac:dyDescent="0.2"/>
    <row r="37" s="282" customFormat="1" ht="13.5" x14ac:dyDescent="0.2"/>
    <row r="38" s="282" customFormat="1" ht="13.5" x14ac:dyDescent="0.2"/>
    <row r="39" s="282" customFormat="1" ht="13.5" x14ac:dyDescent="0.2"/>
    <row r="40" s="282" customFormat="1" ht="13.5" x14ac:dyDescent="0.2"/>
    <row r="41" s="282" customFormat="1" ht="13.5" x14ac:dyDescent="0.2"/>
    <row r="42" s="282" customFormat="1" ht="13.5" x14ac:dyDescent="0.2"/>
    <row r="43" s="282" customFormat="1" ht="13.5" x14ac:dyDescent="0.2"/>
    <row r="44" s="282" customFormat="1" ht="13.5" x14ac:dyDescent="0.2"/>
    <row r="45" s="282" customFormat="1" ht="13.5" x14ac:dyDescent="0.2"/>
    <row r="46" s="282" customFormat="1" ht="13.5" x14ac:dyDescent="0.2"/>
    <row r="47" s="282" customFormat="1" ht="13.5" x14ac:dyDescent="0.2"/>
    <row r="48" s="282" customFormat="1" ht="13.5" x14ac:dyDescent="0.2"/>
    <row r="49" s="282" customFormat="1" ht="13.5" x14ac:dyDescent="0.2"/>
    <row r="50" s="282" customFormat="1" ht="13.5" x14ac:dyDescent="0.2"/>
    <row r="51" s="282" customFormat="1" ht="13.5" x14ac:dyDescent="0.2"/>
    <row r="52" s="282" customFormat="1" ht="13.5" x14ac:dyDescent="0.2"/>
    <row r="53" s="282" customFormat="1" ht="13.5" x14ac:dyDescent="0.2"/>
    <row r="54" s="282" customFormat="1" ht="13.5" x14ac:dyDescent="0.2"/>
    <row r="55" s="282" customFormat="1" ht="13.5" x14ac:dyDescent="0.2"/>
    <row r="56" s="282" customFormat="1" ht="13.5" x14ac:dyDescent="0.2"/>
    <row r="57" s="282" customFormat="1" ht="13.5" x14ac:dyDescent="0.2"/>
    <row r="58" s="282" customFormat="1" ht="13.5" x14ac:dyDescent="0.2"/>
    <row r="59" s="282" customFormat="1" ht="13.5" x14ac:dyDescent="0.2"/>
    <row r="60" s="282" customFormat="1" ht="13.5" x14ac:dyDescent="0.2"/>
    <row r="61" s="282" customFormat="1" ht="13.5" x14ac:dyDescent="0.2"/>
    <row r="62" s="282" customFormat="1" ht="13.5" x14ac:dyDescent="0.2"/>
    <row r="63" s="282" customFormat="1" ht="13.5" x14ac:dyDescent="0.2"/>
    <row r="64" s="282" customFormat="1" ht="13.5" x14ac:dyDescent="0.2"/>
    <row r="65" s="282" customFormat="1" ht="13.5" x14ac:dyDescent="0.2"/>
    <row r="66" s="282" customFormat="1" ht="13.5" x14ac:dyDescent="0.2"/>
    <row r="67" s="282" customFormat="1" ht="13.5" x14ac:dyDescent="0.2"/>
    <row r="68" s="282" customFormat="1" ht="13.5" x14ac:dyDescent="0.2"/>
    <row r="69" s="282" customFormat="1" ht="13.5" x14ac:dyDescent="0.2"/>
    <row r="70" s="282" customFormat="1" ht="13.5" x14ac:dyDescent="0.2"/>
    <row r="71" s="282" customFormat="1" ht="13.5" x14ac:dyDescent="0.2"/>
    <row r="72" s="282" customFormat="1" ht="13.5" x14ac:dyDescent="0.2"/>
    <row r="73" s="282" customFormat="1" ht="13.5" x14ac:dyDescent="0.2"/>
    <row r="74" s="282" customFormat="1" ht="13.5" x14ac:dyDescent="0.2"/>
    <row r="75" s="282" customFormat="1" ht="13.5" x14ac:dyDescent="0.2"/>
    <row r="76" s="282" customFormat="1" ht="13.5" x14ac:dyDescent="0.2"/>
    <row r="77" s="282" customFormat="1" ht="13.5" x14ac:dyDescent="0.2"/>
    <row r="78" s="282" customFormat="1" ht="13.5" x14ac:dyDescent="0.2"/>
    <row r="79" s="282" customFormat="1" ht="13.5" x14ac:dyDescent="0.2"/>
    <row r="80" s="282" customFormat="1" ht="13.5" x14ac:dyDescent="0.2"/>
    <row r="81" s="282" customFormat="1" ht="13.5" x14ac:dyDescent="0.2"/>
    <row r="82" s="282" customFormat="1" ht="13.5" x14ac:dyDescent="0.2"/>
    <row r="83" s="282" customFormat="1" ht="13.5" x14ac:dyDescent="0.2"/>
    <row r="84" s="282" customFormat="1" ht="13.5" x14ac:dyDescent="0.2"/>
    <row r="85" s="282" customFormat="1" ht="13.5" x14ac:dyDescent="0.2"/>
    <row r="86" s="282" customFormat="1" ht="13.5" x14ac:dyDescent="0.2"/>
    <row r="87" s="282" customFormat="1" ht="13.5" x14ac:dyDescent="0.2"/>
    <row r="88" s="282" customFormat="1" ht="13.5" x14ac:dyDescent="0.2"/>
    <row r="89" s="282" customFormat="1" ht="13.5" x14ac:dyDescent="0.2"/>
    <row r="90" s="282" customFormat="1" ht="13.5" x14ac:dyDescent="0.2"/>
    <row r="91" s="282" customFormat="1" ht="13.5" x14ac:dyDescent="0.2"/>
    <row r="92" s="282" customFormat="1" ht="13.5" x14ac:dyDescent="0.2"/>
    <row r="93" s="282" customFormat="1" ht="13.5" x14ac:dyDescent="0.2"/>
    <row r="94" s="282" customFormat="1" ht="13.5" x14ac:dyDescent="0.2"/>
    <row r="95" s="282" customFormat="1" ht="13.5" x14ac:dyDescent="0.2"/>
    <row r="96" s="282" customFormat="1" ht="13.5" x14ac:dyDescent="0.2"/>
    <row r="97" s="282" customFormat="1" ht="13.5" x14ac:dyDescent="0.2"/>
    <row r="98" s="282" customFormat="1" ht="13.5" x14ac:dyDescent="0.2"/>
    <row r="99" s="282" customFormat="1" ht="13.5" x14ac:dyDescent="0.2"/>
    <row r="100" s="282" customFormat="1" ht="13.5" x14ac:dyDescent="0.2"/>
    <row r="101" s="282" customFormat="1" ht="13.5" x14ac:dyDescent="0.2"/>
    <row r="102" s="282" customFormat="1" ht="13.5" x14ac:dyDescent="0.2"/>
    <row r="103" s="282" customFormat="1" ht="13.5" x14ac:dyDescent="0.2"/>
    <row r="104" s="282" customFormat="1" ht="13.5" x14ac:dyDescent="0.2"/>
    <row r="105" s="282" customFormat="1" ht="13.5" x14ac:dyDescent="0.2"/>
    <row r="106" s="282" customFormat="1" ht="13.5" x14ac:dyDescent="0.2"/>
    <row r="107" s="282" customFormat="1" ht="13.5" x14ac:dyDescent="0.2"/>
    <row r="108" s="282" customFormat="1" ht="13.5" x14ac:dyDescent="0.2"/>
    <row r="109" s="282" customFormat="1" ht="13.5" x14ac:dyDescent="0.2"/>
    <row r="110" s="282" customFormat="1" ht="13.5" x14ac:dyDescent="0.2"/>
    <row r="111" s="282" customFormat="1" ht="13.5" x14ac:dyDescent="0.2"/>
    <row r="112" s="282" customFormat="1" ht="13.5" x14ac:dyDescent="0.2"/>
    <row r="113" s="282" customFormat="1" ht="13.5" x14ac:dyDescent="0.2"/>
    <row r="114" s="282" customFormat="1" ht="13.5" x14ac:dyDescent="0.2"/>
    <row r="115" s="282" customFormat="1" ht="13.5" x14ac:dyDescent="0.2"/>
    <row r="116" s="282" customFormat="1" ht="13.5" x14ac:dyDescent="0.2"/>
    <row r="117" s="282" customFormat="1" ht="13.5" x14ac:dyDescent="0.2"/>
    <row r="118" s="282" customFormat="1" ht="13.5" x14ac:dyDescent="0.2"/>
    <row r="119" s="282" customFormat="1" ht="13.5" x14ac:dyDescent="0.2"/>
    <row r="120" s="282" customFormat="1" ht="13.5" x14ac:dyDescent="0.2"/>
    <row r="121" s="282" customFormat="1" ht="13.5" x14ac:dyDescent="0.2"/>
    <row r="122" s="282" customFormat="1" ht="13.5" x14ac:dyDescent="0.2"/>
    <row r="123" s="282" customFormat="1" ht="13.5" x14ac:dyDescent="0.2"/>
    <row r="124" s="282" customFormat="1" ht="13.5" x14ac:dyDescent="0.2"/>
    <row r="125" s="282" customFormat="1" ht="13.5" x14ac:dyDescent="0.2"/>
    <row r="126" s="282" customFormat="1" ht="13.5" x14ac:dyDescent="0.2"/>
    <row r="127" s="282" customFormat="1" ht="13.5" x14ac:dyDescent="0.2"/>
    <row r="128" s="282" customFormat="1" ht="13.5" x14ac:dyDescent="0.2"/>
    <row r="129" s="282" customFormat="1" ht="13.5" x14ac:dyDescent="0.2"/>
    <row r="130" s="282" customFormat="1" ht="13.5" x14ac:dyDescent="0.2"/>
    <row r="131" s="282" customFormat="1" ht="13.5" x14ac:dyDescent="0.2"/>
    <row r="132" s="282" customFormat="1" ht="13.5" x14ac:dyDescent="0.2"/>
    <row r="133" s="282" customFormat="1" ht="13.5" x14ac:dyDescent="0.2"/>
    <row r="134" s="282" customFormat="1" ht="13.5" x14ac:dyDescent="0.2"/>
    <row r="135" s="282" customFormat="1" ht="13.5" x14ac:dyDescent="0.2"/>
    <row r="136" s="282" customFormat="1" ht="13.5" x14ac:dyDescent="0.2"/>
    <row r="137" s="282" customFormat="1" ht="13.5" x14ac:dyDescent="0.2"/>
    <row r="138" s="282" customFormat="1" ht="13.5" x14ac:dyDescent="0.2"/>
    <row r="139" s="282" customFormat="1" ht="13.5" x14ac:dyDescent="0.2"/>
    <row r="140" s="282" customFormat="1" ht="13.5" x14ac:dyDescent="0.2"/>
    <row r="141" s="282" customFormat="1" ht="13.5" x14ac:dyDescent="0.2"/>
    <row r="142" s="282" customFormat="1" ht="13.5" x14ac:dyDescent="0.2"/>
    <row r="143" s="282" customFormat="1" ht="13.5" x14ac:dyDescent="0.2"/>
    <row r="144" s="282" customFormat="1" ht="13.5" x14ac:dyDescent="0.2"/>
    <row r="145" s="282" customFormat="1" ht="13.5" x14ac:dyDescent="0.2"/>
    <row r="146" s="282" customFormat="1" ht="13.5" x14ac:dyDescent="0.2"/>
    <row r="147" s="282" customFormat="1" ht="13.5" x14ac:dyDescent="0.2"/>
    <row r="148" s="282" customFormat="1" ht="13.5" x14ac:dyDescent="0.2"/>
    <row r="149" s="282" customFormat="1" ht="13.5" x14ac:dyDescent="0.2"/>
    <row r="150" s="282" customFormat="1" ht="13.5" x14ac:dyDescent="0.2"/>
    <row r="151" s="282" customFormat="1" ht="13.5" x14ac:dyDescent="0.2"/>
    <row r="152" s="282" customFormat="1" ht="13.5" x14ac:dyDescent="0.2"/>
    <row r="153" s="282" customFormat="1" ht="13.5" x14ac:dyDescent="0.2"/>
    <row r="154" s="282" customFormat="1" ht="13.5" x14ac:dyDescent="0.2"/>
    <row r="155" s="282" customFormat="1" ht="13.5" x14ac:dyDescent="0.2"/>
    <row r="156" s="282" customFormat="1" ht="13.5" x14ac:dyDescent="0.2"/>
    <row r="157" s="282" customFormat="1" ht="13.5" x14ac:dyDescent="0.2"/>
    <row r="158" s="282" customFormat="1" ht="13.5" x14ac:dyDescent="0.2"/>
    <row r="159" s="282" customFormat="1" ht="13.5" x14ac:dyDescent="0.2"/>
    <row r="160" s="282" customFormat="1" ht="13.5" x14ac:dyDescent="0.2"/>
    <row r="161" s="282" customFormat="1" ht="13.5" x14ac:dyDescent="0.2"/>
    <row r="162" s="282" customFormat="1" ht="13.5" x14ac:dyDescent="0.2"/>
    <row r="163" s="282" customFormat="1" ht="13.5" x14ac:dyDescent="0.2"/>
    <row r="164" s="282" customFormat="1" ht="13.5" x14ac:dyDescent="0.2"/>
    <row r="165" s="282" customFormat="1" ht="13.5" x14ac:dyDescent="0.2"/>
    <row r="166" s="282" customFormat="1" ht="13.5" x14ac:dyDescent="0.2"/>
    <row r="167" s="282" customFormat="1" ht="13.5" x14ac:dyDescent="0.2"/>
    <row r="168" s="282" customFormat="1" ht="13.5" x14ac:dyDescent="0.2"/>
    <row r="169" s="282" customFormat="1" ht="13.5" x14ac:dyDescent="0.2"/>
    <row r="170" s="282" customFormat="1" ht="13.5" x14ac:dyDescent="0.2"/>
    <row r="171" s="282" customFormat="1" ht="13.5" x14ac:dyDescent="0.2"/>
    <row r="172" s="282" customFormat="1" ht="13.5" x14ac:dyDescent="0.2"/>
    <row r="173" s="282" customFormat="1" ht="13.5" x14ac:dyDescent="0.2"/>
    <row r="174" s="282" customFormat="1" ht="13.5" x14ac:dyDescent="0.2"/>
    <row r="175" s="282" customFormat="1" ht="13.5" x14ac:dyDescent="0.2"/>
    <row r="176" s="282" customFormat="1" ht="13.5" x14ac:dyDescent="0.2"/>
    <row r="177" s="282" customFormat="1" ht="13.5" x14ac:dyDescent="0.2"/>
    <row r="178" s="282" customFormat="1" ht="13.5" x14ac:dyDescent="0.2"/>
    <row r="179" s="282" customFormat="1" ht="13.5" x14ac:dyDescent="0.2"/>
    <row r="180" s="282" customFormat="1" ht="13.5" x14ac:dyDescent="0.2"/>
    <row r="181" s="282" customFormat="1" ht="13.5" x14ac:dyDescent="0.2"/>
    <row r="182" s="282" customFormat="1" ht="13.5" x14ac:dyDescent="0.2"/>
    <row r="183" s="282" customFormat="1" ht="13.5" x14ac:dyDescent="0.2"/>
    <row r="184" s="282" customFormat="1" ht="13.5" x14ac:dyDescent="0.2"/>
    <row r="185" s="282" customFormat="1" ht="13.5" x14ac:dyDescent="0.2"/>
    <row r="186" s="282" customFormat="1" ht="13.5" x14ac:dyDescent="0.2"/>
    <row r="187" s="282" customFormat="1" ht="13.5" x14ac:dyDescent="0.2"/>
    <row r="188" s="282" customFormat="1" ht="13.5" x14ac:dyDescent="0.2"/>
    <row r="189" s="282" customFormat="1" ht="13.5" x14ac:dyDescent="0.2"/>
    <row r="190" s="282" customFormat="1" ht="13.5" x14ac:dyDescent="0.2"/>
    <row r="191" s="282" customFormat="1" ht="13.5" x14ac:dyDescent="0.2"/>
    <row r="192" s="282" customFormat="1" ht="13.5" x14ac:dyDescent="0.2"/>
    <row r="193" s="282" customFormat="1" ht="13.5" x14ac:dyDescent="0.2"/>
    <row r="194" s="282" customFormat="1" ht="13.5" x14ac:dyDescent="0.2"/>
    <row r="195" s="282" customFormat="1" ht="13.5" x14ac:dyDescent="0.2"/>
    <row r="196" s="282" customFormat="1" ht="13.5" x14ac:dyDescent="0.2"/>
    <row r="197" s="282" customFormat="1" ht="13.5" x14ac:dyDescent="0.2"/>
    <row r="198" s="282" customFormat="1" ht="13.5" x14ac:dyDescent="0.2"/>
    <row r="199" s="282" customFormat="1" ht="13.5" x14ac:dyDescent="0.2"/>
    <row r="200" s="282" customFormat="1" ht="13.5" x14ac:dyDescent="0.2"/>
    <row r="201" s="282" customFormat="1" ht="13.5" x14ac:dyDescent="0.2"/>
    <row r="202" s="282" customFormat="1" ht="13.5" x14ac:dyDescent="0.2"/>
    <row r="203" s="282" customFormat="1" ht="13.5" x14ac:dyDescent="0.2"/>
    <row r="204" s="282" customFormat="1" ht="13.5" x14ac:dyDescent="0.2"/>
    <row r="205" s="282" customFormat="1" ht="13.5" x14ac:dyDescent="0.2"/>
    <row r="206" s="282" customFormat="1" ht="13.5" x14ac:dyDescent="0.2"/>
    <row r="207" s="282" customFormat="1" ht="13.5" x14ac:dyDescent="0.2"/>
    <row r="208" s="282" customFormat="1" ht="13.5" x14ac:dyDescent="0.2"/>
    <row r="209" s="282" customFormat="1" ht="13.5" x14ac:dyDescent="0.2"/>
    <row r="210" s="282" customFormat="1" ht="13.5" x14ac:dyDescent="0.2"/>
    <row r="211" s="282" customFormat="1" ht="13.5" x14ac:dyDescent="0.2"/>
    <row r="212" s="282" customFormat="1" ht="13.5" x14ac:dyDescent="0.2"/>
    <row r="213" s="282" customFormat="1" ht="13.5" x14ac:dyDescent="0.2"/>
    <row r="214" s="282" customFormat="1" ht="13.5" x14ac:dyDescent="0.2"/>
    <row r="215" s="282" customFormat="1" ht="13.5" x14ac:dyDescent="0.2"/>
    <row r="216" s="282" customFormat="1" ht="13.5" x14ac:dyDescent="0.2"/>
    <row r="217" s="282" customFormat="1" ht="13.5" x14ac:dyDescent="0.2"/>
    <row r="218" s="282" customFormat="1" ht="13.5" x14ac:dyDescent="0.2"/>
    <row r="219" s="282" customFormat="1" ht="13.5" x14ac:dyDescent="0.2"/>
    <row r="220" s="282" customFormat="1" ht="13.5" x14ac:dyDescent="0.2"/>
    <row r="221" s="282" customFormat="1" ht="13.5" x14ac:dyDescent="0.2"/>
    <row r="222" s="282" customFormat="1" ht="13.5" x14ac:dyDescent="0.2"/>
    <row r="223" s="282" customFormat="1" ht="13.5" x14ac:dyDescent="0.2"/>
    <row r="224" s="282" customFormat="1" ht="13.5" x14ac:dyDescent="0.2"/>
    <row r="225" s="282" customFormat="1" ht="13.5" x14ac:dyDescent="0.2"/>
    <row r="226" s="282" customFormat="1" ht="13.5" x14ac:dyDescent="0.2"/>
    <row r="227" s="282" customFormat="1" ht="13.5" x14ac:dyDescent="0.2"/>
    <row r="228" s="282" customFormat="1" ht="13.5" x14ac:dyDescent="0.2"/>
    <row r="229" s="282" customFormat="1" ht="13.5" x14ac:dyDescent="0.2"/>
    <row r="230" s="282" customFormat="1" ht="13.5" x14ac:dyDescent="0.2"/>
    <row r="231" s="282" customFormat="1" ht="13.5" x14ac:dyDescent="0.2"/>
    <row r="232" s="282" customFormat="1" ht="13.5" x14ac:dyDescent="0.2"/>
    <row r="233" s="282" customFormat="1" ht="13.5" x14ac:dyDescent="0.2"/>
    <row r="234" s="282" customFormat="1" ht="13.5" x14ac:dyDescent="0.2"/>
    <row r="235" s="282" customFormat="1" ht="13.5" x14ac:dyDescent="0.2"/>
    <row r="236" s="282" customFormat="1" ht="13.5" x14ac:dyDescent="0.2"/>
    <row r="237" s="282" customFormat="1" ht="13.5" x14ac:dyDescent="0.2"/>
    <row r="238" s="282" customFormat="1" ht="13.5" x14ac:dyDescent="0.2"/>
    <row r="239" s="282" customFormat="1" ht="13.5" x14ac:dyDescent="0.2"/>
    <row r="240" s="282" customFormat="1" ht="13.5" x14ac:dyDescent="0.2"/>
    <row r="241" s="282" customFormat="1" ht="13.5" x14ac:dyDescent="0.2"/>
    <row r="242" s="282" customFormat="1" ht="13.5" x14ac:dyDescent="0.2"/>
    <row r="243" s="282" customFormat="1" ht="13.5" x14ac:dyDescent="0.2"/>
    <row r="244" s="282" customFormat="1" ht="13.5" x14ac:dyDescent="0.2"/>
    <row r="245" s="282" customFormat="1" ht="13.5" x14ac:dyDescent="0.2"/>
    <row r="246" s="282" customFormat="1" ht="13.5" x14ac:dyDescent="0.2"/>
    <row r="247" s="282" customFormat="1" ht="13.5" x14ac:dyDescent="0.2"/>
    <row r="248" s="282" customFormat="1" ht="13.5" x14ac:dyDescent="0.2"/>
    <row r="249" s="282" customFormat="1" ht="13.5" x14ac:dyDescent="0.2"/>
    <row r="250" s="282" customFormat="1" ht="13.5" x14ac:dyDescent="0.2"/>
    <row r="251" s="282" customFormat="1" ht="13.5" x14ac:dyDescent="0.2"/>
    <row r="252" s="282" customFormat="1" ht="13.5" x14ac:dyDescent="0.2"/>
    <row r="253" s="282" customFormat="1" ht="13.5" x14ac:dyDescent="0.2"/>
    <row r="254" s="282" customFormat="1" ht="13.5" x14ac:dyDescent="0.2"/>
    <row r="255" s="282" customFormat="1" ht="13.5" x14ac:dyDescent="0.2"/>
    <row r="256" s="282" customFormat="1" ht="13.5" x14ac:dyDescent="0.2"/>
    <row r="257" s="282" customFormat="1" ht="13.5" x14ac:dyDescent="0.2"/>
    <row r="258" s="282" customFormat="1" ht="13.5" x14ac:dyDescent="0.2"/>
    <row r="259" s="282" customFormat="1" ht="13.5" x14ac:dyDescent="0.2"/>
    <row r="260" s="282" customFormat="1" ht="13.5" x14ac:dyDescent="0.2"/>
    <row r="261" s="282" customFormat="1" ht="13.5" x14ac:dyDescent="0.2"/>
    <row r="262" s="282" customFormat="1" ht="13.5" x14ac:dyDescent="0.2"/>
    <row r="263" s="282" customFormat="1" ht="13.5" x14ac:dyDescent="0.2"/>
    <row r="264" s="282" customFormat="1" ht="13.5" x14ac:dyDescent="0.2"/>
    <row r="265" s="282" customFormat="1" ht="13.5" x14ac:dyDescent="0.2"/>
    <row r="266" s="282" customFormat="1" ht="13.5" x14ac:dyDescent="0.2"/>
    <row r="267" s="282" customFormat="1" ht="13.5" x14ac:dyDescent="0.2"/>
    <row r="268" s="282" customFormat="1" ht="13.5" x14ac:dyDescent="0.2"/>
    <row r="269" s="282" customFormat="1" ht="13.5" x14ac:dyDescent="0.2"/>
    <row r="270" s="282" customFormat="1" ht="13.5" x14ac:dyDescent="0.2"/>
    <row r="271" s="282" customFormat="1" ht="13.5" x14ac:dyDescent="0.2"/>
    <row r="272" s="282" customFormat="1" ht="13.5" x14ac:dyDescent="0.2"/>
    <row r="273" s="282" customFormat="1" ht="13.5" x14ac:dyDescent="0.2"/>
    <row r="274" s="282" customFormat="1" ht="13.5" x14ac:dyDescent="0.2"/>
    <row r="275" s="282" customFormat="1" ht="13.5" x14ac:dyDescent="0.2"/>
    <row r="276" s="282" customFormat="1" ht="13.5" x14ac:dyDescent="0.2"/>
    <row r="277" s="282" customFormat="1" ht="13.5" x14ac:dyDescent="0.2"/>
    <row r="278" s="282" customFormat="1" ht="13.5" x14ac:dyDescent="0.2"/>
    <row r="279" s="282" customFormat="1" ht="13.5" x14ac:dyDescent="0.2"/>
    <row r="280" s="282" customFormat="1" ht="13.5" x14ac:dyDescent="0.2"/>
    <row r="281" s="282" customFormat="1" ht="13.5" x14ac:dyDescent="0.2"/>
    <row r="282" s="282" customFormat="1" ht="13.5" x14ac:dyDescent="0.2"/>
    <row r="283" s="282" customFormat="1" ht="13.5" x14ac:dyDescent="0.2"/>
    <row r="284" s="282" customFormat="1" ht="13.5" x14ac:dyDescent="0.2"/>
    <row r="285" s="282" customFormat="1" ht="13.5" x14ac:dyDescent="0.2"/>
    <row r="286" s="282" customFormat="1" ht="13.5" x14ac:dyDescent="0.2"/>
    <row r="287" s="282" customFormat="1" ht="13.5" x14ac:dyDescent="0.2"/>
    <row r="288" s="282" customFormat="1" ht="13.5" x14ac:dyDescent="0.2"/>
    <row r="289" s="282" customFormat="1" ht="13.5" x14ac:dyDescent="0.2"/>
    <row r="290" s="282" customFormat="1" ht="13.5" x14ac:dyDescent="0.2"/>
    <row r="291" s="282" customFormat="1" ht="13.5" x14ac:dyDescent="0.2"/>
    <row r="292" s="282" customFormat="1" ht="13.5" x14ac:dyDescent="0.2"/>
    <row r="293" s="282" customFormat="1" ht="13.5" x14ac:dyDescent="0.2"/>
    <row r="294" s="282" customFormat="1" ht="13.5" x14ac:dyDescent="0.2"/>
    <row r="295" s="282" customFormat="1" ht="13.5" x14ac:dyDescent="0.2"/>
    <row r="296" s="282" customFormat="1" ht="13.5" x14ac:dyDescent="0.2"/>
    <row r="297" s="282" customFormat="1" ht="13.5" x14ac:dyDescent="0.2"/>
    <row r="298" s="282" customFormat="1" ht="13.5" x14ac:dyDescent="0.2"/>
    <row r="299" s="282" customFormat="1" ht="13.5" x14ac:dyDescent="0.2"/>
    <row r="300" s="282" customFormat="1" ht="13.5" x14ac:dyDescent="0.2"/>
    <row r="301" s="282" customFormat="1" ht="13.5" x14ac:dyDescent="0.2"/>
    <row r="302" s="282" customFormat="1" ht="13.5" x14ac:dyDescent="0.2"/>
    <row r="303" s="282" customFormat="1" ht="13.5" x14ac:dyDescent="0.2"/>
    <row r="304" s="282" customFormat="1" ht="13.5" x14ac:dyDescent="0.2"/>
    <row r="305" s="282" customFormat="1" ht="13.5" x14ac:dyDescent="0.2"/>
    <row r="306" s="282" customFormat="1" ht="13.5" x14ac:dyDescent="0.2"/>
    <row r="307" s="282" customFormat="1" ht="13.5" x14ac:dyDescent="0.2"/>
    <row r="308" s="282" customFormat="1" ht="13.5" x14ac:dyDescent="0.2"/>
    <row r="309" s="282" customFormat="1" ht="13.5" x14ac:dyDescent="0.2"/>
    <row r="310" s="282" customFormat="1" ht="13.5" x14ac:dyDescent="0.2"/>
    <row r="311" s="282" customFormat="1" ht="13.5" x14ac:dyDescent="0.2"/>
    <row r="312" s="282" customFormat="1" ht="13.5" x14ac:dyDescent="0.2"/>
    <row r="313" s="282" customFormat="1" ht="13.5" x14ac:dyDescent="0.2"/>
    <row r="314" s="282" customFormat="1" ht="13.5" x14ac:dyDescent="0.2"/>
    <row r="315" s="282" customFormat="1" ht="13.5" x14ac:dyDescent="0.2"/>
    <row r="316" s="282" customFormat="1" ht="13.5" x14ac:dyDescent="0.2"/>
    <row r="317" s="282" customFormat="1" ht="13.5" x14ac:dyDescent="0.2"/>
    <row r="318" s="282" customFormat="1" ht="13.5" x14ac:dyDescent="0.2"/>
    <row r="319" s="282" customFormat="1" ht="13.5" x14ac:dyDescent="0.2"/>
    <row r="320" s="282" customFormat="1" ht="13.5" x14ac:dyDescent="0.2"/>
    <row r="321" s="282" customFormat="1" ht="13.5" x14ac:dyDescent="0.2"/>
    <row r="322" s="282" customFormat="1" ht="13.5" x14ac:dyDescent="0.2"/>
    <row r="323" s="282" customFormat="1" ht="13.5" x14ac:dyDescent="0.2"/>
    <row r="324" s="282" customFormat="1" ht="13.5" x14ac:dyDescent="0.2"/>
    <row r="325" s="282" customFormat="1" ht="13.5" x14ac:dyDescent="0.2"/>
    <row r="326" s="282" customFormat="1" ht="13.5" x14ac:dyDescent="0.2"/>
    <row r="327" s="282" customFormat="1" ht="13.5" x14ac:dyDescent="0.2"/>
    <row r="328" s="282" customFormat="1" ht="13.5" x14ac:dyDescent="0.2"/>
    <row r="329" s="282" customFormat="1" ht="13.5" x14ac:dyDescent="0.2"/>
    <row r="330" s="282" customFormat="1" ht="13.5" x14ac:dyDescent="0.2"/>
    <row r="331" s="282" customFormat="1" ht="13.5" x14ac:dyDescent="0.2"/>
    <row r="332" s="282" customFormat="1" ht="13.5" x14ac:dyDescent="0.2"/>
    <row r="333" s="282" customFormat="1" ht="13.5" x14ac:dyDescent="0.2"/>
    <row r="334" s="282" customFormat="1" ht="13.5" x14ac:dyDescent="0.2"/>
    <row r="335" s="282" customFormat="1" ht="13.5" x14ac:dyDescent="0.2"/>
    <row r="336" s="282" customFormat="1" ht="13.5" x14ac:dyDescent="0.2"/>
    <row r="337" s="282" customFormat="1" ht="13.5" x14ac:dyDescent="0.2"/>
    <row r="338" s="282" customFormat="1" ht="13.5" x14ac:dyDescent="0.2"/>
    <row r="339" s="282" customFormat="1" ht="13.5" x14ac:dyDescent="0.2"/>
    <row r="340" s="282" customFormat="1" ht="13.5" x14ac:dyDescent="0.2"/>
    <row r="341" s="282" customFormat="1" ht="13.5" x14ac:dyDescent="0.2"/>
    <row r="342" s="282" customFormat="1" ht="13.5" x14ac:dyDescent="0.2"/>
    <row r="343" s="282" customFormat="1" ht="13.5" x14ac:dyDescent="0.2"/>
    <row r="344" s="282" customFormat="1" ht="13.5" x14ac:dyDescent="0.2"/>
    <row r="345" s="282" customFormat="1" ht="13.5" x14ac:dyDescent="0.2"/>
    <row r="346" s="282" customFormat="1" ht="13.5" x14ac:dyDescent="0.2"/>
    <row r="347" s="282" customFormat="1" ht="13.5" x14ac:dyDescent="0.2"/>
    <row r="348" s="282" customFormat="1" ht="13.5" x14ac:dyDescent="0.2"/>
    <row r="349" s="282" customFormat="1" ht="13.5" x14ac:dyDescent="0.2"/>
    <row r="350" s="282" customFormat="1" ht="13.5" x14ac:dyDescent="0.2"/>
    <row r="351" s="282" customFormat="1" ht="13.5" x14ac:dyDescent="0.2"/>
    <row r="352" s="282" customFormat="1" ht="13.5" x14ac:dyDescent="0.2"/>
    <row r="353" s="282" customFormat="1" ht="13.5" x14ac:dyDescent="0.2"/>
    <row r="354" s="282" customFormat="1" ht="13.5" x14ac:dyDescent="0.2"/>
    <row r="355" s="282" customFormat="1" ht="13.5" x14ac:dyDescent="0.2"/>
    <row r="356" s="282" customFormat="1" ht="13.5" x14ac:dyDescent="0.2"/>
    <row r="357" s="282" customFormat="1" ht="13.5" x14ac:dyDescent="0.2"/>
    <row r="358" s="282" customFormat="1" ht="13.5" x14ac:dyDescent="0.2"/>
    <row r="359" s="282" customFormat="1" ht="13.5" x14ac:dyDescent="0.2"/>
    <row r="360" s="282" customFormat="1" ht="13.5" x14ac:dyDescent="0.2"/>
    <row r="361" s="282" customFormat="1" ht="13.5" x14ac:dyDescent="0.2"/>
    <row r="362" s="282" customFormat="1" ht="13.5" x14ac:dyDescent="0.2"/>
    <row r="363" s="282" customFormat="1" ht="13.5" x14ac:dyDescent="0.2"/>
    <row r="364" s="282" customFormat="1" ht="13.5" x14ac:dyDescent="0.2"/>
    <row r="365" s="282" customFormat="1" ht="13.5" x14ac:dyDescent="0.2"/>
    <row r="366" s="282" customFormat="1" ht="13.5" x14ac:dyDescent="0.2"/>
    <row r="367" s="282" customFormat="1" ht="13.5" x14ac:dyDescent="0.2"/>
    <row r="368" s="282" customFormat="1" ht="13.5" x14ac:dyDescent="0.2"/>
    <row r="369" s="282" customFormat="1" ht="13.5" x14ac:dyDescent="0.2"/>
    <row r="370" s="282" customFormat="1" ht="13.5" x14ac:dyDescent="0.2"/>
    <row r="371" s="282" customFormat="1" ht="13.5" x14ac:dyDescent="0.2"/>
    <row r="372" s="282" customFormat="1" ht="13.5" x14ac:dyDescent="0.2"/>
    <row r="373" s="282" customFormat="1" ht="13.5" x14ac:dyDescent="0.2"/>
    <row r="374" s="282" customFormat="1" ht="13.5" x14ac:dyDescent="0.2"/>
    <row r="375" s="282" customFormat="1" ht="13.5" x14ac:dyDescent="0.2"/>
    <row r="376" s="282" customFormat="1" ht="13.5" x14ac:dyDescent="0.2"/>
    <row r="377" s="282" customFormat="1" ht="13.5" x14ac:dyDescent="0.2"/>
    <row r="378" s="282" customFormat="1" ht="13.5" x14ac:dyDescent="0.2"/>
    <row r="379" s="282" customFormat="1" ht="13.5" x14ac:dyDescent="0.2"/>
    <row r="380" s="282" customFormat="1" ht="13.5" x14ac:dyDescent="0.2"/>
    <row r="381" s="282" customFormat="1" ht="13.5" x14ac:dyDescent="0.2"/>
    <row r="382" s="282" customFormat="1" ht="13.5" x14ac:dyDescent="0.2"/>
    <row r="383" s="282" customFormat="1" ht="13.5" x14ac:dyDescent="0.2"/>
    <row r="384" s="282" customFormat="1" ht="13.5" x14ac:dyDescent="0.2"/>
    <row r="385" s="282" customFormat="1" ht="13.5" x14ac:dyDescent="0.2"/>
    <row r="386" s="282" customFormat="1" ht="13.5" x14ac:dyDescent="0.2"/>
    <row r="387" s="282" customFormat="1" ht="13.5" x14ac:dyDescent="0.2"/>
    <row r="388" s="282" customFormat="1" ht="13.5" x14ac:dyDescent="0.2"/>
    <row r="389" s="282" customFormat="1" ht="13.5" x14ac:dyDescent="0.2"/>
    <row r="390" s="282" customFormat="1" ht="13.5" x14ac:dyDescent="0.2"/>
    <row r="391" s="282" customFormat="1" ht="13.5" x14ac:dyDescent="0.2"/>
    <row r="392" s="282" customFormat="1" ht="13.5" x14ac:dyDescent="0.2"/>
    <row r="393" s="282" customFormat="1" ht="13.5" x14ac:dyDescent="0.2"/>
    <row r="394" s="282" customFormat="1" ht="13.5" x14ac:dyDescent="0.2"/>
    <row r="395" s="282" customFormat="1" ht="13.5" x14ac:dyDescent="0.2"/>
    <row r="396" s="282" customFormat="1" ht="13.5" x14ac:dyDescent="0.2"/>
    <row r="397" s="282" customFormat="1" ht="13.5" x14ac:dyDescent="0.2"/>
    <row r="398" s="282" customFormat="1" ht="13.5" x14ac:dyDescent="0.2"/>
    <row r="399" s="282" customFormat="1" ht="13.5" x14ac:dyDescent="0.2"/>
    <row r="400" s="282" customFormat="1" ht="13.5" x14ac:dyDescent="0.2"/>
    <row r="401" s="282" customFormat="1" ht="13.5" x14ac:dyDescent="0.2"/>
    <row r="402" s="282" customFormat="1" ht="13.5" x14ac:dyDescent="0.2"/>
    <row r="403" s="282" customFormat="1" ht="13.5" x14ac:dyDescent="0.2"/>
    <row r="404" s="282" customFormat="1" ht="13.5" x14ac:dyDescent="0.2"/>
    <row r="405" s="282" customFormat="1" ht="13.5" x14ac:dyDescent="0.2"/>
    <row r="406" s="282" customFormat="1" ht="13.5" x14ac:dyDescent="0.2"/>
    <row r="407" s="282" customFormat="1" ht="13.5" x14ac:dyDescent="0.2"/>
    <row r="408" s="282" customFormat="1" ht="13.5" x14ac:dyDescent="0.2"/>
    <row r="409" s="282" customFormat="1" ht="13.5" x14ac:dyDescent="0.2"/>
    <row r="410" s="282" customFormat="1" ht="13.5" x14ac:dyDescent="0.2"/>
    <row r="411" s="282" customFormat="1" ht="13.5" x14ac:dyDescent="0.2"/>
    <row r="412" s="282" customFormat="1" ht="13.5" x14ac:dyDescent="0.2"/>
    <row r="413" s="282" customFormat="1" ht="13.5" x14ac:dyDescent="0.2"/>
    <row r="414" s="282" customFormat="1" ht="13.5" x14ac:dyDescent="0.2"/>
    <row r="415" s="282" customFormat="1" ht="13.5" x14ac:dyDescent="0.2"/>
    <row r="416" s="282" customFormat="1" ht="13.5" x14ac:dyDescent="0.2"/>
    <row r="417" s="282" customFormat="1" ht="13.5" x14ac:dyDescent="0.2"/>
    <row r="418" s="282" customFormat="1" ht="13.5" x14ac:dyDescent="0.2"/>
    <row r="419" s="282" customFormat="1" ht="13.5" x14ac:dyDescent="0.2"/>
    <row r="420" s="282" customFormat="1" ht="13.5" x14ac:dyDescent="0.2"/>
    <row r="421" s="282" customFormat="1" ht="13.5" x14ac:dyDescent="0.2"/>
    <row r="422" s="282" customFormat="1" ht="13.5" x14ac:dyDescent="0.2"/>
    <row r="423" s="282" customFormat="1" ht="13.5" x14ac:dyDescent="0.2"/>
    <row r="424" s="282" customFormat="1" ht="13.5" x14ac:dyDescent="0.2"/>
    <row r="425" s="282" customFormat="1" ht="13.5" x14ac:dyDescent="0.2"/>
    <row r="426" s="282" customFormat="1" ht="13.5" x14ac:dyDescent="0.2"/>
    <row r="427" s="282" customFormat="1" ht="13.5" x14ac:dyDescent="0.2"/>
    <row r="428" s="282" customFormat="1" ht="13.5" x14ac:dyDescent="0.2"/>
    <row r="429" s="282" customFormat="1" ht="13.5" x14ac:dyDescent="0.2"/>
    <row r="430" s="282" customFormat="1" ht="13.5" x14ac:dyDescent="0.2"/>
    <row r="431" s="282" customFormat="1" ht="13.5" x14ac:dyDescent="0.2"/>
    <row r="432" s="282" customFormat="1" ht="13.5" x14ac:dyDescent="0.2"/>
    <row r="433" s="282" customFormat="1" ht="13.5" x14ac:dyDescent="0.2"/>
    <row r="434" s="282" customFormat="1" ht="13.5" x14ac:dyDescent="0.2"/>
    <row r="435" s="282" customFormat="1" ht="13.5" x14ac:dyDescent="0.2"/>
    <row r="436" s="282" customFormat="1" ht="13.5" x14ac:dyDescent="0.2"/>
    <row r="437" s="282" customFormat="1" ht="13.5" x14ac:dyDescent="0.2"/>
    <row r="438" s="282" customFormat="1" ht="13.5" x14ac:dyDescent="0.2"/>
    <row r="439" s="282" customFormat="1" ht="13.5" x14ac:dyDescent="0.2"/>
    <row r="440" s="282" customFormat="1" ht="13.5" x14ac:dyDescent="0.2"/>
    <row r="441" s="282" customFormat="1" ht="13.5" x14ac:dyDescent="0.2"/>
    <row r="442" s="282" customFormat="1" ht="13.5" x14ac:dyDescent="0.2"/>
    <row r="443" s="282" customFormat="1" ht="13.5" x14ac:dyDescent="0.2"/>
    <row r="444" s="282" customFormat="1" ht="13.5" x14ac:dyDescent="0.2"/>
    <row r="445" s="282" customFormat="1" ht="13.5" x14ac:dyDescent="0.2"/>
    <row r="446" s="282" customFormat="1" ht="13.5" x14ac:dyDescent="0.2"/>
    <row r="447" s="282" customFormat="1" ht="13.5" x14ac:dyDescent="0.2"/>
    <row r="448" s="282" customFormat="1" ht="13.5" x14ac:dyDescent="0.2"/>
    <row r="449" s="282" customFormat="1" ht="13.5" x14ac:dyDescent="0.2"/>
    <row r="450" s="282" customFormat="1" ht="13.5" x14ac:dyDescent="0.2"/>
    <row r="451" s="282" customFormat="1" ht="13.5" x14ac:dyDescent="0.2"/>
    <row r="452" s="282" customFormat="1" ht="13.5" x14ac:dyDescent="0.2"/>
    <row r="453" s="282" customFormat="1" ht="13.5" x14ac:dyDescent="0.2"/>
    <row r="454" s="282" customFormat="1" ht="13.5" x14ac:dyDescent="0.2"/>
    <row r="455" s="282" customFormat="1" ht="13.5" x14ac:dyDescent="0.2"/>
    <row r="456" s="282" customFormat="1" ht="13.5" x14ac:dyDescent="0.2"/>
    <row r="457" s="282" customFormat="1" ht="13.5" x14ac:dyDescent="0.2"/>
    <row r="458" s="282" customFormat="1" ht="13.5" x14ac:dyDescent="0.2"/>
    <row r="459" s="282" customFormat="1" ht="13.5" x14ac:dyDescent="0.2"/>
    <row r="460" s="282" customFormat="1" ht="13.5" x14ac:dyDescent="0.2"/>
    <row r="461" s="282" customFormat="1" ht="13.5" x14ac:dyDescent="0.2"/>
    <row r="462" s="282" customFormat="1" ht="13.5" x14ac:dyDescent="0.2"/>
    <row r="463" s="282" customFormat="1" ht="13.5" x14ac:dyDescent="0.2"/>
    <row r="464" s="282" customFormat="1" ht="13.5" x14ac:dyDescent="0.2"/>
    <row r="465" s="282" customFormat="1" ht="13.5" x14ac:dyDescent="0.2"/>
    <row r="466" s="282" customFormat="1" ht="13.5" x14ac:dyDescent="0.2"/>
    <row r="467" s="282" customFormat="1" ht="13.5" x14ac:dyDescent="0.2"/>
    <row r="468" s="282" customFormat="1" ht="13.5" x14ac:dyDescent="0.2"/>
    <row r="469" s="282" customFormat="1" ht="13.5" x14ac:dyDescent="0.2"/>
    <row r="470" s="282" customFormat="1" ht="13.5" x14ac:dyDescent="0.2"/>
    <row r="471" s="282" customFormat="1" ht="13.5" x14ac:dyDescent="0.2"/>
    <row r="472" s="282" customFormat="1" ht="13.5" x14ac:dyDescent="0.2"/>
    <row r="473" s="282" customFormat="1" ht="13.5" x14ac:dyDescent="0.2"/>
    <row r="474" s="282" customFormat="1" ht="13.5" x14ac:dyDescent="0.2"/>
    <row r="475" s="282" customFormat="1" ht="13.5" x14ac:dyDescent="0.2"/>
    <row r="476" s="282" customFormat="1" ht="13.5" x14ac:dyDescent="0.2"/>
    <row r="477" s="282" customFormat="1" ht="13.5" x14ac:dyDescent="0.2"/>
    <row r="478" s="282" customFormat="1" ht="13.5" x14ac:dyDescent="0.2"/>
    <row r="479" s="282" customFormat="1" ht="13.5" x14ac:dyDescent="0.2"/>
    <row r="480" s="282" customFormat="1" ht="13.5" x14ac:dyDescent="0.2"/>
    <row r="481" s="282" customFormat="1" ht="13.5" x14ac:dyDescent="0.2"/>
    <row r="482" s="282" customFormat="1" ht="13.5" x14ac:dyDescent="0.2"/>
    <row r="483" s="282" customFormat="1" ht="13.5" x14ac:dyDescent="0.2"/>
    <row r="484" s="282" customFormat="1" ht="13.5" x14ac:dyDescent="0.2"/>
    <row r="485" s="282" customFormat="1" ht="13.5" x14ac:dyDescent="0.2"/>
    <row r="486" s="282" customFormat="1" ht="13.5" x14ac:dyDescent="0.2"/>
    <row r="487" s="282" customFormat="1" ht="13.5" x14ac:dyDescent="0.2"/>
    <row r="488" s="282" customFormat="1" ht="13.5" x14ac:dyDescent="0.2"/>
    <row r="489" s="282" customFormat="1" ht="13.5" x14ac:dyDescent="0.2"/>
    <row r="490" s="282" customFormat="1" ht="13.5" x14ac:dyDescent="0.2"/>
    <row r="491" s="282" customFormat="1" ht="13.5" x14ac:dyDescent="0.2"/>
    <row r="492" s="282" customFormat="1" ht="13.5" x14ac:dyDescent="0.2"/>
    <row r="493" s="282" customFormat="1" ht="13.5" x14ac:dyDescent="0.2"/>
    <row r="494" s="282" customFormat="1" ht="13.5" x14ac:dyDescent="0.2"/>
    <row r="495" s="282" customFormat="1" ht="13.5" x14ac:dyDescent="0.2"/>
    <row r="496" s="282" customFormat="1" ht="13.5" x14ac:dyDescent="0.2"/>
    <row r="497" s="282" customFormat="1" ht="13.5" x14ac:dyDescent="0.2"/>
    <row r="498" s="282" customFormat="1" ht="13.5" x14ac:dyDescent="0.2"/>
    <row r="499" s="282" customFormat="1" ht="13.5" x14ac:dyDescent="0.2"/>
    <row r="500" s="282" customFormat="1" ht="13.5" x14ac:dyDescent="0.2"/>
    <row r="501" s="282" customFormat="1" ht="13.5" x14ac:dyDescent="0.2"/>
    <row r="502" s="282" customFormat="1" ht="13.5" x14ac:dyDescent="0.2"/>
    <row r="503" s="282" customFormat="1" ht="13.5" x14ac:dyDescent="0.2"/>
    <row r="504" s="282" customFormat="1" ht="13.5" x14ac:dyDescent="0.2"/>
    <row r="505" s="282" customFormat="1" ht="13.5" x14ac:dyDescent="0.2"/>
    <row r="506" s="282" customFormat="1" ht="13.5" x14ac:dyDescent="0.2"/>
    <row r="507" s="282" customFormat="1" ht="13.5" x14ac:dyDescent="0.2"/>
    <row r="508" s="282" customFormat="1" ht="13.5" x14ac:dyDescent="0.2"/>
    <row r="509" s="282" customFormat="1" ht="13.5" x14ac:dyDescent="0.2"/>
    <row r="510" s="282" customFormat="1" ht="13.5" x14ac:dyDescent="0.2"/>
    <row r="511" s="282" customFormat="1" ht="13.5" x14ac:dyDescent="0.2"/>
    <row r="512" s="282" customFormat="1" ht="13.5" x14ac:dyDescent="0.2"/>
    <row r="513" s="282" customFormat="1" ht="13.5" x14ac:dyDescent="0.2"/>
    <row r="514" s="282" customFormat="1" ht="13.5" x14ac:dyDescent="0.2"/>
    <row r="515" s="282" customFormat="1" ht="13.5" x14ac:dyDescent="0.2"/>
    <row r="516" s="282" customFormat="1" ht="13.5" x14ac:dyDescent="0.2"/>
    <row r="517" s="282" customFormat="1" ht="13.5" x14ac:dyDescent="0.2"/>
    <row r="518" s="282" customFormat="1" ht="13.5" x14ac:dyDescent="0.2"/>
    <row r="519" s="282" customFormat="1" ht="13.5" x14ac:dyDescent="0.2"/>
    <row r="520" s="282" customFormat="1" ht="13.5" x14ac:dyDescent="0.2"/>
    <row r="521" s="282" customFormat="1" ht="13.5" x14ac:dyDescent="0.2"/>
    <row r="522" s="282" customFormat="1" ht="13.5" x14ac:dyDescent="0.2"/>
    <row r="523" s="282" customFormat="1" ht="13.5" x14ac:dyDescent="0.2"/>
    <row r="524" s="282" customFormat="1" ht="13.5" x14ac:dyDescent="0.2"/>
    <row r="525" s="282" customFormat="1" ht="13.5" x14ac:dyDescent="0.2"/>
    <row r="526" s="282" customFormat="1" ht="13.5" x14ac:dyDescent="0.2"/>
    <row r="527" s="282" customFormat="1" ht="13.5" x14ac:dyDescent="0.2"/>
    <row r="528" s="282" customFormat="1" ht="13.5" x14ac:dyDescent="0.2"/>
    <row r="529" s="282" customFormat="1" ht="13.5" x14ac:dyDescent="0.2"/>
    <row r="530" s="282" customFormat="1" ht="13.5" x14ac:dyDescent="0.2"/>
    <row r="531" s="282" customFormat="1" ht="13.5" x14ac:dyDescent="0.2"/>
    <row r="532" s="282" customFormat="1" ht="13.5" x14ac:dyDescent="0.2"/>
    <row r="533" s="282" customFormat="1" ht="13.5" x14ac:dyDescent="0.2"/>
    <row r="534" s="282" customFormat="1" ht="13.5" x14ac:dyDescent="0.2"/>
    <row r="535" s="282" customFormat="1" ht="13.5" x14ac:dyDescent="0.2"/>
    <row r="536" s="282" customFormat="1" ht="13.5" x14ac:dyDescent="0.2"/>
    <row r="537" s="282" customFormat="1" ht="13.5" x14ac:dyDescent="0.2"/>
    <row r="538" s="282" customFormat="1" ht="13.5" x14ac:dyDescent="0.2"/>
    <row r="539" s="282" customFormat="1" ht="13.5" x14ac:dyDescent="0.2"/>
    <row r="540" s="282" customFormat="1" ht="13.5" x14ac:dyDescent="0.2"/>
    <row r="541" s="282" customFormat="1" ht="13.5" x14ac:dyDescent="0.2"/>
    <row r="542" s="282" customFormat="1" ht="13.5" x14ac:dyDescent="0.2"/>
    <row r="543" s="282" customFormat="1" ht="13.5" x14ac:dyDescent="0.2"/>
    <row r="544" s="282" customFormat="1" ht="13.5" x14ac:dyDescent="0.2"/>
    <row r="545" s="282" customFormat="1" ht="13.5" x14ac:dyDescent="0.2"/>
    <row r="546" s="282" customFormat="1" ht="13.5" x14ac:dyDescent="0.2"/>
    <row r="547" s="282" customFormat="1" ht="13.5" x14ac:dyDescent="0.2"/>
    <row r="548" s="282" customFormat="1" ht="13.5" x14ac:dyDescent="0.2"/>
    <row r="549" s="282" customFormat="1" ht="13.5" x14ac:dyDescent="0.2"/>
    <row r="550" s="282" customFormat="1" ht="13.5" x14ac:dyDescent="0.2"/>
    <row r="551" s="282" customFormat="1" ht="13.5" x14ac:dyDescent="0.2"/>
    <row r="552" s="282" customFormat="1" ht="13.5" x14ac:dyDescent="0.2"/>
    <row r="553" s="282" customFormat="1" ht="13.5" x14ac:dyDescent="0.2"/>
    <row r="554" s="282" customFormat="1" ht="13.5" x14ac:dyDescent="0.2"/>
    <row r="555" s="282" customFormat="1" ht="13.5" x14ac:dyDescent="0.2"/>
    <row r="556" s="282" customFormat="1" ht="13.5" x14ac:dyDescent="0.2"/>
    <row r="557" s="282" customFormat="1" ht="13.5" x14ac:dyDescent="0.2"/>
    <row r="558" s="282" customFormat="1" ht="13.5" x14ac:dyDescent="0.2"/>
    <row r="559" s="282" customFormat="1" ht="13.5" x14ac:dyDescent="0.2"/>
    <row r="560" s="282" customFormat="1" ht="13.5" x14ac:dyDescent="0.2"/>
    <row r="561" s="282" customFormat="1" ht="13.5" x14ac:dyDescent="0.2"/>
    <row r="562" s="282" customFormat="1" ht="13.5" x14ac:dyDescent="0.2"/>
    <row r="563" s="282" customFormat="1" ht="13.5" x14ac:dyDescent="0.2"/>
    <row r="564" s="282" customFormat="1" ht="13.5" x14ac:dyDescent="0.2"/>
    <row r="565" s="282" customFormat="1" ht="13.5" x14ac:dyDescent="0.2"/>
    <row r="566" s="282" customFormat="1" ht="13.5" x14ac:dyDescent="0.2"/>
    <row r="567" s="282" customFormat="1" ht="13.5" x14ac:dyDescent="0.2"/>
    <row r="568" s="282" customFormat="1" ht="13.5" x14ac:dyDescent="0.2"/>
    <row r="569" s="282" customFormat="1" ht="13.5" x14ac:dyDescent="0.2"/>
    <row r="570" s="282" customFormat="1" ht="13.5" x14ac:dyDescent="0.2"/>
    <row r="571" s="282" customFormat="1" ht="13.5" x14ac:dyDescent="0.2"/>
    <row r="572" s="282" customFormat="1" ht="13.5" x14ac:dyDescent="0.2"/>
    <row r="573" s="282" customFormat="1" ht="13.5" x14ac:dyDescent="0.2"/>
    <row r="574" s="282" customFormat="1" ht="13.5" x14ac:dyDescent="0.2"/>
    <row r="575" s="282" customFormat="1" ht="13.5" x14ac:dyDescent="0.2"/>
    <row r="576" s="282" customFormat="1" ht="13.5" x14ac:dyDescent="0.2"/>
    <row r="577" s="282" customFormat="1" ht="13.5" x14ac:dyDescent="0.2"/>
    <row r="578" s="282" customFormat="1" ht="13.5" x14ac:dyDescent="0.2"/>
    <row r="579" s="282" customFormat="1" ht="13.5" x14ac:dyDescent="0.2"/>
    <row r="580" s="282" customFormat="1" ht="13.5" x14ac:dyDescent="0.2"/>
    <row r="581" s="282" customFormat="1" ht="13.5" x14ac:dyDescent="0.2"/>
    <row r="582" s="282" customFormat="1" ht="13.5" x14ac:dyDescent="0.2"/>
    <row r="583" s="282" customFormat="1" ht="13.5" x14ac:dyDescent="0.2"/>
    <row r="584" s="282" customFormat="1" ht="13.5" x14ac:dyDescent="0.2"/>
    <row r="585" s="282" customFormat="1" ht="13.5" x14ac:dyDescent="0.2"/>
    <row r="586" s="282" customFormat="1" ht="13.5" x14ac:dyDescent="0.2"/>
    <row r="587" s="282" customFormat="1" ht="13.5" x14ac:dyDescent="0.2"/>
    <row r="588" s="282" customFormat="1" ht="13.5" x14ac:dyDescent="0.2"/>
    <row r="589" s="282" customFormat="1" ht="13.5" x14ac:dyDescent="0.2"/>
    <row r="590" s="282" customFormat="1" ht="13.5" x14ac:dyDescent="0.2"/>
    <row r="591" s="282" customFormat="1" ht="13.5" x14ac:dyDescent="0.2"/>
    <row r="592" s="282" customFormat="1" ht="13.5" x14ac:dyDescent="0.2"/>
    <row r="593" s="282" customFormat="1" ht="13.5" x14ac:dyDescent="0.2"/>
    <row r="594" s="282" customFormat="1" ht="13.5" x14ac:dyDescent="0.2"/>
    <row r="595" s="282" customFormat="1" ht="13.5" x14ac:dyDescent="0.2"/>
    <row r="596" s="282" customFormat="1" ht="13.5" x14ac:dyDescent="0.2"/>
    <row r="597" s="282" customFormat="1" ht="13.5" x14ac:dyDescent="0.2"/>
    <row r="598" s="282" customFormat="1" ht="13.5" x14ac:dyDescent="0.2"/>
    <row r="599" s="282" customFormat="1" ht="13.5" x14ac:dyDescent="0.2"/>
    <row r="600" s="282" customFormat="1" ht="13.5" x14ac:dyDescent="0.2"/>
    <row r="601" s="282" customFormat="1" ht="13.5" x14ac:dyDescent="0.2"/>
    <row r="602" s="282" customFormat="1" ht="13.5" x14ac:dyDescent="0.2"/>
    <row r="603" s="282" customFormat="1" ht="13.5" x14ac:dyDescent="0.2"/>
    <row r="604" s="282" customFormat="1" ht="13.5" x14ac:dyDescent="0.2"/>
    <row r="605" s="282" customFormat="1" ht="13.5" x14ac:dyDescent="0.2"/>
    <row r="606" s="282" customFormat="1" ht="13.5" x14ac:dyDescent="0.2"/>
    <row r="607" s="282" customFormat="1" ht="13.5" x14ac:dyDescent="0.2"/>
    <row r="608" s="282" customFormat="1" ht="13.5" x14ac:dyDescent="0.2"/>
    <row r="609" s="282" customFormat="1" ht="13.5" x14ac:dyDescent="0.2"/>
    <row r="610" s="282" customFormat="1" ht="13.5" x14ac:dyDescent="0.2"/>
    <row r="611" s="282" customFormat="1" ht="13.5" x14ac:dyDescent="0.2"/>
    <row r="612" s="282" customFormat="1" ht="13.5" x14ac:dyDescent="0.2"/>
    <row r="613" s="282" customFormat="1" ht="13.5" x14ac:dyDescent="0.2"/>
    <row r="614" s="282" customFormat="1" ht="13.5" x14ac:dyDescent="0.2"/>
    <row r="615" s="282" customFormat="1" ht="13.5" x14ac:dyDescent="0.2"/>
    <row r="616" s="282" customFormat="1" ht="13.5" x14ac:dyDescent="0.2"/>
    <row r="617" s="282" customFormat="1" ht="13.5" x14ac:dyDescent="0.2"/>
    <row r="618" s="282" customFormat="1" ht="13.5" x14ac:dyDescent="0.2"/>
    <row r="619" s="282" customFormat="1" ht="13.5" x14ac:dyDescent="0.2"/>
    <row r="620" s="282" customFormat="1" ht="13.5" x14ac:dyDescent="0.2"/>
    <row r="621" s="282" customFormat="1" ht="13.5" x14ac:dyDescent="0.2"/>
    <row r="622" s="282" customFormat="1" ht="13.5" x14ac:dyDescent="0.2"/>
    <row r="623" s="282" customFormat="1" ht="13.5" x14ac:dyDescent="0.2"/>
    <row r="624" s="282" customFormat="1" ht="13.5" x14ac:dyDescent="0.2"/>
    <row r="625" s="282" customFormat="1" ht="13.5" x14ac:dyDescent="0.2"/>
    <row r="626" s="282" customFormat="1" ht="13.5" x14ac:dyDescent="0.2"/>
    <row r="627" s="282" customFormat="1" ht="13.5" x14ac:dyDescent="0.2"/>
    <row r="628" s="282" customFormat="1" ht="13.5" x14ac:dyDescent="0.2"/>
    <row r="629" s="282" customFormat="1" ht="13.5" x14ac:dyDescent="0.2"/>
    <row r="630" s="282" customFormat="1" ht="13.5" x14ac:dyDescent="0.2"/>
    <row r="631" s="282" customFormat="1" ht="13.5" x14ac:dyDescent="0.2"/>
    <row r="632" s="282" customFormat="1" ht="13.5" x14ac:dyDescent="0.2"/>
    <row r="633" s="282" customFormat="1" ht="13.5" x14ac:dyDescent="0.2"/>
    <row r="634" s="282" customFormat="1" ht="13.5" x14ac:dyDescent="0.2"/>
    <row r="635" s="282" customFormat="1" ht="13.5" x14ac:dyDescent="0.2"/>
    <row r="636" s="282" customFormat="1" ht="13.5" x14ac:dyDescent="0.2"/>
    <row r="637" s="282" customFormat="1" ht="13.5" x14ac:dyDescent="0.2"/>
    <row r="638" s="282" customFormat="1" ht="13.5" x14ac:dyDescent="0.2"/>
    <row r="639" s="282" customFormat="1" ht="13.5" x14ac:dyDescent="0.2"/>
    <row r="640" s="282" customFormat="1" ht="13.5" x14ac:dyDescent="0.2"/>
    <row r="641" s="282" customFormat="1" ht="13.5" x14ac:dyDescent="0.2"/>
    <row r="642" s="282" customFormat="1" ht="13.5" x14ac:dyDescent="0.2"/>
    <row r="643" s="282" customFormat="1" ht="13.5" x14ac:dyDescent="0.2"/>
    <row r="644" s="282" customFormat="1" ht="13.5" x14ac:dyDescent="0.2"/>
    <row r="645" s="282" customFormat="1" ht="13.5" x14ac:dyDescent="0.2"/>
    <row r="646" s="282" customFormat="1" ht="13.5" x14ac:dyDescent="0.2"/>
    <row r="647" s="282" customFormat="1" ht="13.5" x14ac:dyDescent="0.2"/>
    <row r="648" s="282" customFormat="1" ht="13.5" x14ac:dyDescent="0.2"/>
    <row r="649" s="282" customFormat="1" ht="13.5" x14ac:dyDescent="0.2"/>
    <row r="650" s="282" customFormat="1" ht="13.5" x14ac:dyDescent="0.2"/>
    <row r="651" s="282" customFormat="1" ht="13.5" x14ac:dyDescent="0.2"/>
    <row r="652" s="282" customFormat="1" ht="13.5" x14ac:dyDescent="0.2"/>
    <row r="653" s="282" customFormat="1" ht="13.5" x14ac:dyDescent="0.2"/>
    <row r="654" s="282" customFormat="1" ht="13.5" x14ac:dyDescent="0.2"/>
    <row r="655" s="282" customFormat="1" ht="13.5" x14ac:dyDescent="0.2"/>
    <row r="656" s="282" customFormat="1" ht="13.5" x14ac:dyDescent="0.2"/>
    <row r="657" s="282" customFormat="1" ht="13.5" x14ac:dyDescent="0.2"/>
    <row r="658" s="282" customFormat="1" ht="13.5" x14ac:dyDescent="0.2"/>
    <row r="659" s="282" customFormat="1" ht="13.5" x14ac:dyDescent="0.2"/>
    <row r="660" s="282" customFormat="1" ht="13.5" x14ac:dyDescent="0.2"/>
    <row r="661" s="282" customFormat="1" ht="13.5" x14ac:dyDescent="0.2"/>
    <row r="662" s="282" customFormat="1" ht="13.5" x14ac:dyDescent="0.2"/>
    <row r="663" s="282" customFormat="1" ht="13.5" x14ac:dyDescent="0.2"/>
    <row r="664" s="282" customFormat="1" ht="13.5" x14ac:dyDescent="0.2"/>
    <row r="665" s="282" customFormat="1" ht="13.5" x14ac:dyDescent="0.2"/>
    <row r="666" s="282" customFormat="1" ht="13.5" x14ac:dyDescent="0.2"/>
    <row r="667" s="282" customFormat="1" ht="13.5" x14ac:dyDescent="0.2"/>
    <row r="668" s="282" customFormat="1" ht="13.5" x14ac:dyDescent="0.2"/>
    <row r="669" s="282" customFormat="1" ht="13.5" x14ac:dyDescent="0.2"/>
    <row r="670" s="282" customFormat="1" ht="13.5" x14ac:dyDescent="0.2"/>
    <row r="671" s="282" customFormat="1" ht="13.5" x14ac:dyDescent="0.2"/>
    <row r="672" s="282" customFormat="1" ht="13.5" x14ac:dyDescent="0.2"/>
    <row r="673" s="282" customFormat="1" ht="13.5" x14ac:dyDescent="0.2"/>
    <row r="674" s="282" customFormat="1" ht="13.5" x14ac:dyDescent="0.2"/>
    <row r="675" s="282" customFormat="1" ht="13.5" x14ac:dyDescent="0.2"/>
    <row r="676" s="282" customFormat="1" ht="13.5" x14ac:dyDescent="0.2"/>
    <row r="677" s="282" customFormat="1" ht="13.5" x14ac:dyDescent="0.2"/>
    <row r="678" s="282" customFormat="1" ht="13.5" x14ac:dyDescent="0.2"/>
    <row r="679" s="282" customFormat="1" ht="13.5" x14ac:dyDescent="0.2"/>
    <row r="680" s="282" customFormat="1" ht="13.5" x14ac:dyDescent="0.2"/>
    <row r="681" s="282" customFormat="1" ht="13.5" x14ac:dyDescent="0.2"/>
    <row r="682" s="282" customFormat="1" ht="13.5" x14ac:dyDescent="0.2"/>
    <row r="683" s="282" customFormat="1" ht="13.5" x14ac:dyDescent="0.2"/>
    <row r="684" s="282" customFormat="1" ht="13.5" x14ac:dyDescent="0.2"/>
    <row r="685" s="282" customFormat="1" ht="13.5" x14ac:dyDescent="0.2"/>
    <row r="686" s="282" customFormat="1" ht="13.5" x14ac:dyDescent="0.2"/>
    <row r="687" s="282" customFormat="1" ht="13.5" x14ac:dyDescent="0.2"/>
    <row r="688" s="282" customFormat="1" ht="13.5" x14ac:dyDescent="0.2"/>
    <row r="689" s="282" customFormat="1" ht="13.5" x14ac:dyDescent="0.2"/>
    <row r="690" s="282" customFormat="1" ht="13.5" x14ac:dyDescent="0.2"/>
    <row r="691" s="282" customFormat="1" ht="13.5" x14ac:dyDescent="0.2"/>
    <row r="692" s="282" customFormat="1" ht="13.5" x14ac:dyDescent="0.2"/>
    <row r="693" s="282" customFormat="1" ht="13.5" x14ac:dyDescent="0.2"/>
    <row r="694" s="282" customFormat="1" ht="13.5" x14ac:dyDescent="0.2"/>
    <row r="695" s="282" customFormat="1" ht="13.5" x14ac:dyDescent="0.2"/>
    <row r="696" s="282" customFormat="1" ht="13.5" x14ac:dyDescent="0.2"/>
    <row r="697" s="282" customFormat="1" ht="13.5" x14ac:dyDescent="0.2"/>
    <row r="698" s="282" customFormat="1" ht="13.5" x14ac:dyDescent="0.2"/>
    <row r="699" s="282" customFormat="1" ht="13.5" x14ac:dyDescent="0.2"/>
    <row r="700" s="282" customFormat="1" ht="13.5" x14ac:dyDescent="0.2"/>
    <row r="701" s="282" customFormat="1" ht="13.5" x14ac:dyDescent="0.2"/>
    <row r="702" s="282" customFormat="1" ht="13.5" x14ac:dyDescent="0.2"/>
    <row r="703" s="282" customFormat="1" ht="13.5" x14ac:dyDescent="0.2"/>
    <row r="704" s="282" customFormat="1" ht="13.5" x14ac:dyDescent="0.2"/>
    <row r="705" s="282" customFormat="1" ht="13.5" x14ac:dyDescent="0.2"/>
    <row r="706" s="282" customFormat="1" ht="13.5" x14ac:dyDescent="0.2"/>
    <row r="707" s="282" customFormat="1" ht="13.5" x14ac:dyDescent="0.2"/>
    <row r="708" s="282" customFormat="1" ht="13.5" x14ac:dyDescent="0.2"/>
    <row r="709" s="282" customFormat="1" ht="13.5" x14ac:dyDescent="0.2"/>
    <row r="710" s="282" customFormat="1" ht="13.5" x14ac:dyDescent="0.2"/>
    <row r="711" s="282" customFormat="1" ht="13.5" x14ac:dyDescent="0.2"/>
    <row r="712" s="282" customFormat="1" ht="13.5" x14ac:dyDescent="0.2"/>
    <row r="713" s="282" customFormat="1" ht="13.5" x14ac:dyDescent="0.2"/>
    <row r="714" s="282" customFormat="1" ht="13.5" x14ac:dyDescent="0.2"/>
    <row r="715" s="282" customFormat="1" ht="13.5" x14ac:dyDescent="0.2"/>
    <row r="716" s="282" customFormat="1" ht="13.5" x14ac:dyDescent="0.2"/>
    <row r="717" s="282" customFormat="1" ht="13.5" x14ac:dyDescent="0.2"/>
    <row r="718" s="282" customFormat="1" ht="13.5" x14ac:dyDescent="0.2"/>
    <row r="719" s="282" customFormat="1" ht="13.5" x14ac:dyDescent="0.2"/>
    <row r="720" s="282" customFormat="1" ht="13.5" x14ac:dyDescent="0.2"/>
    <row r="721" s="282" customFormat="1" ht="13.5" x14ac:dyDescent="0.2"/>
    <row r="722" s="282" customFormat="1" ht="13.5" x14ac:dyDescent="0.2"/>
    <row r="723" s="282" customFormat="1" ht="13.5" x14ac:dyDescent="0.2"/>
    <row r="724" s="282" customFormat="1" ht="13.5" x14ac:dyDescent="0.2"/>
    <row r="725" s="282" customFormat="1" ht="13.5" x14ac:dyDescent="0.2"/>
    <row r="726" s="282" customFormat="1" ht="13.5" x14ac:dyDescent="0.2"/>
    <row r="727" s="282" customFormat="1" ht="13.5" x14ac:dyDescent="0.2"/>
    <row r="728" s="282" customFormat="1" ht="13.5" x14ac:dyDescent="0.2"/>
    <row r="729" s="282" customFormat="1" ht="13.5" x14ac:dyDescent="0.2"/>
    <row r="730" s="282" customFormat="1" ht="13.5" x14ac:dyDescent="0.2"/>
    <row r="731" s="282" customFormat="1" ht="13.5" x14ac:dyDescent="0.2"/>
    <row r="732" s="282" customFormat="1" ht="13.5" x14ac:dyDescent="0.2"/>
    <row r="733" s="282" customFormat="1" ht="13.5" x14ac:dyDescent="0.2"/>
    <row r="734" s="282" customFormat="1" ht="13.5" x14ac:dyDescent="0.2"/>
    <row r="735" s="282" customFormat="1" ht="13.5" x14ac:dyDescent="0.2"/>
    <row r="736" s="282" customFormat="1" ht="13.5" x14ac:dyDescent="0.2"/>
    <row r="737" s="282" customFormat="1" ht="13.5" x14ac:dyDescent="0.2"/>
    <row r="738" s="282" customFormat="1" ht="13.5" x14ac:dyDescent="0.2"/>
    <row r="739" s="282" customFormat="1" ht="13.5" x14ac:dyDescent="0.2"/>
    <row r="740" s="282" customFormat="1" ht="13.5" x14ac:dyDescent="0.2"/>
    <row r="741" s="282" customFormat="1" ht="13.5" x14ac:dyDescent="0.2"/>
    <row r="742" s="282" customFormat="1" ht="13.5" x14ac:dyDescent="0.2"/>
    <row r="743" s="282" customFormat="1" ht="13.5" x14ac:dyDescent="0.2"/>
    <row r="744" s="282" customFormat="1" ht="13.5" x14ac:dyDescent="0.2"/>
    <row r="745" s="282" customFormat="1" ht="13.5" x14ac:dyDescent="0.2"/>
    <row r="746" s="282" customFormat="1" ht="13.5" x14ac:dyDescent="0.2"/>
    <row r="747" s="282" customFormat="1" ht="13.5" x14ac:dyDescent="0.2"/>
    <row r="748" s="282" customFormat="1" ht="13.5" x14ac:dyDescent="0.2"/>
    <row r="749" s="282" customFormat="1" ht="13.5" x14ac:dyDescent="0.2"/>
    <row r="750" s="282" customFormat="1" ht="13.5" x14ac:dyDescent="0.2"/>
    <row r="751" s="282" customFormat="1" ht="13.5" x14ac:dyDescent="0.2"/>
    <row r="752" s="282" customFormat="1" ht="13.5" x14ac:dyDescent="0.2"/>
    <row r="753" s="282" customFormat="1" ht="13.5" x14ac:dyDescent="0.2"/>
    <row r="754" s="282" customFormat="1" ht="13.5" x14ac:dyDescent="0.2"/>
    <row r="755" s="282" customFormat="1" ht="13.5" x14ac:dyDescent="0.2"/>
    <row r="756" s="282" customFormat="1" ht="13.5" x14ac:dyDescent="0.2"/>
    <row r="757" s="282" customFormat="1" ht="13.5" x14ac:dyDescent="0.2"/>
    <row r="758" s="282" customFormat="1" ht="13.5" x14ac:dyDescent="0.2"/>
    <row r="759" s="282" customFormat="1" ht="13.5" x14ac:dyDescent="0.2"/>
    <row r="760" s="282" customFormat="1" ht="13.5" x14ac:dyDescent="0.2"/>
    <row r="761" s="282" customFormat="1" ht="13.5" x14ac:dyDescent="0.2"/>
    <row r="762" s="282" customFormat="1" ht="13.5" x14ac:dyDescent="0.2"/>
    <row r="763" s="282" customFormat="1" ht="13.5" x14ac:dyDescent="0.2"/>
    <row r="764" s="282" customFormat="1" ht="13.5" x14ac:dyDescent="0.2"/>
    <row r="765" s="282" customFormat="1" ht="13.5" x14ac:dyDescent="0.2"/>
    <row r="766" s="282" customFormat="1" ht="13.5" x14ac:dyDescent="0.2"/>
    <row r="767" s="282" customFormat="1" ht="13.5" x14ac:dyDescent="0.2"/>
    <row r="768" s="282" customFormat="1" ht="13.5" x14ac:dyDescent="0.2"/>
    <row r="769" s="282" customFormat="1" ht="13.5" x14ac:dyDescent="0.2"/>
    <row r="770" s="282" customFormat="1" ht="13.5" x14ac:dyDescent="0.2"/>
    <row r="771" s="282" customFormat="1" ht="13.5" x14ac:dyDescent="0.2"/>
    <row r="772" s="282" customFormat="1" ht="13.5" x14ac:dyDescent="0.2"/>
    <row r="773" s="282" customFormat="1" ht="13.5" x14ac:dyDescent="0.2"/>
    <row r="774" s="282" customFormat="1" ht="13.5" x14ac:dyDescent="0.2"/>
    <row r="775" s="282" customFormat="1" ht="13.5" x14ac:dyDescent="0.2"/>
    <row r="776" s="282" customFormat="1" ht="13.5" x14ac:dyDescent="0.2"/>
    <row r="777" s="282" customFormat="1" ht="13.5" x14ac:dyDescent="0.2"/>
    <row r="778" s="282" customFormat="1" ht="13.5" x14ac:dyDescent="0.2"/>
    <row r="779" s="282" customFormat="1" ht="13.5" x14ac:dyDescent="0.2"/>
    <row r="780" s="282" customFormat="1" ht="13.5" x14ac:dyDescent="0.2"/>
    <row r="781" s="282" customFormat="1" ht="13.5" x14ac:dyDescent="0.2"/>
    <row r="782" s="282" customFormat="1" ht="13.5" x14ac:dyDescent="0.2"/>
    <row r="783" s="282" customFormat="1" ht="13.5" x14ac:dyDescent="0.2"/>
    <row r="784" s="282" customFormat="1" ht="13.5" x14ac:dyDescent="0.2"/>
    <row r="785" s="282" customFormat="1" ht="13.5" x14ac:dyDescent="0.2"/>
    <row r="786" s="282" customFormat="1" ht="13.5" x14ac:dyDescent="0.2"/>
    <row r="787" s="282" customFormat="1" ht="13.5" x14ac:dyDescent="0.2"/>
    <row r="788" s="282" customFormat="1" ht="13.5" x14ac:dyDescent="0.2"/>
    <row r="789" s="282" customFormat="1" ht="13.5" x14ac:dyDescent="0.2"/>
    <row r="790" s="282" customFormat="1" ht="13.5" x14ac:dyDescent="0.2"/>
    <row r="791" s="282" customFormat="1" ht="13.5" x14ac:dyDescent="0.2"/>
    <row r="792" s="282" customFormat="1" ht="13.5" x14ac:dyDescent="0.2"/>
    <row r="793" s="282" customFormat="1" ht="13.5" x14ac:dyDescent="0.2"/>
    <row r="794" s="282" customFormat="1" ht="13.5" x14ac:dyDescent="0.2"/>
    <row r="795" s="282" customFormat="1" ht="13.5" x14ac:dyDescent="0.2"/>
    <row r="796" s="282" customFormat="1" ht="13.5" x14ac:dyDescent="0.2"/>
    <row r="797" s="282" customFormat="1" ht="13.5" x14ac:dyDescent="0.2"/>
    <row r="798" s="282" customFormat="1" ht="13.5" x14ac:dyDescent="0.2"/>
    <row r="799" s="282" customFormat="1" ht="13.5" x14ac:dyDescent="0.2"/>
    <row r="800" s="282" customFormat="1" ht="13.5" x14ac:dyDescent="0.2"/>
    <row r="801" s="282" customFormat="1" ht="13.5" x14ac:dyDescent="0.2"/>
    <row r="802" s="282" customFormat="1" ht="13.5" x14ac:dyDescent="0.2"/>
    <row r="803" s="282" customFormat="1" ht="13.5" x14ac:dyDescent="0.2"/>
    <row r="804" s="282" customFormat="1" ht="13.5" x14ac:dyDescent="0.2"/>
    <row r="805" s="282" customFormat="1" ht="13.5" x14ac:dyDescent="0.2"/>
    <row r="806" s="282" customFormat="1" ht="13.5" x14ac:dyDescent="0.2"/>
    <row r="807" s="282" customFormat="1" ht="13.5" x14ac:dyDescent="0.2"/>
    <row r="808" s="282" customFormat="1" ht="13.5" x14ac:dyDescent="0.2"/>
    <row r="809" s="282" customFormat="1" ht="13.5" x14ac:dyDescent="0.2"/>
    <row r="810" s="282" customFormat="1" ht="13.5" x14ac:dyDescent="0.2"/>
    <row r="811" s="282" customFormat="1" ht="13.5" x14ac:dyDescent="0.2"/>
    <row r="812" s="282" customFormat="1" ht="13.5" x14ac:dyDescent="0.2"/>
    <row r="813" s="282" customFormat="1" ht="13.5" x14ac:dyDescent="0.2"/>
    <row r="814" s="282" customFormat="1" ht="13.5" x14ac:dyDescent="0.2"/>
    <row r="815" s="282" customFormat="1" ht="13.5" x14ac:dyDescent="0.2"/>
    <row r="816" s="282" customFormat="1" ht="13.5" x14ac:dyDescent="0.2"/>
    <row r="817" s="282" customFormat="1" ht="13.5" x14ac:dyDescent="0.2"/>
    <row r="818" s="282" customFormat="1" ht="13.5" x14ac:dyDescent="0.2"/>
    <row r="819" s="282" customFormat="1" ht="13.5" x14ac:dyDescent="0.2"/>
    <row r="820" s="282" customFormat="1" ht="13.5" x14ac:dyDescent="0.2"/>
    <row r="821" s="282" customFormat="1" ht="13.5" x14ac:dyDescent="0.2"/>
    <row r="822" s="282" customFormat="1" ht="13.5" x14ac:dyDescent="0.2"/>
    <row r="823" s="282" customFormat="1" ht="13.5" x14ac:dyDescent="0.2"/>
    <row r="824" s="282" customFormat="1" ht="13.5" x14ac:dyDescent="0.2"/>
    <row r="825" s="282" customFormat="1" ht="13.5" x14ac:dyDescent="0.2"/>
    <row r="826" s="282" customFormat="1" ht="13.5" x14ac:dyDescent="0.2"/>
    <row r="827" s="282" customFormat="1" ht="13.5" x14ac:dyDescent="0.2"/>
    <row r="828" s="282" customFormat="1" ht="13.5" x14ac:dyDescent="0.2"/>
    <row r="829" s="282" customFormat="1" ht="13.5" x14ac:dyDescent="0.2"/>
    <row r="830" s="282" customFormat="1" ht="13.5" x14ac:dyDescent="0.2"/>
    <row r="831" s="282" customFormat="1" ht="13.5" x14ac:dyDescent="0.2"/>
    <row r="832" s="282" customFormat="1" ht="13.5" x14ac:dyDescent="0.2"/>
    <row r="833" s="282" customFormat="1" ht="13.5" x14ac:dyDescent="0.2"/>
    <row r="834" s="282" customFormat="1" ht="13.5" x14ac:dyDescent="0.2"/>
    <row r="835" s="282" customFormat="1" ht="13.5" x14ac:dyDescent="0.2"/>
    <row r="836" s="282" customFormat="1" ht="13.5" x14ac:dyDescent="0.2"/>
    <row r="837" s="282" customFormat="1" ht="13.5" x14ac:dyDescent="0.2"/>
    <row r="838" s="282" customFormat="1" ht="13.5" x14ac:dyDescent="0.2"/>
    <row r="839" s="282" customFormat="1" ht="13.5" x14ac:dyDescent="0.2"/>
    <row r="840" s="282" customFormat="1" ht="13.5" x14ac:dyDescent="0.2"/>
    <row r="841" s="282" customFormat="1" ht="13.5" x14ac:dyDescent="0.2"/>
    <row r="842" s="282" customFormat="1" ht="13.5" x14ac:dyDescent="0.2"/>
    <row r="843" s="282" customFormat="1" ht="13.5" x14ac:dyDescent="0.2"/>
    <row r="844" s="282" customFormat="1" ht="13.5" x14ac:dyDescent="0.2"/>
    <row r="845" s="282" customFormat="1" ht="13.5" x14ac:dyDescent="0.2"/>
    <row r="846" s="282" customFormat="1" ht="13.5" x14ac:dyDescent="0.2"/>
    <row r="847" s="282" customFormat="1" ht="13.5" x14ac:dyDescent="0.2"/>
    <row r="848" s="282" customFormat="1" ht="13.5" x14ac:dyDescent="0.2"/>
    <row r="849" s="282" customFormat="1" ht="13.5" x14ac:dyDescent="0.2"/>
    <row r="850" s="282" customFormat="1" ht="13.5" x14ac:dyDescent="0.2"/>
    <row r="851" s="282" customFormat="1" ht="13.5" x14ac:dyDescent="0.2"/>
    <row r="852" s="282" customFormat="1" ht="13.5" x14ac:dyDescent="0.2"/>
    <row r="853" s="282" customFormat="1" ht="13.5" x14ac:dyDescent="0.2"/>
    <row r="854" s="282" customFormat="1" ht="13.5" x14ac:dyDescent="0.2"/>
    <row r="855" s="282" customFormat="1" ht="13.5" x14ac:dyDescent="0.2"/>
    <row r="856" s="282" customFormat="1" ht="13.5" x14ac:dyDescent="0.2"/>
    <row r="857" s="282" customFormat="1" ht="13.5" x14ac:dyDescent="0.2"/>
    <row r="858" s="282" customFormat="1" ht="13.5" x14ac:dyDescent="0.2"/>
    <row r="859" s="282" customFormat="1" ht="13.5" x14ac:dyDescent="0.2"/>
    <row r="860" s="282" customFormat="1" ht="13.5" x14ac:dyDescent="0.2"/>
    <row r="861" s="282" customFormat="1" ht="13.5" x14ac:dyDescent="0.2"/>
    <row r="862" s="282" customFormat="1" ht="13.5" x14ac:dyDescent="0.2"/>
    <row r="863" s="282" customFormat="1" ht="13.5" x14ac:dyDescent="0.2"/>
    <row r="864" s="282" customFormat="1" ht="13.5" x14ac:dyDescent="0.2"/>
    <row r="865" s="282" customFormat="1" ht="13.5" x14ac:dyDescent="0.2"/>
    <row r="866" s="282" customFormat="1" ht="13.5" x14ac:dyDescent="0.2"/>
    <row r="867" s="282" customFormat="1" ht="13.5" x14ac:dyDescent="0.2"/>
    <row r="868" s="282" customFormat="1" ht="13.5" x14ac:dyDescent="0.2"/>
    <row r="869" s="282" customFormat="1" ht="13.5" x14ac:dyDescent="0.2"/>
    <row r="870" s="282" customFormat="1" ht="13.5" x14ac:dyDescent="0.2"/>
    <row r="871" s="282" customFormat="1" ht="13.5" x14ac:dyDescent="0.2"/>
    <row r="872" s="282" customFormat="1" ht="13.5" x14ac:dyDescent="0.2"/>
    <row r="873" s="282" customFormat="1" ht="13.5" x14ac:dyDescent="0.2"/>
    <row r="874" s="282" customFormat="1" ht="13.5" x14ac:dyDescent="0.2"/>
    <row r="875" s="282" customFormat="1" ht="13.5" x14ac:dyDescent="0.2"/>
    <row r="876" s="282" customFormat="1" ht="13.5" x14ac:dyDescent="0.2"/>
    <row r="877" s="282" customFormat="1" ht="13.5" x14ac:dyDescent="0.2"/>
    <row r="878" s="282" customFormat="1" ht="13.5" x14ac:dyDescent="0.2"/>
    <row r="879" s="282" customFormat="1" ht="13.5" x14ac:dyDescent="0.2"/>
  </sheetData>
  <mergeCells count="1">
    <mergeCell ref="A2:D2"/>
  </mergeCells>
  <pageMargins left="0.27559055118110237" right="0.27559055118110237" top="0.39370078740157483" bottom="0.39370078740157483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0"/>
  <dimension ref="A1:F490"/>
  <sheetViews>
    <sheetView showGridLines="0" zoomScaleNormal="100" workbookViewId="0">
      <selection sqref="A1:F69"/>
    </sheetView>
  </sheetViews>
  <sheetFormatPr baseColWidth="10" defaultColWidth="11.42578125" defaultRowHeight="15" customHeight="1" x14ac:dyDescent="0.2"/>
  <cols>
    <col min="1" max="1" width="19.140625" style="299" customWidth="1"/>
    <col min="2" max="2" width="12.85546875" style="299" customWidth="1"/>
    <col min="3" max="3" width="14.42578125" style="299" customWidth="1"/>
    <col min="4" max="4" width="9.7109375" style="299" customWidth="1"/>
    <col min="5" max="5" width="10.42578125" style="299" customWidth="1"/>
    <col min="6" max="6" width="10.85546875" style="299" customWidth="1"/>
    <col min="7" max="16384" width="11.42578125" style="299"/>
  </cols>
  <sheetData>
    <row r="1" spans="1:6" ht="16.350000000000001" customHeight="1" x14ac:dyDescent="0.25">
      <c r="A1" s="296" t="s">
        <v>595</v>
      </c>
      <c r="B1" s="282"/>
      <c r="C1" s="282"/>
      <c r="D1" s="282"/>
      <c r="E1" s="297"/>
      <c r="F1" s="298"/>
    </row>
    <row r="2" spans="1:6" ht="12" customHeight="1" x14ac:dyDescent="0.2">
      <c r="A2" s="724" t="s">
        <v>561</v>
      </c>
      <c r="B2" s="724"/>
      <c r="C2" s="724"/>
      <c r="D2" s="724"/>
      <c r="E2" s="724"/>
      <c r="F2" s="724"/>
    </row>
    <row r="3" spans="1:6" ht="5.0999999999999996" customHeight="1" x14ac:dyDescent="0.2">
      <c r="A3" s="725"/>
      <c r="B3" s="725"/>
      <c r="C3" s="725"/>
      <c r="D3" s="725"/>
      <c r="E3" s="725"/>
      <c r="F3" s="725"/>
    </row>
    <row r="4" spans="1:6" ht="18" customHeight="1" x14ac:dyDescent="0.2">
      <c r="A4" s="300" t="s">
        <v>210</v>
      </c>
      <c r="B4" s="301" t="s">
        <v>247</v>
      </c>
      <c r="C4" s="301" t="s">
        <v>248</v>
      </c>
      <c r="D4" s="300" t="s">
        <v>213</v>
      </c>
      <c r="E4" s="302" t="s">
        <v>249</v>
      </c>
      <c r="F4" s="302" t="s">
        <v>216</v>
      </c>
    </row>
    <row r="5" spans="1:6" ht="3" customHeight="1" x14ac:dyDescent="0.2">
      <c r="A5" s="55"/>
      <c r="B5" s="279"/>
      <c r="C5" s="279"/>
      <c r="D5" s="279"/>
      <c r="E5" s="279"/>
      <c r="F5" s="279"/>
    </row>
    <row r="6" spans="1:6" ht="12" customHeight="1" x14ac:dyDescent="0.25">
      <c r="A6" s="729" t="s">
        <v>229</v>
      </c>
      <c r="B6" s="116" t="s">
        <v>250</v>
      </c>
      <c r="C6" s="116" t="s">
        <v>251</v>
      </c>
      <c r="D6" s="116" t="s">
        <v>252</v>
      </c>
      <c r="E6" s="660">
        <v>154</v>
      </c>
      <c r="F6" s="657">
        <v>9</v>
      </c>
    </row>
    <row r="7" spans="1:6" ht="12" customHeight="1" x14ac:dyDescent="0.25">
      <c r="A7" s="729"/>
      <c r="B7" s="116" t="s">
        <v>254</v>
      </c>
      <c r="C7" s="116" t="s">
        <v>253</v>
      </c>
      <c r="D7" s="116" t="s">
        <v>252</v>
      </c>
      <c r="E7" s="660">
        <v>289</v>
      </c>
      <c r="F7" s="657">
        <v>9</v>
      </c>
    </row>
    <row r="8" spans="1:6" ht="12" customHeight="1" x14ac:dyDescent="0.25">
      <c r="A8" s="730"/>
      <c r="B8" s="625" t="s">
        <v>254</v>
      </c>
      <c r="C8" s="625" t="s">
        <v>255</v>
      </c>
      <c r="D8" s="625" t="s">
        <v>252</v>
      </c>
      <c r="E8" s="661">
        <v>441</v>
      </c>
      <c r="F8" s="658">
        <v>9</v>
      </c>
    </row>
    <row r="9" spans="1:6" ht="12" customHeight="1" x14ac:dyDescent="0.25">
      <c r="A9" s="726" t="s">
        <v>230</v>
      </c>
      <c r="B9" s="116" t="s">
        <v>256</v>
      </c>
      <c r="C9" s="116" t="s">
        <v>257</v>
      </c>
      <c r="D9" s="116" t="s">
        <v>252</v>
      </c>
      <c r="E9" s="660">
        <v>85</v>
      </c>
      <c r="F9" s="657">
        <v>14</v>
      </c>
    </row>
    <row r="10" spans="1:6" ht="12" customHeight="1" x14ac:dyDescent="0.25">
      <c r="A10" s="728"/>
      <c r="B10" s="116" t="s">
        <v>250</v>
      </c>
      <c r="C10" s="116" t="s">
        <v>251</v>
      </c>
      <c r="D10" s="116" t="s">
        <v>252</v>
      </c>
      <c r="E10" s="660">
        <v>262</v>
      </c>
      <c r="F10" s="657">
        <v>14</v>
      </c>
    </row>
    <row r="11" spans="1:6" ht="12" customHeight="1" x14ac:dyDescent="0.25">
      <c r="A11" s="728"/>
      <c r="B11" s="625" t="s">
        <v>258</v>
      </c>
      <c r="C11" s="625" t="s">
        <v>259</v>
      </c>
      <c r="D11" s="625" t="s">
        <v>260</v>
      </c>
      <c r="E11" s="661">
        <v>120</v>
      </c>
      <c r="F11" s="658">
        <v>6</v>
      </c>
    </row>
    <row r="12" spans="1:6" ht="12" customHeight="1" x14ac:dyDescent="0.25">
      <c r="A12" s="726" t="s">
        <v>261</v>
      </c>
      <c r="B12" s="116" t="s">
        <v>262</v>
      </c>
      <c r="C12" s="116" t="s">
        <v>263</v>
      </c>
      <c r="D12" s="116" t="s">
        <v>252</v>
      </c>
      <c r="E12" s="660">
        <v>94</v>
      </c>
      <c r="F12" s="657">
        <v>12</v>
      </c>
    </row>
    <row r="13" spans="1:6" ht="12" customHeight="1" x14ac:dyDescent="0.25">
      <c r="A13" s="728"/>
      <c r="B13" s="116" t="s">
        <v>262</v>
      </c>
      <c r="C13" s="116" t="s">
        <v>264</v>
      </c>
      <c r="D13" s="116" t="s">
        <v>252</v>
      </c>
      <c r="E13" s="660">
        <v>105</v>
      </c>
      <c r="F13" s="657">
        <v>12</v>
      </c>
    </row>
    <row r="14" spans="1:6" ht="12" customHeight="1" x14ac:dyDescent="0.25">
      <c r="A14" s="728"/>
      <c r="B14" s="116" t="s">
        <v>262</v>
      </c>
      <c r="C14" s="116" t="s">
        <v>265</v>
      </c>
      <c r="D14" s="116" t="s">
        <v>252</v>
      </c>
      <c r="E14" s="660">
        <v>465</v>
      </c>
      <c r="F14" s="657">
        <v>12</v>
      </c>
    </row>
    <row r="15" spans="1:6" ht="12" customHeight="1" x14ac:dyDescent="0.25">
      <c r="A15" s="728"/>
      <c r="B15" s="116" t="s">
        <v>262</v>
      </c>
      <c r="C15" s="116" t="s">
        <v>266</v>
      </c>
      <c r="D15" s="116" t="s">
        <v>252</v>
      </c>
      <c r="E15" s="660">
        <v>2</v>
      </c>
      <c r="F15" s="657">
        <v>12</v>
      </c>
    </row>
    <row r="16" spans="1:6" ht="12" customHeight="1" x14ac:dyDescent="0.25">
      <c r="A16" s="728"/>
      <c r="B16" s="116" t="s">
        <v>262</v>
      </c>
      <c r="C16" s="116" t="s">
        <v>267</v>
      </c>
      <c r="D16" s="116" t="s">
        <v>252</v>
      </c>
      <c r="E16" s="660">
        <v>118</v>
      </c>
      <c r="F16" s="657">
        <v>12</v>
      </c>
    </row>
    <row r="17" spans="1:6" ht="12" customHeight="1" x14ac:dyDescent="0.25">
      <c r="A17" s="728"/>
      <c r="B17" s="116" t="s">
        <v>262</v>
      </c>
      <c r="C17" s="116" t="s">
        <v>268</v>
      </c>
      <c r="D17" s="116" t="s">
        <v>252</v>
      </c>
      <c r="E17" s="660">
        <v>27</v>
      </c>
      <c r="F17" s="657">
        <v>12</v>
      </c>
    </row>
    <row r="18" spans="1:6" ht="12" customHeight="1" x14ac:dyDescent="0.25">
      <c r="A18" s="728"/>
      <c r="B18" s="116" t="s">
        <v>262</v>
      </c>
      <c r="C18" s="116" t="s">
        <v>269</v>
      </c>
      <c r="D18" s="116" t="s">
        <v>252</v>
      </c>
      <c r="E18" s="660">
        <v>90</v>
      </c>
      <c r="F18" s="657">
        <v>12</v>
      </c>
    </row>
    <row r="19" spans="1:6" ht="12" customHeight="1" x14ac:dyDescent="0.25">
      <c r="A19" s="728"/>
      <c r="B19" s="116" t="s">
        <v>262</v>
      </c>
      <c r="C19" s="116" t="s">
        <v>270</v>
      </c>
      <c r="D19" s="116" t="s">
        <v>252</v>
      </c>
      <c r="E19" s="660">
        <v>113</v>
      </c>
      <c r="F19" s="657">
        <v>12</v>
      </c>
    </row>
    <row r="20" spans="1:6" ht="12" customHeight="1" x14ac:dyDescent="0.25">
      <c r="A20" s="728"/>
      <c r="B20" s="116" t="s">
        <v>262</v>
      </c>
      <c r="C20" s="116" t="s">
        <v>271</v>
      </c>
      <c r="D20" s="116" t="s">
        <v>252</v>
      </c>
      <c r="E20" s="660">
        <v>154</v>
      </c>
      <c r="F20" s="657">
        <v>12</v>
      </c>
    </row>
    <row r="21" spans="1:6" ht="12" customHeight="1" x14ac:dyDescent="0.25">
      <c r="A21" s="728"/>
      <c r="B21" s="116" t="s">
        <v>262</v>
      </c>
      <c r="C21" s="116" t="s">
        <v>272</v>
      </c>
      <c r="D21" s="116" t="s">
        <v>252</v>
      </c>
      <c r="E21" s="660">
        <v>196</v>
      </c>
      <c r="F21" s="657">
        <v>12</v>
      </c>
    </row>
    <row r="22" spans="1:6" ht="12" customHeight="1" x14ac:dyDescent="0.25">
      <c r="A22" s="728"/>
      <c r="B22" s="116" t="s">
        <v>262</v>
      </c>
      <c r="C22" s="116" t="s">
        <v>273</v>
      </c>
      <c r="D22" s="116" t="s">
        <v>252</v>
      </c>
      <c r="E22" s="660">
        <v>34</v>
      </c>
      <c r="F22" s="657">
        <v>12</v>
      </c>
    </row>
    <row r="23" spans="1:6" ht="12" customHeight="1" x14ac:dyDescent="0.25">
      <c r="A23" s="727"/>
      <c r="B23" s="625" t="s">
        <v>262</v>
      </c>
      <c r="C23" s="625" t="s">
        <v>274</v>
      </c>
      <c r="D23" s="625" t="s">
        <v>252</v>
      </c>
      <c r="E23" s="661">
        <v>57</v>
      </c>
      <c r="F23" s="658">
        <v>12</v>
      </c>
    </row>
    <row r="24" spans="1:6" ht="12" customHeight="1" x14ac:dyDescent="0.25">
      <c r="A24" s="726" t="s">
        <v>275</v>
      </c>
      <c r="B24" s="116" t="s">
        <v>250</v>
      </c>
      <c r="C24" s="116" t="s">
        <v>276</v>
      </c>
      <c r="D24" s="116" t="s">
        <v>252</v>
      </c>
      <c r="E24" s="660">
        <v>40</v>
      </c>
      <c r="F24" s="657">
        <v>6</v>
      </c>
    </row>
    <row r="25" spans="1:6" ht="12" customHeight="1" x14ac:dyDescent="0.25">
      <c r="A25" s="728"/>
      <c r="B25" s="116" t="s">
        <v>277</v>
      </c>
      <c r="C25" s="116" t="s">
        <v>278</v>
      </c>
      <c r="D25" s="116" t="s">
        <v>260</v>
      </c>
      <c r="E25" s="660">
        <v>1339</v>
      </c>
      <c r="F25" s="657">
        <v>6</v>
      </c>
    </row>
    <row r="26" spans="1:6" ht="12" customHeight="1" x14ac:dyDescent="0.25">
      <c r="A26" s="728"/>
      <c r="B26" s="116" t="s">
        <v>254</v>
      </c>
      <c r="C26" s="116" t="s">
        <v>562</v>
      </c>
      <c r="D26" s="116" t="s">
        <v>260</v>
      </c>
      <c r="E26" s="660">
        <v>500</v>
      </c>
      <c r="F26" s="657">
        <v>10.7</v>
      </c>
    </row>
    <row r="27" spans="1:6" ht="12" customHeight="1" x14ac:dyDescent="0.25">
      <c r="A27" s="728"/>
      <c r="B27" s="116" t="s">
        <v>279</v>
      </c>
      <c r="C27" s="116" t="s">
        <v>280</v>
      </c>
      <c r="D27" s="116" t="s">
        <v>281</v>
      </c>
      <c r="E27" s="660">
        <v>350</v>
      </c>
      <c r="F27" s="657">
        <v>8</v>
      </c>
    </row>
    <row r="28" spans="1:6" ht="12" customHeight="1" x14ac:dyDescent="0.25">
      <c r="A28" s="727"/>
      <c r="B28" s="625" t="s">
        <v>279</v>
      </c>
      <c r="C28" s="625" t="s">
        <v>282</v>
      </c>
      <c r="D28" s="116" t="s">
        <v>281</v>
      </c>
      <c r="E28" s="661">
        <v>700</v>
      </c>
      <c r="F28" s="658">
        <v>8</v>
      </c>
    </row>
    <row r="29" spans="1:6" ht="12" customHeight="1" x14ac:dyDescent="0.25">
      <c r="A29" s="726" t="s">
        <v>283</v>
      </c>
      <c r="B29" s="116" t="s">
        <v>284</v>
      </c>
      <c r="C29" s="116" t="s">
        <v>285</v>
      </c>
      <c r="D29" s="627" t="s">
        <v>252</v>
      </c>
      <c r="E29" s="660">
        <v>295</v>
      </c>
      <c r="F29" s="657">
        <v>8</v>
      </c>
    </row>
    <row r="30" spans="1:6" ht="12" customHeight="1" x14ac:dyDescent="0.25">
      <c r="A30" s="728"/>
      <c r="B30" s="116" t="s">
        <v>284</v>
      </c>
      <c r="C30" s="116" t="s">
        <v>57</v>
      </c>
      <c r="D30" s="116" t="s">
        <v>260</v>
      </c>
      <c r="E30" s="660">
        <v>2908</v>
      </c>
      <c r="F30" s="657">
        <v>3.5</v>
      </c>
    </row>
    <row r="31" spans="1:6" ht="12" customHeight="1" x14ac:dyDescent="0.25">
      <c r="A31" s="728"/>
      <c r="B31" s="116" t="s">
        <v>284</v>
      </c>
      <c r="C31" s="116" t="s">
        <v>286</v>
      </c>
      <c r="D31" s="116" t="s">
        <v>252</v>
      </c>
      <c r="E31" s="660">
        <v>45</v>
      </c>
      <c r="F31" s="657">
        <v>8</v>
      </c>
    </row>
    <row r="32" spans="1:6" ht="12" customHeight="1" x14ac:dyDescent="0.25">
      <c r="A32" s="728"/>
      <c r="B32" s="116" t="s">
        <v>284</v>
      </c>
      <c r="C32" s="116" t="s">
        <v>287</v>
      </c>
      <c r="D32" s="116" t="s">
        <v>260</v>
      </c>
      <c r="E32" s="660">
        <v>2276</v>
      </c>
      <c r="F32" s="657">
        <v>5</v>
      </c>
    </row>
    <row r="33" spans="1:6" ht="12" customHeight="1" x14ac:dyDescent="0.25">
      <c r="A33" s="728"/>
      <c r="B33" s="116" t="s">
        <v>284</v>
      </c>
      <c r="C33" s="116" t="s">
        <v>288</v>
      </c>
      <c r="D33" s="116" t="s">
        <v>252</v>
      </c>
      <c r="E33" s="660">
        <v>146</v>
      </c>
      <c r="F33" s="657">
        <v>8</v>
      </c>
    </row>
    <row r="34" spans="1:6" ht="12" customHeight="1" x14ac:dyDescent="0.25">
      <c r="A34" s="728"/>
      <c r="B34" s="116" t="s">
        <v>284</v>
      </c>
      <c r="C34" s="116" t="s">
        <v>289</v>
      </c>
      <c r="D34" s="116" t="s">
        <v>252</v>
      </c>
      <c r="E34" s="660">
        <v>162</v>
      </c>
      <c r="F34" s="657">
        <v>8</v>
      </c>
    </row>
    <row r="35" spans="1:6" ht="12" customHeight="1" x14ac:dyDescent="0.25">
      <c r="A35" s="727"/>
      <c r="B35" s="625" t="s">
        <v>284</v>
      </c>
      <c r="C35" s="625" t="s">
        <v>290</v>
      </c>
      <c r="D35" s="625" t="s">
        <v>260</v>
      </c>
      <c r="E35" s="661">
        <v>2914</v>
      </c>
      <c r="F35" s="658">
        <v>5</v>
      </c>
    </row>
    <row r="36" spans="1:6" ht="12" customHeight="1" x14ac:dyDescent="0.25">
      <c r="A36" s="626" t="s">
        <v>291</v>
      </c>
      <c r="B36" s="625" t="s">
        <v>292</v>
      </c>
      <c r="C36" s="625" t="s">
        <v>293</v>
      </c>
      <c r="D36" s="625" t="s">
        <v>247</v>
      </c>
      <c r="E36" s="661">
        <v>576</v>
      </c>
      <c r="F36" s="658">
        <v>6</v>
      </c>
    </row>
    <row r="37" spans="1:6" ht="12" customHeight="1" x14ac:dyDescent="0.25">
      <c r="A37" s="628" t="s">
        <v>240</v>
      </c>
      <c r="B37" s="629" t="s">
        <v>294</v>
      </c>
      <c r="C37" s="629" t="s">
        <v>295</v>
      </c>
      <c r="D37" s="625" t="s">
        <v>247</v>
      </c>
      <c r="E37" s="662">
        <v>34</v>
      </c>
      <c r="F37" s="659">
        <v>5</v>
      </c>
    </row>
    <row r="38" spans="1:6" ht="12" customHeight="1" x14ac:dyDescent="0.25">
      <c r="A38" s="626" t="s">
        <v>298</v>
      </c>
      <c r="B38" s="630" t="s">
        <v>299</v>
      </c>
      <c r="C38" s="630" t="s">
        <v>300</v>
      </c>
      <c r="D38" s="630" t="s">
        <v>252</v>
      </c>
      <c r="E38" s="661">
        <v>100</v>
      </c>
      <c r="F38" s="658">
        <v>4</v>
      </c>
    </row>
    <row r="39" spans="1:6" ht="12" customHeight="1" x14ac:dyDescent="0.25">
      <c r="A39" s="726" t="s">
        <v>241</v>
      </c>
      <c r="B39" s="631" t="s">
        <v>301</v>
      </c>
      <c r="C39" s="631" t="s">
        <v>302</v>
      </c>
      <c r="D39" s="631" t="s">
        <v>247</v>
      </c>
      <c r="E39" s="660">
        <v>32</v>
      </c>
      <c r="F39" s="657">
        <v>3</v>
      </c>
    </row>
    <row r="40" spans="1:6" ht="12" customHeight="1" x14ac:dyDescent="0.25">
      <c r="A40" s="727"/>
      <c r="B40" s="630" t="s">
        <v>303</v>
      </c>
      <c r="C40" s="630" t="s">
        <v>304</v>
      </c>
      <c r="D40" s="630" t="s">
        <v>252</v>
      </c>
      <c r="E40" s="661">
        <v>93</v>
      </c>
      <c r="F40" s="658">
        <v>9</v>
      </c>
    </row>
    <row r="41" spans="1:6" ht="12" customHeight="1" x14ac:dyDescent="0.25">
      <c r="A41" s="726" t="s">
        <v>305</v>
      </c>
      <c r="B41" s="631" t="s">
        <v>306</v>
      </c>
      <c r="C41" s="631" t="s">
        <v>477</v>
      </c>
      <c r="D41" s="631" t="s">
        <v>247</v>
      </c>
      <c r="E41" s="660">
        <v>161</v>
      </c>
      <c r="F41" s="657">
        <v>1.9</v>
      </c>
    </row>
    <row r="42" spans="1:6" ht="12" customHeight="1" x14ac:dyDescent="0.25">
      <c r="A42" s="728"/>
      <c r="B42" s="631" t="s">
        <v>306</v>
      </c>
      <c r="C42" s="631" t="s">
        <v>478</v>
      </c>
      <c r="D42" s="631" t="s">
        <v>247</v>
      </c>
      <c r="E42" s="660">
        <v>40</v>
      </c>
      <c r="F42" s="657">
        <v>0</v>
      </c>
    </row>
    <row r="43" spans="1:6" ht="12" customHeight="1" x14ac:dyDescent="0.25">
      <c r="A43" s="728"/>
      <c r="B43" s="631" t="s">
        <v>297</v>
      </c>
      <c r="C43" s="631" t="s">
        <v>325</v>
      </c>
      <c r="D43" s="631" t="s">
        <v>247</v>
      </c>
      <c r="E43" s="660">
        <v>3</v>
      </c>
      <c r="F43" s="657">
        <v>2.77</v>
      </c>
    </row>
    <row r="44" spans="1:6" ht="12" customHeight="1" x14ac:dyDescent="0.25">
      <c r="A44" s="728"/>
      <c r="B44" s="631" t="s">
        <v>479</v>
      </c>
      <c r="C44" s="631" t="s">
        <v>479</v>
      </c>
      <c r="D44" s="631" t="s">
        <v>247</v>
      </c>
      <c r="E44" s="660">
        <v>36</v>
      </c>
      <c r="F44" s="657">
        <v>5</v>
      </c>
    </row>
    <row r="45" spans="1:6" ht="12" customHeight="1" x14ac:dyDescent="0.25">
      <c r="A45" s="728"/>
      <c r="B45" s="631" t="s">
        <v>307</v>
      </c>
      <c r="C45" s="631" t="s">
        <v>307</v>
      </c>
      <c r="D45" s="631" t="s">
        <v>247</v>
      </c>
      <c r="E45" s="660">
        <v>73</v>
      </c>
      <c r="F45" s="657">
        <v>1.9</v>
      </c>
    </row>
    <row r="46" spans="1:6" ht="12" customHeight="1" x14ac:dyDescent="0.25">
      <c r="A46" s="728"/>
      <c r="B46" s="631" t="s">
        <v>563</v>
      </c>
      <c r="C46" s="631" t="s">
        <v>563</v>
      </c>
      <c r="D46" s="631" t="s">
        <v>247</v>
      </c>
      <c r="E46" s="660">
        <v>162</v>
      </c>
      <c r="F46" s="657">
        <v>5</v>
      </c>
    </row>
    <row r="47" spans="1:6" ht="12" customHeight="1" x14ac:dyDescent="0.25">
      <c r="A47" s="728"/>
      <c r="B47" s="631" t="s">
        <v>512</v>
      </c>
      <c r="C47" s="631" t="s">
        <v>513</v>
      </c>
      <c r="D47" s="631" t="s">
        <v>252</v>
      </c>
      <c r="E47" s="660">
        <v>94</v>
      </c>
      <c r="F47" s="657">
        <v>10</v>
      </c>
    </row>
    <row r="48" spans="1:6" ht="12" customHeight="1" x14ac:dyDescent="0.25">
      <c r="A48" s="728"/>
      <c r="B48" s="631" t="s">
        <v>512</v>
      </c>
      <c r="C48" s="631" t="s">
        <v>310</v>
      </c>
      <c r="D48" s="631" t="s">
        <v>252</v>
      </c>
      <c r="E48" s="660">
        <v>127</v>
      </c>
      <c r="F48" s="657">
        <v>10</v>
      </c>
    </row>
    <row r="49" spans="1:6" ht="12" customHeight="1" x14ac:dyDescent="0.25">
      <c r="A49" s="728"/>
      <c r="B49" s="631" t="s">
        <v>512</v>
      </c>
      <c r="C49" s="631" t="s">
        <v>309</v>
      </c>
      <c r="D49" s="631" t="s">
        <v>252</v>
      </c>
      <c r="E49" s="660">
        <v>159</v>
      </c>
      <c r="F49" s="657">
        <v>10</v>
      </c>
    </row>
    <row r="50" spans="1:6" ht="12" customHeight="1" x14ac:dyDescent="0.25">
      <c r="A50" s="728"/>
      <c r="B50" s="631" t="s">
        <v>512</v>
      </c>
      <c r="C50" s="631" t="s">
        <v>308</v>
      </c>
      <c r="D50" s="631" t="s">
        <v>247</v>
      </c>
      <c r="E50" s="660">
        <v>704</v>
      </c>
      <c r="F50" s="657">
        <v>5</v>
      </c>
    </row>
    <row r="51" spans="1:6" ht="12" customHeight="1" x14ac:dyDescent="0.25">
      <c r="A51" s="728"/>
      <c r="B51" s="631" t="s">
        <v>512</v>
      </c>
      <c r="C51" s="631" t="s">
        <v>309</v>
      </c>
      <c r="D51" s="631" t="s">
        <v>252</v>
      </c>
      <c r="E51" s="660">
        <v>143</v>
      </c>
      <c r="F51" s="657">
        <v>10</v>
      </c>
    </row>
    <row r="52" spans="1:6" ht="12" customHeight="1" x14ac:dyDescent="0.25">
      <c r="A52" s="728"/>
      <c r="B52" s="631" t="s">
        <v>277</v>
      </c>
      <c r="C52" s="631" t="s">
        <v>311</v>
      </c>
      <c r="D52" s="631" t="s">
        <v>252</v>
      </c>
      <c r="E52" s="660">
        <v>36</v>
      </c>
      <c r="F52" s="657">
        <v>10</v>
      </c>
    </row>
    <row r="53" spans="1:6" ht="12" customHeight="1" x14ac:dyDescent="0.25">
      <c r="A53" s="728"/>
      <c r="B53" s="631" t="s">
        <v>277</v>
      </c>
      <c r="C53" s="631" t="s">
        <v>55</v>
      </c>
      <c r="D53" s="631" t="s">
        <v>252</v>
      </c>
      <c r="E53" s="660">
        <v>179</v>
      </c>
      <c r="F53" s="657">
        <v>10</v>
      </c>
    </row>
    <row r="54" spans="1:6" ht="12" customHeight="1" x14ac:dyDescent="0.25">
      <c r="A54" s="728"/>
      <c r="B54" s="631" t="s">
        <v>284</v>
      </c>
      <c r="C54" s="631" t="s">
        <v>314</v>
      </c>
      <c r="D54" s="631" t="s">
        <v>252</v>
      </c>
      <c r="E54" s="660">
        <v>226</v>
      </c>
      <c r="F54" s="657">
        <v>10</v>
      </c>
    </row>
    <row r="55" spans="1:6" ht="12" customHeight="1" x14ac:dyDescent="0.25">
      <c r="A55" s="728"/>
      <c r="B55" s="631" t="s">
        <v>284</v>
      </c>
      <c r="C55" s="631" t="s">
        <v>315</v>
      </c>
      <c r="D55" s="631" t="s">
        <v>252</v>
      </c>
      <c r="E55" s="660">
        <v>306</v>
      </c>
      <c r="F55" s="657">
        <v>10</v>
      </c>
    </row>
    <row r="56" spans="1:6" ht="12" customHeight="1" x14ac:dyDescent="0.25">
      <c r="A56" s="728"/>
      <c r="B56" s="631" t="s">
        <v>284</v>
      </c>
      <c r="C56" s="631" t="s">
        <v>312</v>
      </c>
      <c r="D56" s="631" t="s">
        <v>252</v>
      </c>
      <c r="E56" s="660">
        <v>114</v>
      </c>
      <c r="F56" s="657">
        <v>10</v>
      </c>
    </row>
    <row r="57" spans="1:6" ht="12" customHeight="1" x14ac:dyDescent="0.25">
      <c r="A57" s="728"/>
      <c r="B57" s="631" t="s">
        <v>284</v>
      </c>
      <c r="C57" s="631" t="s">
        <v>313</v>
      </c>
      <c r="D57" s="631" t="s">
        <v>252</v>
      </c>
      <c r="E57" s="660">
        <v>82</v>
      </c>
      <c r="F57" s="657">
        <v>10</v>
      </c>
    </row>
    <row r="58" spans="1:6" ht="12" customHeight="1" x14ac:dyDescent="0.25">
      <c r="A58" s="728"/>
      <c r="B58" s="631" t="s">
        <v>284</v>
      </c>
      <c r="C58" s="631" t="s">
        <v>325</v>
      </c>
      <c r="D58" s="631" t="s">
        <v>247</v>
      </c>
      <c r="E58" s="660">
        <v>2168</v>
      </c>
      <c r="F58" s="657">
        <v>5</v>
      </c>
    </row>
    <row r="59" spans="1:6" ht="12" customHeight="1" x14ac:dyDescent="0.25">
      <c r="A59" s="728"/>
      <c r="B59" s="631" t="s">
        <v>284</v>
      </c>
      <c r="C59" s="631" t="s">
        <v>316</v>
      </c>
      <c r="D59" s="631" t="s">
        <v>252</v>
      </c>
      <c r="E59" s="660">
        <v>349</v>
      </c>
      <c r="F59" s="657">
        <v>10</v>
      </c>
    </row>
    <row r="60" spans="1:6" ht="12" customHeight="1" x14ac:dyDescent="0.25">
      <c r="A60" s="728"/>
      <c r="B60" s="631" t="s">
        <v>299</v>
      </c>
      <c r="C60" s="631" t="s">
        <v>317</v>
      </c>
      <c r="D60" s="631" t="s">
        <v>252</v>
      </c>
      <c r="E60" s="660">
        <v>168</v>
      </c>
      <c r="F60" s="657">
        <v>10</v>
      </c>
    </row>
    <row r="61" spans="1:6" ht="12" customHeight="1" x14ac:dyDescent="0.25">
      <c r="A61" s="728"/>
      <c r="B61" s="631" t="s">
        <v>299</v>
      </c>
      <c r="C61" s="631" t="s">
        <v>318</v>
      </c>
      <c r="D61" s="631" t="s">
        <v>252</v>
      </c>
      <c r="E61" s="660">
        <v>105</v>
      </c>
      <c r="F61" s="657">
        <v>10</v>
      </c>
    </row>
    <row r="62" spans="1:6" ht="12" customHeight="1" x14ac:dyDescent="0.25">
      <c r="A62" s="728"/>
      <c r="B62" s="631" t="s">
        <v>254</v>
      </c>
      <c r="C62" s="631" t="s">
        <v>325</v>
      </c>
      <c r="D62" s="631" t="s">
        <v>247</v>
      </c>
      <c r="E62" s="660">
        <v>12</v>
      </c>
      <c r="F62" s="657">
        <v>5</v>
      </c>
    </row>
    <row r="63" spans="1:6" ht="12" customHeight="1" x14ac:dyDescent="0.25">
      <c r="A63" s="728"/>
      <c r="B63" s="631" t="s">
        <v>279</v>
      </c>
      <c r="C63" s="631" t="s">
        <v>319</v>
      </c>
      <c r="D63" s="631" t="s">
        <v>281</v>
      </c>
      <c r="E63" s="660">
        <v>70</v>
      </c>
      <c r="F63" s="657">
        <v>9.17</v>
      </c>
    </row>
    <row r="64" spans="1:6" ht="12" customHeight="1" x14ac:dyDescent="0.25">
      <c r="A64" s="728"/>
      <c r="B64" s="631" t="s">
        <v>320</v>
      </c>
      <c r="C64" s="631" t="s">
        <v>320</v>
      </c>
      <c r="D64" s="631" t="s">
        <v>247</v>
      </c>
      <c r="E64" s="660">
        <v>37</v>
      </c>
      <c r="F64" s="657">
        <v>5</v>
      </c>
    </row>
    <row r="65" spans="1:6" ht="12" customHeight="1" x14ac:dyDescent="0.25">
      <c r="A65" s="727"/>
      <c r="B65" s="630" t="s">
        <v>321</v>
      </c>
      <c r="C65" s="631" t="s">
        <v>321</v>
      </c>
      <c r="D65" s="630" t="s">
        <v>247</v>
      </c>
      <c r="E65" s="660">
        <v>230</v>
      </c>
      <c r="F65" s="658">
        <v>5</v>
      </c>
    </row>
    <row r="66" spans="1:6" ht="12" customHeight="1" x14ac:dyDescent="0.25">
      <c r="A66" s="626" t="s">
        <v>322</v>
      </c>
      <c r="B66" s="631" t="s">
        <v>323</v>
      </c>
      <c r="C66" s="632" t="s">
        <v>324</v>
      </c>
      <c r="D66" s="633" t="s">
        <v>260</v>
      </c>
      <c r="E66" s="662">
        <v>1800</v>
      </c>
      <c r="F66" s="659">
        <v>2</v>
      </c>
    </row>
    <row r="67" spans="1:6" ht="9" customHeight="1" x14ac:dyDescent="0.2">
      <c r="A67" s="295" t="s">
        <v>246</v>
      </c>
      <c r="B67" s="295"/>
      <c r="C67" s="303"/>
    </row>
    <row r="68" spans="1:6" ht="9" customHeight="1" x14ac:dyDescent="0.2">
      <c r="A68" s="555" t="s">
        <v>67</v>
      </c>
      <c r="B68" s="304"/>
    </row>
    <row r="69" spans="1:6" ht="9" customHeight="1" x14ac:dyDescent="0.2">
      <c r="A69" s="555" t="s">
        <v>68</v>
      </c>
    </row>
    <row r="70" spans="1:6" ht="12.75" x14ac:dyDescent="0.2"/>
    <row r="71" spans="1:6" ht="12.75" x14ac:dyDescent="0.2"/>
    <row r="72" spans="1:6" ht="12.75" x14ac:dyDescent="0.2"/>
    <row r="73" spans="1:6" ht="12.75" x14ac:dyDescent="0.2"/>
    <row r="74" spans="1:6" ht="12.75" x14ac:dyDescent="0.2"/>
    <row r="75" spans="1:6" ht="12.75" x14ac:dyDescent="0.2"/>
    <row r="76" spans="1:6" ht="12.75" x14ac:dyDescent="0.2"/>
    <row r="77" spans="1:6" ht="12.75" x14ac:dyDescent="0.2"/>
    <row r="78" spans="1:6" ht="12.75" x14ac:dyDescent="0.2"/>
    <row r="79" spans="1:6" ht="12.75" x14ac:dyDescent="0.2"/>
    <row r="80" spans="1:6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</sheetData>
  <mergeCells count="9">
    <mergeCell ref="A2:F2"/>
    <mergeCell ref="A3:F3"/>
    <mergeCell ref="A39:A40"/>
    <mergeCell ref="A41:A65"/>
    <mergeCell ref="A6:A8"/>
    <mergeCell ref="A9:A11"/>
    <mergeCell ref="A12:A23"/>
    <mergeCell ref="A24:A28"/>
    <mergeCell ref="A29:A3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/>
  <dimension ref="A1:G603"/>
  <sheetViews>
    <sheetView showGridLines="0" zoomScaleNormal="100" workbookViewId="0">
      <selection activeCell="J16" sqref="J16"/>
    </sheetView>
  </sheetViews>
  <sheetFormatPr baseColWidth="10" defaultColWidth="13" defaultRowHeight="15" customHeight="1" x14ac:dyDescent="0.2"/>
  <cols>
    <col min="1" max="1" width="21.85546875" style="282" customWidth="1"/>
    <col min="2" max="2" width="10.28515625" style="282" customWidth="1"/>
    <col min="3" max="3" width="18.7109375" style="282" customWidth="1"/>
    <col min="4" max="4" width="15.85546875" style="282" customWidth="1"/>
    <col min="5" max="5" width="8.28515625" style="282" customWidth="1"/>
    <col min="6" max="6" width="8.140625" style="282" customWidth="1"/>
    <col min="7" max="7" width="8.7109375" style="282" customWidth="1"/>
    <col min="8" max="16384" width="13" style="282"/>
  </cols>
  <sheetData>
    <row r="1" spans="1:7" ht="16.350000000000001" customHeight="1" x14ac:dyDescent="0.25">
      <c r="A1" s="280" t="s">
        <v>596</v>
      </c>
      <c r="B1" s="281"/>
      <c r="C1" s="281"/>
      <c r="D1" s="281"/>
      <c r="E1" s="281"/>
      <c r="F1" s="281"/>
      <c r="G1" s="281"/>
    </row>
    <row r="2" spans="1:7" ht="13.5" x14ac:dyDescent="0.2">
      <c r="A2" s="734" t="s">
        <v>564</v>
      </c>
      <c r="B2" s="734"/>
      <c r="C2" s="734"/>
      <c r="D2" s="734"/>
      <c r="E2" s="734"/>
      <c r="F2" s="734"/>
      <c r="G2" s="734"/>
    </row>
    <row r="3" spans="1:7" ht="5.0999999999999996" customHeight="1" x14ac:dyDescent="0.2">
      <c r="A3" s="283"/>
      <c r="B3" s="283"/>
      <c r="C3" s="283"/>
      <c r="D3" s="283"/>
      <c r="E3" s="283"/>
      <c r="F3" s="283"/>
      <c r="G3" s="283"/>
    </row>
    <row r="4" spans="1:7" ht="25.5" x14ac:dyDescent="0.2">
      <c r="A4" s="239" t="s">
        <v>210</v>
      </c>
      <c r="B4" s="239" t="s">
        <v>211</v>
      </c>
      <c r="C4" s="239" t="s">
        <v>212</v>
      </c>
      <c r="D4" s="239" t="s">
        <v>213</v>
      </c>
      <c r="E4" s="284" t="s">
        <v>214</v>
      </c>
      <c r="F4" s="284" t="s">
        <v>215</v>
      </c>
      <c r="G4" s="285" t="s">
        <v>216</v>
      </c>
    </row>
    <row r="5" spans="1:7" ht="3.75" customHeight="1" x14ac:dyDescent="0.2">
      <c r="A5" s="286"/>
      <c r="B5" s="286"/>
      <c r="C5" s="286"/>
      <c r="D5" s="286"/>
      <c r="E5" s="286"/>
      <c r="F5" s="286"/>
      <c r="G5" s="286"/>
    </row>
    <row r="6" spans="1:7" ht="12.95" customHeight="1" x14ac:dyDescent="0.2">
      <c r="A6" s="732" t="s">
        <v>52</v>
      </c>
      <c r="B6" s="287" t="s">
        <v>217</v>
      </c>
      <c r="C6" s="287" t="s">
        <v>218</v>
      </c>
      <c r="D6" s="287" t="s">
        <v>219</v>
      </c>
      <c r="E6" s="663">
        <v>3</v>
      </c>
      <c r="F6" s="663">
        <v>0</v>
      </c>
      <c r="G6" s="668">
        <v>25</v>
      </c>
    </row>
    <row r="7" spans="1:7" ht="12.95" customHeight="1" x14ac:dyDescent="0.2">
      <c r="A7" s="732"/>
      <c r="B7" s="287" t="s">
        <v>217</v>
      </c>
      <c r="C7" s="287" t="s">
        <v>218</v>
      </c>
      <c r="D7" s="287" t="s">
        <v>220</v>
      </c>
      <c r="E7" s="664">
        <v>1</v>
      </c>
      <c r="F7" s="664">
        <v>0</v>
      </c>
      <c r="G7" s="668">
        <v>35</v>
      </c>
    </row>
    <row r="8" spans="1:7" ht="12.95" customHeight="1" x14ac:dyDescent="0.2">
      <c r="A8" s="732"/>
      <c r="B8" s="287" t="s">
        <v>217</v>
      </c>
      <c r="C8" s="287" t="s">
        <v>221</v>
      </c>
      <c r="D8" s="287" t="s">
        <v>219</v>
      </c>
      <c r="E8" s="664">
        <v>8</v>
      </c>
      <c r="F8" s="664">
        <v>0</v>
      </c>
      <c r="G8" s="668">
        <v>25</v>
      </c>
    </row>
    <row r="9" spans="1:7" ht="12.95" customHeight="1" x14ac:dyDescent="0.2">
      <c r="A9" s="732"/>
      <c r="B9" s="287" t="s">
        <v>217</v>
      </c>
      <c r="C9" s="287" t="s">
        <v>221</v>
      </c>
      <c r="D9" s="287" t="s">
        <v>220</v>
      </c>
      <c r="E9" s="664">
        <v>3</v>
      </c>
      <c r="F9" s="664">
        <v>0</v>
      </c>
      <c r="G9" s="668">
        <v>35</v>
      </c>
    </row>
    <row r="10" spans="1:7" ht="12.95" customHeight="1" x14ac:dyDescent="0.2">
      <c r="A10" s="732"/>
      <c r="B10" s="287" t="s">
        <v>217</v>
      </c>
      <c r="C10" s="287" t="s">
        <v>222</v>
      </c>
      <c r="D10" s="287" t="s">
        <v>219</v>
      </c>
      <c r="E10" s="664">
        <v>30</v>
      </c>
      <c r="F10" s="664">
        <v>0</v>
      </c>
      <c r="G10" s="668">
        <v>25</v>
      </c>
    </row>
    <row r="11" spans="1:7" ht="12.95" customHeight="1" x14ac:dyDescent="0.2">
      <c r="A11" s="732"/>
      <c r="B11" s="287" t="s">
        <v>217</v>
      </c>
      <c r="C11" s="287" t="s">
        <v>222</v>
      </c>
      <c r="D11" s="287" t="s">
        <v>220</v>
      </c>
      <c r="E11" s="664">
        <v>5</v>
      </c>
      <c r="F11" s="664">
        <v>0</v>
      </c>
      <c r="G11" s="668">
        <v>35</v>
      </c>
    </row>
    <row r="12" spans="1:7" ht="12.95" customHeight="1" x14ac:dyDescent="0.2">
      <c r="A12" s="732"/>
      <c r="B12" s="287" t="s">
        <v>217</v>
      </c>
      <c r="C12" s="287" t="s">
        <v>223</v>
      </c>
      <c r="D12" s="287" t="s">
        <v>220</v>
      </c>
      <c r="E12" s="664">
        <v>6</v>
      </c>
      <c r="F12" s="664">
        <v>8</v>
      </c>
      <c r="G12" s="668">
        <v>35</v>
      </c>
    </row>
    <row r="13" spans="1:7" ht="12.95" customHeight="1" x14ac:dyDescent="0.2">
      <c r="A13" s="732"/>
      <c r="B13" s="288" t="s">
        <v>217</v>
      </c>
      <c r="C13" s="288" t="s">
        <v>223</v>
      </c>
      <c r="D13" s="288" t="s">
        <v>219</v>
      </c>
      <c r="E13" s="665">
        <v>34</v>
      </c>
      <c r="F13" s="665">
        <v>20</v>
      </c>
      <c r="G13" s="669">
        <v>25</v>
      </c>
    </row>
    <row r="14" spans="1:7" ht="12.95" customHeight="1" x14ac:dyDescent="0.2">
      <c r="A14" s="731" t="s">
        <v>224</v>
      </c>
      <c r="B14" s="287" t="s">
        <v>225</v>
      </c>
      <c r="C14" s="287" t="s">
        <v>226</v>
      </c>
      <c r="D14" s="287" t="s">
        <v>220</v>
      </c>
      <c r="E14" s="664">
        <v>0</v>
      </c>
      <c r="F14" s="664">
        <v>15</v>
      </c>
      <c r="G14" s="668">
        <v>1500</v>
      </c>
    </row>
    <row r="15" spans="1:7" ht="12.95" customHeight="1" x14ac:dyDescent="0.2">
      <c r="A15" s="732"/>
      <c r="B15" s="287" t="s">
        <v>225</v>
      </c>
      <c r="C15" s="287" t="s">
        <v>226</v>
      </c>
      <c r="D15" s="287" t="s">
        <v>227</v>
      </c>
      <c r="E15" s="664">
        <v>7</v>
      </c>
      <c r="F15" s="664">
        <v>13</v>
      </c>
      <c r="G15" s="668">
        <v>2500</v>
      </c>
    </row>
    <row r="16" spans="1:7" ht="12.95" customHeight="1" x14ac:dyDescent="0.2">
      <c r="A16" s="732"/>
      <c r="B16" s="287" t="s">
        <v>217</v>
      </c>
      <c r="C16" s="287" t="s">
        <v>218</v>
      </c>
      <c r="D16" s="287" t="s">
        <v>219</v>
      </c>
      <c r="E16" s="664">
        <v>10</v>
      </c>
      <c r="F16" s="664">
        <v>21</v>
      </c>
      <c r="G16" s="668">
        <v>20</v>
      </c>
    </row>
    <row r="17" spans="1:7" ht="12.95" customHeight="1" x14ac:dyDescent="0.2">
      <c r="A17" s="732"/>
      <c r="B17" s="287" t="s">
        <v>217</v>
      </c>
      <c r="C17" s="287" t="s">
        <v>218</v>
      </c>
      <c r="D17" s="287" t="s">
        <v>220</v>
      </c>
      <c r="E17" s="664">
        <v>17</v>
      </c>
      <c r="F17" s="664">
        <v>103</v>
      </c>
      <c r="G17" s="668">
        <v>30</v>
      </c>
    </row>
    <row r="18" spans="1:7" ht="12.95" customHeight="1" x14ac:dyDescent="0.2">
      <c r="A18" s="732"/>
      <c r="B18" s="287" t="s">
        <v>217</v>
      </c>
      <c r="C18" s="287" t="s">
        <v>221</v>
      </c>
      <c r="D18" s="287" t="s">
        <v>219</v>
      </c>
      <c r="E18" s="664">
        <v>20</v>
      </c>
      <c r="F18" s="664">
        <v>20</v>
      </c>
      <c r="G18" s="668">
        <v>20</v>
      </c>
    </row>
    <row r="19" spans="1:7" ht="12.95" customHeight="1" x14ac:dyDescent="0.2">
      <c r="A19" s="732"/>
      <c r="B19" s="287" t="s">
        <v>217</v>
      </c>
      <c r="C19" s="287" t="s">
        <v>221</v>
      </c>
      <c r="D19" s="287" t="s">
        <v>220</v>
      </c>
      <c r="E19" s="664">
        <v>13</v>
      </c>
      <c r="F19" s="664">
        <v>103</v>
      </c>
      <c r="G19" s="670">
        <v>30</v>
      </c>
    </row>
    <row r="20" spans="1:7" ht="12.95" customHeight="1" x14ac:dyDescent="0.2">
      <c r="A20" s="732"/>
      <c r="B20" s="287" t="s">
        <v>217</v>
      </c>
      <c r="C20" s="287" t="s">
        <v>223</v>
      </c>
      <c r="D20" s="287" t="s">
        <v>219</v>
      </c>
      <c r="E20" s="664">
        <v>28</v>
      </c>
      <c r="F20" s="664">
        <v>13</v>
      </c>
      <c r="G20" s="670">
        <v>20</v>
      </c>
    </row>
    <row r="21" spans="1:7" ht="12.95" customHeight="1" x14ac:dyDescent="0.2">
      <c r="A21" s="733"/>
      <c r="B21" s="288" t="s">
        <v>217</v>
      </c>
      <c r="C21" s="288" t="s">
        <v>223</v>
      </c>
      <c r="D21" s="288" t="s">
        <v>220</v>
      </c>
      <c r="E21" s="665">
        <v>17</v>
      </c>
      <c r="F21" s="665">
        <v>110</v>
      </c>
      <c r="G21" s="669">
        <v>30</v>
      </c>
    </row>
    <row r="22" spans="1:7" ht="12.95" customHeight="1" x14ac:dyDescent="0.2">
      <c r="A22" s="735" t="s">
        <v>228</v>
      </c>
      <c r="B22" s="287" t="s">
        <v>217</v>
      </c>
      <c r="C22" s="287" t="s">
        <v>218</v>
      </c>
      <c r="D22" s="287" t="s">
        <v>219</v>
      </c>
      <c r="E22" s="664">
        <v>14</v>
      </c>
      <c r="F22" s="664">
        <v>0</v>
      </c>
      <c r="G22" s="668">
        <v>30</v>
      </c>
    </row>
    <row r="23" spans="1:7" ht="12.95" customHeight="1" x14ac:dyDescent="0.2">
      <c r="A23" s="736"/>
      <c r="B23" s="287" t="s">
        <v>217</v>
      </c>
      <c r="C23" s="287" t="s">
        <v>221</v>
      </c>
      <c r="D23" s="287" t="s">
        <v>219</v>
      </c>
      <c r="E23" s="664">
        <v>39</v>
      </c>
      <c r="F23" s="664">
        <v>55</v>
      </c>
      <c r="G23" s="668">
        <v>30</v>
      </c>
    </row>
    <row r="24" spans="1:7" ht="12.95" customHeight="1" x14ac:dyDescent="0.2">
      <c r="A24" s="737"/>
      <c r="B24" s="288" t="s">
        <v>217</v>
      </c>
      <c r="C24" s="288" t="s">
        <v>223</v>
      </c>
      <c r="D24" s="288" t="s">
        <v>219</v>
      </c>
      <c r="E24" s="665">
        <v>61</v>
      </c>
      <c r="F24" s="665">
        <v>70</v>
      </c>
      <c r="G24" s="669">
        <v>30</v>
      </c>
    </row>
    <row r="25" spans="1:7" ht="12.95" customHeight="1" x14ac:dyDescent="0.2">
      <c r="A25" s="731" t="s">
        <v>229</v>
      </c>
      <c r="B25" s="287" t="s">
        <v>217</v>
      </c>
      <c r="C25" s="287" t="s">
        <v>218</v>
      </c>
      <c r="D25" s="287" t="s">
        <v>219</v>
      </c>
      <c r="E25" s="664">
        <v>20</v>
      </c>
      <c r="F25" s="664">
        <v>10</v>
      </c>
      <c r="G25" s="668">
        <v>25</v>
      </c>
    </row>
    <row r="26" spans="1:7" ht="12.95" customHeight="1" x14ac:dyDescent="0.2">
      <c r="A26" s="732"/>
      <c r="B26" s="287" t="s">
        <v>217</v>
      </c>
      <c r="C26" s="287" t="s">
        <v>221</v>
      </c>
      <c r="D26" s="287" t="s">
        <v>219</v>
      </c>
      <c r="E26" s="664">
        <v>14</v>
      </c>
      <c r="F26" s="664">
        <v>15</v>
      </c>
      <c r="G26" s="668">
        <v>25</v>
      </c>
    </row>
    <row r="27" spans="1:7" ht="12.95" customHeight="1" x14ac:dyDescent="0.2">
      <c r="A27" s="733"/>
      <c r="B27" s="288" t="s">
        <v>217</v>
      </c>
      <c r="C27" s="288" t="s">
        <v>223</v>
      </c>
      <c r="D27" s="288" t="s">
        <v>219</v>
      </c>
      <c r="E27" s="665">
        <v>20</v>
      </c>
      <c r="F27" s="665">
        <v>10</v>
      </c>
      <c r="G27" s="669">
        <v>25</v>
      </c>
    </row>
    <row r="28" spans="1:7" ht="12.95" customHeight="1" x14ac:dyDescent="0.2">
      <c r="A28" s="289" t="s">
        <v>230</v>
      </c>
      <c r="B28" s="290" t="s">
        <v>217</v>
      </c>
      <c r="C28" s="290" t="s">
        <v>231</v>
      </c>
      <c r="D28" s="288" t="s">
        <v>219</v>
      </c>
      <c r="E28" s="666">
        <v>64</v>
      </c>
      <c r="F28" s="666">
        <v>324</v>
      </c>
      <c r="G28" s="671">
        <v>40</v>
      </c>
    </row>
    <row r="29" spans="1:7" ht="12.95" customHeight="1" x14ac:dyDescent="0.2">
      <c r="A29" s="731" t="s">
        <v>232</v>
      </c>
      <c r="B29" s="287" t="s">
        <v>217</v>
      </c>
      <c r="C29" s="287" t="s">
        <v>480</v>
      </c>
      <c r="D29" s="287" t="s">
        <v>220</v>
      </c>
      <c r="E29" s="664">
        <v>9</v>
      </c>
      <c r="F29" s="664">
        <v>0</v>
      </c>
      <c r="G29" s="668">
        <v>25</v>
      </c>
    </row>
    <row r="30" spans="1:7" ht="12.95" customHeight="1" x14ac:dyDescent="0.2">
      <c r="A30" s="732"/>
      <c r="B30" s="287" t="s">
        <v>217</v>
      </c>
      <c r="C30" s="287" t="s">
        <v>221</v>
      </c>
      <c r="D30" s="287" t="s">
        <v>220</v>
      </c>
      <c r="E30" s="664">
        <v>14</v>
      </c>
      <c r="F30" s="664">
        <v>0</v>
      </c>
      <c r="G30" s="668">
        <v>25</v>
      </c>
    </row>
    <row r="31" spans="1:7" ht="12.95" customHeight="1" x14ac:dyDescent="0.2">
      <c r="A31" s="733"/>
      <c r="B31" s="288" t="s">
        <v>217</v>
      </c>
      <c r="C31" s="288" t="s">
        <v>223</v>
      </c>
      <c r="D31" s="288" t="s">
        <v>220</v>
      </c>
      <c r="E31" s="665">
        <v>23</v>
      </c>
      <c r="F31" s="665">
        <v>0</v>
      </c>
      <c r="G31" s="669">
        <v>25</v>
      </c>
    </row>
    <row r="32" spans="1:7" ht="12.95" customHeight="1" x14ac:dyDescent="0.2">
      <c r="A32" s="731" t="s">
        <v>233</v>
      </c>
      <c r="B32" s="287" t="s">
        <v>217</v>
      </c>
      <c r="C32" s="287" t="s">
        <v>218</v>
      </c>
      <c r="D32" s="287" t="s">
        <v>219</v>
      </c>
      <c r="E32" s="664">
        <v>20</v>
      </c>
      <c r="F32" s="664">
        <v>0</v>
      </c>
      <c r="G32" s="670">
        <v>35</v>
      </c>
    </row>
    <row r="33" spans="1:7" ht="12.95" customHeight="1" x14ac:dyDescent="0.2">
      <c r="A33" s="732"/>
      <c r="B33" s="288" t="s">
        <v>217</v>
      </c>
      <c r="C33" s="288" t="s">
        <v>221</v>
      </c>
      <c r="D33" s="288" t="s">
        <v>219</v>
      </c>
      <c r="E33" s="665">
        <v>20</v>
      </c>
      <c r="F33" s="665">
        <v>0</v>
      </c>
      <c r="G33" s="669">
        <v>35</v>
      </c>
    </row>
    <row r="34" spans="1:7" ht="12.95" customHeight="1" x14ac:dyDescent="0.2">
      <c r="A34" s="731" t="s">
        <v>234</v>
      </c>
      <c r="B34" s="287" t="s">
        <v>225</v>
      </c>
      <c r="C34" s="287" t="s">
        <v>235</v>
      </c>
      <c r="D34" s="287" t="s">
        <v>227</v>
      </c>
      <c r="E34" s="664">
        <v>9</v>
      </c>
      <c r="F34" s="664">
        <v>4</v>
      </c>
      <c r="G34" s="670">
        <v>5000</v>
      </c>
    </row>
    <row r="35" spans="1:7" ht="12.95" customHeight="1" x14ac:dyDescent="0.2">
      <c r="A35" s="733"/>
      <c r="B35" s="288" t="s">
        <v>236</v>
      </c>
      <c r="C35" s="288" t="s">
        <v>237</v>
      </c>
      <c r="D35" s="288" t="s">
        <v>238</v>
      </c>
      <c r="E35" s="665">
        <v>5</v>
      </c>
      <c r="F35" s="665">
        <v>4</v>
      </c>
      <c r="G35" s="669">
        <v>500</v>
      </c>
    </row>
    <row r="36" spans="1:7" ht="12.95" customHeight="1" x14ac:dyDescent="0.2">
      <c r="A36" s="731" t="s">
        <v>239</v>
      </c>
      <c r="B36" s="287" t="s">
        <v>217</v>
      </c>
      <c r="C36" s="287" t="s">
        <v>223</v>
      </c>
      <c r="D36" s="287" t="s">
        <v>219</v>
      </c>
      <c r="E36" s="664">
        <v>25</v>
      </c>
      <c r="F36" s="664">
        <v>0</v>
      </c>
      <c r="G36" s="668">
        <v>30</v>
      </c>
    </row>
    <row r="37" spans="1:7" ht="12.95" customHeight="1" x14ac:dyDescent="0.2">
      <c r="A37" s="733"/>
      <c r="B37" s="288" t="s">
        <v>217</v>
      </c>
      <c r="C37" s="288" t="s">
        <v>223</v>
      </c>
      <c r="D37" s="288" t="s">
        <v>219</v>
      </c>
      <c r="E37" s="665">
        <v>0</v>
      </c>
      <c r="F37" s="665">
        <v>50</v>
      </c>
      <c r="G37" s="669">
        <v>25</v>
      </c>
    </row>
    <row r="38" spans="1:7" ht="12.95" customHeight="1" x14ac:dyDescent="0.2">
      <c r="A38" s="731" t="s">
        <v>240</v>
      </c>
      <c r="B38" s="292" t="s">
        <v>217</v>
      </c>
      <c r="C38" s="292" t="s">
        <v>222</v>
      </c>
      <c r="D38" s="292" t="s">
        <v>220</v>
      </c>
      <c r="E38" s="667">
        <v>4</v>
      </c>
      <c r="F38" s="667">
        <v>0</v>
      </c>
      <c r="G38" s="672">
        <v>40</v>
      </c>
    </row>
    <row r="39" spans="1:7" ht="12.95" customHeight="1" x14ac:dyDescent="0.2">
      <c r="A39" s="733"/>
      <c r="B39" s="288" t="s">
        <v>217</v>
      </c>
      <c r="C39" s="288" t="s">
        <v>222</v>
      </c>
      <c r="D39" s="288" t="s">
        <v>220</v>
      </c>
      <c r="E39" s="665">
        <v>4</v>
      </c>
      <c r="F39" s="665">
        <v>0</v>
      </c>
      <c r="G39" s="669">
        <v>35</v>
      </c>
    </row>
    <row r="40" spans="1:7" ht="12.95" customHeight="1" x14ac:dyDescent="0.2">
      <c r="A40" s="731" t="s">
        <v>305</v>
      </c>
      <c r="B40" s="287" t="s">
        <v>225</v>
      </c>
      <c r="C40" s="287" t="s">
        <v>481</v>
      </c>
      <c r="D40" s="287" t="s">
        <v>227</v>
      </c>
      <c r="E40" s="664">
        <v>1</v>
      </c>
      <c r="F40" s="664">
        <v>0</v>
      </c>
      <c r="G40" s="670">
        <v>4000</v>
      </c>
    </row>
    <row r="41" spans="1:7" ht="12.95" customHeight="1" x14ac:dyDescent="0.2">
      <c r="A41" s="732"/>
      <c r="B41" s="287" t="s">
        <v>225</v>
      </c>
      <c r="C41" s="287" t="s">
        <v>482</v>
      </c>
      <c r="D41" s="287" t="s">
        <v>227</v>
      </c>
      <c r="E41" s="664">
        <v>1</v>
      </c>
      <c r="F41" s="664">
        <v>0</v>
      </c>
      <c r="G41" s="670">
        <v>4000</v>
      </c>
    </row>
    <row r="42" spans="1:7" ht="12.95" customHeight="1" x14ac:dyDescent="0.2">
      <c r="A42" s="733"/>
      <c r="B42" s="288" t="s">
        <v>225</v>
      </c>
      <c r="C42" s="288" t="s">
        <v>483</v>
      </c>
      <c r="D42" s="288" t="s">
        <v>227</v>
      </c>
      <c r="E42" s="665">
        <v>2</v>
      </c>
      <c r="F42" s="665">
        <v>0</v>
      </c>
      <c r="G42" s="669">
        <v>4500</v>
      </c>
    </row>
    <row r="43" spans="1:7" ht="12.95" customHeight="1" x14ac:dyDescent="0.2">
      <c r="A43" s="731" t="s">
        <v>241</v>
      </c>
      <c r="B43" s="287" t="s">
        <v>217</v>
      </c>
      <c r="C43" s="287" t="s">
        <v>218</v>
      </c>
      <c r="D43" s="287" t="s">
        <v>219</v>
      </c>
      <c r="E43" s="664">
        <v>25</v>
      </c>
      <c r="F43" s="664">
        <v>18</v>
      </c>
      <c r="G43" s="668">
        <v>45</v>
      </c>
    </row>
    <row r="44" spans="1:7" ht="12.95" customHeight="1" x14ac:dyDescent="0.2">
      <c r="A44" s="732"/>
      <c r="B44" s="287" t="s">
        <v>217</v>
      </c>
      <c r="C44" s="287" t="s">
        <v>221</v>
      </c>
      <c r="D44" s="287" t="s">
        <v>219</v>
      </c>
      <c r="E44" s="664">
        <v>4</v>
      </c>
      <c r="F44" s="664">
        <v>2</v>
      </c>
      <c r="G44" s="668">
        <v>45</v>
      </c>
    </row>
    <row r="45" spans="1:7" ht="12.95" customHeight="1" x14ac:dyDescent="0.2">
      <c r="A45" s="732"/>
      <c r="B45" s="287" t="s">
        <v>217</v>
      </c>
      <c r="C45" s="287" t="s">
        <v>242</v>
      </c>
      <c r="D45" s="287" t="s">
        <v>219</v>
      </c>
      <c r="E45" s="664">
        <v>60</v>
      </c>
      <c r="F45" s="664">
        <v>20</v>
      </c>
      <c r="G45" s="668">
        <v>45</v>
      </c>
    </row>
    <row r="46" spans="1:7" ht="12.95" customHeight="1" x14ac:dyDescent="0.2">
      <c r="A46" s="733"/>
      <c r="B46" s="288" t="s">
        <v>217</v>
      </c>
      <c r="C46" s="288" t="s">
        <v>223</v>
      </c>
      <c r="D46" s="288" t="s">
        <v>219</v>
      </c>
      <c r="E46" s="665">
        <v>8</v>
      </c>
      <c r="F46" s="665">
        <v>5</v>
      </c>
      <c r="G46" s="669">
        <v>45</v>
      </c>
    </row>
    <row r="47" spans="1:7" ht="12.95" customHeight="1" x14ac:dyDescent="0.2">
      <c r="A47" s="731" t="s">
        <v>243</v>
      </c>
      <c r="B47" s="287" t="s">
        <v>217</v>
      </c>
      <c r="C47" s="287" t="s">
        <v>244</v>
      </c>
      <c r="D47" s="287" t="s">
        <v>220</v>
      </c>
      <c r="E47" s="664">
        <v>3</v>
      </c>
      <c r="F47" s="664">
        <v>2</v>
      </c>
      <c r="G47" s="668">
        <v>30</v>
      </c>
    </row>
    <row r="48" spans="1:7" ht="12.95" customHeight="1" x14ac:dyDescent="0.2">
      <c r="A48" s="732"/>
      <c r="B48" s="287" t="s">
        <v>217</v>
      </c>
      <c r="C48" s="287" t="s">
        <v>231</v>
      </c>
      <c r="D48" s="287" t="s">
        <v>219</v>
      </c>
      <c r="E48" s="664">
        <v>12</v>
      </c>
      <c r="F48" s="664">
        <v>3</v>
      </c>
      <c r="G48" s="668">
        <v>30</v>
      </c>
    </row>
    <row r="49" spans="1:7" ht="12.95" customHeight="1" x14ac:dyDescent="0.2">
      <c r="A49" s="732"/>
      <c r="B49" s="287" t="s">
        <v>217</v>
      </c>
      <c r="C49" s="287" t="s">
        <v>223</v>
      </c>
      <c r="D49" s="287" t="s">
        <v>220</v>
      </c>
      <c r="E49" s="664">
        <v>15</v>
      </c>
      <c r="F49" s="664">
        <v>2</v>
      </c>
      <c r="G49" s="670">
        <v>30</v>
      </c>
    </row>
    <row r="50" spans="1:7" ht="12.95" customHeight="1" x14ac:dyDescent="0.2">
      <c r="A50" s="733"/>
      <c r="B50" s="288" t="s">
        <v>236</v>
      </c>
      <c r="C50" s="288" t="s">
        <v>245</v>
      </c>
      <c r="D50" s="288" t="s">
        <v>238</v>
      </c>
      <c r="E50" s="665">
        <v>7</v>
      </c>
      <c r="F50" s="665">
        <v>2</v>
      </c>
      <c r="G50" s="669">
        <v>300</v>
      </c>
    </row>
    <row r="51" spans="1:7" ht="9" customHeight="1" x14ac:dyDescent="0.2">
      <c r="A51" s="293" t="s">
        <v>246</v>
      </c>
      <c r="B51" s="294"/>
      <c r="C51" s="4"/>
      <c r="D51" s="4"/>
      <c r="E51" s="2"/>
      <c r="F51" s="4"/>
      <c r="G51" s="4"/>
    </row>
    <row r="52" spans="1:7" ht="9" customHeight="1" x14ac:dyDescent="0.2">
      <c r="A52" s="555" t="s">
        <v>67</v>
      </c>
      <c r="B52" s="294"/>
      <c r="C52" s="2"/>
      <c r="D52" s="2"/>
      <c r="E52" s="2"/>
      <c r="F52" s="2"/>
      <c r="G52" s="2"/>
    </row>
    <row r="53" spans="1:7" ht="9" customHeight="1" x14ac:dyDescent="0.15">
      <c r="A53" s="556" t="s">
        <v>68</v>
      </c>
    </row>
    <row r="54" spans="1:7" ht="13.5" x14ac:dyDescent="0.2"/>
    <row r="55" spans="1:7" ht="13.5" x14ac:dyDescent="0.2"/>
    <row r="56" spans="1:7" ht="13.5" x14ac:dyDescent="0.2"/>
    <row r="57" spans="1:7" ht="13.5" x14ac:dyDescent="0.2"/>
    <row r="58" spans="1:7" ht="13.5" x14ac:dyDescent="0.2"/>
    <row r="59" spans="1:7" ht="13.5" x14ac:dyDescent="0.2"/>
    <row r="60" spans="1:7" ht="13.5" x14ac:dyDescent="0.2"/>
    <row r="61" spans="1:7" ht="13.5" x14ac:dyDescent="0.2"/>
    <row r="62" spans="1:7" ht="13.5" x14ac:dyDescent="0.2"/>
    <row r="63" spans="1:7" ht="13.5" x14ac:dyDescent="0.2"/>
    <row r="64" spans="1:7" ht="13.5" x14ac:dyDescent="0.2"/>
    <row r="65" s="282" customFormat="1" ht="13.5" x14ac:dyDescent="0.2"/>
    <row r="66" s="282" customFormat="1" ht="13.5" x14ac:dyDescent="0.2"/>
    <row r="67" s="282" customFormat="1" ht="13.5" x14ac:dyDescent="0.2"/>
    <row r="68" s="282" customFormat="1" ht="13.5" x14ac:dyDescent="0.2"/>
    <row r="69" s="282" customFormat="1" ht="13.5" x14ac:dyDescent="0.2"/>
    <row r="70" s="282" customFormat="1" ht="13.5" x14ac:dyDescent="0.2"/>
    <row r="71" s="282" customFormat="1" ht="13.5" x14ac:dyDescent="0.2"/>
    <row r="72" s="282" customFormat="1" ht="13.5" x14ac:dyDescent="0.2"/>
    <row r="73" s="282" customFormat="1" ht="13.5" x14ac:dyDescent="0.2"/>
    <row r="74" s="282" customFormat="1" ht="13.5" x14ac:dyDescent="0.2"/>
    <row r="75" s="282" customFormat="1" ht="13.5" x14ac:dyDescent="0.2"/>
    <row r="76" s="282" customFormat="1" ht="13.5" x14ac:dyDescent="0.2"/>
    <row r="77" s="282" customFormat="1" ht="13.5" x14ac:dyDescent="0.2"/>
    <row r="78" s="282" customFormat="1" ht="13.5" x14ac:dyDescent="0.2"/>
    <row r="79" s="282" customFormat="1" ht="13.5" x14ac:dyDescent="0.2"/>
    <row r="80" s="282" customFormat="1" ht="13.5" x14ac:dyDescent="0.2"/>
    <row r="81" s="282" customFormat="1" ht="13.5" x14ac:dyDescent="0.2"/>
    <row r="82" s="282" customFormat="1" ht="13.5" x14ac:dyDescent="0.2"/>
    <row r="83" s="282" customFormat="1" ht="13.5" x14ac:dyDescent="0.2"/>
    <row r="84" s="282" customFormat="1" ht="13.5" x14ac:dyDescent="0.2"/>
    <row r="85" s="282" customFormat="1" ht="13.5" x14ac:dyDescent="0.2"/>
    <row r="86" s="282" customFormat="1" ht="13.5" x14ac:dyDescent="0.2"/>
    <row r="87" s="282" customFormat="1" ht="13.5" x14ac:dyDescent="0.2"/>
    <row r="88" s="282" customFormat="1" ht="13.5" x14ac:dyDescent="0.2"/>
    <row r="89" s="282" customFormat="1" ht="13.5" x14ac:dyDescent="0.2"/>
    <row r="90" s="282" customFormat="1" ht="13.5" x14ac:dyDescent="0.2"/>
    <row r="91" s="282" customFormat="1" ht="13.5" x14ac:dyDescent="0.2"/>
    <row r="92" s="282" customFormat="1" ht="13.5" x14ac:dyDescent="0.2"/>
    <row r="93" s="282" customFormat="1" ht="13.5" x14ac:dyDescent="0.2"/>
    <row r="94" s="282" customFormat="1" ht="13.5" x14ac:dyDescent="0.2"/>
    <row r="95" s="282" customFormat="1" ht="13.5" x14ac:dyDescent="0.2"/>
    <row r="96" s="282" customFormat="1" ht="13.5" x14ac:dyDescent="0.2"/>
    <row r="97" s="282" customFormat="1" ht="13.5" x14ac:dyDescent="0.2"/>
    <row r="98" s="282" customFormat="1" ht="13.5" x14ac:dyDescent="0.2"/>
    <row r="99" s="282" customFormat="1" ht="13.5" x14ac:dyDescent="0.2"/>
    <row r="100" s="282" customFormat="1" ht="13.5" x14ac:dyDescent="0.2"/>
    <row r="101" s="282" customFormat="1" ht="13.5" x14ac:dyDescent="0.2"/>
    <row r="102" s="282" customFormat="1" ht="13.5" x14ac:dyDescent="0.2"/>
    <row r="103" s="282" customFormat="1" ht="13.5" x14ac:dyDescent="0.2"/>
    <row r="104" s="282" customFormat="1" ht="13.5" x14ac:dyDescent="0.2"/>
    <row r="105" s="282" customFormat="1" ht="13.5" x14ac:dyDescent="0.2"/>
    <row r="106" s="282" customFormat="1" ht="13.5" x14ac:dyDescent="0.2"/>
    <row r="107" s="282" customFormat="1" ht="13.5" x14ac:dyDescent="0.2"/>
    <row r="108" s="282" customFormat="1" ht="13.5" x14ac:dyDescent="0.2"/>
    <row r="109" s="282" customFormat="1" ht="13.5" x14ac:dyDescent="0.2"/>
    <row r="110" s="282" customFormat="1" ht="13.5" x14ac:dyDescent="0.2"/>
    <row r="111" s="282" customFormat="1" ht="13.5" x14ac:dyDescent="0.2"/>
    <row r="112" s="282" customFormat="1" ht="13.5" x14ac:dyDescent="0.2"/>
    <row r="113" s="282" customFormat="1" ht="13.5" x14ac:dyDescent="0.2"/>
    <row r="114" s="282" customFormat="1" ht="13.5" x14ac:dyDescent="0.2"/>
    <row r="115" s="282" customFormat="1" ht="13.5" x14ac:dyDescent="0.2"/>
    <row r="116" s="282" customFormat="1" ht="13.5" x14ac:dyDescent="0.2"/>
    <row r="117" s="282" customFormat="1" ht="13.5" x14ac:dyDescent="0.2"/>
    <row r="118" s="282" customFormat="1" ht="13.5" x14ac:dyDescent="0.2"/>
    <row r="119" s="282" customFormat="1" ht="13.5" x14ac:dyDescent="0.2"/>
    <row r="120" s="282" customFormat="1" ht="13.5" x14ac:dyDescent="0.2"/>
    <row r="121" s="282" customFormat="1" ht="13.5" x14ac:dyDescent="0.2"/>
    <row r="122" s="282" customFormat="1" ht="13.5" x14ac:dyDescent="0.2"/>
    <row r="123" s="282" customFormat="1" ht="13.5" x14ac:dyDescent="0.2"/>
    <row r="124" s="282" customFormat="1" ht="13.5" x14ac:dyDescent="0.2"/>
    <row r="125" s="282" customFormat="1" ht="13.5" x14ac:dyDescent="0.2"/>
    <row r="126" s="282" customFormat="1" ht="13.5" x14ac:dyDescent="0.2"/>
    <row r="127" s="282" customFormat="1" ht="13.5" x14ac:dyDescent="0.2"/>
    <row r="128" s="282" customFormat="1" ht="13.5" x14ac:dyDescent="0.2"/>
    <row r="129" s="282" customFormat="1" ht="13.5" x14ac:dyDescent="0.2"/>
    <row r="130" s="282" customFormat="1" ht="13.5" x14ac:dyDescent="0.2"/>
    <row r="131" s="282" customFormat="1" ht="13.5" x14ac:dyDescent="0.2"/>
    <row r="132" s="282" customFormat="1" ht="13.5" x14ac:dyDescent="0.2"/>
    <row r="133" s="282" customFormat="1" ht="13.5" x14ac:dyDescent="0.2"/>
    <row r="134" s="282" customFormat="1" ht="13.5" x14ac:dyDescent="0.2"/>
    <row r="135" s="282" customFormat="1" ht="13.5" x14ac:dyDescent="0.2"/>
    <row r="136" s="282" customFormat="1" ht="13.5" x14ac:dyDescent="0.2"/>
    <row r="137" s="282" customFormat="1" ht="13.5" x14ac:dyDescent="0.2"/>
    <row r="138" s="282" customFormat="1" ht="13.5" x14ac:dyDescent="0.2"/>
    <row r="139" s="282" customFormat="1" ht="13.5" x14ac:dyDescent="0.2"/>
    <row r="140" s="282" customFormat="1" ht="13.5" x14ac:dyDescent="0.2"/>
    <row r="141" s="282" customFormat="1" ht="13.5" x14ac:dyDescent="0.2"/>
    <row r="142" s="282" customFormat="1" ht="13.5" x14ac:dyDescent="0.2"/>
    <row r="143" s="282" customFormat="1" ht="13.5" x14ac:dyDescent="0.2"/>
    <row r="144" s="282" customFormat="1" ht="13.5" x14ac:dyDescent="0.2"/>
    <row r="145" s="282" customFormat="1" ht="13.5" x14ac:dyDescent="0.2"/>
    <row r="146" s="282" customFormat="1" ht="13.5" x14ac:dyDescent="0.2"/>
    <row r="147" s="282" customFormat="1" ht="13.5" x14ac:dyDescent="0.2"/>
    <row r="148" s="282" customFormat="1" ht="13.5" x14ac:dyDescent="0.2"/>
    <row r="149" s="282" customFormat="1" ht="13.5" x14ac:dyDescent="0.2"/>
    <row r="150" s="282" customFormat="1" ht="13.5" x14ac:dyDescent="0.2"/>
    <row r="151" s="282" customFormat="1" ht="13.5" x14ac:dyDescent="0.2"/>
    <row r="152" s="282" customFormat="1" ht="13.5" x14ac:dyDescent="0.2"/>
    <row r="153" s="282" customFormat="1" ht="13.5" x14ac:dyDescent="0.2"/>
    <row r="154" s="282" customFormat="1" ht="13.5" x14ac:dyDescent="0.2"/>
    <row r="155" s="282" customFormat="1" ht="13.5" x14ac:dyDescent="0.2"/>
    <row r="156" s="282" customFormat="1" ht="13.5" x14ac:dyDescent="0.2"/>
    <row r="157" s="282" customFormat="1" ht="13.5" x14ac:dyDescent="0.2"/>
    <row r="158" s="282" customFormat="1" ht="13.5" x14ac:dyDescent="0.2"/>
    <row r="159" s="282" customFormat="1" ht="13.5" x14ac:dyDescent="0.2"/>
    <row r="160" s="282" customFormat="1" ht="13.5" x14ac:dyDescent="0.2"/>
    <row r="161" s="282" customFormat="1" ht="13.5" x14ac:dyDescent="0.2"/>
    <row r="162" s="282" customFormat="1" ht="13.5" x14ac:dyDescent="0.2"/>
    <row r="163" s="282" customFormat="1" ht="13.5" x14ac:dyDescent="0.2"/>
    <row r="164" s="282" customFormat="1" ht="13.5" x14ac:dyDescent="0.2"/>
    <row r="165" s="282" customFormat="1" ht="13.5" x14ac:dyDescent="0.2"/>
    <row r="166" s="282" customFormat="1" ht="13.5" x14ac:dyDescent="0.2"/>
    <row r="167" s="282" customFormat="1" ht="13.5" x14ac:dyDescent="0.2"/>
    <row r="168" s="282" customFormat="1" ht="13.5" x14ac:dyDescent="0.2"/>
    <row r="169" s="282" customFormat="1" ht="13.5" x14ac:dyDescent="0.2"/>
    <row r="170" s="282" customFormat="1" ht="13.5" x14ac:dyDescent="0.2"/>
    <row r="171" s="282" customFormat="1" ht="13.5" x14ac:dyDescent="0.2"/>
    <row r="172" s="282" customFormat="1" ht="13.5" x14ac:dyDescent="0.2"/>
    <row r="173" s="282" customFormat="1" ht="13.5" x14ac:dyDescent="0.2"/>
    <row r="174" s="282" customFormat="1" ht="13.5" x14ac:dyDescent="0.2"/>
    <row r="175" s="282" customFormat="1" ht="13.5" x14ac:dyDescent="0.2"/>
    <row r="176" s="282" customFormat="1" ht="13.5" x14ac:dyDescent="0.2"/>
    <row r="177" s="282" customFormat="1" ht="13.5" x14ac:dyDescent="0.2"/>
    <row r="178" s="282" customFormat="1" ht="13.5" x14ac:dyDescent="0.2"/>
    <row r="179" s="282" customFormat="1" ht="13.5" x14ac:dyDescent="0.2"/>
    <row r="180" s="282" customFormat="1" ht="13.5" x14ac:dyDescent="0.2"/>
    <row r="181" s="282" customFormat="1" ht="13.5" x14ac:dyDescent="0.2"/>
    <row r="182" s="282" customFormat="1" ht="13.5" x14ac:dyDescent="0.2"/>
    <row r="183" s="282" customFormat="1" ht="13.5" x14ac:dyDescent="0.2"/>
    <row r="184" s="282" customFormat="1" ht="13.5" x14ac:dyDescent="0.2"/>
    <row r="185" s="282" customFormat="1" ht="13.5" x14ac:dyDescent="0.2"/>
    <row r="186" s="282" customFormat="1" ht="13.5" x14ac:dyDescent="0.2"/>
    <row r="187" s="282" customFormat="1" ht="13.5" x14ac:dyDescent="0.2"/>
    <row r="188" s="282" customFormat="1" ht="13.5" x14ac:dyDescent="0.2"/>
    <row r="189" s="282" customFormat="1" ht="13.5" x14ac:dyDescent="0.2"/>
    <row r="190" s="282" customFormat="1" ht="13.5" x14ac:dyDescent="0.2"/>
    <row r="191" s="282" customFormat="1" ht="13.5" x14ac:dyDescent="0.2"/>
    <row r="192" s="282" customFormat="1" ht="13.5" x14ac:dyDescent="0.2"/>
    <row r="193" s="282" customFormat="1" ht="13.5" x14ac:dyDescent="0.2"/>
    <row r="194" s="282" customFormat="1" ht="13.5" x14ac:dyDescent="0.2"/>
    <row r="195" s="282" customFormat="1" ht="13.5" x14ac:dyDescent="0.2"/>
    <row r="196" s="282" customFormat="1" ht="13.5" x14ac:dyDescent="0.2"/>
    <row r="197" s="282" customFormat="1" ht="13.5" x14ac:dyDescent="0.2"/>
    <row r="198" s="282" customFormat="1" ht="13.5" x14ac:dyDescent="0.2"/>
    <row r="199" s="282" customFormat="1" ht="13.5" x14ac:dyDescent="0.2"/>
    <row r="200" s="282" customFormat="1" ht="13.5" x14ac:dyDescent="0.2"/>
    <row r="201" s="282" customFormat="1" ht="13.5" x14ac:dyDescent="0.2"/>
    <row r="202" s="282" customFormat="1" ht="13.5" x14ac:dyDescent="0.2"/>
    <row r="203" s="282" customFormat="1" ht="13.5" x14ac:dyDescent="0.2"/>
    <row r="204" s="282" customFormat="1" ht="13.5" x14ac:dyDescent="0.2"/>
    <row r="205" s="282" customFormat="1" ht="13.5" x14ac:dyDescent="0.2"/>
    <row r="206" s="282" customFormat="1" ht="13.5" x14ac:dyDescent="0.2"/>
    <row r="207" s="282" customFormat="1" ht="13.5" x14ac:dyDescent="0.2"/>
    <row r="208" s="282" customFormat="1" ht="13.5" x14ac:dyDescent="0.2"/>
    <row r="209" s="282" customFormat="1" ht="13.5" x14ac:dyDescent="0.2"/>
    <row r="210" s="282" customFormat="1" ht="13.5" x14ac:dyDescent="0.2"/>
    <row r="211" s="282" customFormat="1" ht="13.5" x14ac:dyDescent="0.2"/>
    <row r="212" s="282" customFormat="1" ht="13.5" x14ac:dyDescent="0.2"/>
    <row r="213" s="282" customFormat="1" ht="13.5" x14ac:dyDescent="0.2"/>
    <row r="214" s="282" customFormat="1" ht="13.5" x14ac:dyDescent="0.2"/>
    <row r="215" s="282" customFormat="1" ht="13.5" x14ac:dyDescent="0.2"/>
    <row r="216" s="282" customFormat="1" ht="13.5" x14ac:dyDescent="0.2"/>
    <row r="217" s="282" customFormat="1" ht="13.5" x14ac:dyDescent="0.2"/>
    <row r="218" s="282" customFormat="1" ht="13.5" x14ac:dyDescent="0.2"/>
    <row r="219" s="282" customFormat="1" ht="13.5" x14ac:dyDescent="0.2"/>
    <row r="220" s="282" customFormat="1" ht="13.5" x14ac:dyDescent="0.2"/>
    <row r="221" s="282" customFormat="1" ht="13.5" x14ac:dyDescent="0.2"/>
    <row r="222" s="282" customFormat="1" ht="13.5" x14ac:dyDescent="0.2"/>
    <row r="223" s="282" customFormat="1" ht="13.5" x14ac:dyDescent="0.2"/>
    <row r="224" s="282" customFormat="1" ht="13.5" x14ac:dyDescent="0.2"/>
    <row r="225" s="282" customFormat="1" ht="13.5" x14ac:dyDescent="0.2"/>
    <row r="226" s="282" customFormat="1" ht="13.5" x14ac:dyDescent="0.2"/>
    <row r="227" s="282" customFormat="1" ht="13.5" x14ac:dyDescent="0.2"/>
    <row r="228" s="282" customFormat="1" ht="13.5" x14ac:dyDescent="0.2"/>
    <row r="229" s="282" customFormat="1" ht="13.5" x14ac:dyDescent="0.2"/>
    <row r="230" s="282" customFormat="1" ht="13.5" x14ac:dyDescent="0.2"/>
    <row r="231" s="282" customFormat="1" ht="13.5" x14ac:dyDescent="0.2"/>
    <row r="232" s="282" customFormat="1" ht="13.5" x14ac:dyDescent="0.2"/>
    <row r="233" s="282" customFormat="1" ht="13.5" x14ac:dyDescent="0.2"/>
    <row r="234" s="282" customFormat="1" ht="13.5" x14ac:dyDescent="0.2"/>
    <row r="235" s="282" customFormat="1" ht="13.5" x14ac:dyDescent="0.2"/>
    <row r="236" s="282" customFormat="1" ht="13.5" x14ac:dyDescent="0.2"/>
    <row r="237" s="282" customFormat="1" ht="13.5" x14ac:dyDescent="0.2"/>
    <row r="238" s="282" customFormat="1" ht="13.5" x14ac:dyDescent="0.2"/>
    <row r="239" s="282" customFormat="1" ht="13.5" x14ac:dyDescent="0.2"/>
    <row r="240" s="282" customFormat="1" ht="13.5" x14ac:dyDescent="0.2"/>
    <row r="241" s="282" customFormat="1" ht="13.5" x14ac:dyDescent="0.2"/>
    <row r="242" s="282" customFormat="1" ht="13.5" x14ac:dyDescent="0.2"/>
    <row r="243" s="282" customFormat="1" ht="13.5" x14ac:dyDescent="0.2"/>
    <row r="244" s="282" customFormat="1" ht="13.5" x14ac:dyDescent="0.2"/>
    <row r="245" s="282" customFormat="1" ht="13.5" x14ac:dyDescent="0.2"/>
    <row r="246" s="282" customFormat="1" ht="13.5" x14ac:dyDescent="0.2"/>
    <row r="247" s="282" customFormat="1" ht="13.5" x14ac:dyDescent="0.2"/>
    <row r="248" s="282" customFormat="1" ht="13.5" x14ac:dyDescent="0.2"/>
    <row r="249" s="282" customFormat="1" ht="13.5" x14ac:dyDescent="0.2"/>
    <row r="250" s="282" customFormat="1" ht="13.5" x14ac:dyDescent="0.2"/>
    <row r="251" s="282" customFormat="1" ht="13.5" x14ac:dyDescent="0.2"/>
    <row r="252" s="282" customFormat="1" ht="13.5" x14ac:dyDescent="0.2"/>
    <row r="253" s="282" customFormat="1" ht="13.5" x14ac:dyDescent="0.2"/>
    <row r="254" s="282" customFormat="1" ht="13.5" x14ac:dyDescent="0.2"/>
    <row r="255" s="282" customFormat="1" ht="13.5" x14ac:dyDescent="0.2"/>
    <row r="256" s="282" customFormat="1" ht="13.5" x14ac:dyDescent="0.2"/>
    <row r="257" s="282" customFormat="1" ht="13.5" x14ac:dyDescent="0.2"/>
    <row r="258" s="282" customFormat="1" ht="13.5" x14ac:dyDescent="0.2"/>
    <row r="259" s="282" customFormat="1" ht="13.5" x14ac:dyDescent="0.2"/>
    <row r="260" s="282" customFormat="1" ht="13.5" x14ac:dyDescent="0.2"/>
    <row r="261" s="282" customFormat="1" ht="13.5" x14ac:dyDescent="0.2"/>
    <row r="262" s="282" customFormat="1" ht="13.5" x14ac:dyDescent="0.2"/>
    <row r="263" s="282" customFormat="1" ht="13.5" x14ac:dyDescent="0.2"/>
    <row r="264" s="282" customFormat="1" ht="13.5" x14ac:dyDescent="0.2"/>
    <row r="265" s="282" customFormat="1" ht="13.5" x14ac:dyDescent="0.2"/>
    <row r="266" s="282" customFormat="1" ht="13.5" x14ac:dyDescent="0.2"/>
    <row r="267" s="282" customFormat="1" ht="13.5" x14ac:dyDescent="0.2"/>
    <row r="268" s="282" customFormat="1" ht="13.5" x14ac:dyDescent="0.2"/>
    <row r="269" s="282" customFormat="1" ht="13.5" x14ac:dyDescent="0.2"/>
    <row r="270" s="282" customFormat="1" ht="13.5" x14ac:dyDescent="0.2"/>
    <row r="271" s="282" customFormat="1" ht="13.5" x14ac:dyDescent="0.2"/>
    <row r="272" s="282" customFormat="1" ht="13.5" x14ac:dyDescent="0.2"/>
    <row r="273" s="282" customFormat="1" ht="13.5" x14ac:dyDescent="0.2"/>
    <row r="274" s="282" customFormat="1" ht="13.5" x14ac:dyDescent="0.2"/>
    <row r="275" s="282" customFormat="1" ht="13.5" x14ac:dyDescent="0.2"/>
    <row r="276" s="282" customFormat="1" ht="13.5" x14ac:dyDescent="0.2"/>
    <row r="277" s="282" customFormat="1" ht="13.5" x14ac:dyDescent="0.2"/>
    <row r="278" s="282" customFormat="1" ht="13.5" x14ac:dyDescent="0.2"/>
    <row r="279" s="282" customFormat="1" ht="13.5" x14ac:dyDescent="0.2"/>
    <row r="280" s="282" customFormat="1" ht="13.5" x14ac:dyDescent="0.2"/>
    <row r="281" s="282" customFormat="1" ht="13.5" x14ac:dyDescent="0.2"/>
    <row r="282" s="282" customFormat="1" ht="13.5" x14ac:dyDescent="0.2"/>
    <row r="283" s="282" customFormat="1" ht="13.5" x14ac:dyDescent="0.2"/>
    <row r="284" s="282" customFormat="1" ht="13.5" x14ac:dyDescent="0.2"/>
    <row r="285" s="282" customFormat="1" ht="13.5" x14ac:dyDescent="0.2"/>
    <row r="286" s="282" customFormat="1" ht="13.5" x14ac:dyDescent="0.2"/>
    <row r="287" s="282" customFormat="1" ht="13.5" x14ac:dyDescent="0.2"/>
    <row r="288" s="282" customFormat="1" ht="13.5" x14ac:dyDescent="0.2"/>
    <row r="289" s="282" customFormat="1" ht="13.5" x14ac:dyDescent="0.2"/>
    <row r="290" s="282" customFormat="1" ht="13.5" x14ac:dyDescent="0.2"/>
    <row r="291" s="282" customFormat="1" ht="13.5" x14ac:dyDescent="0.2"/>
    <row r="292" s="282" customFormat="1" ht="13.5" x14ac:dyDescent="0.2"/>
    <row r="293" s="282" customFormat="1" ht="13.5" x14ac:dyDescent="0.2"/>
    <row r="294" s="282" customFormat="1" ht="13.5" x14ac:dyDescent="0.2"/>
    <row r="295" s="282" customFormat="1" ht="13.5" x14ac:dyDescent="0.2"/>
    <row r="296" s="282" customFormat="1" ht="13.5" x14ac:dyDescent="0.2"/>
    <row r="297" s="282" customFormat="1" ht="13.5" x14ac:dyDescent="0.2"/>
    <row r="298" s="282" customFormat="1" ht="13.5" x14ac:dyDescent="0.2"/>
    <row r="299" s="282" customFormat="1" ht="13.5" x14ac:dyDescent="0.2"/>
    <row r="300" s="282" customFormat="1" ht="13.5" x14ac:dyDescent="0.2"/>
    <row r="301" s="282" customFormat="1" ht="13.5" x14ac:dyDescent="0.2"/>
    <row r="302" s="282" customFormat="1" ht="13.5" x14ac:dyDescent="0.2"/>
    <row r="303" s="282" customFormat="1" ht="13.5" x14ac:dyDescent="0.2"/>
    <row r="304" s="282" customFormat="1" ht="13.5" x14ac:dyDescent="0.2"/>
    <row r="305" s="282" customFormat="1" ht="13.5" x14ac:dyDescent="0.2"/>
    <row r="306" s="282" customFormat="1" ht="13.5" x14ac:dyDescent="0.2"/>
    <row r="307" s="282" customFormat="1" ht="13.5" x14ac:dyDescent="0.2"/>
    <row r="308" s="282" customFormat="1" ht="13.5" x14ac:dyDescent="0.2"/>
    <row r="309" s="282" customFormat="1" ht="13.5" x14ac:dyDescent="0.2"/>
    <row r="310" s="282" customFormat="1" ht="13.5" x14ac:dyDescent="0.2"/>
    <row r="311" s="282" customFormat="1" ht="13.5" x14ac:dyDescent="0.2"/>
    <row r="312" s="282" customFormat="1" ht="13.5" x14ac:dyDescent="0.2"/>
    <row r="313" s="282" customFormat="1" ht="13.5" x14ac:dyDescent="0.2"/>
    <row r="314" s="282" customFormat="1" ht="13.5" x14ac:dyDescent="0.2"/>
    <row r="315" s="282" customFormat="1" ht="13.5" x14ac:dyDescent="0.2"/>
    <row r="316" s="282" customFormat="1" ht="13.5" x14ac:dyDescent="0.2"/>
    <row r="317" s="282" customFormat="1" ht="13.5" x14ac:dyDescent="0.2"/>
    <row r="318" s="282" customFormat="1" ht="13.5" x14ac:dyDescent="0.2"/>
    <row r="319" s="282" customFormat="1" ht="13.5" x14ac:dyDescent="0.2"/>
    <row r="320" s="282" customFormat="1" ht="13.5" x14ac:dyDescent="0.2"/>
    <row r="321" s="282" customFormat="1" ht="13.5" x14ac:dyDescent="0.2"/>
    <row r="322" s="282" customFormat="1" ht="13.5" x14ac:dyDescent="0.2"/>
    <row r="323" s="282" customFormat="1" ht="13.5" x14ac:dyDescent="0.2"/>
    <row r="324" s="282" customFormat="1" ht="13.5" x14ac:dyDescent="0.2"/>
    <row r="325" s="282" customFormat="1" ht="13.5" x14ac:dyDescent="0.2"/>
    <row r="326" s="282" customFormat="1" ht="13.5" x14ac:dyDescent="0.2"/>
    <row r="327" s="282" customFormat="1" ht="13.5" x14ac:dyDescent="0.2"/>
    <row r="328" s="282" customFormat="1" ht="13.5" x14ac:dyDescent="0.2"/>
    <row r="329" s="282" customFormat="1" ht="13.5" x14ac:dyDescent="0.2"/>
    <row r="330" s="282" customFormat="1" ht="13.5" x14ac:dyDescent="0.2"/>
    <row r="331" s="282" customFormat="1" ht="13.5" x14ac:dyDescent="0.2"/>
    <row r="332" s="282" customFormat="1" ht="13.5" x14ac:dyDescent="0.2"/>
    <row r="333" s="282" customFormat="1" ht="13.5" x14ac:dyDescent="0.2"/>
    <row r="334" s="282" customFormat="1" ht="13.5" x14ac:dyDescent="0.2"/>
    <row r="335" s="282" customFormat="1" ht="13.5" x14ac:dyDescent="0.2"/>
    <row r="336" s="282" customFormat="1" ht="13.5" x14ac:dyDescent="0.2"/>
    <row r="337" s="282" customFormat="1" ht="13.5" x14ac:dyDescent="0.2"/>
    <row r="338" s="282" customFormat="1" ht="13.5" x14ac:dyDescent="0.2"/>
    <row r="339" s="282" customFormat="1" ht="13.5" x14ac:dyDescent="0.2"/>
    <row r="340" s="282" customFormat="1" ht="13.5" x14ac:dyDescent="0.2"/>
    <row r="341" s="282" customFormat="1" ht="13.5" x14ac:dyDescent="0.2"/>
    <row r="342" s="282" customFormat="1" ht="13.5" x14ac:dyDescent="0.2"/>
    <row r="343" s="282" customFormat="1" ht="13.5" x14ac:dyDescent="0.2"/>
    <row r="344" s="282" customFormat="1" ht="13.5" x14ac:dyDescent="0.2"/>
    <row r="345" s="282" customFormat="1" ht="13.5" x14ac:dyDescent="0.2"/>
    <row r="346" s="282" customFormat="1" ht="13.5" x14ac:dyDescent="0.2"/>
    <row r="347" s="282" customFormat="1" ht="13.5" x14ac:dyDescent="0.2"/>
    <row r="348" s="282" customFormat="1" ht="13.5" x14ac:dyDescent="0.2"/>
    <row r="349" s="282" customFormat="1" ht="13.5" x14ac:dyDescent="0.2"/>
    <row r="350" s="282" customFormat="1" ht="13.5" x14ac:dyDescent="0.2"/>
    <row r="351" s="282" customFormat="1" ht="13.5" x14ac:dyDescent="0.2"/>
    <row r="352" s="282" customFormat="1" ht="13.5" x14ac:dyDescent="0.2"/>
    <row r="353" s="282" customFormat="1" ht="13.5" x14ac:dyDescent="0.2"/>
    <row r="354" s="282" customFormat="1" ht="13.5" x14ac:dyDescent="0.2"/>
    <row r="355" s="282" customFormat="1" ht="13.5" x14ac:dyDescent="0.2"/>
    <row r="356" s="282" customFormat="1" ht="13.5" x14ac:dyDescent="0.2"/>
    <row r="357" s="282" customFormat="1" ht="13.5" x14ac:dyDescent="0.2"/>
    <row r="358" s="282" customFormat="1" ht="13.5" x14ac:dyDescent="0.2"/>
    <row r="359" s="282" customFormat="1" ht="13.5" x14ac:dyDescent="0.2"/>
    <row r="360" s="282" customFormat="1" ht="13.5" x14ac:dyDescent="0.2"/>
    <row r="361" s="282" customFormat="1" ht="13.5" x14ac:dyDescent="0.2"/>
    <row r="362" s="282" customFormat="1" ht="13.5" x14ac:dyDescent="0.2"/>
    <row r="363" s="282" customFormat="1" ht="13.5" x14ac:dyDescent="0.2"/>
    <row r="364" s="282" customFormat="1" ht="13.5" x14ac:dyDescent="0.2"/>
    <row r="365" s="282" customFormat="1" ht="13.5" x14ac:dyDescent="0.2"/>
    <row r="366" s="282" customFormat="1" ht="13.5" x14ac:dyDescent="0.2"/>
    <row r="367" s="282" customFormat="1" ht="13.5" x14ac:dyDescent="0.2"/>
    <row r="368" s="282" customFormat="1" ht="13.5" x14ac:dyDescent="0.2"/>
    <row r="369" s="282" customFormat="1" ht="13.5" x14ac:dyDescent="0.2"/>
    <row r="370" s="282" customFormat="1" ht="13.5" x14ac:dyDescent="0.2"/>
    <row r="371" s="282" customFormat="1" ht="13.5" x14ac:dyDescent="0.2"/>
    <row r="372" s="282" customFormat="1" ht="13.5" x14ac:dyDescent="0.2"/>
    <row r="373" s="282" customFormat="1" ht="13.5" x14ac:dyDescent="0.2"/>
    <row r="374" s="282" customFormat="1" ht="13.5" x14ac:dyDescent="0.2"/>
    <row r="375" s="282" customFormat="1" ht="13.5" x14ac:dyDescent="0.2"/>
    <row r="376" s="282" customFormat="1" ht="13.5" x14ac:dyDescent="0.2"/>
    <row r="377" s="282" customFormat="1" ht="13.5" x14ac:dyDescent="0.2"/>
    <row r="378" s="282" customFormat="1" ht="13.5" x14ac:dyDescent="0.2"/>
    <row r="379" s="282" customFormat="1" ht="13.5" x14ac:dyDescent="0.2"/>
    <row r="380" s="282" customFormat="1" ht="13.5" x14ac:dyDescent="0.2"/>
    <row r="381" s="282" customFormat="1" ht="13.5" x14ac:dyDescent="0.2"/>
    <row r="382" s="282" customFormat="1" ht="13.5" x14ac:dyDescent="0.2"/>
    <row r="383" s="282" customFormat="1" ht="13.5" x14ac:dyDescent="0.2"/>
    <row r="384" s="282" customFormat="1" ht="13.5" x14ac:dyDescent="0.2"/>
    <row r="385" s="282" customFormat="1" ht="13.5" x14ac:dyDescent="0.2"/>
    <row r="386" s="282" customFormat="1" ht="13.5" x14ac:dyDescent="0.2"/>
    <row r="387" s="282" customFormat="1" ht="13.5" x14ac:dyDescent="0.2"/>
    <row r="388" s="282" customFormat="1" ht="13.5" x14ac:dyDescent="0.2"/>
    <row r="389" s="282" customFormat="1" ht="13.5" x14ac:dyDescent="0.2"/>
    <row r="390" s="282" customFormat="1" ht="13.5" x14ac:dyDescent="0.2"/>
    <row r="391" s="282" customFormat="1" ht="13.5" x14ac:dyDescent="0.2"/>
    <row r="392" s="282" customFormat="1" ht="13.5" x14ac:dyDescent="0.2"/>
    <row r="393" s="282" customFormat="1" ht="13.5" x14ac:dyDescent="0.2"/>
    <row r="394" s="282" customFormat="1" ht="13.5" x14ac:dyDescent="0.2"/>
    <row r="395" s="282" customFormat="1" ht="13.5" x14ac:dyDescent="0.2"/>
    <row r="396" s="282" customFormat="1" ht="13.5" x14ac:dyDescent="0.2"/>
    <row r="397" s="282" customFormat="1" ht="13.5" x14ac:dyDescent="0.2"/>
    <row r="398" s="282" customFormat="1" ht="13.5" x14ac:dyDescent="0.2"/>
    <row r="399" s="282" customFormat="1" ht="13.5" x14ac:dyDescent="0.2"/>
    <row r="400" s="282" customFormat="1" ht="13.5" x14ac:dyDescent="0.2"/>
    <row r="401" s="282" customFormat="1" ht="13.5" x14ac:dyDescent="0.2"/>
    <row r="402" s="282" customFormat="1" ht="13.5" x14ac:dyDescent="0.2"/>
    <row r="403" s="282" customFormat="1" ht="13.5" x14ac:dyDescent="0.2"/>
    <row r="404" s="282" customFormat="1" ht="13.5" x14ac:dyDescent="0.2"/>
    <row r="405" s="282" customFormat="1" ht="13.5" x14ac:dyDescent="0.2"/>
    <row r="406" s="282" customFormat="1" ht="13.5" x14ac:dyDescent="0.2"/>
    <row r="407" s="282" customFormat="1" ht="13.5" x14ac:dyDescent="0.2"/>
    <row r="408" s="282" customFormat="1" ht="13.5" x14ac:dyDescent="0.2"/>
    <row r="409" s="282" customFormat="1" ht="13.5" x14ac:dyDescent="0.2"/>
    <row r="410" s="282" customFormat="1" ht="13.5" x14ac:dyDescent="0.2"/>
    <row r="411" s="282" customFormat="1" ht="13.5" x14ac:dyDescent="0.2"/>
    <row r="412" s="282" customFormat="1" ht="13.5" x14ac:dyDescent="0.2"/>
    <row r="413" s="282" customFormat="1" ht="13.5" x14ac:dyDescent="0.2"/>
    <row r="414" s="282" customFormat="1" ht="13.5" x14ac:dyDescent="0.2"/>
    <row r="415" s="282" customFormat="1" ht="13.5" x14ac:dyDescent="0.2"/>
    <row r="416" s="282" customFormat="1" ht="13.5" x14ac:dyDescent="0.2"/>
    <row r="417" s="282" customFormat="1" ht="13.5" x14ac:dyDescent="0.2"/>
    <row r="418" s="282" customFormat="1" ht="13.5" x14ac:dyDescent="0.2"/>
    <row r="419" s="282" customFormat="1" ht="13.5" x14ac:dyDescent="0.2"/>
    <row r="420" s="282" customFormat="1" ht="13.5" x14ac:dyDescent="0.2"/>
    <row r="421" s="282" customFormat="1" ht="13.5" x14ac:dyDescent="0.2"/>
    <row r="422" s="282" customFormat="1" ht="13.5" x14ac:dyDescent="0.2"/>
    <row r="423" s="282" customFormat="1" ht="13.5" x14ac:dyDescent="0.2"/>
    <row r="424" s="282" customFormat="1" ht="13.5" x14ac:dyDescent="0.2"/>
    <row r="425" s="282" customFormat="1" ht="13.5" x14ac:dyDescent="0.2"/>
    <row r="426" s="282" customFormat="1" ht="13.5" x14ac:dyDescent="0.2"/>
    <row r="427" s="282" customFormat="1" ht="13.5" x14ac:dyDescent="0.2"/>
    <row r="428" s="282" customFormat="1" ht="13.5" x14ac:dyDescent="0.2"/>
    <row r="429" s="282" customFormat="1" ht="13.5" x14ac:dyDescent="0.2"/>
    <row r="430" s="282" customFormat="1" ht="13.5" x14ac:dyDescent="0.2"/>
    <row r="431" s="282" customFormat="1" ht="13.5" x14ac:dyDescent="0.2"/>
    <row r="432" s="282" customFormat="1" ht="13.5" x14ac:dyDescent="0.2"/>
    <row r="433" s="282" customFormat="1" ht="13.5" x14ac:dyDescent="0.2"/>
    <row r="434" s="282" customFormat="1" ht="13.5" x14ac:dyDescent="0.2"/>
    <row r="435" s="282" customFormat="1" ht="13.5" x14ac:dyDescent="0.2"/>
    <row r="436" s="282" customFormat="1" ht="13.5" x14ac:dyDescent="0.2"/>
    <row r="437" s="282" customFormat="1" ht="13.5" x14ac:dyDescent="0.2"/>
    <row r="438" s="282" customFormat="1" ht="13.5" x14ac:dyDescent="0.2"/>
    <row r="439" s="282" customFormat="1" ht="13.5" x14ac:dyDescent="0.2"/>
    <row r="440" s="282" customFormat="1" ht="13.5" x14ac:dyDescent="0.2"/>
    <row r="441" s="282" customFormat="1" ht="13.5" x14ac:dyDescent="0.2"/>
    <row r="442" s="282" customFormat="1" ht="13.5" x14ac:dyDescent="0.2"/>
    <row r="443" s="282" customFormat="1" ht="13.5" x14ac:dyDescent="0.2"/>
    <row r="444" s="282" customFormat="1" ht="13.5" x14ac:dyDescent="0.2"/>
    <row r="445" s="282" customFormat="1" ht="13.5" x14ac:dyDescent="0.2"/>
    <row r="446" s="282" customFormat="1" ht="13.5" x14ac:dyDescent="0.2"/>
    <row r="447" s="282" customFormat="1" ht="13.5" x14ac:dyDescent="0.2"/>
    <row r="448" s="282" customFormat="1" ht="13.5" x14ac:dyDescent="0.2"/>
    <row r="449" s="282" customFormat="1" ht="13.5" x14ac:dyDescent="0.2"/>
    <row r="450" s="282" customFormat="1" ht="13.5" x14ac:dyDescent="0.2"/>
    <row r="451" s="282" customFormat="1" ht="13.5" x14ac:dyDescent="0.2"/>
    <row r="452" s="282" customFormat="1" ht="13.5" x14ac:dyDescent="0.2"/>
    <row r="453" s="282" customFormat="1" ht="13.5" x14ac:dyDescent="0.2"/>
    <row r="454" s="282" customFormat="1" ht="13.5" x14ac:dyDescent="0.2"/>
    <row r="455" s="282" customFormat="1" ht="13.5" x14ac:dyDescent="0.2"/>
    <row r="456" s="282" customFormat="1" ht="13.5" x14ac:dyDescent="0.2"/>
    <row r="457" s="282" customFormat="1" ht="13.5" x14ac:dyDescent="0.2"/>
    <row r="458" s="282" customFormat="1" ht="13.5" x14ac:dyDescent="0.2"/>
    <row r="459" s="282" customFormat="1" ht="13.5" x14ac:dyDescent="0.2"/>
    <row r="460" s="282" customFormat="1" ht="13.5" x14ac:dyDescent="0.2"/>
    <row r="461" s="282" customFormat="1" ht="13.5" x14ac:dyDescent="0.2"/>
    <row r="462" s="282" customFormat="1" ht="13.5" x14ac:dyDescent="0.2"/>
    <row r="463" s="282" customFormat="1" ht="13.5" x14ac:dyDescent="0.2"/>
    <row r="464" s="282" customFormat="1" ht="13.5" x14ac:dyDescent="0.2"/>
    <row r="465" s="282" customFormat="1" ht="13.5" x14ac:dyDescent="0.2"/>
    <row r="466" s="282" customFormat="1" ht="13.5" x14ac:dyDescent="0.2"/>
    <row r="467" s="282" customFormat="1" ht="13.5" x14ac:dyDescent="0.2"/>
    <row r="468" s="282" customFormat="1" ht="13.5" x14ac:dyDescent="0.2"/>
    <row r="469" s="282" customFormat="1" ht="13.5" x14ac:dyDescent="0.2"/>
    <row r="470" s="282" customFormat="1" ht="13.5" x14ac:dyDescent="0.2"/>
    <row r="471" s="282" customFormat="1" ht="13.5" x14ac:dyDescent="0.2"/>
    <row r="472" s="282" customFormat="1" ht="13.5" x14ac:dyDescent="0.2"/>
    <row r="473" s="282" customFormat="1" ht="13.5" x14ac:dyDescent="0.2"/>
    <row r="474" s="282" customFormat="1" ht="13.5" x14ac:dyDescent="0.2"/>
    <row r="475" s="282" customFormat="1" ht="13.5" x14ac:dyDescent="0.2"/>
    <row r="476" s="282" customFormat="1" ht="13.5" x14ac:dyDescent="0.2"/>
    <row r="477" s="282" customFormat="1" ht="13.5" x14ac:dyDescent="0.2"/>
    <row r="478" s="282" customFormat="1" ht="13.5" x14ac:dyDescent="0.2"/>
    <row r="479" s="282" customFormat="1" ht="13.5" x14ac:dyDescent="0.2"/>
    <row r="480" s="282" customFormat="1" ht="13.5" x14ac:dyDescent="0.2"/>
    <row r="481" s="282" customFormat="1" ht="13.5" x14ac:dyDescent="0.2"/>
    <row r="482" s="282" customFormat="1" ht="13.5" x14ac:dyDescent="0.2"/>
    <row r="483" s="282" customFormat="1" ht="13.5" x14ac:dyDescent="0.2"/>
    <row r="484" s="282" customFormat="1" ht="13.5" x14ac:dyDescent="0.2"/>
    <row r="485" s="282" customFormat="1" ht="13.5" x14ac:dyDescent="0.2"/>
    <row r="486" s="282" customFormat="1" ht="13.5" x14ac:dyDescent="0.2"/>
    <row r="487" s="282" customFormat="1" ht="13.5" x14ac:dyDescent="0.2"/>
    <row r="488" s="282" customFormat="1" ht="13.5" x14ac:dyDescent="0.2"/>
    <row r="489" s="282" customFormat="1" ht="13.5" x14ac:dyDescent="0.2"/>
    <row r="490" s="282" customFormat="1" ht="13.5" x14ac:dyDescent="0.2"/>
    <row r="491" s="282" customFormat="1" ht="13.5" x14ac:dyDescent="0.2"/>
    <row r="492" s="282" customFormat="1" ht="13.5" x14ac:dyDescent="0.2"/>
    <row r="493" s="282" customFormat="1" ht="13.5" x14ac:dyDescent="0.2"/>
    <row r="494" s="282" customFormat="1" ht="13.5" x14ac:dyDescent="0.2"/>
    <row r="495" s="282" customFormat="1" ht="13.5" x14ac:dyDescent="0.2"/>
    <row r="496" s="282" customFormat="1" ht="13.5" x14ac:dyDescent="0.2"/>
    <row r="497" s="282" customFormat="1" ht="13.5" x14ac:dyDescent="0.2"/>
    <row r="498" s="282" customFormat="1" ht="13.5" x14ac:dyDescent="0.2"/>
    <row r="499" s="282" customFormat="1" ht="13.5" x14ac:dyDescent="0.2"/>
    <row r="500" s="282" customFormat="1" ht="13.5" x14ac:dyDescent="0.2"/>
    <row r="501" s="282" customFormat="1" ht="13.5" x14ac:dyDescent="0.2"/>
    <row r="502" s="282" customFormat="1" ht="13.5" x14ac:dyDescent="0.2"/>
    <row r="503" s="282" customFormat="1" ht="13.5" x14ac:dyDescent="0.2"/>
    <row r="504" s="282" customFormat="1" ht="13.5" x14ac:dyDescent="0.2"/>
    <row r="505" s="282" customFormat="1" ht="13.5" x14ac:dyDescent="0.2"/>
    <row r="506" s="282" customFormat="1" ht="13.5" x14ac:dyDescent="0.2"/>
    <row r="507" s="282" customFormat="1" ht="13.5" x14ac:dyDescent="0.2"/>
    <row r="508" s="282" customFormat="1" ht="13.5" x14ac:dyDescent="0.2"/>
    <row r="509" s="282" customFormat="1" ht="13.5" x14ac:dyDescent="0.2"/>
    <row r="510" s="282" customFormat="1" ht="13.5" x14ac:dyDescent="0.2"/>
    <row r="511" s="282" customFormat="1" ht="13.5" x14ac:dyDescent="0.2"/>
    <row r="512" s="282" customFormat="1" ht="13.5" x14ac:dyDescent="0.2"/>
    <row r="513" s="282" customFormat="1" ht="13.5" x14ac:dyDescent="0.2"/>
    <row r="514" s="282" customFormat="1" ht="13.5" x14ac:dyDescent="0.2"/>
    <row r="515" s="282" customFormat="1" ht="13.5" x14ac:dyDescent="0.2"/>
    <row r="516" s="282" customFormat="1" ht="13.5" x14ac:dyDescent="0.2"/>
    <row r="517" s="282" customFormat="1" ht="13.5" x14ac:dyDescent="0.2"/>
    <row r="518" s="282" customFormat="1" ht="13.5" x14ac:dyDescent="0.2"/>
    <row r="519" s="282" customFormat="1" ht="13.5" x14ac:dyDescent="0.2"/>
    <row r="520" s="282" customFormat="1" ht="13.5" x14ac:dyDescent="0.2"/>
    <row r="521" s="282" customFormat="1" ht="13.5" x14ac:dyDescent="0.2"/>
    <row r="522" s="282" customFormat="1" ht="13.5" x14ac:dyDescent="0.2"/>
    <row r="523" s="282" customFormat="1" ht="13.5" x14ac:dyDescent="0.2"/>
    <row r="524" s="282" customFormat="1" ht="13.5" x14ac:dyDescent="0.2"/>
    <row r="525" s="282" customFormat="1" ht="13.5" x14ac:dyDescent="0.2"/>
    <row r="526" s="282" customFormat="1" ht="13.5" x14ac:dyDescent="0.2"/>
    <row r="527" s="282" customFormat="1" ht="13.5" x14ac:dyDescent="0.2"/>
    <row r="528" s="282" customFormat="1" ht="13.5" x14ac:dyDescent="0.2"/>
    <row r="529" s="282" customFormat="1" ht="13.5" x14ac:dyDescent="0.2"/>
    <row r="530" s="282" customFormat="1" ht="13.5" x14ac:dyDescent="0.2"/>
    <row r="531" s="282" customFormat="1" ht="13.5" x14ac:dyDescent="0.2"/>
    <row r="532" s="282" customFormat="1" ht="13.5" x14ac:dyDescent="0.2"/>
    <row r="533" s="282" customFormat="1" ht="13.5" x14ac:dyDescent="0.2"/>
    <row r="534" s="282" customFormat="1" ht="13.5" x14ac:dyDescent="0.2"/>
    <row r="535" s="282" customFormat="1" ht="13.5" x14ac:dyDescent="0.2"/>
    <row r="536" s="282" customFormat="1" ht="13.5" x14ac:dyDescent="0.2"/>
    <row r="537" s="282" customFormat="1" ht="13.5" x14ac:dyDescent="0.2"/>
    <row r="538" s="282" customFormat="1" ht="13.5" x14ac:dyDescent="0.2"/>
    <row r="539" s="282" customFormat="1" ht="13.5" x14ac:dyDescent="0.2"/>
    <row r="540" s="282" customFormat="1" ht="13.5" x14ac:dyDescent="0.2"/>
    <row r="541" s="282" customFormat="1" ht="13.5" x14ac:dyDescent="0.2"/>
    <row r="542" s="282" customFormat="1" ht="13.5" x14ac:dyDescent="0.2"/>
    <row r="543" s="282" customFormat="1" ht="13.5" x14ac:dyDescent="0.2"/>
    <row r="544" s="282" customFormat="1" ht="13.5" x14ac:dyDescent="0.2"/>
    <row r="545" s="282" customFormat="1" ht="13.5" x14ac:dyDescent="0.2"/>
    <row r="546" s="282" customFormat="1" ht="13.5" x14ac:dyDescent="0.2"/>
    <row r="547" s="282" customFormat="1" ht="13.5" x14ac:dyDescent="0.2"/>
    <row r="548" s="282" customFormat="1" ht="13.5" x14ac:dyDescent="0.2"/>
    <row r="549" s="282" customFormat="1" ht="13.5" x14ac:dyDescent="0.2"/>
    <row r="550" s="282" customFormat="1" ht="13.5" x14ac:dyDescent="0.2"/>
    <row r="551" s="282" customFormat="1" ht="13.5" x14ac:dyDescent="0.2"/>
    <row r="552" s="282" customFormat="1" ht="13.5" x14ac:dyDescent="0.2"/>
    <row r="553" s="282" customFormat="1" ht="13.5" x14ac:dyDescent="0.2"/>
    <row r="554" s="282" customFormat="1" ht="13.5" x14ac:dyDescent="0.2"/>
    <row r="555" s="282" customFormat="1" ht="13.5" x14ac:dyDescent="0.2"/>
    <row r="556" s="282" customFormat="1" ht="13.5" x14ac:dyDescent="0.2"/>
    <row r="557" s="282" customFormat="1" ht="13.5" x14ac:dyDescent="0.2"/>
    <row r="558" s="282" customFormat="1" ht="13.5" x14ac:dyDescent="0.2"/>
    <row r="559" s="282" customFormat="1" ht="13.5" x14ac:dyDescent="0.2"/>
    <row r="560" s="282" customFormat="1" ht="13.5" x14ac:dyDescent="0.2"/>
    <row r="561" s="282" customFormat="1" ht="13.5" x14ac:dyDescent="0.2"/>
    <row r="562" s="282" customFormat="1" ht="13.5" x14ac:dyDescent="0.2"/>
    <row r="563" s="282" customFormat="1" ht="13.5" x14ac:dyDescent="0.2"/>
    <row r="564" s="282" customFormat="1" ht="13.5" x14ac:dyDescent="0.2"/>
    <row r="565" s="282" customFormat="1" ht="13.5" x14ac:dyDescent="0.2"/>
    <row r="566" s="282" customFormat="1" ht="13.5" x14ac:dyDescent="0.2"/>
    <row r="567" s="282" customFormat="1" ht="13.5" x14ac:dyDescent="0.2"/>
    <row r="568" s="282" customFormat="1" ht="13.5" x14ac:dyDescent="0.2"/>
    <row r="569" s="282" customFormat="1" ht="13.5" x14ac:dyDescent="0.2"/>
    <row r="570" s="282" customFormat="1" ht="13.5" x14ac:dyDescent="0.2"/>
    <row r="571" s="282" customFormat="1" ht="13.5" x14ac:dyDescent="0.2"/>
    <row r="572" s="282" customFormat="1" ht="13.5" x14ac:dyDescent="0.2"/>
    <row r="573" s="282" customFormat="1" ht="13.5" x14ac:dyDescent="0.2"/>
    <row r="574" s="282" customFormat="1" ht="13.5" x14ac:dyDescent="0.2"/>
    <row r="575" s="282" customFormat="1" ht="13.5" x14ac:dyDescent="0.2"/>
    <row r="576" s="282" customFormat="1" ht="13.5" x14ac:dyDescent="0.2"/>
    <row r="577" s="282" customFormat="1" ht="13.5" x14ac:dyDescent="0.2"/>
    <row r="578" s="282" customFormat="1" ht="13.5" x14ac:dyDescent="0.2"/>
    <row r="579" s="282" customFormat="1" ht="13.5" x14ac:dyDescent="0.2"/>
    <row r="580" s="282" customFormat="1" ht="13.5" x14ac:dyDescent="0.2"/>
    <row r="581" s="282" customFormat="1" ht="13.5" x14ac:dyDescent="0.2"/>
    <row r="582" s="282" customFormat="1" ht="13.5" x14ac:dyDescent="0.2"/>
    <row r="583" s="282" customFormat="1" ht="13.5" x14ac:dyDescent="0.2"/>
    <row r="584" s="282" customFormat="1" ht="13.5" x14ac:dyDescent="0.2"/>
    <row r="585" s="282" customFormat="1" ht="13.5" x14ac:dyDescent="0.2"/>
    <row r="586" s="282" customFormat="1" ht="13.5" x14ac:dyDescent="0.2"/>
    <row r="587" s="282" customFormat="1" ht="13.5" x14ac:dyDescent="0.2"/>
    <row r="588" s="282" customFormat="1" ht="13.5" x14ac:dyDescent="0.2"/>
    <row r="589" s="282" customFormat="1" ht="13.5" x14ac:dyDescent="0.2"/>
    <row r="590" s="282" customFormat="1" ht="13.5" x14ac:dyDescent="0.2"/>
    <row r="591" s="282" customFormat="1" ht="13.5" x14ac:dyDescent="0.2"/>
    <row r="592" s="282" customFormat="1" ht="13.5" x14ac:dyDescent="0.2"/>
    <row r="593" s="282" customFormat="1" ht="13.5" x14ac:dyDescent="0.2"/>
    <row r="594" s="282" customFormat="1" ht="13.5" x14ac:dyDescent="0.2"/>
    <row r="595" s="282" customFormat="1" ht="13.5" x14ac:dyDescent="0.2"/>
    <row r="596" s="282" customFormat="1" ht="13.5" x14ac:dyDescent="0.2"/>
    <row r="597" s="282" customFormat="1" ht="13.5" x14ac:dyDescent="0.2"/>
    <row r="598" s="282" customFormat="1" ht="13.5" x14ac:dyDescent="0.2"/>
    <row r="599" s="282" customFormat="1" ht="13.5" x14ac:dyDescent="0.2"/>
    <row r="600" s="282" customFormat="1" ht="13.5" x14ac:dyDescent="0.2"/>
    <row r="601" s="282" customFormat="1" ht="13.5" x14ac:dyDescent="0.2"/>
    <row r="602" s="282" customFormat="1" ht="13.5" x14ac:dyDescent="0.2"/>
    <row r="603" s="282" customFormat="1" ht="13.5" x14ac:dyDescent="0.2"/>
  </sheetData>
  <mergeCells count="13">
    <mergeCell ref="A40:A42"/>
    <mergeCell ref="A43:A46"/>
    <mergeCell ref="A47:A50"/>
    <mergeCell ref="A2:G2"/>
    <mergeCell ref="A38:A39"/>
    <mergeCell ref="A6:A13"/>
    <mergeCell ref="A14:A21"/>
    <mergeCell ref="A22:A24"/>
    <mergeCell ref="A25:A27"/>
    <mergeCell ref="A29:A31"/>
    <mergeCell ref="A32:A33"/>
    <mergeCell ref="A34:A35"/>
    <mergeCell ref="A36:A37"/>
  </mergeCells>
  <pageMargins left="0.27559055118110237" right="0.27559055118110237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5</vt:i4>
      </vt:variant>
    </vt:vector>
  </HeadingPairs>
  <TitlesOfParts>
    <vt:vector size="27" baseType="lpstr">
      <vt:lpstr>Indice</vt:lpstr>
      <vt:lpstr>C.90</vt:lpstr>
      <vt:lpstr>C.91</vt:lpstr>
      <vt:lpstr>C.92</vt:lpstr>
      <vt:lpstr>C.93</vt:lpstr>
      <vt:lpstr>C.94</vt:lpstr>
      <vt:lpstr>C.95</vt:lpstr>
      <vt:lpstr>C.96</vt:lpstr>
      <vt:lpstr>C.97</vt:lpstr>
      <vt:lpstr>C.98</vt:lpstr>
      <vt:lpstr>C.99</vt:lpstr>
      <vt:lpstr>C.100</vt:lpstr>
      <vt:lpstr>C.101</vt:lpstr>
      <vt:lpstr>C.102</vt:lpstr>
      <vt:lpstr>C.103</vt:lpstr>
      <vt:lpstr>C.104</vt:lpstr>
      <vt:lpstr>C.105</vt:lpstr>
      <vt:lpstr>C.106</vt:lpstr>
      <vt:lpstr>C.107</vt:lpstr>
      <vt:lpstr>C.108</vt:lpstr>
      <vt:lpstr>C.109</vt:lpstr>
      <vt:lpstr>C.110</vt:lpstr>
      <vt:lpstr>C.102!Área_de_impresión</vt:lpstr>
      <vt:lpstr>C.103!Área_de_impresión</vt:lpstr>
      <vt:lpstr>C.104!Área_de_impresión</vt:lpstr>
      <vt:lpstr>C.106!Área_de_impresión</vt:lpstr>
      <vt:lpstr>C.90!Área_de_impresión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Andrade</dc:creator>
  <cp:keywords/>
  <dc:description/>
  <cp:lastModifiedBy>Agueda Sihuas Meza</cp:lastModifiedBy>
  <cp:lastPrinted>2025-09-07T23:32:25Z</cp:lastPrinted>
  <dcterms:created xsi:type="dcterms:W3CDTF">2002-01-07T15:01:08Z</dcterms:created>
  <dcterms:modified xsi:type="dcterms:W3CDTF">2025-09-19T20:55:18Z</dcterms:modified>
  <cp:category/>
</cp:coreProperties>
</file>