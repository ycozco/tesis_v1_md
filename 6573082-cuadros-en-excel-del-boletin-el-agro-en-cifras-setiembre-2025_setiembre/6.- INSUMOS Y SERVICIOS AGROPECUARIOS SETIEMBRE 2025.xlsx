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ihuas\Desktop\EL AGRO EN CIFRA 2025\EL AGRO EN CIFRA - SETIEMBRE 2025\EL AGRO EN CIFRA - SETIEMBRE 2025\"/>
    </mc:Choice>
  </mc:AlternateContent>
  <xr:revisionPtr revIDLastSave="0" documentId="8_{4A5ED064-3122-4AD6-9A14-FE62D793C755}" xr6:coauthVersionLast="47" xr6:coauthVersionMax="47" xr10:uidLastSave="{00000000-0000-0000-0000-000000000000}"/>
  <bookViews>
    <workbookView xWindow="-120" yWindow="-120" windowWidth="29040" windowHeight="15720" tabRatio="904" activeTab="21" xr2:uid="{00000000-000D-0000-FFFF-FFFF00000000}"/>
  </bookViews>
  <sheets>
    <sheet name="Indice" sheetId="91" r:id="rId1"/>
    <sheet name="C.90" sheetId="107" r:id="rId2"/>
    <sheet name="C.91" sheetId="87" r:id="rId3"/>
    <sheet name="C.92 " sheetId="121" r:id="rId4"/>
    <sheet name="C.93" sheetId="122" r:id="rId5"/>
    <sheet name="C.94" sheetId="123" r:id="rId6"/>
    <sheet name="C.95" sheetId="118" r:id="rId7"/>
    <sheet name="C.96" sheetId="105" r:id="rId8"/>
    <sheet name="C.97" sheetId="104" r:id="rId9"/>
    <sheet name="C.98" sheetId="103" r:id="rId10"/>
    <sheet name="C.99" sheetId="102" r:id="rId11"/>
    <sheet name="C.100" sheetId="101" r:id="rId12"/>
    <sheet name="C.101" sheetId="100" r:id="rId13"/>
    <sheet name="C.102" sheetId="83" r:id="rId14"/>
    <sheet name="C.103" sheetId="84" r:id="rId15"/>
    <sheet name="C.104" sheetId="88" r:id="rId16"/>
    <sheet name="C.105" sheetId="89" r:id="rId17"/>
    <sheet name="C.106" sheetId="90" r:id="rId18"/>
    <sheet name="C.107" sheetId="95" r:id="rId19"/>
    <sheet name="C.108" sheetId="110" r:id="rId20"/>
    <sheet name="C.109 " sheetId="115" r:id="rId21"/>
    <sheet name="C.110" sheetId="120" r:id="rId22"/>
  </sheets>
  <externalReferences>
    <externalReference r:id="rId23"/>
  </externalReferences>
  <definedNames>
    <definedName name="_1990" localSheetId="11">'[1]C-4-5-6'!#REF!</definedName>
    <definedName name="_1990" localSheetId="12">'[1]C-4-5-6'!#REF!</definedName>
    <definedName name="_1990" localSheetId="18">'[1]C-4-5-6'!#REF!</definedName>
    <definedName name="_1990" localSheetId="19">'[1]C-4-5-6'!#REF!</definedName>
    <definedName name="_1990" localSheetId="20">'[1]C-4-5-6'!#REF!</definedName>
    <definedName name="_1990" localSheetId="21">'[1]C-4-5-6'!#REF!</definedName>
    <definedName name="_1990" localSheetId="1">'[1]C-4-5-6'!#REF!</definedName>
    <definedName name="_1990" localSheetId="3">'[1]C-4-5-6'!#REF!</definedName>
    <definedName name="_1990" localSheetId="4">'[1]C-4-5-6'!#REF!</definedName>
    <definedName name="_1990" localSheetId="5">'[1]C-4-5-6'!#REF!</definedName>
    <definedName name="_1990" localSheetId="6">'[1]C-4-5-6'!#REF!</definedName>
    <definedName name="_1990" localSheetId="7">'[1]C-4-5-6'!#REF!</definedName>
    <definedName name="_1990" localSheetId="8">'[1]C-4-5-6'!#REF!</definedName>
    <definedName name="_1990" localSheetId="9">'[1]C-4-5-6'!#REF!</definedName>
    <definedName name="_1990" localSheetId="10">'[1]C-4-5-6'!#REF!</definedName>
    <definedName name="_1990" localSheetId="0">'[1]C-4-5-6'!#REF!</definedName>
    <definedName name="_1990">'[1]C-4-5-6'!#REF!</definedName>
    <definedName name="_Key1" localSheetId="11">#REF!</definedName>
    <definedName name="_Key1" localSheetId="12">#REF!</definedName>
    <definedName name="_Key1" localSheetId="18">#REF!</definedName>
    <definedName name="_Key1" localSheetId="19">#REF!</definedName>
    <definedName name="_Key1" localSheetId="20">#REF!</definedName>
    <definedName name="_Key1" localSheetId="21">#REF!</definedName>
    <definedName name="_Key1" localSheetId="1">#REF!</definedName>
    <definedName name="_Key1" localSheetId="3">#REF!</definedName>
    <definedName name="_Key1" localSheetId="4">#REF!</definedName>
    <definedName name="_Key1" localSheetId="5">#REF!</definedName>
    <definedName name="_Key1" localSheetId="6">#REF!</definedName>
    <definedName name="_Key1" localSheetId="7">#REF!</definedName>
    <definedName name="_Key1" localSheetId="8">#REF!</definedName>
    <definedName name="_Key1" localSheetId="9">#REF!</definedName>
    <definedName name="_Key1" localSheetId="10">#REF!</definedName>
    <definedName name="_Key1" localSheetId="0">#REF!</definedName>
    <definedName name="_Key1">#REF!</definedName>
    <definedName name="_Order1">255</definedName>
    <definedName name="_Sort" localSheetId="11">#REF!</definedName>
    <definedName name="_Sort" localSheetId="12">#REF!</definedName>
    <definedName name="_Sort" localSheetId="18">#REF!</definedName>
    <definedName name="_Sort" localSheetId="19">#REF!</definedName>
    <definedName name="_Sort" localSheetId="20">#REF!</definedName>
    <definedName name="_Sort" localSheetId="21">#REF!</definedName>
    <definedName name="_Sort" localSheetId="1">#REF!</definedName>
    <definedName name="_Sort" localSheetId="3">#REF!</definedName>
    <definedName name="_Sort" localSheetId="4">#REF!</definedName>
    <definedName name="_Sort" localSheetId="5">#REF!</definedName>
    <definedName name="_Sort" localSheetId="6">#REF!</definedName>
    <definedName name="_Sort" localSheetId="7">#REF!</definedName>
    <definedName name="_Sort" localSheetId="8">#REF!</definedName>
    <definedName name="_Sort" localSheetId="9">#REF!</definedName>
    <definedName name="_Sort" localSheetId="10">#REF!</definedName>
    <definedName name="_Sort" localSheetId="0">#REF!</definedName>
    <definedName name="_Sort">#REF!</definedName>
    <definedName name="A_IMPRESION_IM" localSheetId="11">#REF!</definedName>
    <definedName name="A_IMPRESION_IM" localSheetId="12">#REF!</definedName>
    <definedName name="A_IMPRESION_IM" localSheetId="18">#REF!</definedName>
    <definedName name="A_IMPRESION_IM" localSheetId="19">#REF!</definedName>
    <definedName name="A_IMPRESION_IM" localSheetId="20">#REF!</definedName>
    <definedName name="A_IMPRESION_IM" localSheetId="21">#REF!</definedName>
    <definedName name="A_IMPRESION_IM" localSheetId="1">#REF!</definedName>
    <definedName name="A_IMPRESION_IM" localSheetId="3">#REF!</definedName>
    <definedName name="A_IMPRESION_IM" localSheetId="4">#REF!</definedName>
    <definedName name="A_IMPRESION_IM" localSheetId="5">#REF!</definedName>
    <definedName name="A_IMPRESION_IM" localSheetId="6">#REF!</definedName>
    <definedName name="A_IMPRESION_IM" localSheetId="7">#REF!</definedName>
    <definedName name="A_IMPRESION_IM" localSheetId="8">#REF!</definedName>
    <definedName name="A_IMPRESION_IM" localSheetId="9">#REF!</definedName>
    <definedName name="A_IMPRESION_IM" localSheetId="10">#REF!</definedName>
    <definedName name="A_IMPRESION_IM" localSheetId="0">#REF!</definedName>
    <definedName name="A_IMPRESION_IM">#REF!</definedName>
    <definedName name="A_IMPRESIÓN_IM" localSheetId="11">#REF!</definedName>
    <definedName name="A_IMPRESIÓN_IM" localSheetId="12">#REF!</definedName>
    <definedName name="A_IMPRESIÓN_IM" localSheetId="18">#REF!</definedName>
    <definedName name="A_IMPRESIÓN_IM" localSheetId="19">#REF!</definedName>
    <definedName name="A_IMPRESIÓN_IM" localSheetId="20">#REF!</definedName>
    <definedName name="A_IMPRESIÓN_IM" localSheetId="21">#REF!</definedName>
    <definedName name="A_IMPRESIÓN_IM" localSheetId="1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10">#REF!</definedName>
    <definedName name="A_IMPRESIÓN_IM" localSheetId="0">#REF!</definedName>
    <definedName name="A_IMPRESIÓN_IM">#REF!</definedName>
    <definedName name="AGO" localSheetId="11">#REF!</definedName>
    <definedName name="AGO" localSheetId="12">#REF!</definedName>
    <definedName name="AGO" localSheetId="18">#REF!</definedName>
    <definedName name="AGO" localSheetId="19">#REF!</definedName>
    <definedName name="AGO" localSheetId="20">#REF!</definedName>
    <definedName name="AGO" localSheetId="21">#REF!</definedName>
    <definedName name="AGO" localSheetId="1">#REF!</definedName>
    <definedName name="AGO" localSheetId="3">#REF!</definedName>
    <definedName name="AGO" localSheetId="4">#REF!</definedName>
    <definedName name="AGO" localSheetId="5">#REF!</definedName>
    <definedName name="AGO" localSheetId="6">#REF!</definedName>
    <definedName name="AGO" localSheetId="7">#REF!</definedName>
    <definedName name="AGO" localSheetId="8">#REF!</definedName>
    <definedName name="AGO" localSheetId="9">#REF!</definedName>
    <definedName name="AGO" localSheetId="10">#REF!</definedName>
    <definedName name="AGO" localSheetId="0">#REF!</definedName>
    <definedName name="AGO">#REF!</definedName>
    <definedName name="agueda" localSheetId="11">'[1]C-2-3'!#REF!</definedName>
    <definedName name="agueda" localSheetId="12">'[1]C-2-3'!#REF!</definedName>
    <definedName name="agueda" localSheetId="18">'[1]C-2-3'!#REF!</definedName>
    <definedName name="agueda" localSheetId="19">'[1]C-2-3'!#REF!</definedName>
    <definedName name="agueda" localSheetId="20">'[1]C-2-3'!#REF!</definedName>
    <definedName name="agueda" localSheetId="21">'[1]C-2-3'!#REF!</definedName>
    <definedName name="agueda" localSheetId="1">'[1]C-2-3'!#REF!</definedName>
    <definedName name="agueda" localSheetId="3">'[1]C-2-3'!#REF!</definedName>
    <definedName name="agueda" localSheetId="4">'[1]C-2-3'!#REF!</definedName>
    <definedName name="agueda" localSheetId="5">'[1]C-2-3'!#REF!</definedName>
    <definedName name="agueda" localSheetId="6">'[1]C-2-3'!#REF!</definedName>
    <definedName name="agueda" localSheetId="7">'[1]C-2-3'!#REF!</definedName>
    <definedName name="agueda" localSheetId="8">'[1]C-2-3'!#REF!</definedName>
    <definedName name="agueda" localSheetId="9">'[1]C-2-3'!#REF!</definedName>
    <definedName name="agueda" localSheetId="10">'[1]C-2-3'!#REF!</definedName>
    <definedName name="agueda" localSheetId="0">'[1]C-2-3'!#REF!</definedName>
    <definedName name="agueda">'[1]C-2-3'!#REF!</definedName>
    <definedName name="_xlnm.Print_Area" localSheetId="13">'C.102'!$A$1:$O$204</definedName>
    <definedName name="_xlnm.Print_Area" localSheetId="14">'C.103'!$A$1:$N$77</definedName>
    <definedName name="_xlnm.Print_Area" localSheetId="15">'C.104'!$A$1:$N$204</definedName>
    <definedName name="_xlnm.Print_Area" localSheetId="17">'C.106'!$A$2:$G$129</definedName>
    <definedName name="_xlnm.Print_Area" localSheetId="18">'C.107'!#REF!</definedName>
    <definedName name="_xlnm.Print_Area" localSheetId="19">'C.108'!#REF!</definedName>
    <definedName name="_xlnm.Print_Area" localSheetId="20">'C.109 '!#REF!</definedName>
    <definedName name="_xlnm.Print_Area" localSheetId="21">'C.110'!#REF!</definedName>
    <definedName name="_xlnm.Print_Area" localSheetId="1">'C.90'!#REF!</definedName>
    <definedName name="_xlnm.Print_Area" localSheetId="3">'C.92 '!#REF!</definedName>
    <definedName name="_xlnm.Print_Area" localSheetId="4">'C.93'!#REF!</definedName>
    <definedName name="_xlnm.Print_Area" localSheetId="5">'C.94'!#REF!</definedName>
    <definedName name="_xlnm.Print_Area" localSheetId="6">'C.95'!#REF!</definedName>
    <definedName name="asihuas" localSheetId="11">#REF!</definedName>
    <definedName name="asihuas" localSheetId="12">#REF!</definedName>
    <definedName name="asihuas" localSheetId="18">#REF!</definedName>
    <definedName name="asihuas" localSheetId="19">#REF!</definedName>
    <definedName name="asihuas" localSheetId="20">#REF!</definedName>
    <definedName name="asihuas" localSheetId="21">#REF!</definedName>
    <definedName name="asihuas" localSheetId="1">#REF!</definedName>
    <definedName name="asihuas" localSheetId="3">#REF!</definedName>
    <definedName name="asihuas" localSheetId="4">#REF!</definedName>
    <definedName name="asihuas" localSheetId="5">#REF!</definedName>
    <definedName name="asihuas" localSheetId="6">#REF!</definedName>
    <definedName name="asihuas" localSheetId="7">#REF!</definedName>
    <definedName name="asihuas" localSheetId="8">#REF!</definedName>
    <definedName name="asihuas" localSheetId="9">#REF!</definedName>
    <definedName name="asihuas" localSheetId="10">#REF!</definedName>
    <definedName name="asihuas" localSheetId="0">#REF!</definedName>
    <definedName name="asihuas">#REF!</definedName>
    <definedName name="fedfs" localSheetId="11">#REF!</definedName>
    <definedName name="fedfs" localSheetId="12">#REF!</definedName>
    <definedName name="fedfs" localSheetId="1">#REF!</definedName>
    <definedName name="fedfs" localSheetId="7">#REF!</definedName>
    <definedName name="fedfs" localSheetId="8">#REF!</definedName>
    <definedName name="fedfs" localSheetId="9">#REF!</definedName>
    <definedName name="fedfs" localSheetId="10">#REF!</definedName>
    <definedName name="fedfs" localSheetId="0">#REF!</definedName>
    <definedName name="fedfs">#REF!</definedName>
    <definedName name="fg" localSheetId="11">#REF!</definedName>
    <definedName name="fg" localSheetId="12">#REF!</definedName>
    <definedName name="fg" localSheetId="18">#REF!</definedName>
    <definedName name="fg" localSheetId="19">#REF!</definedName>
    <definedName name="fg" localSheetId="20">#REF!</definedName>
    <definedName name="fg" localSheetId="21">#REF!</definedName>
    <definedName name="fg" localSheetId="1">#REF!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7">#REF!</definedName>
    <definedName name="fg" localSheetId="8">#REF!</definedName>
    <definedName name="fg" localSheetId="9">#REF!</definedName>
    <definedName name="fg" localSheetId="10">#REF!</definedName>
    <definedName name="fg" localSheetId="0">#REF!</definedName>
    <definedName name="fg">#REF!</definedName>
    <definedName name="fsfdfds" localSheetId="11">'[1]C-4-5-6'!#REF!</definedName>
    <definedName name="fsfdfds" localSheetId="12">'[1]C-4-5-6'!#REF!</definedName>
    <definedName name="fsfdfds" localSheetId="18">'[1]C-4-5-6'!#REF!</definedName>
    <definedName name="fsfdfds" localSheetId="19">'[1]C-4-5-6'!#REF!</definedName>
    <definedName name="fsfdfds" localSheetId="20">'[1]C-4-5-6'!#REF!</definedName>
    <definedName name="fsfdfds" localSheetId="21">'[1]C-4-5-6'!#REF!</definedName>
    <definedName name="fsfdfds" localSheetId="1">'[1]C-4-5-6'!#REF!</definedName>
    <definedName name="fsfdfds" localSheetId="3">'[1]C-4-5-6'!#REF!</definedName>
    <definedName name="fsfdfds" localSheetId="4">'[1]C-4-5-6'!#REF!</definedName>
    <definedName name="fsfdfds" localSheetId="5">'[1]C-4-5-6'!#REF!</definedName>
    <definedName name="fsfdfds" localSheetId="6">'[1]C-4-5-6'!#REF!</definedName>
    <definedName name="fsfdfds" localSheetId="7">'[1]C-4-5-6'!#REF!</definedName>
    <definedName name="fsfdfds" localSheetId="8">'[1]C-4-5-6'!#REF!</definedName>
    <definedName name="fsfdfds" localSheetId="9">'[1]C-4-5-6'!#REF!</definedName>
    <definedName name="fsfdfds" localSheetId="10">'[1]C-4-5-6'!#REF!</definedName>
    <definedName name="fsfdfds" localSheetId="0">'[1]C-4-5-6'!#REF!</definedName>
    <definedName name="fsfdfds">'[1]C-4-5-6'!#REF!</definedName>
    <definedName name="gggg" localSheetId="11">#REF!</definedName>
    <definedName name="gggg" localSheetId="12">#REF!</definedName>
    <definedName name="gggg" localSheetId="18">#REF!</definedName>
    <definedName name="gggg" localSheetId="19">#REF!</definedName>
    <definedName name="gggg" localSheetId="20">#REF!</definedName>
    <definedName name="gggg" localSheetId="21">#REF!</definedName>
    <definedName name="gggg" localSheetId="1">#REF!</definedName>
    <definedName name="gggg" localSheetId="3">#REF!</definedName>
    <definedName name="gggg" localSheetId="4">#REF!</definedName>
    <definedName name="gggg" localSheetId="5">#REF!</definedName>
    <definedName name="gggg" localSheetId="6">#REF!</definedName>
    <definedName name="gggg" localSheetId="7">#REF!</definedName>
    <definedName name="gggg" localSheetId="8">#REF!</definedName>
    <definedName name="gggg" localSheetId="9">#REF!</definedName>
    <definedName name="gggg" localSheetId="10">#REF!</definedName>
    <definedName name="gggg" localSheetId="0">#REF!</definedName>
    <definedName name="gggg">#REF!</definedName>
    <definedName name="IMPORTACIONES">'[1]C-4-5-6'!#REF!</definedName>
    <definedName name="imprimir" localSheetId="11">#REF!</definedName>
    <definedName name="imprimir" localSheetId="12">#REF!</definedName>
    <definedName name="imprimir" localSheetId="18">#REF!</definedName>
    <definedName name="imprimir" localSheetId="19">#REF!</definedName>
    <definedName name="imprimir" localSheetId="20">#REF!</definedName>
    <definedName name="imprimir" localSheetId="21">#REF!</definedName>
    <definedName name="imprimir" localSheetId="1">#REF!</definedName>
    <definedName name="imprimir" localSheetId="3">#REF!</definedName>
    <definedName name="imprimir" localSheetId="4">#REF!</definedName>
    <definedName name="imprimir" localSheetId="5">#REF!</definedName>
    <definedName name="imprimir" localSheetId="6">#REF!</definedName>
    <definedName name="imprimir" localSheetId="7">#REF!</definedName>
    <definedName name="imprimir" localSheetId="8">#REF!</definedName>
    <definedName name="imprimir" localSheetId="9">#REF!</definedName>
    <definedName name="imprimir" localSheetId="10">#REF!</definedName>
    <definedName name="imprimir" localSheetId="0">#REF!</definedName>
    <definedName name="imprimir">#REF!</definedName>
    <definedName name="insum9os" localSheetId="11">#REF!</definedName>
    <definedName name="insum9os" localSheetId="12">#REF!</definedName>
    <definedName name="insum9os" localSheetId="18">#REF!</definedName>
    <definedName name="insum9os" localSheetId="19">#REF!</definedName>
    <definedName name="insum9os" localSheetId="20">#REF!</definedName>
    <definedName name="insum9os" localSheetId="21">#REF!</definedName>
    <definedName name="insum9os" localSheetId="1">#REF!</definedName>
    <definedName name="insum9os" localSheetId="3">#REF!</definedName>
    <definedName name="insum9os" localSheetId="4">#REF!</definedName>
    <definedName name="insum9os" localSheetId="5">#REF!</definedName>
    <definedName name="insum9os" localSheetId="6">#REF!</definedName>
    <definedName name="insum9os" localSheetId="7">#REF!</definedName>
    <definedName name="insum9os" localSheetId="8">#REF!</definedName>
    <definedName name="insum9os" localSheetId="9">#REF!</definedName>
    <definedName name="insum9os" localSheetId="10">#REF!</definedName>
    <definedName name="insum9os" localSheetId="0">#REF!</definedName>
    <definedName name="insum9os">#REF!</definedName>
    <definedName name="INSUMOS" localSheetId="11">'[1]C-4-5-6'!#REF!</definedName>
    <definedName name="INSUMOS" localSheetId="12">'[1]C-4-5-6'!#REF!</definedName>
    <definedName name="INSUMOS" localSheetId="18">'[1]C-4-5-6'!#REF!</definedName>
    <definedName name="INSUMOS" localSheetId="19">'[1]C-4-5-6'!#REF!</definedName>
    <definedName name="INSUMOS" localSheetId="20">'[1]C-4-5-6'!#REF!</definedName>
    <definedName name="INSUMOS" localSheetId="21">'[1]C-4-5-6'!#REF!</definedName>
    <definedName name="INSUMOS" localSheetId="1">'[1]C-4-5-6'!#REF!</definedName>
    <definedName name="INSUMOS" localSheetId="3">'[1]C-4-5-6'!#REF!</definedName>
    <definedName name="INSUMOS" localSheetId="4">'[1]C-4-5-6'!#REF!</definedName>
    <definedName name="INSUMOS" localSheetId="5">'[1]C-4-5-6'!#REF!</definedName>
    <definedName name="INSUMOS" localSheetId="6">'[1]C-4-5-6'!#REF!</definedName>
    <definedName name="INSUMOS" localSheetId="7">'[1]C-4-5-6'!#REF!</definedName>
    <definedName name="INSUMOS" localSheetId="8">'[1]C-4-5-6'!#REF!</definedName>
    <definedName name="INSUMOS" localSheetId="9">'[1]C-4-5-6'!#REF!</definedName>
    <definedName name="INSUMOS" localSheetId="10">'[1]C-4-5-6'!#REF!</definedName>
    <definedName name="INSUMOS" localSheetId="0">'[1]C-4-5-6'!#REF!</definedName>
    <definedName name="INSUMOS">'[1]C-4-5-6'!#REF!</definedName>
    <definedName name="sacszsc" localSheetId="11">#REF!</definedName>
    <definedName name="sacszsc" localSheetId="12">#REF!</definedName>
    <definedName name="sacszsc" localSheetId="18">#REF!</definedName>
    <definedName name="sacszsc" localSheetId="19">#REF!</definedName>
    <definedName name="sacszsc" localSheetId="20">#REF!</definedName>
    <definedName name="sacszsc" localSheetId="21">#REF!</definedName>
    <definedName name="sacszsc" localSheetId="1">#REF!</definedName>
    <definedName name="sacszsc" localSheetId="3">#REF!</definedName>
    <definedName name="sacszsc" localSheetId="4">#REF!</definedName>
    <definedName name="sacszsc" localSheetId="5">#REF!</definedName>
    <definedName name="sacszsc" localSheetId="6">#REF!</definedName>
    <definedName name="sacszsc" localSheetId="7">#REF!</definedName>
    <definedName name="sacszsc" localSheetId="8">#REF!</definedName>
    <definedName name="sacszsc" localSheetId="9">#REF!</definedName>
    <definedName name="sacszsc" localSheetId="10">#REF!</definedName>
    <definedName name="sacszsc" localSheetId="0">#REF!</definedName>
    <definedName name="sacszsc">#REF!</definedName>
    <definedName name="set" localSheetId="11">#REF!</definedName>
    <definedName name="set" localSheetId="12">#REF!</definedName>
    <definedName name="set" localSheetId="18">#REF!</definedName>
    <definedName name="set" localSheetId="19">#REF!</definedName>
    <definedName name="set" localSheetId="20">#REF!</definedName>
    <definedName name="set" localSheetId="21">#REF!</definedName>
    <definedName name="set" localSheetId="1">#REF!</definedName>
    <definedName name="set" localSheetId="3">#REF!</definedName>
    <definedName name="set" localSheetId="4">#REF!</definedName>
    <definedName name="set" localSheetId="5">#REF!</definedName>
    <definedName name="set" localSheetId="6">#REF!</definedName>
    <definedName name="set" localSheetId="7">#REF!</definedName>
    <definedName name="set" localSheetId="8">#REF!</definedName>
    <definedName name="set" localSheetId="9">#REF!</definedName>
    <definedName name="set" localSheetId="10">#REF!</definedName>
    <definedName name="set" localSheetId="0">#REF!</definedName>
    <definedName name="set">#REF!</definedName>
    <definedName name="SIHUAS" localSheetId="11">#REF!</definedName>
    <definedName name="SIHUAS" localSheetId="12">#REF!</definedName>
    <definedName name="SIHUAS" localSheetId="18">#REF!</definedName>
    <definedName name="SIHUAS" localSheetId="19">#REF!</definedName>
    <definedName name="SIHUAS" localSheetId="20">#REF!</definedName>
    <definedName name="SIHUAS" localSheetId="21">#REF!</definedName>
    <definedName name="SIHUAS" localSheetId="1">#REF!</definedName>
    <definedName name="SIHUAS" localSheetId="3">#REF!</definedName>
    <definedName name="SIHUAS" localSheetId="4">#REF!</definedName>
    <definedName name="SIHUAS" localSheetId="5">#REF!</definedName>
    <definedName name="SIHUAS" localSheetId="6">#REF!</definedName>
    <definedName name="SIHUAS" localSheetId="7">#REF!</definedName>
    <definedName name="SIHUAS" localSheetId="8">#REF!</definedName>
    <definedName name="SIHUAS" localSheetId="9">#REF!</definedName>
    <definedName name="SIHUAS" localSheetId="10">#REF!</definedName>
    <definedName name="SIHUAS" localSheetId="0">#REF!</definedName>
    <definedName name="SIHUAS">#REF!</definedName>
    <definedName name="sihuas6666" localSheetId="11">'[1]C-4-5-6'!#REF!</definedName>
    <definedName name="sihuas6666" localSheetId="12">'[1]C-4-5-6'!#REF!</definedName>
    <definedName name="sihuas6666" localSheetId="18">'[1]C-4-5-6'!#REF!</definedName>
    <definedName name="sihuas6666" localSheetId="19">'[1]C-4-5-6'!#REF!</definedName>
    <definedName name="sihuas6666" localSheetId="20">'[1]C-4-5-6'!#REF!</definedName>
    <definedName name="sihuas6666" localSheetId="21">'[1]C-4-5-6'!#REF!</definedName>
    <definedName name="sihuas6666" localSheetId="1">'[1]C-4-5-6'!#REF!</definedName>
    <definedName name="sihuas6666" localSheetId="3">'[1]C-4-5-6'!#REF!</definedName>
    <definedName name="sihuas6666" localSheetId="4">'[1]C-4-5-6'!#REF!</definedName>
    <definedName name="sihuas6666" localSheetId="5">'[1]C-4-5-6'!#REF!</definedName>
    <definedName name="sihuas6666" localSheetId="6">'[1]C-4-5-6'!#REF!</definedName>
    <definedName name="sihuas6666" localSheetId="7">'[1]C-4-5-6'!#REF!</definedName>
    <definedName name="sihuas6666" localSheetId="8">'[1]C-4-5-6'!#REF!</definedName>
    <definedName name="sihuas6666" localSheetId="9">'[1]C-4-5-6'!#REF!</definedName>
    <definedName name="sihuas6666" localSheetId="10">'[1]C-4-5-6'!#REF!</definedName>
    <definedName name="sihuas6666" localSheetId="0">'[1]C-4-5-6'!#REF!</definedName>
    <definedName name="sihuas6666">'[1]C-4-5-6'!#REF!</definedName>
    <definedName name="sihuas66666" localSheetId="11">#REF!</definedName>
    <definedName name="sihuas66666" localSheetId="12">#REF!</definedName>
    <definedName name="sihuas66666" localSheetId="18">#REF!</definedName>
    <definedName name="sihuas66666" localSheetId="19">#REF!</definedName>
    <definedName name="sihuas66666" localSheetId="20">#REF!</definedName>
    <definedName name="sihuas66666" localSheetId="21">#REF!</definedName>
    <definedName name="sihuas66666" localSheetId="1">#REF!</definedName>
    <definedName name="sihuas66666" localSheetId="3">#REF!</definedName>
    <definedName name="sihuas66666" localSheetId="4">#REF!</definedName>
    <definedName name="sihuas66666" localSheetId="5">#REF!</definedName>
    <definedName name="sihuas66666" localSheetId="6">#REF!</definedName>
    <definedName name="sihuas66666" localSheetId="7">#REF!</definedName>
    <definedName name="sihuas66666" localSheetId="8">#REF!</definedName>
    <definedName name="sihuas66666" localSheetId="9">#REF!</definedName>
    <definedName name="sihuas66666" localSheetId="10">#REF!</definedName>
    <definedName name="sihuas66666" localSheetId="0">#REF!</definedName>
    <definedName name="sihuas6666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3" i="90" l="1"/>
  <c r="G74" i="90"/>
  <c r="G29" i="90"/>
  <c r="D116" i="90" l="1"/>
  <c r="G43" i="90"/>
  <c r="D45" i="90"/>
  <c r="G45" i="90"/>
  <c r="D9" i="84"/>
  <c r="I47" i="84" l="1"/>
  <c r="D47" i="84"/>
  <c r="N33" i="84"/>
  <c r="E71" i="100" l="1"/>
  <c r="B71" i="100"/>
  <c r="B69" i="100"/>
  <c r="E50" i="100"/>
  <c r="C50" i="100"/>
  <c r="B50" i="100"/>
  <c r="B79" i="100"/>
  <c r="E73" i="100"/>
  <c r="D73" i="100"/>
  <c r="B73" i="100"/>
  <c r="B64" i="100"/>
  <c r="B54" i="100"/>
  <c r="B40" i="100"/>
  <c r="B21" i="100"/>
  <c r="E17" i="100"/>
  <c r="D17" i="100"/>
  <c r="C17" i="100"/>
  <c r="B17" i="100"/>
  <c r="C9" i="100"/>
  <c r="B9" i="100"/>
  <c r="D28" i="100"/>
  <c r="C115" i="101"/>
  <c r="B115" i="101"/>
  <c r="D111" i="101"/>
  <c r="C111" i="101"/>
  <c r="B111" i="101"/>
  <c r="E96" i="101"/>
  <c r="D96" i="101"/>
  <c r="C96" i="101"/>
  <c r="B96" i="101"/>
  <c r="E91" i="101"/>
  <c r="D91" i="101"/>
  <c r="C91" i="101"/>
  <c r="B91" i="101"/>
  <c r="E87" i="101"/>
  <c r="D87" i="101"/>
  <c r="C87" i="101"/>
  <c r="B87" i="101"/>
  <c r="E85" i="101"/>
  <c r="D85" i="101"/>
  <c r="C85" i="101"/>
  <c r="B85" i="101"/>
  <c r="E83" i="101"/>
  <c r="B83" i="101"/>
  <c r="B78" i="101"/>
  <c r="B66" i="101"/>
  <c r="E66" i="101"/>
  <c r="E61" i="101"/>
  <c r="D61" i="101"/>
  <c r="C61" i="101"/>
  <c r="B61" i="101"/>
  <c r="B39" i="101"/>
  <c r="C32" i="101"/>
  <c r="B32" i="101"/>
  <c r="E24" i="101"/>
  <c r="D24" i="101"/>
  <c r="C24" i="101"/>
  <c r="B24" i="101"/>
  <c r="D9" i="101"/>
  <c r="C9" i="101"/>
  <c r="B9" i="101"/>
  <c r="E9" i="101"/>
  <c r="B74" i="102"/>
  <c r="C62" i="102"/>
  <c r="D62" i="102"/>
  <c r="D60" i="102"/>
  <c r="C60" i="102"/>
  <c r="B56" i="102"/>
  <c r="D50" i="102"/>
  <c r="C50" i="102"/>
  <c r="B50" i="102"/>
  <c r="B37" i="102"/>
  <c r="D37" i="102"/>
  <c r="C37" i="102"/>
  <c r="C28" i="102"/>
  <c r="B25" i="102"/>
  <c r="D96" i="103"/>
  <c r="D77" i="103"/>
  <c r="B77" i="103"/>
  <c r="B73" i="103"/>
  <c r="B69" i="103"/>
  <c r="D53" i="103"/>
  <c r="B53" i="103"/>
  <c r="D58" i="103"/>
  <c r="B58" i="103"/>
  <c r="C43" i="103"/>
  <c r="D7" i="103"/>
  <c r="C7" i="103"/>
  <c r="B7" i="103"/>
  <c r="B6" i="104"/>
  <c r="C32" i="104"/>
  <c r="B32" i="104"/>
  <c r="D32" i="104"/>
  <c r="B104" i="104"/>
  <c r="E104" i="104"/>
  <c r="C104" i="104"/>
  <c r="B102" i="104"/>
  <c r="C102" i="104"/>
  <c r="B97" i="104"/>
  <c r="E97" i="104"/>
  <c r="D97" i="104"/>
  <c r="C97" i="104"/>
  <c r="E93" i="104"/>
  <c r="D93" i="104"/>
  <c r="C93" i="104"/>
  <c r="B93" i="104"/>
  <c r="B89" i="104"/>
  <c r="E89" i="104"/>
  <c r="D89" i="104"/>
  <c r="C89" i="104"/>
  <c r="B87" i="104"/>
  <c r="E87" i="104"/>
  <c r="E91" i="104"/>
  <c r="C83" i="104"/>
  <c r="E65" i="104"/>
  <c r="D65" i="104"/>
  <c r="C65" i="104"/>
  <c r="B65" i="104"/>
  <c r="E70" i="104"/>
  <c r="D70" i="104"/>
  <c r="C70" i="104"/>
  <c r="B70" i="104"/>
  <c r="E47" i="104"/>
  <c r="D47" i="104"/>
  <c r="C47" i="104"/>
  <c r="B47" i="104"/>
  <c r="C42" i="104"/>
  <c r="B38" i="104"/>
  <c r="E38" i="104"/>
  <c r="D38" i="104"/>
  <c r="B24" i="104"/>
  <c r="B20" i="104"/>
  <c r="E10" i="104"/>
  <c r="B10" i="104"/>
  <c r="C10" i="104"/>
  <c r="D10" i="104"/>
  <c r="D108" i="105"/>
  <c r="B104" i="105"/>
  <c r="C90" i="105"/>
  <c r="B90" i="105"/>
  <c r="B82" i="105"/>
  <c r="E69" i="105"/>
  <c r="D69" i="105"/>
  <c r="C69" i="105"/>
  <c r="B69" i="105"/>
  <c r="C64" i="105"/>
  <c r="B64" i="105"/>
  <c r="E93" i="105"/>
  <c r="D93" i="105"/>
  <c r="C88" i="105"/>
  <c r="B88" i="105"/>
  <c r="C86" i="105"/>
  <c r="B86" i="105"/>
  <c r="B45" i="105"/>
  <c r="C39" i="105"/>
  <c r="B39" i="105"/>
  <c r="C9" i="105"/>
  <c r="E9" i="105"/>
  <c r="H34" i="118"/>
  <c r="F34" i="118"/>
  <c r="E34" i="118"/>
  <c r="C34" i="118"/>
  <c r="B34" i="118"/>
  <c r="J27" i="118"/>
  <c r="H25" i="118"/>
  <c r="F23" i="123" l="1"/>
  <c r="E23" i="123"/>
  <c r="C23" i="123"/>
  <c r="B33" i="123"/>
  <c r="C33" i="123"/>
  <c r="I33" i="123"/>
  <c r="H33" i="123"/>
  <c r="E33" i="123"/>
  <c r="C82" i="123"/>
  <c r="B26" i="122"/>
  <c r="B21" i="122"/>
  <c r="B103" i="121"/>
  <c r="B57" i="121"/>
  <c r="I41" i="121"/>
  <c r="F41" i="121"/>
  <c r="C41" i="121"/>
  <c r="B31" i="121"/>
  <c r="B27" i="121"/>
  <c r="B21" i="121"/>
  <c r="C16" i="121"/>
  <c r="L14" i="107"/>
  <c r="C105" i="107"/>
  <c r="C104" i="107"/>
  <c r="C103" i="107"/>
  <c r="C102" i="107"/>
  <c r="C101" i="107"/>
  <c r="C100" i="107"/>
  <c r="C99" i="107"/>
  <c r="C98" i="107"/>
  <c r="C97" i="107"/>
  <c r="C96" i="107"/>
  <c r="C95" i="107"/>
  <c r="C94" i="107"/>
  <c r="C93" i="107"/>
  <c r="C92" i="107"/>
  <c r="C91" i="107"/>
  <c r="C90" i="107"/>
  <c r="C89" i="107"/>
  <c r="C88" i="107"/>
  <c r="C87" i="107"/>
  <c r="C86" i="107"/>
  <c r="C85" i="107"/>
  <c r="C84" i="107"/>
  <c r="C83" i="107"/>
  <c r="C82" i="107"/>
  <c r="C81" i="107"/>
  <c r="C80" i="107"/>
  <c r="C79" i="107"/>
  <c r="C78" i="107"/>
  <c r="C77" i="107"/>
  <c r="C76" i="107"/>
  <c r="C75" i="107"/>
  <c r="C74" i="107"/>
  <c r="C73" i="107"/>
  <c r="C72" i="107"/>
  <c r="C71" i="107"/>
  <c r="C70" i="107"/>
  <c r="C69" i="107"/>
  <c r="C68" i="107"/>
  <c r="C67" i="107"/>
  <c r="C66" i="107"/>
  <c r="C65" i="107"/>
  <c r="C64" i="107"/>
  <c r="C63" i="107"/>
  <c r="C62" i="107"/>
  <c r="C58" i="107"/>
  <c r="C57" i="107"/>
  <c r="C56" i="107"/>
  <c r="C55" i="107"/>
  <c r="C54" i="107"/>
  <c r="C53" i="107"/>
  <c r="C52" i="107"/>
  <c r="C51" i="107"/>
  <c r="C50" i="107"/>
  <c r="C49" i="107"/>
  <c r="C48" i="107"/>
  <c r="C47" i="107"/>
  <c r="C46" i="107"/>
  <c r="C45" i="107"/>
  <c r="C44" i="107"/>
  <c r="C43" i="107"/>
  <c r="C42" i="107"/>
  <c r="C41" i="107"/>
  <c r="C40" i="107"/>
  <c r="C39" i="107"/>
  <c r="C38" i="107"/>
  <c r="C37" i="107"/>
  <c r="C36" i="107"/>
  <c r="C35" i="107"/>
  <c r="C34" i="107"/>
  <c r="C33" i="107"/>
  <c r="C32" i="107"/>
  <c r="C31" i="107"/>
  <c r="C30" i="107"/>
  <c r="C29" i="107"/>
  <c r="C28" i="107"/>
  <c r="C27" i="107"/>
  <c r="C26" i="107"/>
  <c r="C25" i="107"/>
  <c r="C24" i="107"/>
  <c r="C23" i="107"/>
  <c r="C22" i="107"/>
  <c r="C21" i="107"/>
  <c r="C20" i="107"/>
  <c r="C19" i="107"/>
  <c r="C18" i="107"/>
  <c r="C17" i="107"/>
  <c r="C16" i="107"/>
  <c r="C15" i="107"/>
  <c r="K14" i="107"/>
  <c r="J14" i="107"/>
  <c r="I14" i="107"/>
  <c r="H14" i="107"/>
  <c r="G14" i="107"/>
  <c r="F14" i="107"/>
  <c r="E14" i="107"/>
  <c r="D14" i="107"/>
  <c r="O13" i="107"/>
  <c r="N13" i="107"/>
  <c r="M13" i="107"/>
  <c r="L13" i="107"/>
  <c r="K13" i="107"/>
  <c r="J13" i="107"/>
  <c r="I13" i="107"/>
  <c r="H13" i="107"/>
  <c r="G13" i="107"/>
  <c r="F13" i="107"/>
  <c r="E13" i="107"/>
  <c r="D13" i="107"/>
  <c r="O12" i="107"/>
  <c r="N12" i="107"/>
  <c r="M12" i="107"/>
  <c r="L12" i="107"/>
  <c r="K12" i="107"/>
  <c r="J12" i="107"/>
  <c r="I12" i="107"/>
  <c r="H12" i="107"/>
  <c r="G12" i="107"/>
  <c r="F12" i="107"/>
  <c r="E12" i="107"/>
  <c r="D12" i="107"/>
  <c r="O11" i="107"/>
  <c r="N11" i="107"/>
  <c r="M11" i="107"/>
  <c r="L11" i="107"/>
  <c r="K11" i="107"/>
  <c r="J11" i="107"/>
  <c r="I11" i="107"/>
  <c r="H11" i="107"/>
  <c r="G11" i="107"/>
  <c r="F11" i="107"/>
  <c r="E11" i="107"/>
  <c r="D11" i="107"/>
  <c r="O10" i="107"/>
  <c r="N10" i="107"/>
  <c r="M10" i="107"/>
  <c r="L10" i="107"/>
  <c r="K10" i="107"/>
  <c r="J10" i="107"/>
  <c r="I10" i="107"/>
  <c r="H10" i="107"/>
  <c r="G10" i="107"/>
  <c r="F10" i="107"/>
  <c r="E10" i="107"/>
  <c r="D10" i="107"/>
  <c r="O9" i="107"/>
  <c r="N9" i="107"/>
  <c r="M9" i="107"/>
  <c r="L9" i="107"/>
  <c r="K9" i="107"/>
  <c r="J9" i="107"/>
  <c r="I9" i="107"/>
  <c r="H9" i="107"/>
  <c r="G9" i="107"/>
  <c r="F9" i="107"/>
  <c r="E9" i="107"/>
  <c r="D9" i="107"/>
  <c r="O8" i="107"/>
  <c r="N8" i="107"/>
  <c r="M8" i="107"/>
  <c r="L8" i="107"/>
  <c r="K8" i="107"/>
  <c r="J8" i="107"/>
  <c r="I8" i="107"/>
  <c r="H8" i="107"/>
  <c r="G8" i="107"/>
  <c r="F8" i="107"/>
  <c r="E8" i="107"/>
  <c r="D8" i="107"/>
  <c r="O7" i="107"/>
  <c r="N7" i="107"/>
  <c r="M7" i="107"/>
  <c r="L7" i="107"/>
  <c r="K7" i="107"/>
  <c r="J7" i="107"/>
  <c r="I7" i="107"/>
  <c r="H7" i="107"/>
  <c r="G7" i="107"/>
  <c r="F7" i="107"/>
  <c r="E7" i="107"/>
  <c r="D7" i="107"/>
  <c r="O6" i="107"/>
  <c r="N6" i="107"/>
  <c r="M6" i="107"/>
  <c r="L6" i="107"/>
  <c r="K6" i="107"/>
  <c r="J6" i="107"/>
  <c r="I6" i="107"/>
  <c r="H6" i="107"/>
  <c r="G6" i="107"/>
  <c r="F6" i="107"/>
  <c r="E6" i="107"/>
  <c r="D6" i="107"/>
  <c r="O5" i="107"/>
  <c r="N5" i="107"/>
  <c r="M5" i="107"/>
  <c r="L5" i="107"/>
  <c r="K5" i="107"/>
  <c r="J5" i="107"/>
  <c r="I5" i="107"/>
  <c r="H5" i="107"/>
  <c r="G5" i="107"/>
  <c r="F5" i="107"/>
  <c r="E5" i="107"/>
  <c r="D5" i="107"/>
  <c r="O4" i="107"/>
  <c r="N4" i="107"/>
  <c r="M4" i="107"/>
  <c r="L4" i="107"/>
  <c r="K4" i="107"/>
  <c r="J4" i="107"/>
  <c r="I4" i="107"/>
  <c r="H4" i="107"/>
  <c r="G4" i="107"/>
  <c r="F4" i="107"/>
  <c r="E4" i="107"/>
  <c r="D4" i="107"/>
  <c r="C13" i="107" l="1"/>
  <c r="C4" i="107"/>
  <c r="C12" i="107"/>
  <c r="C14" i="107"/>
  <c r="C8" i="107"/>
  <c r="C7" i="107"/>
  <c r="C5" i="107"/>
  <c r="C11" i="107"/>
  <c r="C9" i="107"/>
  <c r="C10" i="107"/>
  <c r="C6" i="107"/>
  <c r="B7" i="123" l="1"/>
  <c r="C7" i="123"/>
  <c r="D7" i="123" s="1"/>
  <c r="F7" i="123"/>
  <c r="I7" i="123"/>
  <c r="D8" i="123"/>
  <c r="C9" i="123"/>
  <c r="F9" i="123"/>
  <c r="C12" i="123"/>
  <c r="F12" i="123"/>
  <c r="I12" i="123"/>
  <c r="B15" i="123"/>
  <c r="C15" i="123"/>
  <c r="E15" i="123"/>
  <c r="F15" i="123"/>
  <c r="I15" i="123"/>
  <c r="D16" i="123"/>
  <c r="G16" i="123"/>
  <c r="D17" i="123"/>
  <c r="D18" i="123"/>
  <c r="D19" i="123"/>
  <c r="B20" i="123"/>
  <c r="C20" i="123"/>
  <c r="F20" i="123"/>
  <c r="D21" i="123"/>
  <c r="D22" i="123"/>
  <c r="G24" i="123"/>
  <c r="B27" i="123"/>
  <c r="C27" i="123"/>
  <c r="D28" i="123"/>
  <c r="D29" i="123"/>
  <c r="D30" i="123"/>
  <c r="D31" i="123"/>
  <c r="D32" i="123"/>
  <c r="F33" i="123"/>
  <c r="G33" i="123" s="1"/>
  <c r="D34" i="123"/>
  <c r="J34" i="123"/>
  <c r="D35" i="123"/>
  <c r="D36" i="123"/>
  <c r="J36" i="123"/>
  <c r="D37" i="123"/>
  <c r="G37" i="123"/>
  <c r="J37" i="123"/>
  <c r="D38" i="123"/>
  <c r="G38" i="123"/>
  <c r="J38" i="123"/>
  <c r="D40" i="123"/>
  <c r="G40" i="123"/>
  <c r="B41" i="123"/>
  <c r="C41" i="123"/>
  <c r="E41" i="123"/>
  <c r="F41" i="123"/>
  <c r="H41" i="123"/>
  <c r="I41" i="123"/>
  <c r="D42" i="123"/>
  <c r="G42" i="123"/>
  <c r="J42" i="123"/>
  <c r="D43" i="123"/>
  <c r="G43" i="123"/>
  <c r="J43" i="123"/>
  <c r="D44" i="123"/>
  <c r="G44" i="123"/>
  <c r="J44" i="123"/>
  <c r="D45" i="123"/>
  <c r="G45" i="123"/>
  <c r="D46" i="123"/>
  <c r="G46" i="123"/>
  <c r="J46" i="123"/>
  <c r="B47" i="123"/>
  <c r="C47" i="123"/>
  <c r="E47" i="123"/>
  <c r="F47" i="123"/>
  <c r="I47" i="123"/>
  <c r="D48" i="123"/>
  <c r="G48" i="123"/>
  <c r="D49" i="123"/>
  <c r="G49" i="123"/>
  <c r="D50" i="123"/>
  <c r="G50" i="123"/>
  <c r="D51" i="123"/>
  <c r="B57" i="123"/>
  <c r="C57" i="123"/>
  <c r="E57" i="123"/>
  <c r="F57" i="123"/>
  <c r="H57" i="123"/>
  <c r="I57" i="123"/>
  <c r="D58" i="123"/>
  <c r="J58" i="123"/>
  <c r="D59" i="123"/>
  <c r="D60" i="123"/>
  <c r="G60" i="123"/>
  <c r="J60" i="123"/>
  <c r="D61" i="123"/>
  <c r="G61" i="123"/>
  <c r="J61" i="123"/>
  <c r="D62" i="123"/>
  <c r="D63" i="123"/>
  <c r="G64" i="123"/>
  <c r="J64" i="123"/>
  <c r="D65" i="123"/>
  <c r="J65" i="123"/>
  <c r="D66" i="123"/>
  <c r="D67" i="123"/>
  <c r="D68" i="123"/>
  <c r="G68" i="123"/>
  <c r="J68" i="123"/>
  <c r="D69" i="123"/>
  <c r="G69" i="123"/>
  <c r="B70" i="123"/>
  <c r="C70" i="123"/>
  <c r="E70" i="123"/>
  <c r="F70" i="123"/>
  <c r="H70" i="123"/>
  <c r="I70" i="123"/>
  <c r="D71" i="123"/>
  <c r="G71" i="123"/>
  <c r="J71" i="123"/>
  <c r="D72" i="123"/>
  <c r="G72" i="123"/>
  <c r="J72" i="123"/>
  <c r="D73" i="123"/>
  <c r="G73" i="123"/>
  <c r="J73" i="123"/>
  <c r="B74" i="123"/>
  <c r="C74" i="123"/>
  <c r="E74" i="123"/>
  <c r="F74" i="123"/>
  <c r="I74" i="123"/>
  <c r="D75" i="123"/>
  <c r="G75" i="123"/>
  <c r="B76" i="123"/>
  <c r="C76" i="123"/>
  <c r="E76" i="123"/>
  <c r="F76" i="123"/>
  <c r="H76" i="123"/>
  <c r="I76" i="123"/>
  <c r="D77" i="123"/>
  <c r="G77" i="123"/>
  <c r="J77" i="123"/>
  <c r="D78" i="123"/>
  <c r="D79" i="123"/>
  <c r="G79" i="123"/>
  <c r="J79" i="123"/>
  <c r="B80" i="123"/>
  <c r="E80" i="123"/>
  <c r="F80" i="123"/>
  <c r="H80" i="123"/>
  <c r="I80" i="123"/>
  <c r="G81" i="123"/>
  <c r="J81" i="123"/>
  <c r="B88" i="123"/>
  <c r="C88" i="123"/>
  <c r="E88" i="123"/>
  <c r="F88" i="123"/>
  <c r="H88" i="123"/>
  <c r="I88" i="123"/>
  <c r="D89" i="123"/>
  <c r="G89" i="123"/>
  <c r="J89" i="123"/>
  <c r="D90" i="123"/>
  <c r="J90" i="123"/>
  <c r="B91" i="123"/>
  <c r="C91" i="123"/>
  <c r="E91" i="123"/>
  <c r="F91" i="123"/>
  <c r="H91" i="123"/>
  <c r="I91" i="123"/>
  <c r="J92" i="123"/>
  <c r="D93" i="123"/>
  <c r="G93" i="123"/>
  <c r="J93" i="123"/>
  <c r="D94" i="123"/>
  <c r="G94" i="123"/>
  <c r="J94" i="123"/>
  <c r="B95" i="123"/>
  <c r="C95" i="123"/>
  <c r="E95" i="123"/>
  <c r="F95" i="123"/>
  <c r="H95" i="123"/>
  <c r="I95" i="123"/>
  <c r="D96" i="123"/>
  <c r="G96" i="123"/>
  <c r="J96" i="123"/>
  <c r="C8" i="122"/>
  <c r="H8" i="122"/>
  <c r="I8" i="122"/>
  <c r="J9" i="122"/>
  <c r="C10" i="122"/>
  <c r="F10" i="122"/>
  <c r="C15" i="122"/>
  <c r="F15" i="122"/>
  <c r="I15" i="122"/>
  <c r="C21" i="122"/>
  <c r="D22" i="122"/>
  <c r="D23" i="122"/>
  <c r="D24" i="122"/>
  <c r="D25" i="122"/>
  <c r="C26" i="122"/>
  <c r="E26" i="122"/>
  <c r="H26" i="122"/>
  <c r="I26" i="122"/>
  <c r="D27" i="122"/>
  <c r="J27" i="122"/>
  <c r="D28" i="122"/>
  <c r="B29" i="122"/>
  <c r="C29" i="122"/>
  <c r="E29" i="122"/>
  <c r="F29" i="122"/>
  <c r="H29" i="122"/>
  <c r="I29" i="122"/>
  <c r="D30" i="122"/>
  <c r="G30" i="122"/>
  <c r="J30" i="122"/>
  <c r="B33" i="122"/>
  <c r="C33" i="122"/>
  <c r="F33" i="122"/>
  <c r="D34" i="122"/>
  <c r="D35" i="122"/>
  <c r="D36" i="122"/>
  <c r="D37" i="122"/>
  <c r="D38" i="122"/>
  <c r="B39" i="122"/>
  <c r="C39" i="122"/>
  <c r="E39" i="122"/>
  <c r="F39" i="122"/>
  <c r="H39" i="122"/>
  <c r="I39" i="122"/>
  <c r="D40" i="122"/>
  <c r="G40" i="122"/>
  <c r="D41" i="122"/>
  <c r="G41" i="122"/>
  <c r="J41" i="122"/>
  <c r="G42" i="122"/>
  <c r="D43" i="122"/>
  <c r="D44" i="122"/>
  <c r="G44" i="122"/>
  <c r="J44" i="122"/>
  <c r="D45" i="122"/>
  <c r="G46" i="122"/>
  <c r="J47" i="122"/>
  <c r="D48" i="122"/>
  <c r="B49" i="122"/>
  <c r="C49" i="122"/>
  <c r="F49" i="122"/>
  <c r="I49" i="122"/>
  <c r="D50" i="122"/>
  <c r="D51" i="122"/>
  <c r="D52" i="122"/>
  <c r="D53" i="122"/>
  <c r="B60" i="122"/>
  <c r="C60" i="122"/>
  <c r="E60" i="122"/>
  <c r="H60" i="122"/>
  <c r="I60" i="122"/>
  <c r="D61" i="122"/>
  <c r="J61" i="122"/>
  <c r="D62" i="122"/>
  <c r="D63" i="122"/>
  <c r="D64" i="122"/>
  <c r="J64" i="122"/>
  <c r="D65" i="122"/>
  <c r="B66" i="122"/>
  <c r="C66" i="122"/>
  <c r="E66" i="122"/>
  <c r="F66" i="122"/>
  <c r="H66" i="122"/>
  <c r="I66" i="122"/>
  <c r="D67" i="122"/>
  <c r="D68" i="122"/>
  <c r="D69" i="122"/>
  <c r="D70" i="122"/>
  <c r="D71" i="122"/>
  <c r="D72" i="122"/>
  <c r="D74" i="122"/>
  <c r="D75" i="122"/>
  <c r="D76" i="122"/>
  <c r="D77" i="122"/>
  <c r="J77" i="122"/>
  <c r="D78" i="122"/>
  <c r="B79" i="122"/>
  <c r="C79" i="122"/>
  <c r="E79" i="122"/>
  <c r="F79" i="122"/>
  <c r="D80" i="122"/>
  <c r="G80" i="122"/>
  <c r="D81" i="122"/>
  <c r="G81" i="122"/>
  <c r="D82" i="122"/>
  <c r="G82" i="122"/>
  <c r="B83" i="122"/>
  <c r="C83" i="122"/>
  <c r="E83" i="122"/>
  <c r="F83" i="122"/>
  <c r="I83" i="122"/>
  <c r="D84" i="122"/>
  <c r="D85" i="122"/>
  <c r="G85" i="122"/>
  <c r="B86" i="122"/>
  <c r="C86" i="122"/>
  <c r="E86" i="122"/>
  <c r="F86" i="122"/>
  <c r="H86" i="122"/>
  <c r="I86" i="122"/>
  <c r="D87" i="122"/>
  <c r="G87" i="122"/>
  <c r="J87" i="122"/>
  <c r="D88" i="122"/>
  <c r="D89" i="122"/>
  <c r="G89" i="122"/>
  <c r="B90" i="122"/>
  <c r="C90" i="122"/>
  <c r="E90" i="122"/>
  <c r="D91" i="122"/>
  <c r="C92" i="122"/>
  <c r="F92" i="122"/>
  <c r="I92" i="122"/>
  <c r="B99" i="122"/>
  <c r="C99" i="122"/>
  <c r="H99" i="122"/>
  <c r="I99" i="122"/>
  <c r="J100" i="122"/>
  <c r="D101" i="122"/>
  <c r="C102" i="122"/>
  <c r="B104" i="122"/>
  <c r="C104" i="122"/>
  <c r="E104" i="122"/>
  <c r="F104" i="122"/>
  <c r="H104" i="122"/>
  <c r="D105" i="122"/>
  <c r="D106" i="122"/>
  <c r="D107" i="122"/>
  <c r="B108" i="122"/>
  <c r="C108" i="122"/>
  <c r="E108" i="122"/>
  <c r="F108" i="122"/>
  <c r="H108" i="122"/>
  <c r="I108" i="122"/>
  <c r="D109" i="122"/>
  <c r="G109" i="122"/>
  <c r="J109" i="122"/>
  <c r="B8" i="121"/>
  <c r="C8" i="121"/>
  <c r="D9" i="121"/>
  <c r="C10" i="121"/>
  <c r="F10" i="121"/>
  <c r="I10" i="121"/>
  <c r="F16" i="121"/>
  <c r="I16" i="121"/>
  <c r="C21" i="121"/>
  <c r="E21" i="121"/>
  <c r="F21" i="121"/>
  <c r="H21" i="121"/>
  <c r="I21" i="121"/>
  <c r="D22" i="121"/>
  <c r="D23" i="121"/>
  <c r="G23" i="121"/>
  <c r="J23" i="121"/>
  <c r="D24" i="121"/>
  <c r="G24" i="121"/>
  <c r="J24" i="121"/>
  <c r="D25" i="121"/>
  <c r="G25" i="121"/>
  <c r="D26" i="121"/>
  <c r="J26" i="121"/>
  <c r="C27" i="121"/>
  <c r="E27" i="121"/>
  <c r="F27" i="121"/>
  <c r="H27" i="121"/>
  <c r="I27" i="121"/>
  <c r="D28" i="121"/>
  <c r="G28" i="121"/>
  <c r="D29" i="121"/>
  <c r="D30" i="121"/>
  <c r="G30" i="121"/>
  <c r="C31" i="121"/>
  <c r="E31" i="121"/>
  <c r="F31" i="121"/>
  <c r="H31" i="121"/>
  <c r="I31" i="121"/>
  <c r="D32" i="121"/>
  <c r="G32" i="121"/>
  <c r="B35" i="121"/>
  <c r="C35" i="121"/>
  <c r="E35" i="121"/>
  <c r="F35" i="121"/>
  <c r="I35" i="121"/>
  <c r="G36" i="121"/>
  <c r="D37" i="121"/>
  <c r="G37" i="121"/>
  <c r="D38" i="121"/>
  <c r="G38" i="121"/>
  <c r="D39" i="121"/>
  <c r="G39" i="121"/>
  <c r="D40" i="121"/>
  <c r="G40" i="121"/>
  <c r="B41" i="121"/>
  <c r="E41" i="121"/>
  <c r="H41" i="121"/>
  <c r="D42" i="121"/>
  <c r="G42" i="121"/>
  <c r="J42" i="121"/>
  <c r="D43" i="121"/>
  <c r="G43" i="121"/>
  <c r="J43" i="121"/>
  <c r="D44" i="121"/>
  <c r="G44" i="121"/>
  <c r="D45" i="121"/>
  <c r="G45" i="121"/>
  <c r="J45" i="121"/>
  <c r="D46" i="121"/>
  <c r="D47" i="121"/>
  <c r="G47" i="121"/>
  <c r="J47" i="121"/>
  <c r="D48" i="121"/>
  <c r="D49" i="121"/>
  <c r="G49" i="121"/>
  <c r="B51" i="121"/>
  <c r="C51" i="121"/>
  <c r="E51" i="121"/>
  <c r="F51" i="121"/>
  <c r="H51" i="121"/>
  <c r="I51" i="121"/>
  <c r="D52" i="121"/>
  <c r="G52" i="121"/>
  <c r="J52" i="121"/>
  <c r="D53" i="121"/>
  <c r="G53" i="121"/>
  <c r="J53" i="121"/>
  <c r="D54" i="121"/>
  <c r="G54" i="121"/>
  <c r="J54" i="121"/>
  <c r="D55" i="121"/>
  <c r="G55" i="121"/>
  <c r="J55" i="121"/>
  <c r="D56" i="121"/>
  <c r="G56" i="121"/>
  <c r="J56" i="121"/>
  <c r="C57" i="121"/>
  <c r="E57" i="121"/>
  <c r="F57" i="121"/>
  <c r="I57" i="121"/>
  <c r="D58" i="121"/>
  <c r="G58" i="121"/>
  <c r="D59" i="121"/>
  <c r="G59" i="121"/>
  <c r="D60" i="121"/>
  <c r="G60" i="121"/>
  <c r="D61" i="121"/>
  <c r="G61" i="121"/>
  <c r="D62" i="121"/>
  <c r="G62" i="121"/>
  <c r="B68" i="121"/>
  <c r="C68" i="121"/>
  <c r="E68" i="121"/>
  <c r="F68" i="121"/>
  <c r="H68" i="121"/>
  <c r="I68" i="121"/>
  <c r="D69" i="121"/>
  <c r="G69" i="121"/>
  <c r="J69" i="121"/>
  <c r="D70" i="121"/>
  <c r="D71" i="121"/>
  <c r="G71" i="121"/>
  <c r="J71" i="121"/>
  <c r="D72" i="121"/>
  <c r="G72" i="121"/>
  <c r="J72" i="121"/>
  <c r="D73" i="121"/>
  <c r="G73" i="121"/>
  <c r="J73" i="121"/>
  <c r="D74" i="121"/>
  <c r="G74" i="121"/>
  <c r="J74" i="121"/>
  <c r="D75" i="121"/>
  <c r="G75" i="121"/>
  <c r="J75" i="121"/>
  <c r="D76" i="121"/>
  <c r="G76" i="121"/>
  <c r="J76" i="121"/>
  <c r="D77" i="121"/>
  <c r="J77" i="121"/>
  <c r="D78" i="121"/>
  <c r="D79" i="121"/>
  <c r="G79" i="121"/>
  <c r="J79" i="121"/>
  <c r="D80" i="121"/>
  <c r="G80" i="121"/>
  <c r="J80" i="121"/>
  <c r="B81" i="121"/>
  <c r="C81" i="121"/>
  <c r="E81" i="121"/>
  <c r="F81" i="121"/>
  <c r="H81" i="121"/>
  <c r="I81" i="121"/>
  <c r="D82" i="121"/>
  <c r="G82" i="121"/>
  <c r="J82" i="121"/>
  <c r="D83" i="121"/>
  <c r="G83" i="121"/>
  <c r="J83" i="121"/>
  <c r="D84" i="121"/>
  <c r="G84" i="121"/>
  <c r="J84" i="121"/>
  <c r="B85" i="121"/>
  <c r="C85" i="121"/>
  <c r="E85" i="121"/>
  <c r="H85" i="121"/>
  <c r="D86" i="121"/>
  <c r="B87" i="121"/>
  <c r="C87" i="121"/>
  <c r="E87" i="121"/>
  <c r="F87" i="121"/>
  <c r="H87" i="121"/>
  <c r="I87" i="121"/>
  <c r="D88" i="121"/>
  <c r="G88" i="121"/>
  <c r="J88" i="121"/>
  <c r="D89" i="121"/>
  <c r="G89" i="121"/>
  <c r="B90" i="121"/>
  <c r="C90" i="121"/>
  <c r="E90" i="121"/>
  <c r="F90" i="121"/>
  <c r="H90" i="121"/>
  <c r="I90" i="121"/>
  <c r="D91" i="121"/>
  <c r="G91" i="121"/>
  <c r="J91" i="121"/>
  <c r="D92" i="121"/>
  <c r="D93" i="121"/>
  <c r="G93" i="121"/>
  <c r="J93" i="121"/>
  <c r="B94" i="121"/>
  <c r="C94" i="121"/>
  <c r="E94" i="121"/>
  <c r="F94" i="121"/>
  <c r="H94" i="121"/>
  <c r="I94" i="121"/>
  <c r="D95" i="121"/>
  <c r="G95" i="121"/>
  <c r="J95" i="121"/>
  <c r="C96" i="121"/>
  <c r="F96" i="121"/>
  <c r="I96" i="121"/>
  <c r="C103" i="121"/>
  <c r="E103" i="121"/>
  <c r="H103" i="121"/>
  <c r="I103" i="121"/>
  <c r="D104" i="121"/>
  <c r="J104" i="121"/>
  <c r="D105" i="121"/>
  <c r="J105" i="121"/>
  <c r="D106" i="121"/>
  <c r="J106" i="121"/>
  <c r="C107" i="121"/>
  <c r="F107" i="121"/>
  <c r="B109" i="121"/>
  <c r="C109" i="121"/>
  <c r="E109" i="121"/>
  <c r="F109" i="121"/>
  <c r="H109" i="121"/>
  <c r="I109" i="121"/>
  <c r="D110" i="121"/>
  <c r="J110" i="121"/>
  <c r="D111" i="121"/>
  <c r="G111" i="121"/>
  <c r="J111" i="121"/>
  <c r="D112" i="121"/>
  <c r="G112" i="121"/>
  <c r="J112" i="121"/>
  <c r="B113" i="121"/>
  <c r="C113" i="121"/>
  <c r="E113" i="121"/>
  <c r="F113" i="121"/>
  <c r="H113" i="121"/>
  <c r="I113" i="121"/>
  <c r="D114" i="121"/>
  <c r="G114" i="121"/>
  <c r="J114" i="121"/>
  <c r="G15" i="123" l="1"/>
  <c r="D15" i="123"/>
  <c r="J95" i="123"/>
  <c r="J41" i="123"/>
  <c r="G76" i="123"/>
  <c r="G91" i="123"/>
  <c r="J80" i="123"/>
  <c r="D76" i="123"/>
  <c r="G70" i="123"/>
  <c r="G57" i="123"/>
  <c r="J33" i="123"/>
  <c r="D33" i="123"/>
  <c r="D91" i="123"/>
  <c r="J91" i="123"/>
  <c r="G74" i="123"/>
  <c r="G23" i="123"/>
  <c r="D88" i="123"/>
  <c r="J70" i="123"/>
  <c r="J57" i="123"/>
  <c r="J76" i="123"/>
  <c r="G47" i="123"/>
  <c r="D95" i="123"/>
  <c r="D70" i="123"/>
  <c r="D74" i="123"/>
  <c r="D47" i="123"/>
  <c r="D27" i="123"/>
  <c r="D60" i="122"/>
  <c r="D33" i="122"/>
  <c r="D21" i="122"/>
  <c r="G108" i="122"/>
  <c r="D39" i="122"/>
  <c r="G29" i="122"/>
  <c r="G83" i="122"/>
  <c r="D79" i="122"/>
  <c r="G66" i="122"/>
  <c r="G39" i="122"/>
  <c r="D29" i="122"/>
  <c r="D26" i="122"/>
  <c r="G104" i="122"/>
  <c r="D99" i="122"/>
  <c r="D90" i="122"/>
  <c r="J86" i="122"/>
  <c r="J66" i="122"/>
  <c r="D66" i="122"/>
  <c r="D49" i="122"/>
  <c r="J26" i="122"/>
  <c r="G31" i="121"/>
  <c r="G21" i="121"/>
  <c r="D35" i="121"/>
  <c r="D113" i="121"/>
  <c r="G109" i="121"/>
  <c r="G94" i="121"/>
  <c r="G113" i="121"/>
  <c r="G87" i="121"/>
  <c r="J27" i="121"/>
  <c r="D109" i="121"/>
  <c r="J94" i="121"/>
  <c r="D94" i="121"/>
  <c r="J87" i="121"/>
  <c r="D87" i="121"/>
  <c r="J81" i="121"/>
  <c r="D81" i="121"/>
  <c r="D57" i="121"/>
  <c r="J103" i="121"/>
  <c r="J90" i="121"/>
  <c r="D85" i="121"/>
  <c r="D68" i="121"/>
  <c r="D51" i="121"/>
  <c r="D90" i="121"/>
  <c r="J113" i="121"/>
  <c r="J109" i="121"/>
  <c r="G90" i="121"/>
  <c r="G81" i="121"/>
  <c r="G57" i="121"/>
  <c r="D41" i="121"/>
  <c r="G27" i="121"/>
  <c r="D8" i="121"/>
  <c r="J51" i="121"/>
  <c r="J68" i="121"/>
  <c r="G35" i="121"/>
  <c r="G68" i="121"/>
  <c r="J39" i="122"/>
  <c r="J8" i="122"/>
  <c r="J88" i="123"/>
  <c r="D57" i="123"/>
  <c r="D41" i="123"/>
  <c r="D20" i="123"/>
  <c r="J41" i="121"/>
  <c r="J31" i="121"/>
  <c r="D31" i="121"/>
  <c r="D27" i="121"/>
  <c r="J108" i="122"/>
  <c r="J99" i="122"/>
  <c r="D86" i="122"/>
  <c r="D83" i="122"/>
  <c r="D103" i="121"/>
  <c r="G51" i="121"/>
  <c r="J21" i="121"/>
  <c r="D21" i="121"/>
  <c r="D108" i="122"/>
  <c r="D104" i="122"/>
  <c r="G86" i="122"/>
  <c r="G79" i="122"/>
  <c r="J60" i="122"/>
  <c r="J29" i="122"/>
  <c r="G95" i="123"/>
  <c r="G88" i="123"/>
  <c r="G80" i="123"/>
  <c r="G41" i="123"/>
  <c r="G41" i="121"/>
  <c r="B8" i="118"/>
  <c r="C8" i="118"/>
  <c r="F8" i="118"/>
  <c r="I8" i="118"/>
  <c r="D9" i="118"/>
  <c r="C10" i="118"/>
  <c r="F10" i="118"/>
  <c r="I10" i="118"/>
  <c r="B15" i="118"/>
  <c r="C15" i="118"/>
  <c r="E15" i="118"/>
  <c r="F15" i="118"/>
  <c r="H15" i="118"/>
  <c r="I15" i="118"/>
  <c r="D17" i="118"/>
  <c r="G17" i="118"/>
  <c r="J17" i="118"/>
  <c r="B21" i="118"/>
  <c r="C21" i="118"/>
  <c r="E21" i="118"/>
  <c r="F21" i="118"/>
  <c r="G21" i="118" s="1"/>
  <c r="H21" i="118"/>
  <c r="D22" i="118"/>
  <c r="G22" i="118"/>
  <c r="D23" i="118"/>
  <c r="D24" i="118"/>
  <c r="B25" i="118"/>
  <c r="C25" i="118"/>
  <c r="F25" i="118"/>
  <c r="I25" i="118"/>
  <c r="D26" i="118"/>
  <c r="B30" i="118"/>
  <c r="C30" i="118"/>
  <c r="D31" i="118"/>
  <c r="D32" i="118"/>
  <c r="D33" i="118"/>
  <c r="I34" i="118"/>
  <c r="D36" i="118"/>
  <c r="G36" i="118"/>
  <c r="J36" i="118"/>
  <c r="D38" i="118"/>
  <c r="B39" i="118"/>
  <c r="C39" i="118"/>
  <c r="H39" i="118"/>
  <c r="I39" i="118"/>
  <c r="D40" i="118"/>
  <c r="D41" i="118"/>
  <c r="D42" i="118"/>
  <c r="J42" i="118"/>
  <c r="B43" i="118"/>
  <c r="C43" i="118"/>
  <c r="E43" i="118"/>
  <c r="F43" i="118"/>
  <c r="H43" i="118"/>
  <c r="I43" i="118"/>
  <c r="D44" i="118"/>
  <c r="J44" i="118"/>
  <c r="G45" i="118"/>
  <c r="J45" i="118"/>
  <c r="B46" i="118"/>
  <c r="C46" i="118"/>
  <c r="E46" i="118"/>
  <c r="F46" i="118"/>
  <c r="H46" i="118"/>
  <c r="I46" i="118"/>
  <c r="G47" i="118"/>
  <c r="G48" i="118"/>
  <c r="J48" i="118"/>
  <c r="G49" i="118"/>
  <c r="J49" i="118"/>
  <c r="D50" i="118"/>
  <c r="G50" i="118"/>
  <c r="G51" i="118"/>
  <c r="J51" i="118"/>
  <c r="B52" i="118"/>
  <c r="C52" i="118"/>
  <c r="E52" i="118"/>
  <c r="F52" i="118"/>
  <c r="I52" i="118"/>
  <c r="D53" i="118"/>
  <c r="G53" i="118"/>
  <c r="G55" i="118"/>
  <c r="C56" i="118"/>
  <c r="I56" i="118"/>
  <c r="B59" i="118"/>
  <c r="C59" i="118"/>
  <c r="D60" i="118"/>
  <c r="D61" i="118"/>
  <c r="B62" i="118"/>
  <c r="C62" i="118"/>
  <c r="D63" i="118"/>
  <c r="G46" i="118" l="1"/>
  <c r="J43" i="118"/>
  <c r="G15" i="118"/>
  <c r="G43" i="118"/>
  <c r="J34" i="118"/>
  <c r="J25" i="118"/>
  <c r="G52" i="118"/>
  <c r="D25" i="118"/>
  <c r="D15" i="118"/>
  <c r="D52" i="118"/>
  <c r="D8" i="118"/>
  <c r="D59" i="118"/>
  <c r="D34" i="118"/>
  <c r="G34" i="118"/>
  <c r="D30" i="118"/>
  <c r="J15" i="118"/>
  <c r="D21" i="118"/>
  <c r="D39" i="118"/>
  <c r="D62" i="118"/>
  <c r="J46" i="118"/>
  <c r="J39" i="118"/>
  <c r="D7" i="110"/>
  <c r="D8" i="110"/>
  <c r="D9" i="110"/>
  <c r="D10" i="110"/>
  <c r="D11" i="110"/>
  <c r="D12" i="110"/>
  <c r="D13" i="110"/>
  <c r="D14" i="110"/>
  <c r="D15" i="110"/>
  <c r="D18" i="110"/>
  <c r="D19" i="110"/>
  <c r="D20" i="110"/>
  <c r="D21" i="110"/>
  <c r="D24" i="110"/>
  <c r="D27" i="110"/>
  <c r="D28" i="110"/>
  <c r="B6" i="87" l="1"/>
  <c r="C90" i="100" l="1"/>
  <c r="B90" i="100"/>
  <c r="E79" i="100"/>
  <c r="D79" i="100"/>
  <c r="C79" i="100"/>
  <c r="D40" i="100"/>
  <c r="D31" i="100"/>
  <c r="D107" i="101"/>
  <c r="B104" i="101"/>
  <c r="E107" i="101"/>
  <c r="B107" i="101"/>
  <c r="E51" i="101"/>
  <c r="D51" i="101"/>
  <c r="B51" i="101"/>
  <c r="B43" i="101"/>
  <c r="B7" i="101"/>
  <c r="E7" i="101"/>
  <c r="D74" i="102" l="1"/>
  <c r="D71" i="102"/>
  <c r="C71" i="102"/>
  <c r="B71" i="102"/>
  <c r="B67" i="102"/>
  <c r="C67" i="102"/>
  <c r="D67" i="102"/>
  <c r="D45" i="102"/>
  <c r="B45" i="102"/>
  <c r="C45" i="102"/>
  <c r="B32" i="102"/>
  <c r="D25" i="102"/>
  <c r="D10" i="102"/>
  <c r="C10" i="102"/>
  <c r="B10" i="102"/>
  <c r="D91" i="103" l="1"/>
  <c r="C91" i="103"/>
  <c r="D69" i="103"/>
  <c r="D80" i="103"/>
  <c r="B80" i="103"/>
  <c r="D84" i="103"/>
  <c r="C84" i="103"/>
  <c r="B84" i="103"/>
  <c r="B33" i="103"/>
  <c r="D33" i="103"/>
  <c r="B29" i="103"/>
  <c r="B24" i="103"/>
  <c r="D17" i="103"/>
  <c r="C17" i="103"/>
  <c r="B17" i="103"/>
  <c r="C12" i="103"/>
  <c r="B12" i="103"/>
  <c r="E108" i="104"/>
  <c r="E59" i="104"/>
  <c r="D59" i="104"/>
  <c r="C59" i="104"/>
  <c r="B59" i="104"/>
  <c r="E42" i="104"/>
  <c r="D42" i="104"/>
  <c r="E24" i="104"/>
  <c r="D24" i="104"/>
  <c r="D6" i="104"/>
  <c r="D104" i="105" l="1"/>
  <c r="C104" i="105"/>
  <c r="D98" i="105"/>
  <c r="C98" i="105"/>
  <c r="B98" i="105"/>
  <c r="C93" i="105"/>
  <c r="B93" i="105"/>
  <c r="E54" i="105"/>
  <c r="D54" i="105"/>
  <c r="C54" i="105"/>
  <c r="B54" i="105"/>
  <c r="E45" i="105"/>
  <c r="C33" i="105"/>
  <c r="B33" i="105"/>
  <c r="B25" i="105"/>
  <c r="B9" i="105"/>
  <c r="B16" i="87"/>
  <c r="G12" i="90" l="1"/>
  <c r="D12" i="90"/>
  <c r="D17" i="90"/>
  <c r="G17" i="90"/>
  <c r="D95" i="90" l="1"/>
  <c r="G72" i="90"/>
  <c r="D72" i="90"/>
  <c r="D74" i="90"/>
  <c r="D73" i="90"/>
  <c r="G63" i="90"/>
  <c r="D63" i="90"/>
  <c r="G62" i="90"/>
  <c r="D62" i="90"/>
  <c r="G61" i="90"/>
  <c r="D61" i="90"/>
  <c r="G35" i="90"/>
  <c r="D34" i="90"/>
  <c r="G27" i="90"/>
  <c r="G31" i="90"/>
  <c r="D31" i="90"/>
  <c r="D46" i="84"/>
  <c r="N10" i="84"/>
  <c r="I29" i="84"/>
  <c r="I28" i="84"/>
  <c r="I27" i="84"/>
  <c r="I23" i="84"/>
  <c r="I22" i="84"/>
  <c r="I21" i="84"/>
  <c r="D31" i="84"/>
  <c r="B92" i="100" l="1"/>
  <c r="E86" i="100"/>
  <c r="B86" i="100"/>
  <c r="B84" i="100"/>
  <c r="D76" i="100"/>
  <c r="C76" i="100"/>
  <c r="B76" i="100"/>
  <c r="D64" i="100"/>
  <c r="C64" i="100"/>
  <c r="E54" i="100"/>
  <c r="D54" i="100"/>
  <c r="C54" i="100"/>
  <c r="D34" i="100"/>
  <c r="C34" i="100"/>
  <c r="B34" i="100"/>
  <c r="B31" i="100"/>
  <c r="E28" i="100"/>
  <c r="C28" i="100"/>
  <c r="B28" i="100"/>
  <c r="D21" i="100"/>
  <c r="C21" i="100"/>
  <c r="D12" i="100"/>
  <c r="C12" i="100"/>
  <c r="B12" i="100"/>
  <c r="B7" i="100"/>
  <c r="D115" i="101"/>
  <c r="C104" i="101"/>
  <c r="E78" i="101"/>
  <c r="D78" i="101"/>
  <c r="D66" i="101"/>
  <c r="C66" i="101"/>
  <c r="E43" i="101"/>
  <c r="D43" i="101"/>
  <c r="C43" i="101"/>
  <c r="C39" i="101"/>
  <c r="E36" i="101"/>
  <c r="D36" i="101"/>
  <c r="C36" i="101"/>
  <c r="B36" i="101"/>
  <c r="E18" i="101"/>
  <c r="D18" i="101"/>
  <c r="C18" i="101"/>
  <c r="B18" i="101"/>
  <c r="D20" i="102"/>
  <c r="B65" i="102"/>
  <c r="D56" i="102"/>
  <c r="C53" i="102"/>
  <c r="B53" i="102"/>
  <c r="D32" i="102"/>
  <c r="C32" i="102"/>
  <c r="D28" i="102"/>
  <c r="B28" i="102"/>
  <c r="C20" i="102"/>
  <c r="B20" i="102"/>
  <c r="D15" i="102"/>
  <c r="C15" i="102"/>
  <c r="B15" i="102"/>
  <c r="C7" i="102"/>
  <c r="B7" i="102"/>
  <c r="D35" i="103"/>
  <c r="B96" i="103"/>
  <c r="B87" i="103"/>
  <c r="D75" i="103"/>
  <c r="C75" i="103"/>
  <c r="B75" i="103"/>
  <c r="D43" i="103"/>
  <c r="B43" i="103"/>
  <c r="B35" i="103"/>
  <c r="D29" i="103"/>
  <c r="C29" i="103"/>
  <c r="D24" i="103"/>
  <c r="D108" i="104"/>
  <c r="E106" i="104"/>
  <c r="D106" i="104"/>
  <c r="E102" i="104"/>
  <c r="D91" i="104"/>
  <c r="C91" i="104"/>
  <c r="B91" i="104"/>
  <c r="D83" i="104"/>
  <c r="E32" i="104"/>
  <c r="E20" i="104"/>
  <c r="D20" i="104"/>
  <c r="C20" i="104"/>
  <c r="E6" i="104"/>
  <c r="D7" i="105"/>
  <c r="B108" i="105" l="1"/>
  <c r="C108" i="105"/>
  <c r="C113" i="105"/>
  <c r="B113" i="105"/>
  <c r="D82" i="105"/>
  <c r="C82" i="105"/>
  <c r="C45" i="105"/>
  <c r="C41" i="105"/>
  <c r="B41" i="105"/>
  <c r="D25" i="105"/>
  <c r="C25" i="105"/>
  <c r="E20" i="105"/>
  <c r="C20" i="105"/>
  <c r="B20" i="105"/>
  <c r="C7" i="105"/>
  <c r="G105" i="90"/>
  <c r="D105" i="90"/>
  <c r="N35" i="84"/>
  <c r="N34" i="84"/>
  <c r="N22" i="84"/>
  <c r="N15" i="84"/>
  <c r="D117" i="90"/>
  <c r="D43" i="90"/>
  <c r="D39" i="90"/>
  <c r="G40" i="90"/>
  <c r="D40" i="90"/>
  <c r="N37" i="84" l="1"/>
  <c r="I33" i="84"/>
  <c r="G100" i="90" l="1"/>
  <c r="G58" i="90"/>
  <c r="G9" i="90"/>
  <c r="D9" i="90"/>
  <c r="D8" i="90"/>
  <c r="D115" i="90" l="1"/>
  <c r="G44" i="90"/>
  <c r="D44" i="90"/>
  <c r="G8" i="90"/>
  <c r="D41" i="84"/>
  <c r="N32" i="84" l="1"/>
  <c r="B15" i="87" l="1"/>
  <c r="G98" i="90" l="1"/>
  <c r="G14" i="90"/>
  <c r="D35" i="90" l="1"/>
  <c r="I38" i="84" l="1"/>
  <c r="I37" i="84"/>
  <c r="G103" i="90" l="1"/>
  <c r="D100" i="90"/>
  <c r="G32" i="90"/>
  <c r="G30" i="90"/>
  <c r="D14" i="90"/>
  <c r="D98" i="90" l="1"/>
  <c r="D58" i="90"/>
  <c r="G36" i="90"/>
  <c r="D36" i="90"/>
  <c r="D30" i="90"/>
  <c r="D29" i="90"/>
  <c r="D28" i="90"/>
  <c r="N13" i="84" l="1"/>
  <c r="B14" i="87" l="1"/>
  <c r="B9" i="87"/>
  <c r="B8" i="87"/>
  <c r="B7" i="87"/>
  <c r="I41" i="84" l="1"/>
  <c r="I18" i="84"/>
  <c r="N41" i="84" l="1"/>
  <c r="N40" i="84"/>
  <c r="N31" i="84"/>
  <c r="N21" i="84"/>
  <c r="I9" i="84"/>
  <c r="I8" i="84"/>
  <c r="D45" i="84"/>
  <c r="D30" i="84"/>
  <c r="D29" i="84"/>
  <c r="D28" i="84"/>
  <c r="D27" i="84"/>
  <c r="D114" i="90"/>
  <c r="G71" i="90"/>
  <c r="G55" i="90"/>
  <c r="D57" i="90" l="1"/>
  <c r="G56" i="90"/>
  <c r="D56" i="90"/>
  <c r="D54" i="90"/>
  <c r="G53" i="90"/>
  <c r="D53" i="90"/>
  <c r="G52" i="90"/>
  <c r="D52" i="90"/>
  <c r="G51" i="90"/>
  <c r="D51" i="90"/>
  <c r="G50" i="90"/>
  <c r="G49" i="90"/>
  <c r="D49" i="90"/>
  <c r="G48" i="90"/>
  <c r="D48" i="90"/>
  <c r="G46" i="90"/>
  <c r="D46" i="90"/>
  <c r="I24" i="84" l="1"/>
  <c r="I20" i="84"/>
  <c r="G106" i="90" l="1"/>
  <c r="D106" i="90"/>
  <c r="G41" i="90"/>
  <c r="D125" i="90"/>
  <c r="G39" i="90"/>
  <c r="N43" i="84"/>
  <c r="N39" i="84"/>
  <c r="N18" i="84"/>
  <c r="N17" i="84"/>
  <c r="N19" i="84"/>
  <c r="I36" i="84"/>
  <c r="I35" i="84"/>
  <c r="I34" i="84"/>
  <c r="I31" i="84"/>
  <c r="I26" i="84"/>
  <c r="I16" i="84"/>
  <c r="I15" i="84"/>
  <c r="I14" i="84"/>
  <c r="I13" i="84"/>
  <c r="I12" i="84"/>
  <c r="I11" i="84"/>
  <c r="I10" i="84"/>
  <c r="D42" i="84"/>
  <c r="D38" i="84"/>
  <c r="D37" i="84"/>
  <c r="D36" i="84"/>
  <c r="D35" i="84"/>
  <c r="D34" i="84"/>
  <c r="D40" i="84"/>
  <c r="G85" i="90" l="1"/>
  <c r="G84" i="90"/>
  <c r="G83" i="90"/>
  <c r="G82" i="90"/>
  <c r="G81" i="90"/>
  <c r="G80" i="90"/>
  <c r="G79" i="90"/>
  <c r="D85" i="90"/>
  <c r="D84" i="90"/>
  <c r="D83" i="90"/>
  <c r="D82" i="90"/>
  <c r="D81" i="90"/>
  <c r="D80" i="90"/>
  <c r="D79" i="90"/>
  <c r="D78" i="90"/>
  <c r="D76" i="90"/>
  <c r="D71" i="90"/>
  <c r="D32" i="90"/>
  <c r="D27" i="90"/>
  <c r="D121" i="90" l="1"/>
  <c r="G123" i="90"/>
  <c r="D123" i="90"/>
  <c r="D122" i="90"/>
  <c r="D103" i="90"/>
  <c r="D102" i="90"/>
  <c r="G91" i="90"/>
  <c r="D91" i="90"/>
  <c r="G90" i="90"/>
  <c r="D90" i="90"/>
  <c r="G89" i="90"/>
  <c r="D89" i="90"/>
  <c r="G86" i="90"/>
  <c r="D86" i="90"/>
  <c r="G76" i="90"/>
  <c r="G64" i="90"/>
  <c r="D64" i="90"/>
  <c r="G60" i="90"/>
  <c r="D60" i="90"/>
  <c r="D41" i="90"/>
  <c r="G37" i="90"/>
  <c r="D37" i="90"/>
  <c r="G11" i="90"/>
  <c r="D11" i="90"/>
  <c r="M13" i="87" l="1"/>
  <c r="L13" i="87"/>
  <c r="J13" i="87"/>
  <c r="I13" i="87"/>
  <c r="H13" i="87"/>
  <c r="G13" i="87"/>
  <c r="I12" i="87"/>
  <c r="H12" i="87"/>
  <c r="E12" i="87"/>
  <c r="D12" i="87"/>
  <c r="M11" i="87"/>
  <c r="L11" i="87"/>
  <c r="K11" i="87"/>
  <c r="J11" i="87"/>
  <c r="I11" i="87"/>
  <c r="G11" i="87"/>
  <c r="E11" i="87"/>
  <c r="I10" i="87"/>
  <c r="B10" i="87" s="1"/>
  <c r="B13" i="87" l="1"/>
  <c r="B12" i="87"/>
  <c r="B11" i="87"/>
  <c r="I46" i="84" l="1"/>
  <c r="I45" i="84"/>
  <c r="I44" i="84"/>
  <c r="D32" i="84"/>
  <c r="D44" i="84"/>
</calcChain>
</file>

<file path=xl/sharedStrings.xml><?xml version="1.0" encoding="utf-8"?>
<sst xmlns="http://schemas.openxmlformats.org/spreadsheetml/2006/main" count="5549" uniqueCount="615">
  <si>
    <t>Departamento/Provincia</t>
  </si>
  <si>
    <t>Var. %</t>
  </si>
  <si>
    <t>AREQUIPA</t>
  </si>
  <si>
    <t xml:space="preserve"> -      </t>
  </si>
  <si>
    <t>-</t>
  </si>
  <si>
    <t>Arequipa</t>
  </si>
  <si>
    <t>AYACUCHO</t>
  </si>
  <si>
    <t>Huamanga</t>
  </si>
  <si>
    <t>Huanta</t>
  </si>
  <si>
    <t>La Mar</t>
  </si>
  <si>
    <t>Lucanas</t>
  </si>
  <si>
    <t>Paucar del Sara Sara</t>
  </si>
  <si>
    <t>Sucre</t>
  </si>
  <si>
    <t>CAJAMARCA</t>
  </si>
  <si>
    <t>HUANCAVELICA</t>
  </si>
  <si>
    <t>Huancavelica</t>
  </si>
  <si>
    <t>HUÁNUCO</t>
  </si>
  <si>
    <t>Ambo</t>
  </si>
  <si>
    <t>Dos de Mayo</t>
  </si>
  <si>
    <t>Huánuco</t>
  </si>
  <si>
    <t>Leoncio Prado</t>
  </si>
  <si>
    <t>Marañón</t>
  </si>
  <si>
    <t>Pachitea</t>
  </si>
  <si>
    <t>ICA</t>
  </si>
  <si>
    <t>sigue…</t>
  </si>
  <si>
    <t>Junín</t>
  </si>
  <si>
    <t>Ascope</t>
  </si>
  <si>
    <t>Chepén</t>
  </si>
  <si>
    <t>Gran Chimú</t>
  </si>
  <si>
    <t>Otuzco</t>
  </si>
  <si>
    <t>Sánchez Carrión</t>
  </si>
  <si>
    <t>Santiago de Chuco</t>
  </si>
  <si>
    <t>Trujillo</t>
  </si>
  <si>
    <t>LAMBAYEQUE</t>
  </si>
  <si>
    <t>Chiclayo</t>
  </si>
  <si>
    <t>Ferreñafe</t>
  </si>
  <si>
    <t>Lambayeque</t>
  </si>
  <si>
    <t>PASCO</t>
  </si>
  <si>
    <t>Oxapampa</t>
  </si>
  <si>
    <t>Pasco</t>
  </si>
  <si>
    <t>PIURA</t>
  </si>
  <si>
    <t>Ayabaca</t>
  </si>
  <si>
    <t>Huancabamba</t>
  </si>
  <si>
    <t>Piura</t>
  </si>
  <si>
    <t>UCAYALI</t>
  </si>
  <si>
    <t>Coronel Portillo</t>
  </si>
  <si>
    <t>Fosfato Diamónico</t>
  </si>
  <si>
    <t xml:space="preserve"> -     </t>
  </si>
  <si>
    <t>Cloruro de Potasio</t>
  </si>
  <si>
    <t>Sulfato de Potasio</t>
  </si>
  <si>
    <t>Amazonas</t>
  </si>
  <si>
    <t>Ica</t>
  </si>
  <si>
    <t>Pacasmayo</t>
  </si>
  <si>
    <t>San Martín</t>
  </si>
  <si>
    <t>Producto</t>
  </si>
  <si>
    <t>Chulucanas</t>
  </si>
  <si>
    <t>Palpa</t>
  </si>
  <si>
    <t>Huallaga</t>
  </si>
  <si>
    <t>Picota</t>
  </si>
  <si>
    <t>Caylloma</t>
  </si>
  <si>
    <t>Huacaybamba</t>
  </si>
  <si>
    <t>Yarowilca</t>
  </si>
  <si>
    <t>Julcán</t>
  </si>
  <si>
    <t>Puno</t>
  </si>
  <si>
    <t>Virú</t>
  </si>
  <si>
    <t xml:space="preserve">Elaboración: Ministerio de Desarrollo Agrario y Riego - MIDAGRI </t>
  </si>
  <si>
    <t>Dirección General de Estadística, Seguimiento y Evaluación de Políticas - DEIA</t>
  </si>
  <si>
    <t>Santa Cruz</t>
  </si>
  <si>
    <t>Hualgayoc</t>
  </si>
  <si>
    <t>TUMBES</t>
  </si>
  <si>
    <t>Tumbes</t>
  </si>
  <si>
    <t>Zarumilla</t>
  </si>
  <si>
    <t>Contralmirante Villar</t>
  </si>
  <si>
    <t>LORETO</t>
  </si>
  <si>
    <t>Ucayali</t>
  </si>
  <si>
    <t>APURÍMAC</t>
  </si>
  <si>
    <t>Camaná</t>
  </si>
  <si>
    <t>Huamalíes</t>
  </si>
  <si>
    <t>JUNÍN</t>
  </si>
  <si>
    <t>Bolívar</t>
  </si>
  <si>
    <t>Patáz</t>
  </si>
  <si>
    <t>SAN MARTÍN</t>
  </si>
  <si>
    <t>Castilla</t>
  </si>
  <si>
    <t>LA LIBERTAD</t>
  </si>
  <si>
    <t>Fuente: Gerencias y Direcciones Regionales de Agricultura</t>
  </si>
  <si>
    <t>Chupaca</t>
  </si>
  <si>
    <t>TACNA</t>
  </si>
  <si>
    <t>Tacna</t>
  </si>
  <si>
    <t>Apurímac</t>
  </si>
  <si>
    <t>Vilcas Huamán</t>
  </si>
  <si>
    <t>Daniel Alcides Carrión</t>
  </si>
  <si>
    <t xml:space="preserve">            (Soles por día)</t>
  </si>
  <si>
    <t>Región</t>
  </si>
  <si>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</si>
  <si>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</si>
  <si>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</si>
  <si>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</si>
  <si>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</si>
  <si>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</si>
  <si>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</si>
  <si>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</si>
  <si>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</si>
  <si>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</si>
  <si>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</si>
  <si>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</si>
  <si>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</si>
  <si>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 xml:space="preserve">Arequipa </t>
  </si>
  <si>
    <t>Ayacucho</t>
  </si>
  <si>
    <t>Cajamarca</t>
  </si>
  <si>
    <t>Cusco</t>
  </si>
  <si>
    <t>continúa C.102</t>
  </si>
  <si>
    <t>La Libertad</t>
  </si>
  <si>
    <t>Lima Metropolitana</t>
  </si>
  <si>
    <t xml:space="preserve">Lima </t>
  </si>
  <si>
    <t>52.50</t>
  </si>
  <si>
    <t>Loreto</t>
  </si>
  <si>
    <t>Madre de Dios</t>
  </si>
  <si>
    <t>Moquegua</t>
  </si>
  <si>
    <t>Nota: A partir del mes de Octubre 2024, el dato corresponde a un promedio simple obtenido del sistema SISISA.</t>
  </si>
  <si>
    <t xml:space="preserve">           (Soles por día)</t>
  </si>
  <si>
    <t>Departamento/    Provincia</t>
  </si>
  <si>
    <t xml:space="preserve">       …</t>
  </si>
  <si>
    <t>Lauricocha</t>
  </si>
  <si>
    <t>Puerto Inca</t>
  </si>
  <si>
    <t>Huanca Sancos</t>
  </si>
  <si>
    <t>La Unión</t>
  </si>
  <si>
    <t>FERTILIZANTES QUÍMICOS</t>
  </si>
  <si>
    <t>Úrea para uso agrícola</t>
  </si>
  <si>
    <t>Nitrato de Amónio</t>
  </si>
  <si>
    <t>Sulfato de Amónio</t>
  </si>
  <si>
    <t>continúa C.90</t>
  </si>
  <si>
    <t>Superfosfatos</t>
  </si>
  <si>
    <t xml:space="preserve">Sulfato de Magnesio y Potasio </t>
  </si>
  <si>
    <t>Fuente: Superintendencia Nacional de Administración Tributaria - SUNAT</t>
  </si>
  <si>
    <t xml:space="preserve">          (Tonelada)</t>
  </si>
  <si>
    <t>Total</t>
  </si>
  <si>
    <t xml:space="preserve">Fuente:  AGRORURAL  </t>
  </si>
  <si>
    <t>Año</t>
    <phoneticPr fontId="21" type="noConversion"/>
  </si>
  <si>
    <t xml:space="preserve">    -</t>
  </si>
  <si>
    <t xml:space="preserve">Cusco </t>
  </si>
  <si>
    <t>continúa C.104</t>
  </si>
  <si>
    <t>Lima</t>
  </si>
  <si>
    <t>Metropolitana</t>
  </si>
  <si>
    <t xml:space="preserve">     -      </t>
  </si>
  <si>
    <t>continúa C.105</t>
  </si>
  <si>
    <t xml:space="preserve">Lima Metropolitana </t>
  </si>
  <si>
    <t>110.00</t>
  </si>
  <si>
    <t xml:space="preserve">C.106  PERÚ: PRECIO DE ALQUILER DE TRACTOR Y YUNTA POR DEPARTAMENTO Y PROVINCIA, </t>
  </si>
  <si>
    <t>Tractor (s/*hora)</t>
  </si>
  <si>
    <t>Yunta (s/*día)</t>
  </si>
  <si>
    <t>2024</t>
  </si>
  <si>
    <t>Abancay</t>
  </si>
  <si>
    <t>Antabamba</t>
  </si>
  <si>
    <t xml:space="preserve">     -</t>
  </si>
  <si>
    <t>Cotabambas</t>
  </si>
  <si>
    <t>Curahuasi</t>
  </si>
  <si>
    <t xml:space="preserve">…     </t>
  </si>
  <si>
    <t>Grau</t>
  </si>
  <si>
    <t>2025</t>
  </si>
  <si>
    <t xml:space="preserve">Insumos y Servicios Agropecuarios </t>
  </si>
  <si>
    <t>Cuadro</t>
  </si>
  <si>
    <t xml:space="preserve">Descripción </t>
  </si>
  <si>
    <t xml:space="preserve">C.90 </t>
  </si>
  <si>
    <t>C.91</t>
  </si>
  <si>
    <t>C.92</t>
  </si>
  <si>
    <t>C.93</t>
  </si>
  <si>
    <t>C.94</t>
  </si>
  <si>
    <t>C.95</t>
  </si>
  <si>
    <t>C.96</t>
  </si>
  <si>
    <t>C.97</t>
  </si>
  <si>
    <t>C.98</t>
  </si>
  <si>
    <t>C.99</t>
  </si>
  <si>
    <t>C.100</t>
  </si>
  <si>
    <t>C.101</t>
  </si>
  <si>
    <t>C.102</t>
  </si>
  <si>
    <t>C.103</t>
  </si>
  <si>
    <t>C.104</t>
  </si>
  <si>
    <t>C.105</t>
  </si>
  <si>
    <t>C.106</t>
  </si>
  <si>
    <t>C.107</t>
  </si>
  <si>
    <t>C.108</t>
  </si>
  <si>
    <t>C.109</t>
  </si>
  <si>
    <t>C.110</t>
  </si>
  <si>
    <t>Lima Provincias</t>
  </si>
  <si>
    <t>Challhuahuacho</t>
  </si>
  <si>
    <t>LIMA METROPOLITANA</t>
  </si>
  <si>
    <t>Islay</t>
  </si>
  <si>
    <t>Chota</t>
  </si>
  <si>
    <t>Tayacaja</t>
  </si>
  <si>
    <t>Nota. En el mes de enero y febrero no se realizó ninguna actividad de recolección de guano de isla. El plan de manejo 2025 se aprobó en marzo</t>
  </si>
  <si>
    <t>MOQUEGUA</t>
  </si>
  <si>
    <t>Carumas</t>
  </si>
  <si>
    <t>General Sánchez Cerro</t>
  </si>
  <si>
    <t>Mariscal Nieto</t>
  </si>
  <si>
    <t>PUNO</t>
  </si>
  <si>
    <t>Yunguyo</t>
  </si>
  <si>
    <t>Chucuito</t>
  </si>
  <si>
    <t>San Román</t>
  </si>
  <si>
    <t>Carabaya</t>
  </si>
  <si>
    <t>Sandía</t>
  </si>
  <si>
    <t>LIMA METROPOLITANA*</t>
  </si>
  <si>
    <t>Ichuña</t>
  </si>
  <si>
    <t>Estación Experimental Agraria</t>
  </si>
  <si>
    <t>Especie</t>
  </si>
  <si>
    <t>Raza</t>
  </si>
  <si>
    <t>Categoría</t>
  </si>
  <si>
    <t>Cantidad   Macho</t>
  </si>
  <si>
    <t>Cantidad  Hembra</t>
  </si>
  <si>
    <t>S/</t>
  </si>
  <si>
    <t>Cuy</t>
  </si>
  <si>
    <t>Andina</t>
  </si>
  <si>
    <t>Recría</t>
  </si>
  <si>
    <t>Reproductores</t>
  </si>
  <si>
    <t>Inti</t>
  </si>
  <si>
    <t>Kuri</t>
  </si>
  <si>
    <t>Perú</t>
  </si>
  <si>
    <t>Andenes / Cusco</t>
  </si>
  <si>
    <t>Bovino</t>
  </si>
  <si>
    <t>Girolando</t>
  </si>
  <si>
    <t>Torete / Vaquilla</t>
  </si>
  <si>
    <t>Canaán / Ayacucho</t>
  </si>
  <si>
    <t>Canchán / Huánuco</t>
  </si>
  <si>
    <t>La Molina / Lima Metropolitana</t>
  </si>
  <si>
    <t>Mejorados</t>
  </si>
  <si>
    <t>Chumbibamba / Apurímac</t>
  </si>
  <si>
    <t>Donoso / Lima</t>
  </si>
  <si>
    <t>El Porvenir / San Martín</t>
  </si>
  <si>
    <t>Brown Swiss x Gyr Lechero</t>
  </si>
  <si>
    <t>Ovino</t>
  </si>
  <si>
    <t>Dorper x Pelibuey</t>
  </si>
  <si>
    <t>Carnerillo / Borreguilla</t>
  </si>
  <si>
    <t>Illpa / Puno</t>
  </si>
  <si>
    <t>Moquegua / Moquegua</t>
  </si>
  <si>
    <t>Santa Ana / Junín</t>
  </si>
  <si>
    <t>Línea Saños</t>
  </si>
  <si>
    <t>Vista Florida / Lambayeque</t>
  </si>
  <si>
    <t>Inka</t>
  </si>
  <si>
    <t>Blackbelly</t>
  </si>
  <si>
    <t>Fuente:  INIA, Estaciones Experimentales Agrarias.</t>
  </si>
  <si>
    <t>Plantón</t>
  </si>
  <si>
    <t>Cultivar</t>
  </si>
  <si>
    <t>Cantidad</t>
  </si>
  <si>
    <t>Lúcumo</t>
  </si>
  <si>
    <t>Seda</t>
  </si>
  <si>
    <t>Injerto</t>
  </si>
  <si>
    <t>Hass</t>
  </si>
  <si>
    <t>Palto</t>
  </si>
  <si>
    <t>Fuerte</t>
  </si>
  <si>
    <t>Chirimoyo</t>
  </si>
  <si>
    <t>Cumbe</t>
  </si>
  <si>
    <t>Maracuyá</t>
  </si>
  <si>
    <t>Amarrillo</t>
  </si>
  <si>
    <t>Patrón</t>
  </si>
  <si>
    <t>Chincha / Ica</t>
  </si>
  <si>
    <t>Vid</t>
  </si>
  <si>
    <t>Torontel</t>
  </si>
  <si>
    <t>Borgoña Blanca</t>
  </si>
  <si>
    <t>Quebranta</t>
  </si>
  <si>
    <t>Thompsom</t>
  </si>
  <si>
    <t>Borgoña Negra</t>
  </si>
  <si>
    <t>Red Globe</t>
  </si>
  <si>
    <t>Cabernet Sauvignon</t>
  </si>
  <si>
    <t>Malbec</t>
  </si>
  <si>
    <t>Tempranillo</t>
  </si>
  <si>
    <t>Italia Blanca</t>
  </si>
  <si>
    <t>Tannat</t>
  </si>
  <si>
    <t>Merlot</t>
  </si>
  <si>
    <t>Donoso - Lima</t>
  </si>
  <si>
    <t>Beltrán</t>
  </si>
  <si>
    <t>Mandarina</t>
  </si>
  <si>
    <t>Cleopatra</t>
  </si>
  <si>
    <t>Pitahaya</t>
  </si>
  <si>
    <t>Amarrilla</t>
  </si>
  <si>
    <t>Esqueje</t>
  </si>
  <si>
    <t>Fucsia</t>
  </si>
  <si>
    <t>El Chira / Piura</t>
  </si>
  <si>
    <t>Mango</t>
  </si>
  <si>
    <t>Kent / Cambodiano</t>
  </si>
  <si>
    <t>Kent / Chulucanas</t>
  </si>
  <si>
    <t>Cambodiano</t>
  </si>
  <si>
    <t>Ataulfo / Cambodiano</t>
  </si>
  <si>
    <t>Saigon</t>
  </si>
  <si>
    <t>Los Cedros / Tumbes</t>
  </si>
  <si>
    <t>Limonero</t>
  </si>
  <si>
    <t>Limón Sutil</t>
  </si>
  <si>
    <t>Granado</t>
  </si>
  <si>
    <t>Wonderfull</t>
  </si>
  <si>
    <t>sigue</t>
  </si>
  <si>
    <t>Cacao</t>
  </si>
  <si>
    <t>Pichanaki / Junín</t>
  </si>
  <si>
    <t>Naranja</t>
  </si>
  <si>
    <t>Tangelo Miniola</t>
  </si>
  <si>
    <t>Manzano</t>
  </si>
  <si>
    <t>California</t>
  </si>
  <si>
    <t>Pucallpa / Ucayali</t>
  </si>
  <si>
    <t>Guaba</t>
  </si>
  <si>
    <t>Rugoso</t>
  </si>
  <si>
    <t>Tahití</t>
  </si>
  <si>
    <t>Río de Oro</t>
  </si>
  <si>
    <t>Zill</t>
  </si>
  <si>
    <t>Chico Rico</t>
  </si>
  <si>
    <t>Kent</t>
  </si>
  <si>
    <t>Haden</t>
  </si>
  <si>
    <t>Durazno</t>
  </si>
  <si>
    <t>Valencia</t>
  </si>
  <si>
    <t>Tangelo</t>
  </si>
  <si>
    <t>Undatus</t>
  </si>
  <si>
    <t>Tumbo</t>
  </si>
  <si>
    <t>Zapote</t>
  </si>
  <si>
    <t>Común</t>
  </si>
  <si>
    <t>Disponibilidad                   (kg)</t>
  </si>
  <si>
    <t>Densidad de siembra (kg/ha)</t>
  </si>
  <si>
    <t>Cobertura                           (ha)</t>
  </si>
  <si>
    <t>Cereales</t>
  </si>
  <si>
    <t>Trigo</t>
  </si>
  <si>
    <t>Maíz Amarillo Duro</t>
  </si>
  <si>
    <t>Maíz Amiláceo</t>
  </si>
  <si>
    <t>Arroz</t>
  </si>
  <si>
    <t>Cebada</t>
  </si>
  <si>
    <t>Avena</t>
  </si>
  <si>
    <t>Quinua</t>
  </si>
  <si>
    <t>Legumbres</t>
  </si>
  <si>
    <t>Haba</t>
  </si>
  <si>
    <t>Lenteja</t>
  </si>
  <si>
    <t>Tarwi</t>
  </si>
  <si>
    <t>Productos de forraje, fibras</t>
  </si>
  <si>
    <t>Triticale</t>
  </si>
  <si>
    <r>
      <t>Fuente</t>
    </r>
    <r>
      <rPr>
        <sz val="6"/>
        <color indexed="8"/>
        <rFont val="Arial Narrow"/>
        <family val="2"/>
      </rPr>
      <t>:  INIA, Estaciones Experimentales Agrarias.</t>
    </r>
  </si>
  <si>
    <t xml:space="preserve"> </t>
  </si>
  <si>
    <t>Cultivo</t>
  </si>
  <si>
    <t>Clase</t>
  </si>
  <si>
    <t>kg</t>
  </si>
  <si>
    <t>S/ x kg</t>
  </si>
  <si>
    <t>Amazonas / Amazonas</t>
  </si>
  <si>
    <t>Avena Forrajera</t>
  </si>
  <si>
    <t>INIA 901 Mantaro 15</t>
  </si>
  <si>
    <t>Certificada</t>
  </si>
  <si>
    <t>Registrada</t>
  </si>
  <si>
    <t>INIA 903 Tayko Andenes</t>
  </si>
  <si>
    <t>Básica</t>
  </si>
  <si>
    <t>INIA 904 Vilcanota</t>
  </si>
  <si>
    <t>INIA 908 Mellicera</t>
  </si>
  <si>
    <t>Grignon</t>
  </si>
  <si>
    <t>INIA 618 Blanco Quispicanchi</t>
  </si>
  <si>
    <t>INIA 617 Chuska</t>
  </si>
  <si>
    <t>Autorizada</t>
  </si>
  <si>
    <t>INIA 405 San Isidro</t>
  </si>
  <si>
    <t>INIA 906 Salka</t>
  </si>
  <si>
    <t>INIA 515 La Capoteña</t>
  </si>
  <si>
    <t>Baños del Inca / Cajamarca</t>
  </si>
  <si>
    <t>INIA 905 La Cajamarquina</t>
  </si>
  <si>
    <t>INIA 402</t>
  </si>
  <si>
    <t>INIA 434 Espiga Misha</t>
  </si>
  <si>
    <t>INIA 620 Wari</t>
  </si>
  <si>
    <t>Marginal 28 Tropical</t>
  </si>
  <si>
    <t>La Molina / Lima</t>
  </si>
  <si>
    <t>Frijol</t>
  </si>
  <si>
    <t>Canario 2000</t>
  </si>
  <si>
    <t>PMV - 560 Blanco Urubamba</t>
  </si>
  <si>
    <t>INIA 418 El Nazareno</t>
  </si>
  <si>
    <t>Capirona INIA</t>
  </si>
  <si>
    <t>INIA 509 La Esperanza</t>
  </si>
  <si>
    <t>Vaina Blanca - INIA</t>
  </si>
  <si>
    <t>INIA 439 Costacen</t>
  </si>
  <si>
    <t>Caupí</t>
  </si>
  <si>
    <t>Ojo Negro Regional</t>
  </si>
  <si>
    <t>Ucayalino</t>
  </si>
  <si>
    <t>INIA 433 - Santa Ana/AIQ/FAO</t>
  </si>
  <si>
    <t>INIA 438 - Acollina</t>
  </si>
  <si>
    <t>Andenes 90</t>
  </si>
  <si>
    <t>INIA 445 Masacanchino</t>
  </si>
  <si>
    <t>INIA 433 - Antapampino</t>
  </si>
  <si>
    <t>INIA 502 - Pítipo</t>
  </si>
  <si>
    <t>INIA 508 - Tinajones</t>
  </si>
  <si>
    <t>INIA 509 - La Esperanza</t>
  </si>
  <si>
    <t>INIA 513 - La Puntilla</t>
  </si>
  <si>
    <t>INIA 515 - Capoteña</t>
  </si>
  <si>
    <t>IR - 43</t>
  </si>
  <si>
    <t>INIA 432 - Vaina Verde</t>
  </si>
  <si>
    <t>Parental CML - 287</t>
  </si>
  <si>
    <t>Parental CML - 451</t>
  </si>
  <si>
    <t>Genética</t>
  </si>
  <si>
    <t>INIA 411 San Cristóbal</t>
  </si>
  <si>
    <t>INIA 619 Megahíbrido</t>
  </si>
  <si>
    <t>INIA 510 - Mallares</t>
  </si>
  <si>
    <t xml:space="preserve">          (Soles por tonelada)</t>
  </si>
  <si>
    <t>Guano de Isla</t>
  </si>
  <si>
    <t>Gallinaza</t>
  </si>
  <si>
    <t>Humus de Lombríz</t>
  </si>
  <si>
    <t xml:space="preserve">   ...</t>
  </si>
  <si>
    <t xml:space="preserve">-      </t>
  </si>
  <si>
    <t>Cotabamba</t>
  </si>
  <si>
    <t>Vilcashuamán</t>
  </si>
  <si>
    <t xml:space="preserve">Chupaca </t>
  </si>
  <si>
    <t xml:space="preserve">LA LIBERTAD </t>
  </si>
  <si>
    <t>Daniel A. Carrión</t>
  </si>
  <si>
    <t>Morropón</t>
  </si>
  <si>
    <t>…</t>
  </si>
  <si>
    <t>Caravelí</t>
  </si>
  <si>
    <t>Huaycabamba</t>
  </si>
  <si>
    <t>C.94  PERÚ: PRECIO DE VENTA MINORISTA DE FERTILIZANTES POTÁSICOS POR DEPARTAMENTO Y PROVINCIA,</t>
  </si>
  <si>
    <t>Sulfato de Magnesio y Potasio</t>
  </si>
  <si>
    <t xml:space="preserve"> ...    </t>
  </si>
  <si>
    <t>...</t>
  </si>
  <si>
    <t>continúa C.94</t>
  </si>
  <si>
    <t xml:space="preserve"> -</t>
  </si>
  <si>
    <t>Sullana</t>
  </si>
  <si>
    <t>Superfosfato de Calcio Triple</t>
  </si>
  <si>
    <t>Roca Fosfórica</t>
  </si>
  <si>
    <t>C.93  PERÚ: PRECIO DE VENTA MINORISTA DE FERTILIZANTES FOSFATADOS POR DEPARTAMENTO Y PROVINCIA,</t>
  </si>
  <si>
    <t>C.92   PERÚ: PRECIO DE VENTA MINORISTA DE FERTILIZANTES NITROGENADOS, POR DEPARTAMENTO Y PROVINCIA,</t>
  </si>
  <si>
    <t>Úrea Agrícola</t>
  </si>
  <si>
    <t>Nitrato de Amonio</t>
  </si>
  <si>
    <t>Sulfato de Amonio</t>
  </si>
  <si>
    <t>continúa C.92</t>
  </si>
  <si>
    <t xml:space="preserve">C.101  PERÚ: PRECIO MINORISTA DE REGULADORES DE CRECIMIENTO POR DEPARTAMENTO </t>
  </si>
  <si>
    <t>Activol                      (Pastilla)</t>
  </si>
  <si>
    <t>Aminofol                          (200 ml)</t>
  </si>
  <si>
    <t>Ergostín 
(200 ml)</t>
  </si>
  <si>
    <t>ANCASH</t>
  </si>
  <si>
    <t>Asunción</t>
  </si>
  <si>
    <t>Huaylas</t>
  </si>
  <si>
    <t>Ocros</t>
  </si>
  <si>
    <t>Marañon</t>
  </si>
  <si>
    <t>Pataz</t>
  </si>
  <si>
    <t>San Roman</t>
  </si>
  <si>
    <t xml:space="preserve">C.100  PERÚ: PRECIO MINORISTA DE NUTRIENTES FOLIARES POR DEPARTAMENTO Y PROVINCIA </t>
  </si>
  <si>
    <t xml:space="preserve">           (Soles por unidad de medida)</t>
  </si>
  <si>
    <t>Abonofol 20-20-20            (kg)</t>
  </si>
  <si>
    <t>Abonofol 30-30-30           (kg)</t>
  </si>
  <si>
    <t xml:space="preserve">Fetrilón combi                 (250 gr) </t>
  </si>
  <si>
    <t>Multifrut                           (kg)</t>
  </si>
  <si>
    <t xml:space="preserve"> ...</t>
  </si>
  <si>
    <t xml:space="preserve">C.99  PERÚ: PRECIO MINORISTA DE ADHERENTE POR DEPARTAMENTO Y PROVINCIA </t>
  </si>
  <si>
    <t xml:space="preserve">          (Soles por unidad de medida)</t>
  </si>
  <si>
    <t xml:space="preserve">C.98   PERÚ: PRECIO MINORISTA DE HERBICIDAS POR DEPARTAMENTO Y PROVINCIA  </t>
  </si>
  <si>
    <t>Goal 2 EC (250 ml)</t>
  </si>
  <si>
    <t xml:space="preserve">C.97  PERÚ: PRECIO MINORISTA DE FUNGICIDAS POR DEPARTAMENTO Y PROVINCIA SEGÚN PRODUCTO, </t>
  </si>
  <si>
    <t>Benzomil  500</t>
  </si>
  <si>
    <t>Cupravit</t>
  </si>
  <si>
    <t>Fitoraz  76% PM</t>
  </si>
  <si>
    <t>C.96  PERÚ: PRECIO MINORISTA DE INSECTICIDAS POR DEPARTAMENTO Y PROVINCIA,</t>
  </si>
  <si>
    <t>Bolivar</t>
  </si>
  <si>
    <t>..</t>
  </si>
  <si>
    <t>Yungay</t>
  </si>
  <si>
    <t>Candarave</t>
  </si>
  <si>
    <t xml:space="preserve">  ...        </t>
  </si>
  <si>
    <t xml:space="preserve">Contralmirante Villar </t>
  </si>
  <si>
    <t xml:space="preserve">       ...</t>
  </si>
  <si>
    <t>Blanco Urubamba (PMV560)</t>
  </si>
  <si>
    <t>INIA 615 Negro Canaan</t>
  </si>
  <si>
    <t>Pasco / Pasco</t>
  </si>
  <si>
    <t>Papa</t>
  </si>
  <si>
    <t>Maíz Morado</t>
  </si>
  <si>
    <t>Tubérculos</t>
  </si>
  <si>
    <t>Caimito</t>
  </si>
  <si>
    <t>Andino</t>
  </si>
  <si>
    <t>F1 (Brahman x Braunvieh)</t>
  </si>
  <si>
    <t>F1 (Gir lechero x Braunvieh)</t>
  </si>
  <si>
    <t>Kúmulos  DF</t>
  </si>
  <si>
    <t>Huancasancos</t>
  </si>
  <si>
    <t>Candrave</t>
  </si>
  <si>
    <t>* Lima emplea caballos/día</t>
  </si>
  <si>
    <t>Putumayo</t>
  </si>
  <si>
    <t xml:space="preserve">Huanta </t>
  </si>
  <si>
    <t>Angaráes</t>
  </si>
  <si>
    <t>AMAZONAS</t>
  </si>
  <si>
    <t>Chachapoyas</t>
  </si>
  <si>
    <t>Luya</t>
  </si>
  <si>
    <t>Utcubamba</t>
  </si>
  <si>
    <t>Churcampa</t>
  </si>
  <si>
    <t>continúa C.93</t>
  </si>
  <si>
    <t>Bellavista</t>
  </si>
  <si>
    <t>Coronel Portilla</t>
  </si>
  <si>
    <t>Bongará</t>
  </si>
  <si>
    <t>San Antonio de Putina</t>
  </si>
  <si>
    <t>Continúa C.106</t>
  </si>
  <si>
    <t>Chinca / Ica</t>
  </si>
  <si>
    <t>INIA 610 NUTRI Maíz</t>
  </si>
  <si>
    <t>Única</t>
  </si>
  <si>
    <t>Limón</t>
  </si>
  <si>
    <t>Dulce</t>
  </si>
  <si>
    <t>Acobamba</t>
  </si>
  <si>
    <t>Nota: A partir del mes de Octubre 2024, el dato corresponde a un promedio simple obtenido del sistema SISISA</t>
  </si>
  <si>
    <t>INIA444 Siwina</t>
  </si>
  <si>
    <t>INIA 627 Patapo</t>
  </si>
  <si>
    <t>INIA 303 Canchán</t>
  </si>
  <si>
    <t>Duke</t>
  </si>
  <si>
    <t>Andahuaylas</t>
  </si>
  <si>
    <t>Elaboración: Ministerio de Desarrollo Agrario y Riego - MIDAGRI</t>
  </si>
  <si>
    <t>Aymaráes</t>
  </si>
  <si>
    <t>Mariscal Luzuriaga</t>
  </si>
  <si>
    <t>Carlos Fermin Fitzcarrald</t>
  </si>
  <si>
    <t>Campal 250 EC         (S/x L)</t>
  </si>
  <si>
    <t>Cipermex Súper     (S/x L)</t>
  </si>
  <si>
    <t>Magistral 50 EC    (S/x L)</t>
  </si>
  <si>
    <t>Tifon 4E                 (S/x L)</t>
  </si>
  <si>
    <t>continúa C.96</t>
  </si>
  <si>
    <t>Campal 250 EC                    (S/x L)</t>
  </si>
  <si>
    <t>Cipermex Súper                   (S/x L)</t>
  </si>
  <si>
    <t>continúa C.97</t>
  </si>
  <si>
    <t>Embate 480 SL (Lt)</t>
  </si>
  <si>
    <t xml:space="preserve">Sencor 480  SC (Lt)  </t>
  </si>
  <si>
    <t>continúa C.98</t>
  </si>
  <si>
    <t>Daniel Alcides Carrion</t>
  </si>
  <si>
    <t xml:space="preserve">   Agridex           
(S/xLt) </t>
  </si>
  <si>
    <t>Agrotín
(S/xLt)</t>
  </si>
  <si>
    <t xml:space="preserve"> Citowet 
(S/xLt)</t>
  </si>
  <si>
    <t xml:space="preserve">continúa C.100 </t>
  </si>
  <si>
    <t>Pix                    
(Ll)</t>
  </si>
  <si>
    <t>continúa C.101</t>
  </si>
  <si>
    <t>Condesuyos</t>
  </si>
  <si>
    <t>Jauja</t>
  </si>
  <si>
    <t>Satipo</t>
  </si>
  <si>
    <t>Tarma</t>
  </si>
  <si>
    <t>El Collao</t>
  </si>
  <si>
    <t>Mariscal Cáceres</t>
  </si>
  <si>
    <t>Jorge Basadre</t>
  </si>
  <si>
    <t>MADRE DE DIOS</t>
  </si>
  <si>
    <t>Tambopata</t>
  </si>
  <si>
    <t>Chincha</t>
  </si>
  <si>
    <t>Nasca</t>
  </si>
  <si>
    <t>Pisco</t>
  </si>
  <si>
    <t xml:space="preserve">….       </t>
  </si>
  <si>
    <t>C.107  PERÚ: DISPONIBILIDAD Y PRECIO DE VENTA DE SEMILLA MEJORADA EN ESTACIONES EXPERIMENTALES AGRARIAS,</t>
  </si>
  <si>
    <t>Revolución</t>
  </si>
  <si>
    <t>INIA 601</t>
  </si>
  <si>
    <t>Peruanita</t>
  </si>
  <si>
    <t>INIA 626 Akira</t>
  </si>
  <si>
    <t>INIA 423 Gigante Yunguyo</t>
  </si>
  <si>
    <t>INIA 415 Pasankalla</t>
  </si>
  <si>
    <t>INIA 431 Altiplano</t>
  </si>
  <si>
    <t>Huarmey</t>
  </si>
  <si>
    <t>Pallasca</t>
  </si>
  <si>
    <t>Pomabamba</t>
  </si>
  <si>
    <t xml:space="preserve">Huarmey </t>
  </si>
  <si>
    <t>Aymaraes</t>
  </si>
  <si>
    <t>C.90  PERÚ: IMPORTACIÓN DE FERTILIZANTES QUÍMICOS POR PRODUCTO SEGÚN MES, ENERO 2015 - SETIEMBRE 2025 (Tonelada)</t>
  </si>
  <si>
    <t xml:space="preserve">Perú: Importación de fertilizantes químicos por producto según mes, Enero 2015 - Setiembre 2025 (Tonelada) </t>
  </si>
  <si>
    <t>Perú: Producción de guano de isla según mes,  Enero 2015 - Setiembre 2025 (Tonelada)</t>
  </si>
  <si>
    <t>Perú: Precio de venta minorista de fertilizantes nitrogenados por departamento y provincia, según producto Setiembre 2024 - 2025 (Soles por tonelada)</t>
  </si>
  <si>
    <t>Perú: Precio de venta minorista de fertilizantes fosfatados por departamento y provincia según producto, Setiembre 2024 - 2025 (Soles por tonelada)</t>
  </si>
  <si>
    <t>Perú: Precio de venta minorista de fertilizantes potásicos por departamento y provincia, según producto, Setiembre 2024 - 2025 (Soles por tonelada)</t>
  </si>
  <si>
    <t>Perú: Precio de venta minorista de abono orgánico por departamento y provincia, según producto, Setiembre 2024 - 2025 (Soles por tonelada)</t>
  </si>
  <si>
    <t>Perú: Precio minorista de insecticidas por departamento y provincia, según producto, Setiembre 2025 (Soles por unidad de medida)</t>
  </si>
  <si>
    <t>Perú: Precio minorista de fungicidas por departamento y provincia, según producto, Setiembre 2025 (Soles por kilogramo)</t>
  </si>
  <si>
    <t>Perú: Precio minorista de adherente por departamento y provincia, según producto, Setiembre 2025 (Soles por litro)</t>
  </si>
  <si>
    <t>Perú: Precio minorista de nutrientes foliares por departamento y provincia, según producto,Setiembre 2025 (Soles por unidad de medida)</t>
  </si>
  <si>
    <t>Perú: Precio minorista de reguladores de crecimiento por departamento y provincia, según producto, Setiembre 2025 (Soles por unidad de medida)</t>
  </si>
  <si>
    <t>Perú: Valor del jornal agrícola por región, según mes, Enero 2018 - Setiembre 2025 (Soles por día)</t>
  </si>
  <si>
    <t>Perú: Precio de alquiler de tractor agrícola por región, según mes, Enero 2018 - Setiembre 2025 (Soles por hora)</t>
  </si>
  <si>
    <t>Perú: Precio de alquiler de yunta por región, según mes, Enero 2018 - Setiembre2025 (Soles por día)</t>
  </si>
  <si>
    <t>Perú: Valor del jornal agrícola por departamento y provincia, Setiembre 2024 - 2025 (Soles por día)</t>
  </si>
  <si>
    <t>Perú: Precio de alquiler de tractor y yunta por departamento y provincia, Setiembre 2024 - 2025</t>
  </si>
  <si>
    <t>C.91  PERÚ: PRODUCCIÓN DE GUANO DE ISLA SEGÚN MES, ENERO 2015 - SETIEMBRE 2025</t>
  </si>
  <si>
    <t xml:space="preserve">          SEGÚN PRODUCTO, SETIEMBRE 2024-2025</t>
  </si>
  <si>
    <t xml:space="preserve">          SEGÚN PRODUCTO, SETIEMBRE 2025</t>
  </si>
  <si>
    <t xml:space="preserve">           SEGÚN PRODUCTO, SETIEMBRE 2025</t>
  </si>
  <si>
    <t>C.102  PERÚ: VALOR DEL JORNAL AGRÍCOLA POR REGIÓN SEGÚN MES, ENERO 2018 - SETIEMBRE 2025</t>
  </si>
  <si>
    <t>C.103  PERÚ: VALOR DEL JORNAL AGRÍCOLA POR DEPARTAMENTO Y PROVINCIA, SETIEMBRE 2024-2025</t>
  </si>
  <si>
    <t>C.104  PERÚ: PRECIO ALQUILER DE TRACTOR AGRÍCOLA, POR REGIÓN, SEGÚN MES, ENERO 2018 - SETIEMBRE 2025</t>
  </si>
  <si>
    <t>C.105  PERÚ: PRECIO ALQUILER DE YUNTA POR REGIÓN SEGÚN MES, ENERO 2018 - SETIEMBRE 2025</t>
  </si>
  <si>
    <t>Ene-Set</t>
  </si>
  <si>
    <t>Perú: Disponibilidad de semilla mejorada en estaciones experimentales agrarias por producto, 30 de Setiembre 2025</t>
  </si>
  <si>
    <t xml:space="preserve">Perú: Disponibilidad y precio de venta de plantones en estaciones experimentales agrarias por región, según especie, 30 de Setiembre 2025  </t>
  </si>
  <si>
    <t xml:space="preserve">Perú: Disponibilidad y precio de venta de reproductores en estaciones experimentales agrarias por región, según raza o línea, 30 de  Setiembre 2025   </t>
  </si>
  <si>
    <t xml:space="preserve">Perú: Disponibilidad y precio de venta de semilla mejorada en estaciomes experimentales agrarias, por región según categoria, 30 de Setiembre 2025  </t>
  </si>
  <si>
    <t xml:space="preserve">  -       </t>
  </si>
  <si>
    <t>Lamas</t>
  </si>
  <si>
    <t>Chamchamayo</t>
  </si>
  <si>
    <t>Huamalies</t>
  </si>
  <si>
    <t>Angaraes</t>
  </si>
  <si>
    <t>San Pablo</t>
  </si>
  <si>
    <t>Sihuas</t>
  </si>
  <si>
    <t>Brown Swiss - PDP</t>
  </si>
  <si>
    <t>Cañihua</t>
  </si>
  <si>
    <t>Maíz Forrajero</t>
  </si>
  <si>
    <t xml:space="preserve">Coronel Portillo </t>
  </si>
  <si>
    <t>C.95  PERÚ: PRECIO MINORISTA DE ABONO ORGÁNICO POR DEPARTAMENTOS Y PROVINCIA,</t>
  </si>
  <si>
    <t xml:space="preserve">          SEGÚN PRODUCTO  SETIEMBRE 2024-2025</t>
  </si>
  <si>
    <t>Palta</t>
  </si>
  <si>
    <t>Sutíl</t>
  </si>
  <si>
    <t>Camu Camu</t>
  </si>
  <si>
    <t>Anona</t>
  </si>
  <si>
    <t>SAN MARTIN</t>
  </si>
  <si>
    <t>Julcan</t>
  </si>
  <si>
    <t>APURIMAC</t>
  </si>
  <si>
    <t>Viru</t>
  </si>
  <si>
    <t>Perú: Precio minorista de herbicidas por departamento y provincia, según producto, Setiembre 2025 (Soles por unidad de medida)</t>
  </si>
  <si>
    <t>Santa</t>
  </si>
  <si>
    <t>Carlos Fermín Fitzcarrald</t>
  </si>
  <si>
    <t>Hucaybamba</t>
  </si>
  <si>
    <t>Carlosn Fermín Fitzcarrald</t>
  </si>
  <si>
    <t>Ancash</t>
  </si>
  <si>
    <t>Setiembre</t>
  </si>
  <si>
    <t>Corongo</t>
  </si>
  <si>
    <t xml:space="preserve">Huaylas </t>
  </si>
  <si>
    <t>Frijol  Caupí</t>
  </si>
  <si>
    <t>Guanábana</t>
  </si>
  <si>
    <t xml:space="preserve">         SEGÚN PRODUCTO, SETIEMBRE 2025  </t>
  </si>
  <si>
    <t xml:space="preserve">         (Soles por unidad de medida)</t>
  </si>
  <si>
    <t xml:space="preserve">         SETIEMBRE 2025. (Soles por kilogramo)</t>
  </si>
  <si>
    <t xml:space="preserve">         SEGÚN PRODUCTO,  SETIEMBRE 2025</t>
  </si>
  <si>
    <t xml:space="preserve">         (Soles por litro)</t>
  </si>
  <si>
    <t xml:space="preserve">           Y PROVINCIA SEGÚN PRODUCTO, SETIEMBRE 2025</t>
  </si>
  <si>
    <t xml:space="preserve">           (Soles por hora)</t>
  </si>
  <si>
    <t xml:space="preserve">          SETIEMBRE 2024-2025</t>
  </si>
  <si>
    <t xml:space="preserve">           POR REGIÓN SEGÚN CATEGORÍA, SETIEMBRE 2025</t>
  </si>
  <si>
    <t>continúa C.107</t>
  </si>
  <si>
    <t xml:space="preserve">           SEGÚN ESPECIE, 30 DE SETIEMBRE 2025</t>
  </si>
  <si>
    <t>C.108  PERÚ: DISPONIBILIDAD DE SEMILLA MEJORADA EN ESTACIONES EXPERIMENTALES AGRARIAS</t>
  </si>
  <si>
    <t xml:space="preserve">          POR PRODUCTO, 30 DE SETIEMBRE 2025</t>
  </si>
  <si>
    <t xml:space="preserve">C.109  PERÚ: DISPONIBILIDAD Y PRECIO DE VENTA DE PLANTONES EN ESTACIONES AGRARIAS POR REGIÓN </t>
  </si>
  <si>
    <t xml:space="preserve">           POR REGIONES, SEGÚN RAZA O LÍNEA, 30 DE SETIEMBRE 2025</t>
  </si>
  <si>
    <t>C.110  PERÚ: DISPONIBILIDAD Y PRECIO DE VENTA DE REPRODUCTORES EN ESTACIONES EXPERIMENTALES AGRARIAS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</si>
</sst>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8">
    <numFmt numFmtId="43" formatCode="_-* #,##0.00_-;\-* #,##0.00_-;_-* &quot;-&quot;??_-;_-@_-"/>
    <numFmt numFmtId="164" formatCode="_-&quot;S/&quot;* #,##0.00_-;\-&quot;S/&quot;* #,##0.00_-;_-&quot;S/&quot;* &quot;-&quot;??_-;_-@_-"/>
    <numFmt numFmtId="165" formatCode="#,##0.0"/>
    <numFmt numFmtId="166" formatCode="0.0"/>
    <numFmt numFmtId="167" formatCode="#\ ##0"/>
    <numFmt numFmtId="168" formatCode="0_)"/>
    <numFmt numFmtId="169" formatCode="#,##0.00__"/>
    <numFmt numFmtId="170" formatCode="#,##0____"/>
    <numFmt numFmtId="171" formatCode="#,##0.0____"/>
    <numFmt numFmtId="172" formatCode="#,##0.00____"/>
    <numFmt numFmtId="173" formatCode="#,##0.0______"/>
    <numFmt numFmtId="174" formatCode="_ * #,##0.00_ ;_ * \-#,##0.00_ ;_ * &quot;-&quot;??_ ;_ @_ "/>
    <numFmt numFmtId="175" formatCode="0.0______"/>
    <numFmt numFmtId="176" formatCode="0.00__"/>
    <numFmt numFmtId="177" formatCode="General_)"/>
    <numFmt numFmtId="178" formatCode="#,##0__"/>
    <numFmt numFmtId="179" formatCode="#\ ##,000"/>
    <numFmt numFmtId="180" formatCode="#,##0&quot;Pts&quot;_);\(#,##0&quot;Pts&quot;\)"/>
    <numFmt numFmtId="181" formatCode="#,##0.00_ ;\-#,##0.00\ "/>
    <numFmt numFmtId="182" formatCode="#,##0______"/>
    <numFmt numFmtId="183" formatCode="#,##0.00______"/>
    <numFmt numFmtId="184" formatCode="#,##0__________"/>
    <numFmt numFmtId="185" formatCode="#,##0________________"/>
    <numFmt numFmtId="186" formatCode="#\ ##0.00"/>
    <numFmt numFmtId="187" formatCode="0.0____"/>
    <numFmt numFmtId="188" formatCode="#,##0.0__"/>
    <numFmt numFmtId="189" formatCode="#\ ##0.00__"/>
    <numFmt numFmtId="190" formatCode="0.00____"/>
  </numFmts>
  <fonts count="6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 Narrow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b/>
      <sz val="9"/>
      <color theme="1"/>
      <name val="Arial Narrow"/>
      <family val="2"/>
    </font>
    <font>
      <sz val="6"/>
      <color theme="1"/>
      <name val="Arial Narrow"/>
      <family val="2"/>
    </font>
    <font>
      <b/>
      <sz val="8"/>
      <color rgb="FF000000"/>
      <name val="Arial Narrow"/>
      <family val="2"/>
    </font>
    <font>
      <sz val="7"/>
      <color theme="1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8"/>
      <name val="Helvetica"/>
      <family val="2"/>
    </font>
    <font>
      <sz val="10"/>
      <name val="Arial"/>
      <family val="2"/>
    </font>
    <font>
      <b/>
      <sz val="9"/>
      <name val="Arial Narrow"/>
      <family val="2"/>
    </font>
    <font>
      <sz val="10"/>
      <color rgb="FF000000"/>
      <name val="Arial Narrow"/>
      <family val="2"/>
    </font>
    <font>
      <sz val="10"/>
      <color rgb="FF000000"/>
      <name val="Arial"/>
      <family val="2"/>
      <scheme val="minor"/>
    </font>
    <font>
      <sz val="6"/>
      <name val="Arial Narrow"/>
      <family val="2"/>
    </font>
    <font>
      <sz val="8"/>
      <name val="Times New Roman"/>
      <family val="1"/>
      <charset val="204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8"/>
      <color rgb="FF000000"/>
      <name val="Arial Narrow"/>
      <family val="2"/>
    </font>
    <font>
      <sz val="8"/>
      <color rgb="FFFF0000"/>
      <name val="Arial Narrow"/>
      <family val="2"/>
    </font>
    <font>
      <sz val="10"/>
      <color rgb="FF000000"/>
      <name val="Arial"/>
      <family val="2"/>
      <scheme val="minor"/>
    </font>
    <font>
      <sz val="10"/>
      <name val="Times"/>
      <family val="1"/>
    </font>
    <font>
      <b/>
      <sz val="9"/>
      <color rgb="FF000000"/>
      <name val="Arial Narrow"/>
      <family val="2"/>
    </font>
    <font>
      <sz val="8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6"/>
      <color indexed="8"/>
      <name val="Arial Narrow"/>
      <family val="2"/>
    </font>
    <font>
      <b/>
      <sz val="9"/>
      <color indexed="10"/>
      <name val="Arial Narrow"/>
      <family val="2"/>
    </font>
    <font>
      <b/>
      <sz val="9"/>
      <color rgb="FFFF0000"/>
      <name val="Arial Narrow"/>
      <family val="2"/>
    </font>
    <font>
      <b/>
      <sz val="8"/>
      <color rgb="FFFF0000"/>
      <name val="Arial Narrow"/>
      <family val="2"/>
    </font>
    <font>
      <sz val="6"/>
      <color rgb="FF000000"/>
      <name val="Arial Narrow"/>
      <family val="2"/>
    </font>
    <font>
      <sz val="10"/>
      <color rgb="FFFF0000"/>
      <name val="Arial Narrow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 Narrow"/>
      <family val="2"/>
    </font>
  </fonts>
  <fills count="4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8"/>
      </patternFill>
    </fill>
    <fill>
      <patternFill patternType="solid">
        <fgColor rgb="FFFEF5C2"/>
        <bgColor indexed="64"/>
      </patternFill>
    </fill>
    <fill>
      <patternFill patternType="solid">
        <fgColor rgb="FFF1EFDC"/>
        <bgColor indexed="64"/>
      </patternFill>
    </fill>
    <fill>
      <patternFill patternType="solid">
        <fgColor rgb="FFFEF5C2"/>
        <bgColor rgb="FF83B88C"/>
      </patternFill>
    </fill>
    <fill>
      <patternFill patternType="solid">
        <fgColor rgb="FFF1EFDC"/>
        <bgColor rgb="FFB4DCB6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EF5C2"/>
        <bgColor rgb="FFFEF5C2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71">
    <xf numFmtId="0" fontId="0" fillId="0" borderId="0"/>
    <xf numFmtId="168" fontId="25" fillId="0" borderId="3"/>
    <xf numFmtId="0" fontId="26" fillId="0" borderId="3"/>
    <xf numFmtId="174" fontId="26" fillId="0" borderId="3" applyFont="0" applyFill="0" applyBorder="0" applyAlignment="0" applyProtection="0"/>
    <xf numFmtId="0" fontId="26" fillId="0" borderId="3"/>
    <xf numFmtId="0" fontId="31" fillId="0" borderId="3"/>
    <xf numFmtId="0" fontId="12" fillId="0" borderId="3"/>
    <xf numFmtId="0" fontId="33" fillId="0" borderId="7" applyNumberFormat="0" applyFill="0" applyAlignment="0" applyProtection="0"/>
    <xf numFmtId="0" fontId="34" fillId="0" borderId="8" applyNumberFormat="0" applyFill="0" applyAlignment="0" applyProtection="0"/>
    <xf numFmtId="0" fontId="35" fillId="0" borderId="9" applyNumberFormat="0" applyFill="0" applyAlignment="0" applyProtection="0"/>
    <xf numFmtId="0" fontId="39" fillId="8" borderId="10" applyNumberFormat="0" applyAlignment="0" applyProtection="0"/>
    <xf numFmtId="0" fontId="40" fillId="9" borderId="11" applyNumberFormat="0" applyAlignment="0" applyProtection="0"/>
    <xf numFmtId="0" fontId="41" fillId="9" borderId="10" applyNumberFormat="0" applyAlignment="0" applyProtection="0"/>
    <xf numFmtId="0" fontId="42" fillId="0" borderId="12" applyNumberFormat="0" applyFill="0" applyAlignment="0" applyProtection="0"/>
    <xf numFmtId="0" fontId="43" fillId="10" borderId="13" applyNumberFormat="0" applyAlignment="0" applyProtection="0"/>
    <xf numFmtId="0" fontId="46" fillId="0" borderId="15" applyNumberFormat="0" applyFill="0" applyAlignment="0" applyProtection="0"/>
    <xf numFmtId="0" fontId="48" fillId="0" borderId="3"/>
    <xf numFmtId="0" fontId="32" fillId="0" borderId="3" applyNumberFormat="0" applyFill="0" applyBorder="0" applyAlignment="0" applyProtection="0"/>
    <xf numFmtId="0" fontId="35" fillId="0" borderId="3" applyNumberFormat="0" applyFill="0" applyBorder="0" applyAlignment="0" applyProtection="0"/>
    <xf numFmtId="0" fontId="36" fillId="5" borderId="3" applyNumberFormat="0" applyBorder="0" applyAlignment="0" applyProtection="0"/>
    <xf numFmtId="0" fontId="37" fillId="6" borderId="3" applyNumberFormat="0" applyBorder="0" applyAlignment="0" applyProtection="0"/>
    <xf numFmtId="0" fontId="38" fillId="7" borderId="3" applyNumberFormat="0" applyBorder="0" applyAlignment="0" applyProtection="0"/>
    <xf numFmtId="0" fontId="44" fillId="0" borderId="3" applyNumberFormat="0" applyFill="0" applyBorder="0" applyAlignment="0" applyProtection="0"/>
    <xf numFmtId="0" fontId="45" fillId="0" borderId="3" applyNumberFormat="0" applyFill="0" applyBorder="0" applyAlignment="0" applyProtection="0"/>
    <xf numFmtId="0" fontId="47" fillId="12" borderId="3" applyNumberFormat="0" applyBorder="0" applyAlignment="0" applyProtection="0"/>
    <xf numFmtId="0" fontId="11" fillId="13" borderId="3" applyNumberFormat="0" applyBorder="0" applyAlignment="0" applyProtection="0"/>
    <xf numFmtId="0" fontId="11" fillId="14" borderId="3" applyNumberFormat="0" applyBorder="0" applyAlignment="0" applyProtection="0"/>
    <xf numFmtId="0" fontId="11" fillId="15" borderId="3" applyNumberFormat="0" applyBorder="0" applyAlignment="0" applyProtection="0"/>
    <xf numFmtId="0" fontId="47" fillId="16" borderId="3" applyNumberFormat="0" applyBorder="0" applyAlignment="0" applyProtection="0"/>
    <xf numFmtId="0" fontId="11" fillId="17" borderId="3" applyNumberFormat="0" applyBorder="0" applyAlignment="0" applyProtection="0"/>
    <xf numFmtId="0" fontId="11" fillId="18" borderId="3" applyNumberFormat="0" applyBorder="0" applyAlignment="0" applyProtection="0"/>
    <xf numFmtId="0" fontId="11" fillId="19" borderId="3" applyNumberFormat="0" applyBorder="0" applyAlignment="0" applyProtection="0"/>
    <xf numFmtId="0" fontId="47" fillId="20" borderId="3" applyNumberFormat="0" applyBorder="0" applyAlignment="0" applyProtection="0"/>
    <xf numFmtId="0" fontId="11" fillId="21" borderId="3" applyNumberFormat="0" applyBorder="0" applyAlignment="0" applyProtection="0"/>
    <xf numFmtId="0" fontId="11" fillId="22" borderId="3" applyNumberFormat="0" applyBorder="0" applyAlignment="0" applyProtection="0"/>
    <xf numFmtId="0" fontId="11" fillId="23" borderId="3" applyNumberFormat="0" applyBorder="0" applyAlignment="0" applyProtection="0"/>
    <xf numFmtId="0" fontId="47" fillId="24" borderId="3" applyNumberFormat="0" applyBorder="0" applyAlignment="0" applyProtection="0"/>
    <xf numFmtId="0" fontId="11" fillId="25" borderId="3" applyNumberFormat="0" applyBorder="0" applyAlignment="0" applyProtection="0"/>
    <xf numFmtId="0" fontId="11" fillId="26" borderId="3" applyNumberFormat="0" applyBorder="0" applyAlignment="0" applyProtection="0"/>
    <xf numFmtId="0" fontId="11" fillId="27" borderId="3" applyNumberFormat="0" applyBorder="0" applyAlignment="0" applyProtection="0"/>
    <xf numFmtId="0" fontId="47" fillId="28" borderId="3" applyNumberFormat="0" applyBorder="0" applyAlignment="0" applyProtection="0"/>
    <xf numFmtId="0" fontId="11" fillId="29" borderId="3" applyNumberFormat="0" applyBorder="0" applyAlignment="0" applyProtection="0"/>
    <xf numFmtId="0" fontId="11" fillId="30" borderId="3" applyNumberFormat="0" applyBorder="0" applyAlignment="0" applyProtection="0"/>
    <xf numFmtId="0" fontId="11" fillId="31" borderId="3" applyNumberFormat="0" applyBorder="0" applyAlignment="0" applyProtection="0"/>
    <xf numFmtId="0" fontId="47" fillId="32" borderId="3" applyNumberFormat="0" applyBorder="0" applyAlignment="0" applyProtection="0"/>
    <xf numFmtId="0" fontId="11" fillId="33" borderId="3" applyNumberFormat="0" applyBorder="0" applyAlignment="0" applyProtection="0"/>
    <xf numFmtId="0" fontId="11" fillId="34" borderId="3" applyNumberFormat="0" applyBorder="0" applyAlignment="0" applyProtection="0"/>
    <xf numFmtId="0" fontId="11" fillId="35" borderId="3" applyNumberFormat="0" applyBorder="0" applyAlignment="0" applyProtection="0"/>
    <xf numFmtId="0" fontId="11" fillId="0" borderId="3"/>
    <xf numFmtId="0" fontId="11" fillId="11" borderId="14" applyNumberFormat="0" applyFont="0" applyAlignment="0" applyProtection="0"/>
    <xf numFmtId="0" fontId="10" fillId="0" borderId="3"/>
    <xf numFmtId="0" fontId="49" fillId="0" borderId="3"/>
    <xf numFmtId="0" fontId="9" fillId="0" borderId="3"/>
    <xf numFmtId="43" fontId="29" fillId="0" borderId="3" applyFont="0" applyFill="0" applyBorder="0" applyAlignment="0" applyProtection="0"/>
    <xf numFmtId="164" fontId="29" fillId="0" borderId="3" applyFont="0" applyFill="0" applyBorder="0" applyAlignment="0" applyProtection="0"/>
    <xf numFmtId="0" fontId="29" fillId="0" borderId="3"/>
    <xf numFmtId="0" fontId="8" fillId="0" borderId="3"/>
    <xf numFmtId="0" fontId="7" fillId="0" borderId="3"/>
    <xf numFmtId="37" fontId="53" fillId="0" borderId="3"/>
    <xf numFmtId="0" fontId="6" fillId="0" borderId="3"/>
    <xf numFmtId="0" fontId="52" fillId="0" borderId="3"/>
    <xf numFmtId="0" fontId="5" fillId="0" borderId="3"/>
    <xf numFmtId="0" fontId="56" fillId="0" borderId="3"/>
    <xf numFmtId="0" fontId="4" fillId="0" borderId="3"/>
    <xf numFmtId="0" fontId="3" fillId="0" borderId="3"/>
    <xf numFmtId="0" fontId="57" fillId="0" borderId="3"/>
    <xf numFmtId="0" fontId="29" fillId="0" borderId="3"/>
    <xf numFmtId="0" fontId="2" fillId="0" borderId="3"/>
    <xf numFmtId="0" fontId="64" fillId="0" borderId="3"/>
    <xf numFmtId="0" fontId="1" fillId="0" borderId="3"/>
    <xf numFmtId="0" fontId="64" fillId="0" borderId="3"/>
  </cellStyleXfs>
  <cellXfs count="756">
    <xf numFmtId="0" fontId="0" fillId="0" borderId="0" xfId="0"/>
    <xf numFmtId="171" fontId="21" fillId="4" borderId="3" xfId="3" applyNumberFormat="1" applyFont="1" applyFill="1" applyBorder="1" applyAlignment="1">
      <alignment horizontal="right" vertical="center"/>
    </xf>
    <xf numFmtId="0" fontId="28" fillId="0" borderId="3" xfId="55" applyFont="1"/>
    <xf numFmtId="3" fontId="14" fillId="0" borderId="3" xfId="55" applyNumberFormat="1" applyFont="1" applyAlignment="1">
      <alignment vertical="center"/>
    </xf>
    <xf numFmtId="0" fontId="28" fillId="0" borderId="16" xfId="55" applyFont="1" applyBorder="1"/>
    <xf numFmtId="169" fontId="21" fillId="4" borderId="3" xfId="55" applyNumberFormat="1" applyFont="1" applyFill="1" applyAlignment="1">
      <alignment horizontal="center" vertical="center"/>
    </xf>
    <xf numFmtId="172" fontId="14" fillId="4" borderId="3" xfId="55" applyNumberFormat="1" applyFont="1" applyFill="1" applyAlignment="1">
      <alignment horizontal="center" vertical="center"/>
    </xf>
    <xf numFmtId="0" fontId="28" fillId="4" borderId="3" xfId="55" applyFont="1" applyFill="1"/>
    <xf numFmtId="0" fontId="16" fillId="4" borderId="3" xfId="55" applyFont="1" applyFill="1" applyAlignment="1">
      <alignment horizontal="center" vertical="center"/>
    </xf>
    <xf numFmtId="0" fontId="30" fillId="4" borderId="0" xfId="0" applyFont="1" applyFill="1" applyAlignment="1">
      <alignment vertical="center"/>
    </xf>
    <xf numFmtId="1" fontId="14" fillId="4" borderId="3" xfId="55" applyNumberFormat="1" applyFont="1" applyFill="1" applyAlignment="1">
      <alignment horizontal="center" vertical="center"/>
    </xf>
    <xf numFmtId="0" fontId="22" fillId="4" borderId="3" xfId="55" applyFont="1" applyFill="1"/>
    <xf numFmtId="2" fontId="14" fillId="4" borderId="3" xfId="55" applyNumberFormat="1" applyFont="1" applyFill="1" applyAlignment="1">
      <alignment horizontal="center" vertical="center"/>
    </xf>
    <xf numFmtId="0" fontId="14" fillId="4" borderId="3" xfId="55" applyFont="1" applyFill="1"/>
    <xf numFmtId="0" fontId="16" fillId="4" borderId="3" xfId="55" applyFont="1" applyFill="1" applyAlignment="1">
      <alignment horizontal="left"/>
    </xf>
    <xf numFmtId="0" fontId="14" fillId="4" borderId="3" xfId="55" applyFont="1" applyFill="1" applyAlignment="1">
      <alignment horizontal="left"/>
    </xf>
    <xf numFmtId="0" fontId="24" fillId="4" borderId="3" xfId="55" applyFont="1" applyFill="1" applyAlignment="1">
      <alignment horizontal="left"/>
    </xf>
    <xf numFmtId="1" fontId="21" fillId="4" borderId="3" xfId="55" applyNumberFormat="1" applyFont="1" applyFill="1" applyAlignment="1">
      <alignment horizontal="center" vertical="center"/>
    </xf>
    <xf numFmtId="4" fontId="21" fillId="4" borderId="3" xfId="55" applyNumberFormat="1" applyFont="1" applyFill="1" applyAlignment="1">
      <alignment horizontal="center" vertical="center"/>
    </xf>
    <xf numFmtId="4" fontId="14" fillId="4" borderId="3" xfId="55" applyNumberFormat="1" applyFont="1" applyFill="1" applyAlignment="1">
      <alignment horizontal="center" vertical="center"/>
    </xf>
    <xf numFmtId="0" fontId="24" fillId="4" borderId="6" xfId="55" applyFont="1" applyFill="1" applyBorder="1" applyAlignment="1">
      <alignment horizontal="left"/>
    </xf>
    <xf numFmtId="1" fontId="21" fillId="4" borderId="6" xfId="55" applyNumberFormat="1" applyFont="1" applyFill="1" applyBorder="1" applyAlignment="1">
      <alignment horizontal="center" vertical="center"/>
    </xf>
    <xf numFmtId="4" fontId="21" fillId="4" borderId="6" xfId="55" applyNumberFormat="1" applyFont="1" applyFill="1" applyBorder="1" applyAlignment="1">
      <alignment horizontal="center" vertical="center"/>
    </xf>
    <xf numFmtId="0" fontId="24" fillId="37" borderId="16" xfId="55" applyFont="1" applyFill="1" applyBorder="1" applyAlignment="1">
      <alignment horizontal="left"/>
    </xf>
    <xf numFmtId="1" fontId="21" fillId="4" borderId="16" xfId="55" applyNumberFormat="1" applyFont="1" applyFill="1" applyBorder="1" applyAlignment="1">
      <alignment horizontal="center" vertical="center"/>
    </xf>
    <xf numFmtId="4" fontId="21" fillId="4" borderId="16" xfId="55" applyNumberFormat="1" applyFont="1" applyFill="1" applyBorder="1" applyAlignment="1">
      <alignment horizontal="center" vertical="center"/>
    </xf>
    <xf numFmtId="4" fontId="14" fillId="4" borderId="16" xfId="55" applyNumberFormat="1" applyFont="1" applyFill="1" applyBorder="1" applyAlignment="1">
      <alignment horizontal="center" vertical="center"/>
    </xf>
    <xf numFmtId="0" fontId="24" fillId="37" borderId="3" xfId="55" applyFont="1" applyFill="1" applyAlignment="1">
      <alignment horizontal="left"/>
    </xf>
    <xf numFmtId="0" fontId="24" fillId="37" borderId="6" xfId="55" applyFont="1" applyFill="1" applyBorder="1" applyAlignment="1">
      <alignment horizontal="left"/>
    </xf>
    <xf numFmtId="0" fontId="24" fillId="37" borderId="3" xfId="55" applyFont="1" applyFill="1" applyAlignment="1">
      <alignment horizontal="left" vertical="center"/>
    </xf>
    <xf numFmtId="0" fontId="24" fillId="4" borderId="16" xfId="55" applyFont="1" applyFill="1" applyBorder="1" applyAlignment="1">
      <alignment horizontal="left"/>
    </xf>
    <xf numFmtId="49" fontId="21" fillId="4" borderId="16" xfId="55" applyNumberFormat="1" applyFont="1" applyFill="1" applyBorder="1" applyAlignment="1">
      <alignment horizontal="center" vertical="center"/>
    </xf>
    <xf numFmtId="0" fontId="21" fillId="4" borderId="16" xfId="55" applyFont="1" applyFill="1" applyBorder="1" applyAlignment="1">
      <alignment vertical="center" wrapText="1"/>
    </xf>
    <xf numFmtId="170" fontId="21" fillId="4" borderId="16" xfId="55" applyNumberFormat="1" applyFont="1" applyFill="1" applyBorder="1" applyAlignment="1">
      <alignment horizontal="right" vertical="center"/>
    </xf>
    <xf numFmtId="170" fontId="14" fillId="4" borderId="16" xfId="55" applyNumberFormat="1" applyFont="1" applyFill="1" applyBorder="1" applyAlignment="1">
      <alignment horizontal="right" vertical="center"/>
    </xf>
    <xf numFmtId="165" fontId="18" fillId="4" borderId="16" xfId="55" applyNumberFormat="1" applyFont="1" applyFill="1" applyBorder="1" applyAlignment="1">
      <alignment horizontal="right" vertical="center"/>
    </xf>
    <xf numFmtId="170" fontId="14" fillId="4" borderId="3" xfId="55" applyNumberFormat="1" applyFont="1" applyFill="1" applyAlignment="1">
      <alignment horizontal="right" vertical="center"/>
    </xf>
    <xf numFmtId="171" fontId="21" fillId="4" borderId="3" xfId="55" applyNumberFormat="1" applyFont="1" applyFill="1"/>
    <xf numFmtId="0" fontId="21" fillId="4" borderId="3" xfId="55" applyFont="1" applyFill="1" applyAlignment="1">
      <alignment horizontal="left"/>
    </xf>
    <xf numFmtId="0" fontId="21" fillId="4" borderId="6" xfId="55" applyFont="1" applyFill="1" applyBorder="1" applyAlignment="1">
      <alignment horizontal="left"/>
    </xf>
    <xf numFmtId="0" fontId="30" fillId="4" borderId="16" xfId="55" applyFont="1" applyFill="1" applyBorder="1"/>
    <xf numFmtId="0" fontId="14" fillId="4" borderId="16" xfId="55" applyFont="1" applyFill="1" applyBorder="1"/>
    <xf numFmtId="0" fontId="21" fillId="4" borderId="16" xfId="55" applyFont="1" applyFill="1" applyBorder="1"/>
    <xf numFmtId="0" fontId="30" fillId="4" borderId="3" xfId="56" applyFont="1" applyFill="1" applyAlignment="1">
      <alignment vertical="center"/>
    </xf>
    <xf numFmtId="0" fontId="21" fillId="4" borderId="3" xfId="55" applyFont="1" applyFill="1"/>
    <xf numFmtId="0" fontId="30" fillId="4" borderId="3" xfId="56" applyFont="1" applyFill="1"/>
    <xf numFmtId="0" fontId="17" fillId="4" borderId="3" xfId="55" applyFont="1" applyFill="1"/>
    <xf numFmtId="0" fontId="16" fillId="4" borderId="3" xfId="55" applyFont="1" applyFill="1"/>
    <xf numFmtId="0" fontId="17" fillId="4" borderId="3" xfId="55" applyFont="1" applyFill="1" applyAlignment="1">
      <alignment vertical="top"/>
    </xf>
    <xf numFmtId="0" fontId="14" fillId="4" borderId="3" xfId="55" applyFont="1" applyFill="1" applyAlignment="1">
      <alignment vertical="center"/>
    </xf>
    <xf numFmtId="2" fontId="16" fillId="4" borderId="3" xfId="55" applyNumberFormat="1" applyFont="1" applyFill="1" applyAlignment="1">
      <alignment vertical="center"/>
    </xf>
    <xf numFmtId="0" fontId="28" fillId="4" borderId="3" xfId="55" applyFont="1" applyFill="1" applyAlignment="1">
      <alignment vertical="center"/>
    </xf>
    <xf numFmtId="2" fontId="14" fillId="4" borderId="3" xfId="55" applyNumberFormat="1" applyFont="1" applyFill="1" applyAlignment="1">
      <alignment vertical="center"/>
    </xf>
    <xf numFmtId="165" fontId="21" fillId="4" borderId="3" xfId="3" applyNumberFormat="1" applyFont="1" applyFill="1" applyBorder="1" applyAlignment="1">
      <alignment horizontal="center" vertical="center"/>
    </xf>
    <xf numFmtId="2" fontId="14" fillId="4" borderId="6" xfId="55" applyNumberFormat="1" applyFont="1" applyFill="1" applyBorder="1" applyAlignment="1">
      <alignment vertical="center"/>
    </xf>
    <xf numFmtId="2" fontId="16" fillId="4" borderId="16" xfId="55" applyNumberFormat="1" applyFont="1" applyFill="1" applyBorder="1" applyAlignment="1">
      <alignment vertical="center"/>
    </xf>
    <xf numFmtId="165" fontId="21" fillId="4" borderId="16" xfId="3" applyNumberFormat="1" applyFont="1" applyFill="1" applyBorder="1" applyAlignment="1">
      <alignment horizontal="center" vertical="center"/>
    </xf>
    <xf numFmtId="4" fontId="21" fillId="4" borderId="0" xfId="0" applyNumberFormat="1" applyFont="1" applyFill="1" applyAlignment="1">
      <alignment vertical="center"/>
    </xf>
    <xf numFmtId="2" fontId="50" fillId="4" borderId="3" xfId="55" applyNumberFormat="1" applyFont="1" applyFill="1" applyAlignment="1">
      <alignment vertical="center"/>
    </xf>
    <xf numFmtId="165" fontId="18" fillId="4" borderId="3" xfId="55" applyNumberFormat="1" applyFont="1" applyFill="1" applyAlignment="1">
      <alignment horizontal="right" vertical="center"/>
    </xf>
    <xf numFmtId="2" fontId="14" fillId="4" borderId="3" xfId="55" applyNumberFormat="1" applyFont="1" applyFill="1" applyAlignment="1">
      <alignment horizontal="right" vertical="center"/>
    </xf>
    <xf numFmtId="2" fontId="14" fillId="4" borderId="6" xfId="55" applyNumberFormat="1" applyFont="1" applyFill="1" applyBorder="1" applyAlignment="1">
      <alignment horizontal="right" vertical="center"/>
    </xf>
    <xf numFmtId="2" fontId="16" fillId="4" borderId="16" xfId="55" applyNumberFormat="1" applyFont="1" applyFill="1" applyBorder="1" applyAlignment="1">
      <alignment horizontal="right" vertical="center"/>
    </xf>
    <xf numFmtId="0" fontId="14" fillId="4" borderId="3" xfId="55" applyFont="1" applyFill="1" applyAlignment="1">
      <alignment horizontal="left" vertical="center"/>
    </xf>
    <xf numFmtId="0" fontId="14" fillId="4" borderId="6" xfId="55" applyFont="1" applyFill="1" applyBorder="1" applyAlignment="1">
      <alignment horizontal="left" vertical="center"/>
    </xf>
    <xf numFmtId="0" fontId="30" fillId="4" borderId="3" xfId="56" applyFont="1" applyFill="1" applyAlignment="1">
      <alignment vertical="top"/>
    </xf>
    <xf numFmtId="0" fontId="50" fillId="4" borderId="3" xfId="55" applyFont="1" applyFill="1" applyAlignment="1">
      <alignment horizontal="left" vertical="center"/>
    </xf>
    <xf numFmtId="0" fontId="16" fillId="4" borderId="3" xfId="55" applyFont="1" applyFill="1" applyAlignment="1">
      <alignment horizontal="left" vertical="center"/>
    </xf>
    <xf numFmtId="4" fontId="21" fillId="4" borderId="6" xfId="0" applyNumberFormat="1" applyFont="1" applyFill="1" applyBorder="1" applyAlignment="1">
      <alignment vertical="center"/>
    </xf>
    <xf numFmtId="0" fontId="50" fillId="4" borderId="6" xfId="55" applyFont="1" applyFill="1" applyBorder="1" applyAlignment="1">
      <alignment horizontal="left" vertical="center"/>
    </xf>
    <xf numFmtId="37" fontId="27" fillId="3" borderId="3" xfId="58" applyFont="1" applyFill="1"/>
    <xf numFmtId="37" fontId="17" fillId="3" borderId="3" xfId="58" applyFont="1" applyFill="1" applyAlignment="1">
      <alignment vertical="center"/>
    </xf>
    <xf numFmtId="3" fontId="15" fillId="0" borderId="3" xfId="55" applyNumberFormat="1" applyFont="1" applyAlignment="1">
      <alignment horizontal="right" vertical="center"/>
    </xf>
    <xf numFmtId="37" fontId="17" fillId="3" borderId="3" xfId="58" applyFont="1" applyFill="1"/>
    <xf numFmtId="0" fontId="14" fillId="0" borderId="16" xfId="55" applyFont="1" applyBorder="1" applyAlignment="1">
      <alignment horizontal="center" vertical="center"/>
    </xf>
    <xf numFmtId="3" fontId="14" fillId="0" borderId="16" xfId="55" applyNumberFormat="1" applyFont="1" applyBorder="1" applyAlignment="1">
      <alignment horizontal="right" vertical="center"/>
    </xf>
    <xf numFmtId="3" fontId="14" fillId="0" borderId="16" xfId="55" quotePrefix="1" applyNumberFormat="1" applyFont="1" applyBorder="1" applyAlignment="1">
      <alignment horizontal="right" vertical="center"/>
    </xf>
    <xf numFmtId="0" fontId="14" fillId="0" borderId="3" xfId="55" applyFont="1" applyAlignment="1">
      <alignment horizontal="center" vertical="center"/>
    </xf>
    <xf numFmtId="3" fontId="14" fillId="0" borderId="3" xfId="55" applyNumberFormat="1" applyFont="1" applyAlignment="1">
      <alignment horizontal="right" vertical="center"/>
    </xf>
    <xf numFmtId="3" fontId="14" fillId="0" borderId="3" xfId="55" quotePrefix="1" applyNumberFormat="1" applyFont="1" applyAlignment="1">
      <alignment horizontal="right" vertical="center"/>
    </xf>
    <xf numFmtId="3" fontId="14" fillId="0" borderId="6" xfId="55" applyNumberFormat="1" applyFont="1" applyBorder="1" applyAlignment="1">
      <alignment horizontal="right" vertical="center"/>
    </xf>
    <xf numFmtId="3" fontId="21" fillId="0" borderId="3" xfId="55" applyNumberFormat="1" applyFont="1" applyAlignment="1">
      <alignment horizontal="right" vertical="center"/>
    </xf>
    <xf numFmtId="3" fontId="21" fillId="0" borderId="3" xfId="55" applyNumberFormat="1" applyFont="1" applyAlignment="1">
      <alignment vertical="center"/>
    </xf>
    <xf numFmtId="0" fontId="14" fillId="0" borderId="6" xfId="55" applyFont="1" applyBorder="1" applyAlignment="1">
      <alignment horizontal="center" vertical="center"/>
    </xf>
    <xf numFmtId="3" fontId="21" fillId="0" borderId="6" xfId="55" applyNumberFormat="1" applyFont="1" applyBorder="1" applyAlignment="1">
      <alignment horizontal="right" vertical="center"/>
    </xf>
    <xf numFmtId="0" fontId="19" fillId="0" borderId="3" xfId="55" applyFont="1" applyAlignment="1">
      <alignment horizontal="left" vertical="center"/>
    </xf>
    <xf numFmtId="1" fontId="14" fillId="0" borderId="3" xfId="55" quotePrefix="1" applyNumberFormat="1" applyFont="1" applyAlignment="1">
      <alignment horizontal="right" vertical="center"/>
    </xf>
    <xf numFmtId="3" fontId="14" fillId="0" borderId="6" xfId="55" quotePrefix="1" applyNumberFormat="1" applyFont="1" applyBorder="1" applyAlignment="1">
      <alignment horizontal="right" vertical="center"/>
    </xf>
    <xf numFmtId="0" fontId="14" fillId="3" borderId="3" xfId="55" applyFont="1" applyFill="1" applyAlignment="1">
      <alignment horizontal="center"/>
    </xf>
    <xf numFmtId="167" fontId="14" fillId="3" borderId="3" xfId="55" applyNumberFormat="1" applyFont="1" applyFill="1"/>
    <xf numFmtId="3" fontId="14" fillId="3" borderId="3" xfId="55" applyNumberFormat="1" applyFont="1" applyFill="1" applyAlignment="1">
      <alignment horizontal="right"/>
    </xf>
    <xf numFmtId="3" fontId="14" fillId="3" borderId="3" xfId="55" quotePrefix="1" applyNumberFormat="1" applyFont="1" applyFill="1" applyAlignment="1">
      <alignment horizontal="right"/>
    </xf>
    <xf numFmtId="3" fontId="14" fillId="3" borderId="3" xfId="55" applyNumberFormat="1" applyFont="1" applyFill="1" applyAlignment="1">
      <alignment horizontal="right" vertical="center"/>
    </xf>
    <xf numFmtId="3" fontId="14" fillId="3" borderId="3" xfId="55" quotePrefix="1" applyNumberFormat="1" applyFont="1" applyFill="1" applyAlignment="1">
      <alignment horizontal="right" vertical="center"/>
    </xf>
    <xf numFmtId="168" fontId="14" fillId="0" borderId="3" xfId="1" applyFont="1" applyAlignment="1">
      <alignment horizontal="left"/>
    </xf>
    <xf numFmtId="0" fontId="14" fillId="0" borderId="3" xfId="55" applyFont="1"/>
    <xf numFmtId="0" fontId="19" fillId="2" borderId="0" xfId="0" applyFont="1" applyFill="1" applyAlignment="1">
      <alignment vertical="center"/>
    </xf>
    <xf numFmtId="37" fontId="16" fillId="2" borderId="0" xfId="0" applyNumberFormat="1" applyFont="1" applyFill="1" applyAlignment="1">
      <alignment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178" fontId="14" fillId="4" borderId="3" xfId="0" applyNumberFormat="1" applyFont="1" applyFill="1" applyBorder="1" applyAlignment="1">
      <alignment horizontal="right" vertical="center"/>
    </xf>
    <xf numFmtId="178" fontId="14" fillId="4" borderId="3" xfId="4" applyNumberFormat="1" applyFont="1" applyFill="1" applyAlignment="1">
      <alignment horizontal="right" vertical="center"/>
    </xf>
    <xf numFmtId="178" fontId="14" fillId="4" borderId="3" xfId="4" applyNumberFormat="1" applyFont="1" applyFill="1" applyAlignment="1">
      <alignment vertical="center"/>
    </xf>
    <xf numFmtId="0" fontId="14" fillId="2" borderId="23" xfId="0" applyFont="1" applyFill="1" applyBorder="1" applyAlignment="1">
      <alignment horizontal="center" vertical="center"/>
    </xf>
    <xf numFmtId="178" fontId="14" fillId="36" borderId="2" xfId="0" applyNumberFormat="1" applyFont="1" applyFill="1" applyBorder="1" applyAlignment="1">
      <alignment horizontal="right" vertical="center"/>
    </xf>
    <xf numFmtId="178" fontId="14" fillId="4" borderId="2" xfId="0" applyNumberFormat="1" applyFont="1" applyFill="1" applyBorder="1" applyAlignment="1">
      <alignment horizontal="right" vertical="center"/>
    </xf>
    <xf numFmtId="178" fontId="14" fillId="36" borderId="3" xfId="0" applyNumberFormat="1" applyFont="1" applyFill="1" applyBorder="1" applyAlignment="1">
      <alignment horizontal="right" vertical="center"/>
    </xf>
    <xf numFmtId="178" fontId="14" fillId="4" borderId="3" xfId="0" applyNumberFormat="1" applyFont="1" applyFill="1" applyBorder="1" applyAlignment="1">
      <alignment vertical="center"/>
    </xf>
    <xf numFmtId="178" fontId="14" fillId="4" borderId="23" xfId="0" applyNumberFormat="1" applyFont="1" applyFill="1" applyBorder="1" applyAlignment="1">
      <alignment horizontal="right" vertical="center"/>
    </xf>
    <xf numFmtId="178" fontId="14" fillId="4" borderId="23" xfId="0" applyNumberFormat="1" applyFont="1" applyFill="1" applyBorder="1" applyAlignment="1">
      <alignment vertical="center"/>
    </xf>
    <xf numFmtId="178" fontId="14" fillId="36" borderId="23" xfId="0" applyNumberFormat="1" applyFont="1" applyFill="1" applyBorder="1" applyAlignment="1">
      <alignment horizontal="right" vertical="center"/>
    </xf>
    <xf numFmtId="0" fontId="18" fillId="36" borderId="0" xfId="0" applyFont="1" applyFill="1" applyAlignment="1">
      <alignment vertical="center"/>
    </xf>
    <xf numFmtId="37" fontId="18" fillId="36" borderId="0" xfId="0" applyNumberFormat="1" applyFont="1" applyFill="1" applyAlignment="1">
      <alignment vertical="center"/>
    </xf>
    <xf numFmtId="0" fontId="30" fillId="4" borderId="3" xfId="59" applyFont="1" applyFill="1" applyAlignment="1">
      <alignment vertical="center"/>
    </xf>
    <xf numFmtId="0" fontId="18" fillId="4" borderId="0" xfId="0" applyFont="1" applyFill="1"/>
    <xf numFmtId="0" fontId="30" fillId="4" borderId="3" xfId="59" applyFont="1" applyFill="1"/>
    <xf numFmtId="0" fontId="28" fillId="4" borderId="0" xfId="0" applyFont="1" applyFill="1"/>
    <xf numFmtId="0" fontId="18" fillId="36" borderId="0" xfId="0" applyFont="1" applyFill="1"/>
    <xf numFmtId="176" fontId="21" fillId="4" borderId="3" xfId="55" applyNumberFormat="1" applyFont="1" applyFill="1" applyAlignment="1">
      <alignment horizontal="right" vertical="center"/>
    </xf>
    <xf numFmtId="176" fontId="21" fillId="37" borderId="3" xfId="55" applyNumberFormat="1" applyFont="1" applyFill="1" applyAlignment="1">
      <alignment horizontal="right" vertical="center"/>
    </xf>
    <xf numFmtId="176" fontId="14" fillId="37" borderId="3" xfId="55" applyNumberFormat="1" applyFont="1" applyFill="1" applyAlignment="1">
      <alignment horizontal="right" vertical="center"/>
    </xf>
    <xf numFmtId="176" fontId="21" fillId="37" borderId="6" xfId="55" applyNumberFormat="1" applyFont="1" applyFill="1" applyBorder="1" applyAlignment="1">
      <alignment horizontal="right" vertical="center"/>
    </xf>
    <xf numFmtId="176" fontId="21" fillId="4" borderId="3" xfId="55" applyNumberFormat="1" applyFont="1" applyFill="1" applyAlignment="1">
      <alignment vertical="center"/>
    </xf>
    <xf numFmtId="176" fontId="14" fillId="4" borderId="3" xfId="55" applyNumberFormat="1" applyFont="1" applyFill="1" applyAlignment="1">
      <alignment horizontal="right" vertical="center"/>
    </xf>
    <xf numFmtId="176" fontId="14" fillId="37" borderId="3" xfId="55" applyNumberFormat="1" applyFont="1" applyFill="1" applyAlignment="1">
      <alignment vertical="center"/>
    </xf>
    <xf numFmtId="176" fontId="21" fillId="4" borderId="3" xfId="55" applyNumberFormat="1" applyFont="1" applyFill="1" applyAlignment="1">
      <alignment horizontal="center" vertical="center"/>
    </xf>
    <xf numFmtId="176" fontId="14" fillId="37" borderId="3" xfId="55" applyNumberFormat="1" applyFont="1" applyFill="1" applyAlignment="1">
      <alignment horizontal="center" vertical="center"/>
    </xf>
    <xf numFmtId="0" fontId="16" fillId="4" borderId="6" xfId="55" applyFont="1" applyFill="1" applyBorder="1" applyAlignment="1">
      <alignment horizontal="left"/>
    </xf>
    <xf numFmtId="1" fontId="14" fillId="4" borderId="6" xfId="55" applyNumberFormat="1" applyFont="1" applyFill="1" applyBorder="1" applyAlignment="1">
      <alignment horizontal="center" vertical="center"/>
    </xf>
    <xf numFmtId="176" fontId="14" fillId="37" borderId="6" xfId="55" applyNumberFormat="1" applyFont="1" applyFill="1" applyBorder="1" applyAlignment="1">
      <alignment vertical="center"/>
    </xf>
    <xf numFmtId="176" fontId="21" fillId="37" borderId="6" xfId="55" applyNumberFormat="1" applyFont="1" applyFill="1" applyBorder="1" applyAlignment="1">
      <alignment horizontal="center" vertical="center"/>
    </xf>
    <xf numFmtId="176" fontId="14" fillId="37" borderId="6" xfId="55" applyNumberFormat="1" applyFont="1" applyFill="1" applyBorder="1" applyAlignment="1">
      <alignment horizontal="right" vertical="center"/>
    </xf>
    <xf numFmtId="176" fontId="21" fillId="4" borderId="6" xfId="55" applyNumberFormat="1" applyFont="1" applyFill="1" applyBorder="1" applyAlignment="1">
      <alignment horizontal="right" vertical="center"/>
    </xf>
    <xf numFmtId="0" fontId="16" fillId="37" borderId="3" xfId="55" applyFont="1" applyFill="1" applyAlignment="1">
      <alignment horizontal="left"/>
    </xf>
    <xf numFmtId="176" fontId="14" fillId="4" borderId="3" xfId="55" applyNumberFormat="1" applyFont="1" applyFill="1" applyAlignment="1">
      <alignment horizontal="center" vertical="center"/>
    </xf>
    <xf numFmtId="0" fontId="16" fillId="37" borderId="6" xfId="55" applyFont="1" applyFill="1" applyBorder="1" applyAlignment="1">
      <alignment horizontal="left"/>
    </xf>
    <xf numFmtId="176" fontId="21" fillId="4" borderId="6" xfId="55" applyNumberFormat="1" applyFont="1" applyFill="1" applyBorder="1" applyAlignment="1">
      <alignment vertical="center"/>
    </xf>
    <xf numFmtId="176" fontId="14" fillId="4" borderId="6" xfId="55" applyNumberFormat="1" applyFont="1" applyFill="1" applyBorder="1" applyAlignment="1">
      <alignment horizontal="right" vertical="center"/>
    </xf>
    <xf numFmtId="176" fontId="21" fillId="37" borderId="3" xfId="55" applyNumberFormat="1" applyFont="1" applyFill="1" applyAlignment="1">
      <alignment horizontal="center" vertical="center"/>
    </xf>
    <xf numFmtId="176" fontId="14" fillId="37" borderId="6" xfId="55" applyNumberFormat="1" applyFont="1" applyFill="1" applyBorder="1" applyAlignment="1">
      <alignment horizontal="center" vertical="center"/>
    </xf>
    <xf numFmtId="170" fontId="21" fillId="4" borderId="3" xfId="55" applyNumberFormat="1" applyFont="1" applyFill="1" applyAlignment="1">
      <alignment horizontal="right" vertical="center"/>
    </xf>
    <xf numFmtId="171" fontId="14" fillId="4" borderId="3" xfId="55" applyNumberFormat="1" applyFont="1" applyFill="1"/>
    <xf numFmtId="176" fontId="14" fillId="4" borderId="3" xfId="55" applyNumberFormat="1" applyFont="1" applyFill="1" applyAlignment="1">
      <alignment vertical="center"/>
    </xf>
    <xf numFmtId="0" fontId="14" fillId="4" borderId="6" xfId="55" applyFont="1" applyFill="1" applyBorder="1" applyAlignment="1">
      <alignment horizontal="left"/>
    </xf>
    <xf numFmtId="176" fontId="21" fillId="4" borderId="6" xfId="55" applyNumberFormat="1" applyFont="1" applyFill="1" applyBorder="1" applyAlignment="1">
      <alignment horizontal="center" vertical="center"/>
    </xf>
    <xf numFmtId="4" fontId="14" fillId="4" borderId="6" xfId="55" applyNumberFormat="1" applyFont="1" applyFill="1" applyBorder="1" applyAlignment="1">
      <alignment horizontal="center" vertical="center"/>
    </xf>
    <xf numFmtId="176" fontId="21" fillId="37" borderId="3" xfId="55" applyNumberFormat="1" applyFont="1" applyFill="1" applyAlignment="1">
      <alignment vertical="center"/>
    </xf>
    <xf numFmtId="2" fontId="21" fillId="4" borderId="3" xfId="55" applyNumberFormat="1" applyFont="1" applyFill="1" applyAlignment="1">
      <alignment horizontal="center" vertical="center"/>
    </xf>
    <xf numFmtId="0" fontId="30" fillId="4" borderId="3" xfId="55" applyFont="1" applyFill="1"/>
    <xf numFmtId="169" fontId="21" fillId="4" borderId="3" xfId="55" applyNumberFormat="1" applyFont="1" applyFill="1"/>
    <xf numFmtId="169" fontId="14" fillId="4" borderId="3" xfId="55" applyNumberFormat="1" applyFont="1" applyFill="1"/>
    <xf numFmtId="168" fontId="30" fillId="4" borderId="3" xfId="1" applyFont="1" applyFill="1" applyAlignment="1">
      <alignment horizontal="left" vertical="center"/>
    </xf>
    <xf numFmtId="169" fontId="21" fillId="4" borderId="3" xfId="1" applyNumberFormat="1" applyFont="1" applyFill="1" applyAlignment="1">
      <alignment horizontal="left" vertical="center"/>
    </xf>
    <xf numFmtId="169" fontId="14" fillId="4" borderId="3" xfId="1" applyNumberFormat="1" applyFont="1" applyFill="1" applyAlignment="1">
      <alignment horizontal="left" vertical="center"/>
    </xf>
    <xf numFmtId="0" fontId="13" fillId="4" borderId="3" xfId="55" applyFont="1" applyFill="1"/>
    <xf numFmtId="0" fontId="16" fillId="37" borderId="6" xfId="55" applyFont="1" applyFill="1" applyBorder="1" applyAlignment="1">
      <alignment horizontal="left" vertical="center"/>
    </xf>
    <xf numFmtId="0" fontId="16" fillId="37" borderId="3" xfId="55" applyFont="1" applyFill="1" applyAlignment="1">
      <alignment horizontal="left" vertical="center"/>
    </xf>
    <xf numFmtId="49" fontId="14" fillId="4" borderId="3" xfId="55" applyNumberFormat="1" applyFont="1" applyFill="1" applyAlignment="1">
      <alignment horizontal="center" vertical="center"/>
    </xf>
    <xf numFmtId="0" fontId="14" fillId="4" borderId="3" xfId="55" applyFont="1" applyFill="1" applyAlignment="1">
      <alignment vertical="center" wrapText="1"/>
    </xf>
    <xf numFmtId="169" fontId="21" fillId="4" borderId="3" xfId="55" applyNumberFormat="1" applyFont="1" applyFill="1" applyAlignment="1">
      <alignment horizontal="right" vertical="center"/>
    </xf>
    <xf numFmtId="169" fontId="14" fillId="4" borderId="3" xfId="55" applyNumberFormat="1" applyFont="1" applyFill="1" applyAlignment="1">
      <alignment horizontal="right" vertical="center"/>
    </xf>
    <xf numFmtId="169" fontId="14" fillId="4" borderId="3" xfId="55" applyNumberFormat="1" applyFont="1" applyFill="1" applyAlignment="1">
      <alignment horizontal="center" vertical="center"/>
    </xf>
    <xf numFmtId="169" fontId="14" fillId="4" borderId="6" xfId="55" applyNumberFormat="1" applyFont="1" applyFill="1" applyBorder="1" applyAlignment="1">
      <alignment horizontal="right" vertical="center"/>
    </xf>
    <xf numFmtId="169" fontId="21" fillId="4" borderId="6" xfId="55" applyNumberFormat="1" applyFont="1" applyFill="1" applyBorder="1" applyAlignment="1">
      <alignment horizontal="center" vertical="center"/>
    </xf>
    <xf numFmtId="169" fontId="21" fillId="4" borderId="6" xfId="55" applyNumberFormat="1" applyFont="1" applyFill="1" applyBorder="1" applyAlignment="1">
      <alignment horizontal="right" vertical="center"/>
    </xf>
    <xf numFmtId="169" fontId="14" fillId="37" borderId="3" xfId="55" applyNumberFormat="1" applyFont="1" applyFill="1" applyAlignment="1">
      <alignment horizontal="right" vertical="center"/>
    </xf>
    <xf numFmtId="169" fontId="21" fillId="37" borderId="3" xfId="55" applyNumberFormat="1" applyFont="1" applyFill="1" applyAlignment="1">
      <alignment horizontal="right" vertical="center"/>
    </xf>
    <xf numFmtId="169" fontId="21" fillId="37" borderId="3" xfId="55" applyNumberFormat="1" applyFont="1" applyFill="1" applyAlignment="1">
      <alignment horizontal="center" vertical="center"/>
    </xf>
    <xf numFmtId="169" fontId="21" fillId="37" borderId="6" xfId="55" applyNumberFormat="1" applyFont="1" applyFill="1" applyBorder="1" applyAlignment="1">
      <alignment horizontal="right" vertical="center"/>
    </xf>
    <xf numFmtId="0" fontId="18" fillId="4" borderId="3" xfId="55" applyFont="1" applyFill="1"/>
    <xf numFmtId="169" fontId="18" fillId="4" borderId="3" xfId="55" applyNumberFormat="1" applyFont="1" applyFill="1"/>
    <xf numFmtId="168" fontId="18" fillId="4" borderId="3" xfId="1" applyFont="1" applyFill="1" applyAlignment="1">
      <alignment horizontal="left" vertical="center"/>
    </xf>
    <xf numFmtId="169" fontId="18" fillId="4" borderId="3" xfId="1" applyNumberFormat="1" applyFont="1" applyFill="1" applyAlignment="1">
      <alignment horizontal="left" vertical="center"/>
    </xf>
    <xf numFmtId="167" fontId="22" fillId="4" borderId="3" xfId="55" applyNumberFormat="1" applyFont="1" applyFill="1"/>
    <xf numFmtId="0" fontId="16" fillId="4" borderId="6" xfId="55" applyFont="1" applyFill="1" applyBorder="1" applyAlignment="1">
      <alignment horizontal="left" vertical="center"/>
    </xf>
    <xf numFmtId="165" fontId="14" fillId="4" borderId="3" xfId="55" applyNumberFormat="1" applyFont="1" applyFill="1" applyAlignment="1">
      <alignment horizontal="right" vertical="center"/>
    </xf>
    <xf numFmtId="169" fontId="51" fillId="4" borderId="3" xfId="55" applyNumberFormat="1" applyFont="1" applyFill="1" applyAlignment="1">
      <alignment horizontal="center" vertical="center"/>
    </xf>
    <xf numFmtId="167" fontId="16" fillId="4" borderId="3" xfId="55" applyNumberFormat="1" applyFont="1" applyFill="1" applyAlignment="1">
      <alignment vertical="center"/>
    </xf>
    <xf numFmtId="175" fontId="14" fillId="4" borderId="3" xfId="3" applyNumberFormat="1" applyFont="1" applyFill="1" applyBorder="1" applyAlignment="1">
      <alignment horizontal="center" vertical="center"/>
    </xf>
    <xf numFmtId="172" fontId="21" fillId="4" borderId="3" xfId="55" applyNumberFormat="1" applyFont="1" applyFill="1" applyAlignment="1">
      <alignment horizontal="center" vertical="center"/>
    </xf>
    <xf numFmtId="165" fontId="21" fillId="4" borderId="3" xfId="3" applyNumberFormat="1" applyFont="1" applyFill="1" applyBorder="1" applyAlignment="1">
      <alignment horizontal="right" vertical="center"/>
    </xf>
    <xf numFmtId="165" fontId="21" fillId="4" borderId="6" xfId="3" applyNumberFormat="1" applyFont="1" applyFill="1" applyBorder="1" applyAlignment="1">
      <alignment horizontal="right" vertical="center"/>
    </xf>
    <xf numFmtId="0" fontId="22" fillId="0" borderId="3" xfId="60" applyFont="1"/>
    <xf numFmtId="0" fontId="21" fillId="0" borderId="3" xfId="60" applyFont="1"/>
    <xf numFmtId="0" fontId="26" fillId="0" borderId="3" xfId="60" applyFont="1"/>
    <xf numFmtId="0" fontId="52" fillId="0" borderId="3" xfId="60"/>
    <xf numFmtId="0" fontId="23" fillId="0" borderId="3" xfId="60" applyFont="1"/>
    <xf numFmtId="0" fontId="24" fillId="0" borderId="3" xfId="60" applyFont="1" applyAlignment="1">
      <alignment horizontal="center"/>
    </xf>
    <xf numFmtId="0" fontId="21" fillId="0" borderId="25" xfId="60" applyFont="1" applyBorder="1"/>
    <xf numFmtId="0" fontId="21" fillId="0" borderId="6" xfId="60" applyFont="1" applyBorder="1" applyAlignment="1">
      <alignment horizontal="center" wrapText="1"/>
    </xf>
    <xf numFmtId="0" fontId="21" fillId="0" borderId="25" xfId="60" applyFont="1" applyBorder="1" applyAlignment="1">
      <alignment horizontal="center" wrapText="1"/>
    </xf>
    <xf numFmtId="0" fontId="21" fillId="0" borderId="26" xfId="60" applyFont="1" applyBorder="1"/>
    <xf numFmtId="0" fontId="21" fillId="0" borderId="3" xfId="60" applyFont="1" applyAlignment="1">
      <alignment vertical="center"/>
    </xf>
    <xf numFmtId="0" fontId="50" fillId="0" borderId="3" xfId="60" applyFont="1" applyAlignment="1">
      <alignment vertical="center"/>
    </xf>
    <xf numFmtId="0" fontId="55" fillId="0" borderId="3" xfId="60" applyFont="1"/>
    <xf numFmtId="0" fontId="28" fillId="0" borderId="3" xfId="60" applyFont="1"/>
    <xf numFmtId="0" fontId="50" fillId="0" borderId="3" xfId="60" applyFont="1"/>
    <xf numFmtId="0" fontId="18" fillId="3" borderId="3" xfId="55" applyFont="1" applyFill="1" applyAlignment="1">
      <alignment horizontal="left" vertical="center"/>
    </xf>
    <xf numFmtId="0" fontId="28" fillId="4" borderId="6" xfId="0" applyFont="1" applyFill="1" applyBorder="1"/>
    <xf numFmtId="0" fontId="28" fillId="4" borderId="3" xfId="0" applyFont="1" applyFill="1" applyBorder="1"/>
    <xf numFmtId="0" fontId="28" fillId="0" borderId="0" xfId="0" applyFont="1"/>
    <xf numFmtId="177" fontId="16" fillId="38" borderId="17" xfId="55" applyNumberFormat="1" applyFont="1" applyFill="1" applyBorder="1" applyAlignment="1">
      <alignment horizontal="center" vertical="center"/>
    </xf>
    <xf numFmtId="177" fontId="16" fillId="38" borderId="21" xfId="55" applyNumberFormat="1" applyFont="1" applyFill="1" applyBorder="1" applyAlignment="1">
      <alignment horizontal="center" vertical="center"/>
    </xf>
    <xf numFmtId="177" fontId="16" fillId="38" borderId="5" xfId="55" applyNumberFormat="1" applyFont="1" applyFill="1" applyBorder="1" applyAlignment="1">
      <alignment horizontal="center" vertical="center"/>
    </xf>
    <xf numFmtId="177" fontId="16" fillId="38" borderId="22" xfId="55" applyNumberFormat="1" applyFont="1" applyFill="1" applyBorder="1" applyAlignment="1">
      <alignment horizontal="center" vertical="center"/>
    </xf>
    <xf numFmtId="0" fontId="16" fillId="39" borderId="16" xfId="55" applyFont="1" applyFill="1" applyBorder="1" applyAlignment="1">
      <alignment horizontal="center" vertical="center"/>
    </xf>
    <xf numFmtId="3" fontId="16" fillId="39" borderId="3" xfId="55" applyNumberFormat="1" applyFont="1" applyFill="1" applyAlignment="1">
      <alignment vertical="center"/>
    </xf>
    <xf numFmtId="3" fontId="16" fillId="39" borderId="16" xfId="55" applyNumberFormat="1" applyFont="1" applyFill="1" applyBorder="1" applyAlignment="1">
      <alignment vertical="center"/>
    </xf>
    <xf numFmtId="0" fontId="16" fillId="39" borderId="3" xfId="55" applyFont="1" applyFill="1" applyAlignment="1">
      <alignment horizontal="center" vertical="center"/>
    </xf>
    <xf numFmtId="3" fontId="16" fillId="39" borderId="6" xfId="55" applyNumberFormat="1" applyFont="1" applyFill="1" applyBorder="1" applyAlignment="1">
      <alignment vertical="center"/>
    </xf>
    <xf numFmtId="0" fontId="16" fillId="40" borderId="1" xfId="0" applyFont="1" applyFill="1" applyBorder="1" applyAlignment="1">
      <alignment horizontal="center" vertical="center"/>
    </xf>
    <xf numFmtId="177" fontId="16" fillId="40" borderId="1" xfId="0" applyNumberFormat="1" applyFont="1" applyFill="1" applyBorder="1" applyAlignment="1">
      <alignment horizontal="center" vertical="center"/>
    </xf>
    <xf numFmtId="178" fontId="16" fillId="41" borderId="3" xfId="0" applyNumberFormat="1" applyFont="1" applyFill="1" applyBorder="1" applyAlignment="1">
      <alignment vertical="center"/>
    </xf>
    <xf numFmtId="178" fontId="16" fillId="41" borderId="23" xfId="0" applyNumberFormat="1" applyFont="1" applyFill="1" applyBorder="1" applyAlignment="1">
      <alignment vertical="center"/>
    </xf>
    <xf numFmtId="0" fontId="16" fillId="38" borderId="5" xfId="55" applyFont="1" applyFill="1" applyBorder="1" applyAlignment="1">
      <alignment horizontal="center" vertical="center"/>
    </xf>
    <xf numFmtId="0" fontId="24" fillId="38" borderId="5" xfId="55" applyFont="1" applyFill="1" applyBorder="1" applyAlignment="1">
      <alignment horizontal="center" vertical="center"/>
    </xf>
    <xf numFmtId="0" fontId="24" fillId="0" borderId="3" xfId="55" applyFont="1" applyAlignment="1">
      <alignment horizontal="center" vertical="center"/>
    </xf>
    <xf numFmtId="0" fontId="14" fillId="4" borderId="16" xfId="55" applyFont="1" applyFill="1" applyBorder="1" applyAlignment="1">
      <alignment vertical="center"/>
    </xf>
    <xf numFmtId="0" fontId="50" fillId="4" borderId="3" xfId="55" applyFont="1" applyFill="1" applyAlignment="1">
      <alignment vertical="center"/>
    </xf>
    <xf numFmtId="0" fontId="28" fillId="4" borderId="0" xfId="0" applyFont="1" applyFill="1" applyAlignment="1">
      <alignment vertical="center"/>
    </xf>
    <xf numFmtId="0" fontId="30" fillId="4" borderId="0" xfId="0" applyFont="1" applyFill="1"/>
    <xf numFmtId="0" fontId="16" fillId="39" borderId="3" xfId="55" applyFont="1" applyFill="1" applyAlignment="1">
      <alignment horizontal="left" vertical="center"/>
    </xf>
    <xf numFmtId="0" fontId="16" fillId="39" borderId="16" xfId="55" applyFont="1" applyFill="1" applyBorder="1" applyAlignment="1">
      <alignment horizontal="left" vertical="center"/>
    </xf>
    <xf numFmtId="165" fontId="18" fillId="4" borderId="3" xfId="55" applyNumberFormat="1" applyFont="1" applyFill="1" applyAlignment="1">
      <alignment horizontal="right" vertical="top"/>
    </xf>
    <xf numFmtId="49" fontId="16" fillId="38" borderId="5" xfId="55" applyNumberFormat="1" applyFont="1" applyFill="1" applyBorder="1" applyAlignment="1">
      <alignment horizontal="center" vertical="center"/>
    </xf>
    <xf numFmtId="167" fontId="16" fillId="38" borderId="5" xfId="55" applyNumberFormat="1" applyFont="1" applyFill="1" applyBorder="1" applyAlignment="1">
      <alignment horizontal="center" vertical="center"/>
    </xf>
    <xf numFmtId="167" fontId="16" fillId="0" borderId="3" xfId="55" applyNumberFormat="1" applyFont="1" applyAlignment="1">
      <alignment horizontal="center" vertical="center" wrapText="1"/>
    </xf>
    <xf numFmtId="49" fontId="16" fillId="0" borderId="3" xfId="55" applyNumberFormat="1" applyFont="1" applyAlignment="1">
      <alignment horizontal="center" vertical="center"/>
    </xf>
    <xf numFmtId="167" fontId="16" fillId="0" borderId="3" xfId="55" applyNumberFormat="1" applyFont="1" applyAlignment="1">
      <alignment horizontal="center" vertical="center"/>
    </xf>
    <xf numFmtId="0" fontId="30" fillId="4" borderId="16" xfId="55" applyFont="1" applyFill="1" applyBorder="1" applyAlignment="1">
      <alignment horizontal="right" vertical="top"/>
    </xf>
    <xf numFmtId="179" fontId="16" fillId="4" borderId="3" xfId="55" applyNumberFormat="1" applyFont="1" applyFill="1" applyAlignment="1">
      <alignment horizontal="left"/>
    </xf>
    <xf numFmtId="167" fontId="17" fillId="4" borderId="3" xfId="55" applyNumberFormat="1" applyFont="1" applyFill="1" applyAlignment="1">
      <alignment vertical="center"/>
    </xf>
    <xf numFmtId="167" fontId="14" fillId="4" borderId="3" xfId="55" applyNumberFormat="1" applyFont="1" applyFill="1" applyAlignment="1">
      <alignment vertical="center"/>
    </xf>
    <xf numFmtId="171" fontId="21" fillId="4" borderId="3" xfId="3" applyNumberFormat="1" applyFont="1" applyFill="1" applyBorder="1" applyAlignment="1">
      <alignment horizontal="center" vertical="center"/>
    </xf>
    <xf numFmtId="2" fontId="16" fillId="4" borderId="3" xfId="55" applyNumberFormat="1" applyFont="1" applyFill="1" applyAlignment="1">
      <alignment horizontal="center" vertical="center"/>
    </xf>
    <xf numFmtId="2" fontId="16" fillId="4" borderId="3" xfId="55" applyNumberFormat="1" applyFont="1" applyFill="1" applyAlignment="1">
      <alignment horizontal="right" vertical="center"/>
    </xf>
    <xf numFmtId="0" fontId="16" fillId="4" borderId="16" xfId="55" applyFont="1" applyFill="1" applyBorder="1" applyAlignment="1">
      <alignment vertical="center"/>
    </xf>
    <xf numFmtId="0" fontId="21" fillId="4" borderId="16" xfId="55" applyFont="1" applyFill="1" applyBorder="1" applyAlignment="1">
      <alignment vertical="center"/>
    </xf>
    <xf numFmtId="0" fontId="21" fillId="4" borderId="3" xfId="55" applyFont="1" applyFill="1" applyAlignment="1">
      <alignment vertical="center"/>
    </xf>
    <xf numFmtId="171" fontId="21" fillId="4" borderId="6" xfId="3" applyNumberFormat="1" applyFont="1" applyFill="1" applyBorder="1" applyAlignment="1">
      <alignment horizontal="center" vertical="center"/>
    </xf>
    <xf numFmtId="172" fontId="14" fillId="4" borderId="3" xfId="55" applyNumberFormat="1" applyFont="1" applyFill="1" applyAlignment="1">
      <alignment vertical="center"/>
    </xf>
    <xf numFmtId="172" fontId="14" fillId="4" borderId="6" xfId="55" applyNumberFormat="1" applyFont="1" applyFill="1" applyBorder="1" applyAlignment="1">
      <alignment vertical="center"/>
    </xf>
    <xf numFmtId="173" fontId="21" fillId="4" borderId="0" xfId="0" applyNumberFormat="1" applyFont="1" applyFill="1" applyAlignment="1">
      <alignment horizontal="right" vertical="center"/>
    </xf>
    <xf numFmtId="173" fontId="21" fillId="4" borderId="3" xfId="0" applyNumberFormat="1" applyFont="1" applyFill="1" applyBorder="1" applyAlignment="1">
      <alignment horizontal="right" vertical="center"/>
    </xf>
    <xf numFmtId="173" fontId="21" fillId="4" borderId="3" xfId="3" applyNumberFormat="1" applyFont="1" applyFill="1" applyBorder="1" applyAlignment="1">
      <alignment horizontal="right" vertical="center"/>
    </xf>
    <xf numFmtId="173" fontId="21" fillId="4" borderId="6" xfId="0" applyNumberFormat="1" applyFont="1" applyFill="1" applyBorder="1" applyAlignment="1">
      <alignment horizontal="right" vertical="center"/>
    </xf>
    <xf numFmtId="2" fontId="21" fillId="4" borderId="3" xfId="55" applyNumberFormat="1" applyFont="1" applyFill="1" applyAlignment="1">
      <alignment vertical="center"/>
    </xf>
    <xf numFmtId="0" fontId="14" fillId="4" borderId="3" xfId="55" applyFont="1" applyFill="1" applyAlignment="1">
      <alignment horizontal="left" vertical="center" indent="1"/>
    </xf>
    <xf numFmtId="0" fontId="21" fillId="4" borderId="3" xfId="2" applyFont="1" applyFill="1" applyAlignment="1">
      <alignment horizontal="left" vertical="center" indent="1"/>
    </xf>
    <xf numFmtId="0" fontId="14" fillId="4" borderId="6" xfId="55" applyFont="1" applyFill="1" applyBorder="1" applyAlignment="1">
      <alignment horizontal="left" vertical="center" indent="1"/>
    </xf>
    <xf numFmtId="172" fontId="21" fillId="4" borderId="3" xfId="55" applyNumberFormat="1" applyFont="1" applyFill="1" applyAlignment="1">
      <alignment vertical="center"/>
    </xf>
    <xf numFmtId="2" fontId="21" fillId="4" borderId="6" xfId="55" applyNumberFormat="1" applyFont="1" applyFill="1" applyBorder="1" applyAlignment="1">
      <alignment vertical="center"/>
    </xf>
    <xf numFmtId="0" fontId="28" fillId="4" borderId="3" xfId="0" applyFont="1" applyFill="1" applyBorder="1" applyAlignment="1">
      <alignment vertical="center"/>
    </xf>
    <xf numFmtId="180" fontId="27" fillId="0" borderId="3" xfId="4" applyNumberFormat="1" applyFont="1"/>
    <xf numFmtId="180" fontId="27" fillId="0" borderId="3" xfId="4" applyNumberFormat="1" applyFont="1" applyAlignment="1">
      <alignment vertical="center"/>
    </xf>
    <xf numFmtId="0" fontId="23" fillId="0" borderId="3" xfId="4" applyFont="1" applyAlignment="1">
      <alignment vertical="center"/>
    </xf>
    <xf numFmtId="0" fontId="16" fillId="38" borderId="5" xfId="55" applyFont="1" applyFill="1" applyBorder="1" applyAlignment="1">
      <alignment horizontal="center" vertical="center" wrapText="1"/>
    </xf>
    <xf numFmtId="2" fontId="16" fillId="38" borderId="5" xfId="55" applyNumberFormat="1" applyFont="1" applyFill="1" applyBorder="1" applyAlignment="1">
      <alignment horizontal="center" vertical="center"/>
    </xf>
    <xf numFmtId="0" fontId="21" fillId="0" borderId="3" xfId="4" applyFont="1" applyAlignment="1">
      <alignment vertical="center"/>
    </xf>
    <xf numFmtId="0" fontId="30" fillId="0" borderId="16" xfId="55" applyFont="1" applyBorder="1"/>
    <xf numFmtId="0" fontId="30" fillId="0" borderId="3" xfId="55" applyFont="1"/>
    <xf numFmtId="0" fontId="30" fillId="0" borderId="16" xfId="55" applyFont="1" applyBorder="1" applyAlignment="1">
      <alignment vertical="center"/>
    </xf>
    <xf numFmtId="0" fontId="27" fillId="0" borderId="3" xfId="4" applyFont="1"/>
    <xf numFmtId="3" fontId="23" fillId="0" borderId="3" xfId="4" applyNumberFormat="1" applyFont="1" applyAlignment="1">
      <alignment vertical="center"/>
    </xf>
    <xf numFmtId="4" fontId="23" fillId="0" borderId="3" xfId="4" applyNumberFormat="1" applyFont="1" applyAlignment="1">
      <alignment vertical="center"/>
    </xf>
    <xf numFmtId="0" fontId="28" fillId="0" borderId="3" xfId="55" applyFont="1" applyAlignment="1">
      <alignment vertical="center"/>
    </xf>
    <xf numFmtId="0" fontId="24" fillId="38" borderId="5" xfId="4" applyFont="1" applyFill="1" applyBorder="1" applyAlignment="1">
      <alignment horizontal="center" vertical="center" wrapText="1"/>
    </xf>
    <xf numFmtId="0" fontId="24" fillId="38" borderId="5" xfId="4" applyFont="1" applyFill="1" applyBorder="1" applyAlignment="1">
      <alignment horizontal="center" vertical="center"/>
    </xf>
    <xf numFmtId="3" fontId="24" fillId="38" borderId="5" xfId="4" applyNumberFormat="1" applyFont="1" applyFill="1" applyBorder="1" applyAlignment="1">
      <alignment horizontal="center" vertical="center" wrapText="1"/>
    </xf>
    <xf numFmtId="0" fontId="28" fillId="0" borderId="16" xfId="55" applyFont="1" applyBorder="1" applyAlignment="1">
      <alignment vertical="center"/>
    </xf>
    <xf numFmtId="0" fontId="30" fillId="0" borderId="3" xfId="55" applyFont="1" applyAlignment="1">
      <alignment vertical="center"/>
    </xf>
    <xf numFmtId="0" fontId="27" fillId="0" borderId="3" xfId="4" applyFont="1" applyAlignment="1">
      <alignment vertical="center"/>
    </xf>
    <xf numFmtId="0" fontId="27" fillId="0" borderId="3" xfId="4" applyFont="1" applyAlignment="1">
      <alignment horizontal="center" vertical="center"/>
    </xf>
    <xf numFmtId="0" fontId="16" fillId="0" borderId="3" xfId="55" applyFont="1" applyAlignment="1">
      <alignment horizontal="right" vertical="center" wrapText="1"/>
    </xf>
    <xf numFmtId="184" fontId="14" fillId="0" borderId="3" xfId="55" applyNumberFormat="1" applyFont="1" applyAlignment="1">
      <alignment horizontal="right"/>
    </xf>
    <xf numFmtId="185" fontId="14" fillId="0" borderId="3" xfId="55" applyNumberFormat="1" applyFont="1" applyAlignment="1">
      <alignment horizontal="right"/>
    </xf>
    <xf numFmtId="185" fontId="14" fillId="0" borderId="3" xfId="55" applyNumberFormat="1" applyFont="1"/>
    <xf numFmtId="3" fontId="14" fillId="0" borderId="3" xfId="55" applyNumberFormat="1" applyFont="1" applyAlignment="1">
      <alignment horizontal="left" vertical="center"/>
    </xf>
    <xf numFmtId="3" fontId="16" fillId="39" borderId="3" xfId="55" applyNumberFormat="1" applyFont="1" applyFill="1" applyAlignment="1">
      <alignment horizontal="left" vertical="center"/>
    </xf>
    <xf numFmtId="185" fontId="14" fillId="2" borderId="3" xfId="55" applyNumberFormat="1" applyFont="1" applyFill="1" applyAlignment="1">
      <alignment horizontal="right"/>
    </xf>
    <xf numFmtId="185" fontId="14" fillId="2" borderId="3" xfId="55" applyNumberFormat="1" applyFont="1" applyFill="1"/>
    <xf numFmtId="3" fontId="14" fillId="0" borderId="6" xfId="55" applyNumberFormat="1" applyFont="1" applyBorder="1" applyAlignment="1">
      <alignment vertical="center"/>
    </xf>
    <xf numFmtId="184" fontId="14" fillId="0" borderId="6" xfId="55" applyNumberFormat="1" applyFont="1" applyBorder="1" applyAlignment="1">
      <alignment horizontal="right"/>
    </xf>
    <xf numFmtId="185" fontId="14" fillId="2" borderId="6" xfId="55" applyNumberFormat="1" applyFont="1" applyFill="1" applyBorder="1" applyAlignment="1">
      <alignment horizontal="right"/>
    </xf>
    <xf numFmtId="185" fontId="14" fillId="0" borderId="6" xfId="55" applyNumberFormat="1" applyFont="1" applyBorder="1"/>
    <xf numFmtId="3" fontId="30" fillId="3" borderId="3" xfId="4" applyNumberFormat="1" applyFont="1" applyFill="1" applyAlignment="1">
      <alignment vertical="center"/>
    </xf>
    <xf numFmtId="168" fontId="30" fillId="0" borderId="3" xfId="1" applyFont="1" applyAlignment="1">
      <alignment horizontal="left" vertical="center"/>
    </xf>
    <xf numFmtId="0" fontId="59" fillId="0" borderId="3" xfId="4" applyFont="1"/>
    <xf numFmtId="0" fontId="60" fillId="0" borderId="3" xfId="4" applyFont="1"/>
    <xf numFmtId="1" fontId="59" fillId="0" borderId="3" xfId="4" applyNumberFormat="1" applyFont="1"/>
    <xf numFmtId="0" fontId="59" fillId="0" borderId="3" xfId="4" applyFont="1" applyAlignment="1">
      <alignment wrapText="1"/>
    </xf>
    <xf numFmtId="0" fontId="60" fillId="0" borderId="3" xfId="4" applyFont="1" applyAlignment="1">
      <alignment wrapText="1"/>
    </xf>
    <xf numFmtId="1" fontId="59" fillId="0" borderId="3" xfId="4" applyNumberFormat="1" applyFont="1" applyAlignment="1">
      <alignment wrapText="1"/>
    </xf>
    <xf numFmtId="1" fontId="27" fillId="0" borderId="3" xfId="4" applyNumberFormat="1" applyFont="1"/>
    <xf numFmtId="167" fontId="16" fillId="38" borderId="5" xfId="55" applyNumberFormat="1" applyFont="1" applyFill="1" applyBorder="1" applyAlignment="1">
      <alignment horizontal="center" vertical="center" wrapText="1"/>
    </xf>
    <xf numFmtId="0" fontId="14" fillId="0" borderId="3" xfId="55" applyFont="1" applyAlignment="1">
      <alignment vertical="center" wrapText="1"/>
    </xf>
    <xf numFmtId="0" fontId="14" fillId="0" borderId="3" xfId="55" applyFont="1" applyAlignment="1">
      <alignment horizontal="center" vertical="center" wrapText="1"/>
    </xf>
    <xf numFmtId="0" fontId="14" fillId="0" borderId="3" xfId="55" applyFont="1" applyAlignment="1">
      <alignment horizontal="left" vertical="center" wrapText="1"/>
    </xf>
    <xf numFmtId="3" fontId="14" fillId="0" borderId="3" xfId="53" applyNumberFormat="1" applyFont="1" applyAlignment="1">
      <alignment horizontal="right" vertical="center" wrapText="1"/>
    </xf>
    <xf numFmtId="4" fontId="14" fillId="0" borderId="3" xfId="55" applyNumberFormat="1" applyFont="1" applyAlignment="1">
      <alignment horizontal="right" vertical="center" wrapText="1"/>
    </xf>
    <xf numFmtId="0" fontId="14" fillId="0" borderId="6" xfId="55" applyFont="1" applyBorder="1" applyAlignment="1">
      <alignment vertical="center" wrapText="1"/>
    </xf>
    <xf numFmtId="0" fontId="14" fillId="0" borderId="6" xfId="55" applyFont="1" applyBorder="1" applyAlignment="1">
      <alignment horizontal="center" vertical="center" wrapText="1"/>
    </xf>
    <xf numFmtId="0" fontId="14" fillId="0" borderId="6" xfId="55" applyFont="1" applyBorder="1" applyAlignment="1">
      <alignment horizontal="left" vertical="center" wrapText="1"/>
    </xf>
    <xf numFmtId="3" fontId="14" fillId="0" borderId="6" xfId="53" applyNumberFormat="1" applyFont="1" applyBorder="1" applyAlignment="1">
      <alignment horizontal="right" vertical="center" wrapText="1"/>
    </xf>
    <xf numFmtId="4" fontId="14" fillId="0" borderId="6" xfId="55" applyNumberFormat="1" applyFont="1" applyBorder="1" applyAlignment="1">
      <alignment horizontal="right" vertical="center" wrapText="1"/>
    </xf>
    <xf numFmtId="3" fontId="14" fillId="0" borderId="3" xfId="53" applyNumberFormat="1" applyFont="1" applyBorder="1" applyAlignment="1">
      <alignment horizontal="right" vertical="center" wrapText="1"/>
    </xf>
    <xf numFmtId="0" fontId="14" fillId="0" borderId="4" xfId="55" applyFont="1" applyBorder="1" applyAlignment="1">
      <alignment vertical="center" wrapText="1"/>
    </xf>
    <xf numFmtId="0" fontId="14" fillId="0" borderId="4" xfId="55" applyFont="1" applyBorder="1" applyAlignment="1">
      <alignment horizontal="center" vertical="center" wrapText="1"/>
    </xf>
    <xf numFmtId="0" fontId="14" fillId="0" borderId="4" xfId="55" applyFont="1" applyBorder="1" applyAlignment="1">
      <alignment horizontal="left" vertical="center" wrapText="1"/>
    </xf>
    <xf numFmtId="3" fontId="14" fillId="0" borderId="4" xfId="53" applyNumberFormat="1" applyFont="1" applyBorder="1" applyAlignment="1">
      <alignment horizontal="right" vertical="center" wrapText="1"/>
    </xf>
    <xf numFmtId="4" fontId="14" fillId="0" borderId="16" xfId="55" applyNumberFormat="1" applyFont="1" applyBorder="1" applyAlignment="1">
      <alignment horizontal="right" vertical="center" wrapText="1"/>
    </xf>
    <xf numFmtId="0" fontId="14" fillId="0" borderId="16" xfId="55" applyFont="1" applyBorder="1" applyAlignment="1">
      <alignment vertical="center" wrapText="1"/>
    </xf>
    <xf numFmtId="0" fontId="14" fillId="0" borderId="16" xfId="55" applyFont="1" applyBorder="1" applyAlignment="1">
      <alignment horizontal="center" vertical="center" wrapText="1"/>
    </xf>
    <xf numFmtId="0" fontId="14" fillId="0" borderId="16" xfId="55" applyFont="1" applyBorder="1" applyAlignment="1">
      <alignment horizontal="left" vertical="center" wrapText="1"/>
    </xf>
    <xf numFmtId="3" fontId="14" fillId="0" borderId="16" xfId="53" applyNumberFormat="1" applyFont="1" applyBorder="1" applyAlignment="1">
      <alignment horizontal="right" vertical="center" wrapText="1"/>
    </xf>
    <xf numFmtId="4" fontId="14" fillId="0" borderId="4" xfId="55" applyNumberFormat="1" applyFont="1" applyBorder="1" applyAlignment="1">
      <alignment horizontal="right" vertical="center" wrapText="1"/>
    </xf>
    <xf numFmtId="0" fontId="16" fillId="4" borderId="16" xfId="55" applyFont="1" applyFill="1" applyBorder="1" applyAlignment="1">
      <alignment horizontal="center" vertical="center" wrapText="1"/>
    </xf>
    <xf numFmtId="0" fontId="14" fillId="2" borderId="16" xfId="55" applyFont="1" applyFill="1" applyBorder="1" applyAlignment="1">
      <alignment vertical="center"/>
    </xf>
    <xf numFmtId="0" fontId="14" fillId="2" borderId="16" xfId="55" applyFont="1" applyFill="1" applyBorder="1" applyAlignment="1">
      <alignment horizontal="left" vertical="center"/>
    </xf>
    <xf numFmtId="182" fontId="14" fillId="2" borderId="16" xfId="55" applyNumberFormat="1" applyFont="1" applyFill="1" applyBorder="1" applyAlignment="1">
      <alignment vertical="center"/>
    </xf>
    <xf numFmtId="183" fontId="20" fillId="2" borderId="16" xfId="55" applyNumberFormat="1" applyFont="1" applyFill="1" applyBorder="1" applyAlignment="1">
      <alignment horizontal="right" vertical="top"/>
    </xf>
    <xf numFmtId="0" fontId="19" fillId="4" borderId="6" xfId="55" applyFont="1" applyFill="1" applyBorder="1" applyAlignment="1">
      <alignment horizontal="left"/>
    </xf>
    <xf numFmtId="0" fontId="28" fillId="0" borderId="6" xfId="55" applyFont="1" applyBorder="1"/>
    <xf numFmtId="43" fontId="14" fillId="0" borderId="6" xfId="53" applyFont="1" applyBorder="1" applyAlignment="1">
      <alignment wrapText="1"/>
    </xf>
    <xf numFmtId="0" fontId="17" fillId="2" borderId="3" xfId="55" applyFont="1" applyFill="1"/>
    <xf numFmtId="0" fontId="15" fillId="2" borderId="3" xfId="55" applyFont="1" applyFill="1" applyAlignment="1">
      <alignment horizontal="center"/>
    </xf>
    <xf numFmtId="0" fontId="13" fillId="2" borderId="3" xfId="55" applyFont="1" applyFill="1"/>
    <xf numFmtId="0" fontId="17" fillId="2" borderId="3" xfId="55" applyFont="1" applyFill="1" applyAlignment="1">
      <alignment vertical="center"/>
    </xf>
    <xf numFmtId="0" fontId="13" fillId="2" borderId="3" xfId="55" applyFont="1" applyFill="1" applyAlignment="1">
      <alignment horizontal="center"/>
    </xf>
    <xf numFmtId="0" fontId="16" fillId="40" borderId="1" xfId="55" applyFont="1" applyFill="1" applyBorder="1" applyAlignment="1">
      <alignment horizontal="center" vertical="center"/>
    </xf>
    <xf numFmtId="169" fontId="16" fillId="0" borderId="3" xfId="55" applyNumberFormat="1" applyFont="1" applyAlignment="1">
      <alignment horizontal="right" vertical="center"/>
    </xf>
    <xf numFmtId="0" fontId="16" fillId="0" borderId="3" xfId="55" applyFont="1" applyAlignment="1">
      <alignment horizontal="right" vertical="center"/>
    </xf>
    <xf numFmtId="169" fontId="24" fillId="3" borderId="3" xfId="55" applyNumberFormat="1" applyFont="1" applyFill="1" applyAlignment="1">
      <alignment vertical="center"/>
    </xf>
    <xf numFmtId="171" fontId="24" fillId="3" borderId="3" xfId="3" applyNumberFormat="1" applyFont="1" applyFill="1" applyBorder="1" applyAlignment="1">
      <alignment horizontal="right" vertical="center"/>
    </xf>
    <xf numFmtId="171" fontId="24" fillId="4" borderId="3" xfId="3" applyNumberFormat="1" applyFont="1" applyFill="1" applyBorder="1" applyAlignment="1">
      <alignment horizontal="right" vertical="center"/>
    </xf>
    <xf numFmtId="0" fontId="21" fillId="3" borderId="3" xfId="55" applyFont="1" applyFill="1" applyAlignment="1">
      <alignment horizontal="left" vertical="center" indent="1"/>
    </xf>
    <xf numFmtId="186" fontId="21" fillId="3" borderId="3" xfId="55" applyNumberFormat="1" applyFont="1" applyFill="1" applyAlignment="1">
      <alignment horizontal="center" vertical="center"/>
    </xf>
    <xf numFmtId="169" fontId="21" fillId="3" borderId="3" xfId="55" applyNumberFormat="1" applyFont="1" applyFill="1" applyAlignment="1">
      <alignment vertical="center"/>
    </xf>
    <xf numFmtId="187" fontId="21" fillId="3" borderId="3" xfId="3" applyNumberFormat="1" applyFont="1" applyFill="1" applyBorder="1" applyAlignment="1">
      <alignment horizontal="right" vertical="center"/>
    </xf>
    <xf numFmtId="187" fontId="14" fillId="3" borderId="3" xfId="55" applyNumberFormat="1" applyFont="1" applyFill="1" applyAlignment="1">
      <alignment horizontal="right" vertical="center"/>
    </xf>
    <xf numFmtId="171" fontId="14" fillId="4" borderId="3" xfId="3" applyNumberFormat="1" applyFont="1" applyFill="1" applyBorder="1" applyAlignment="1">
      <alignment horizontal="right" vertical="center"/>
    </xf>
    <xf numFmtId="187" fontId="24" fillId="3" borderId="3" xfId="3" applyNumberFormat="1" applyFont="1" applyFill="1" applyBorder="1" applyAlignment="1">
      <alignment horizontal="right" vertical="center"/>
    </xf>
    <xf numFmtId="171" fontId="16" fillId="4" borderId="3" xfId="3" applyNumberFormat="1" applyFont="1" applyFill="1" applyBorder="1" applyAlignment="1">
      <alignment horizontal="right" vertical="center"/>
    </xf>
    <xf numFmtId="0" fontId="14" fillId="3" borderId="3" xfId="55" applyFont="1" applyFill="1" applyAlignment="1">
      <alignment horizontal="left" vertical="center" indent="1"/>
    </xf>
    <xf numFmtId="167" fontId="14" fillId="44" borderId="3" xfId="55" applyNumberFormat="1" applyFont="1" applyFill="1"/>
    <xf numFmtId="0" fontId="27" fillId="2" borderId="3" xfId="55" applyFont="1" applyFill="1"/>
    <xf numFmtId="0" fontId="15" fillId="2" borderId="3" xfId="55" applyFont="1" applyFill="1"/>
    <xf numFmtId="0" fontId="13" fillId="2" borderId="3" xfId="55" applyFont="1" applyFill="1" applyAlignment="1">
      <alignment horizontal="center" vertical="center"/>
    </xf>
    <xf numFmtId="0" fontId="27" fillId="2" borderId="3" xfId="55" applyFont="1" applyFill="1" applyAlignment="1">
      <alignment vertical="center"/>
    </xf>
    <xf numFmtId="169" fontId="16" fillId="3" borderId="3" xfId="55" applyNumberFormat="1" applyFont="1" applyFill="1" applyAlignment="1">
      <alignment horizontal="center" vertical="center" wrapText="1"/>
    </xf>
    <xf numFmtId="169" fontId="14" fillId="3" borderId="3" xfId="55" applyNumberFormat="1" applyFont="1" applyFill="1" applyAlignment="1">
      <alignment horizontal="center" vertical="center"/>
    </xf>
    <xf numFmtId="169" fontId="16" fillId="3" borderId="3" xfId="55" applyNumberFormat="1" applyFont="1" applyFill="1" applyAlignment="1">
      <alignment horizontal="center" vertical="center"/>
    </xf>
    <xf numFmtId="186" fontId="14" fillId="3" borderId="3" xfId="55" applyNumberFormat="1" applyFont="1" applyFill="1" applyAlignment="1">
      <alignment horizontal="center" vertical="center"/>
    </xf>
    <xf numFmtId="187" fontId="16" fillId="3" borderId="3" xfId="3" applyNumberFormat="1" applyFont="1" applyFill="1" applyBorder="1" applyAlignment="1">
      <alignment horizontal="right" vertical="center"/>
    </xf>
    <xf numFmtId="4" fontId="16" fillId="3" borderId="3" xfId="55" applyNumberFormat="1" applyFont="1" applyFill="1" applyAlignment="1">
      <alignment horizontal="center" vertical="center"/>
    </xf>
    <xf numFmtId="187" fontId="14" fillId="3" borderId="3" xfId="3" applyNumberFormat="1" applyFont="1" applyFill="1" applyBorder="1" applyAlignment="1">
      <alignment horizontal="right" vertical="center"/>
    </xf>
    <xf numFmtId="4" fontId="14" fillId="3" borderId="3" xfId="55" applyNumberFormat="1" applyFont="1" applyFill="1" applyAlignment="1">
      <alignment horizontal="center" vertical="center"/>
    </xf>
    <xf numFmtId="49" fontId="14" fillId="0" borderId="16" xfId="55" applyNumberFormat="1" applyFont="1" applyBorder="1" applyAlignment="1">
      <alignment horizontal="center" vertical="center"/>
    </xf>
    <xf numFmtId="170" fontId="14" fillId="0" borderId="16" xfId="55" applyNumberFormat="1" applyFont="1" applyBorder="1" applyAlignment="1">
      <alignment horizontal="right" vertical="center"/>
    </xf>
    <xf numFmtId="165" fontId="18" fillId="0" borderId="16" xfId="55" applyNumberFormat="1" applyFont="1" applyBorder="1" applyAlignment="1">
      <alignment horizontal="right" vertical="top"/>
    </xf>
    <xf numFmtId="170" fontId="14" fillId="0" borderId="3" xfId="55" applyNumberFormat="1" applyFont="1" applyAlignment="1">
      <alignment horizontal="right" vertical="center"/>
    </xf>
    <xf numFmtId="171" fontId="14" fillId="0" borderId="3" xfId="55" applyNumberFormat="1" applyFont="1"/>
    <xf numFmtId="187" fontId="21" fillId="3" borderId="3" xfId="55" applyNumberFormat="1" applyFont="1" applyFill="1" applyAlignment="1">
      <alignment horizontal="right" vertical="center"/>
    </xf>
    <xf numFmtId="186" fontId="14" fillId="4" borderId="3" xfId="55" applyNumberFormat="1" applyFont="1" applyFill="1" applyAlignment="1">
      <alignment horizontal="center" vertical="center"/>
    </xf>
    <xf numFmtId="186" fontId="16" fillId="4" borderId="3" xfId="55" applyNumberFormat="1" applyFont="1" applyFill="1" applyAlignment="1">
      <alignment horizontal="center" vertical="center"/>
    </xf>
    <xf numFmtId="187" fontId="16" fillId="3" borderId="3" xfId="3" applyNumberFormat="1" applyFont="1" applyFill="1" applyBorder="1" applyAlignment="1">
      <alignment horizontal="right"/>
    </xf>
    <xf numFmtId="173" fontId="14" fillId="3" borderId="3" xfId="55" applyNumberFormat="1" applyFont="1" applyFill="1" applyAlignment="1">
      <alignment horizontal="right" vertical="center"/>
    </xf>
    <xf numFmtId="0" fontId="28" fillId="0" borderId="3" xfId="55" applyFont="1" applyAlignment="1">
      <alignment horizontal="center"/>
    </xf>
    <xf numFmtId="0" fontId="17" fillId="2" borderId="3" xfId="55" applyFont="1" applyFill="1" applyAlignment="1">
      <alignment vertical="top"/>
    </xf>
    <xf numFmtId="187" fontId="16" fillId="2" borderId="3" xfId="55" applyNumberFormat="1" applyFont="1" applyFill="1" applyAlignment="1">
      <alignment horizontal="right"/>
    </xf>
    <xf numFmtId="169" fontId="24" fillId="3" borderId="3" xfId="55" applyNumberFormat="1" applyFont="1" applyFill="1" applyAlignment="1">
      <alignment horizontal="right" vertical="center"/>
    </xf>
    <xf numFmtId="171" fontId="21" fillId="4" borderId="3" xfId="55" applyNumberFormat="1" applyFont="1" applyFill="1" applyAlignment="1">
      <alignment horizontal="right" vertical="center"/>
    </xf>
    <xf numFmtId="171" fontId="14" fillId="0" borderId="3" xfId="55" applyNumberFormat="1" applyFont="1" applyAlignment="1">
      <alignment horizontal="center"/>
    </xf>
    <xf numFmtId="167" fontId="24" fillId="43" borderId="3" xfId="55" applyNumberFormat="1" applyFont="1" applyFill="1" applyAlignment="1">
      <alignment vertical="center"/>
    </xf>
    <xf numFmtId="167" fontId="21" fillId="3" borderId="3" xfId="55" applyNumberFormat="1" applyFont="1" applyFill="1" applyAlignment="1">
      <alignment horizontal="left" vertical="center" indent="1"/>
    </xf>
    <xf numFmtId="188" fontId="21" fillId="3" borderId="3" xfId="55" applyNumberFormat="1" applyFont="1" applyFill="1" applyAlignment="1">
      <alignment horizontal="right" vertical="center"/>
    </xf>
    <xf numFmtId="0" fontId="15" fillId="2" borderId="3" xfId="55" applyFont="1" applyFill="1" applyAlignment="1">
      <alignment horizontal="center" vertical="center"/>
    </xf>
    <xf numFmtId="0" fontId="27" fillId="0" borderId="3" xfId="55" applyFont="1" applyAlignment="1">
      <alignment vertical="center"/>
    </xf>
    <xf numFmtId="0" fontId="27" fillId="0" borderId="3" xfId="55" applyFont="1" applyAlignment="1">
      <alignment vertical="top"/>
    </xf>
    <xf numFmtId="172" fontId="16" fillId="3" borderId="3" xfId="55" applyNumberFormat="1" applyFont="1" applyFill="1" applyAlignment="1">
      <alignment horizontal="right" vertical="center"/>
    </xf>
    <xf numFmtId="186" fontId="16" fillId="3" borderId="3" xfId="55" applyNumberFormat="1" applyFont="1" applyFill="1" applyAlignment="1">
      <alignment horizontal="center" vertical="center"/>
    </xf>
    <xf numFmtId="172" fontId="14" fillId="3" borderId="3" xfId="55" applyNumberFormat="1" applyFont="1" applyFill="1" applyAlignment="1">
      <alignment horizontal="right" vertical="center"/>
    </xf>
    <xf numFmtId="172" fontId="14" fillId="4" borderId="3" xfId="55" applyNumberFormat="1" applyFont="1" applyFill="1" applyAlignment="1">
      <alignment horizontal="right" vertical="center"/>
    </xf>
    <xf numFmtId="167" fontId="16" fillId="42" borderId="3" xfId="4" applyNumberFormat="1" applyFont="1" applyFill="1" applyAlignment="1">
      <alignment vertical="center"/>
    </xf>
    <xf numFmtId="186" fontId="21" fillId="4" borderId="3" xfId="55" applyNumberFormat="1" applyFont="1" applyFill="1" applyAlignment="1">
      <alignment horizontal="center" vertical="center"/>
    </xf>
    <xf numFmtId="167" fontId="16" fillId="43" borderId="3" xfId="4" applyNumberFormat="1" applyFont="1" applyFill="1" applyAlignment="1">
      <alignment vertical="center"/>
    </xf>
    <xf numFmtId="171" fontId="14" fillId="3" borderId="3" xfId="55" applyNumberFormat="1" applyFont="1" applyFill="1" applyAlignment="1">
      <alignment horizontal="right" vertical="center"/>
    </xf>
    <xf numFmtId="0" fontId="17" fillId="44" borderId="3" xfId="55" applyFont="1" applyFill="1"/>
    <xf numFmtId="0" fontId="13" fillId="0" borderId="3" xfId="55" applyFont="1"/>
    <xf numFmtId="0" fontId="17" fillId="0" borderId="3" xfId="55" applyFont="1" applyAlignment="1">
      <alignment vertical="top"/>
    </xf>
    <xf numFmtId="0" fontId="17" fillId="0" borderId="3" xfId="55" applyFont="1" applyAlignment="1">
      <alignment horizontal="center" vertical="center"/>
    </xf>
    <xf numFmtId="1" fontId="15" fillId="0" borderId="3" xfId="55" applyNumberFormat="1" applyFont="1" applyAlignment="1">
      <alignment horizontal="center" vertical="center"/>
    </xf>
    <xf numFmtId="166" fontId="15" fillId="0" borderId="3" xfId="55" applyNumberFormat="1" applyFont="1" applyAlignment="1">
      <alignment horizontal="center" vertical="center"/>
    </xf>
    <xf numFmtId="1" fontId="17" fillId="0" borderId="3" xfId="55" applyNumberFormat="1" applyFont="1" applyAlignment="1">
      <alignment horizontal="center" vertical="center"/>
    </xf>
    <xf numFmtId="3" fontId="15" fillId="0" borderId="3" xfId="55" applyNumberFormat="1" applyFont="1" applyAlignment="1">
      <alignment horizontal="center" vertical="center"/>
    </xf>
    <xf numFmtId="37" fontId="21" fillId="3" borderId="3" xfId="58" applyFont="1" applyFill="1" applyAlignment="1">
      <alignment vertical="center"/>
    </xf>
    <xf numFmtId="187" fontId="14" fillId="3" borderId="3" xfId="3" applyNumberFormat="1" applyFont="1" applyFill="1" applyBorder="1" applyAlignment="1">
      <alignment horizontal="right"/>
    </xf>
    <xf numFmtId="0" fontId="21" fillId="0" borderId="3" xfId="55" applyFont="1" applyAlignment="1">
      <alignment vertical="center" wrapText="1"/>
    </xf>
    <xf numFmtId="0" fontId="16" fillId="45" borderId="1" xfId="0" applyFont="1" applyFill="1" applyBorder="1" applyAlignment="1">
      <alignment horizontal="center" vertical="center"/>
    </xf>
    <xf numFmtId="0" fontId="16" fillId="45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44" borderId="0" xfId="0" applyFont="1" applyFill="1"/>
    <xf numFmtId="176" fontId="16" fillId="44" borderId="0" xfId="0" applyNumberFormat="1" applyFont="1" applyFill="1" applyAlignment="1">
      <alignment horizontal="center" vertical="center"/>
    </xf>
    <xf numFmtId="0" fontId="14" fillId="44" borderId="0" xfId="0" applyFont="1" applyFill="1"/>
    <xf numFmtId="176" fontId="14" fillId="44" borderId="0" xfId="0" applyNumberFormat="1" applyFont="1" applyFill="1" applyAlignment="1">
      <alignment horizontal="center" vertical="center"/>
    </xf>
    <xf numFmtId="176" fontId="14" fillId="44" borderId="3" xfId="0" applyNumberFormat="1" applyFont="1" applyFill="1" applyBorder="1" applyAlignment="1">
      <alignment horizontal="center" vertical="center"/>
    </xf>
    <xf numFmtId="0" fontId="14" fillId="44" borderId="0" xfId="0" applyFont="1" applyFill="1" applyAlignment="1">
      <alignment horizontal="left" vertical="center"/>
    </xf>
    <xf numFmtId="0" fontId="16" fillId="44" borderId="0" xfId="0" applyFont="1" applyFill="1" applyAlignment="1">
      <alignment horizontal="left" vertical="center"/>
    </xf>
    <xf numFmtId="49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165" fontId="18" fillId="0" borderId="2" xfId="0" applyNumberFormat="1" applyFont="1" applyBorder="1" applyAlignment="1">
      <alignment horizontal="right" vertical="top"/>
    </xf>
    <xf numFmtId="0" fontId="16" fillId="0" borderId="0" xfId="0" applyFont="1"/>
    <xf numFmtId="0" fontId="14" fillId="0" borderId="0" xfId="0" applyFont="1" applyAlignment="1">
      <alignment horizontal="left" vertical="center"/>
    </xf>
    <xf numFmtId="176" fontId="14" fillId="0" borderId="0" xfId="0" applyNumberFormat="1" applyFont="1" applyAlignment="1">
      <alignment horizontal="center" vertical="center"/>
    </xf>
    <xf numFmtId="171" fontId="16" fillId="44" borderId="0" xfId="0" applyNumberFormat="1" applyFont="1" applyFill="1" applyAlignment="1">
      <alignment horizontal="center" vertical="center"/>
    </xf>
    <xf numFmtId="0" fontId="14" fillId="44" borderId="23" xfId="0" applyFont="1" applyFill="1" applyBorder="1" applyAlignment="1">
      <alignment horizontal="left" vertical="center"/>
    </xf>
    <xf numFmtId="176" fontId="14" fillId="44" borderId="23" xfId="0" applyNumberFormat="1" applyFont="1" applyFill="1" applyBorder="1" applyAlignment="1">
      <alignment horizontal="center" vertical="center"/>
    </xf>
    <xf numFmtId="4" fontId="16" fillId="44" borderId="0" xfId="0" applyNumberFormat="1" applyFont="1" applyFill="1" applyAlignment="1">
      <alignment horizontal="center" vertical="center"/>
    </xf>
    <xf numFmtId="4" fontId="14" fillId="44" borderId="0" xfId="0" applyNumberFormat="1" applyFont="1" applyFill="1" applyAlignment="1">
      <alignment horizontal="center" vertical="center"/>
    </xf>
    <xf numFmtId="4" fontId="16" fillId="44" borderId="3" xfId="0" applyNumberFormat="1" applyFont="1" applyFill="1" applyBorder="1" applyAlignment="1">
      <alignment horizontal="center" vertical="center"/>
    </xf>
    <xf numFmtId="4" fontId="14" fillId="44" borderId="3" xfId="0" applyNumberFormat="1" applyFont="1" applyFill="1" applyBorder="1" applyAlignment="1">
      <alignment horizontal="center" vertical="center"/>
    </xf>
    <xf numFmtId="0" fontId="14" fillId="44" borderId="0" xfId="0" applyFont="1" applyFill="1" applyAlignment="1">
      <alignment vertical="center"/>
    </xf>
    <xf numFmtId="0" fontId="16" fillId="44" borderId="0" xfId="0" applyFont="1" applyFill="1" applyAlignment="1">
      <alignment vertical="center"/>
    </xf>
    <xf numFmtId="0" fontId="14" fillId="44" borderId="0" xfId="0" applyFont="1" applyFill="1" applyAlignment="1">
      <alignment horizontal="left"/>
    </xf>
    <xf numFmtId="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50" fillId="44" borderId="0" xfId="0" applyFont="1" applyFill="1" applyAlignment="1">
      <alignment vertical="center"/>
    </xf>
    <xf numFmtId="4" fontId="50" fillId="44" borderId="0" xfId="0" applyNumberFormat="1" applyFont="1" applyFill="1" applyAlignment="1">
      <alignment horizontal="center" vertical="center"/>
    </xf>
    <xf numFmtId="0" fontId="16" fillId="45" borderId="30" xfId="0" applyFont="1" applyFill="1" applyBorder="1" applyAlignment="1">
      <alignment horizontal="center" vertical="center" wrapText="1"/>
    </xf>
    <xf numFmtId="0" fontId="16" fillId="45" borderId="31" xfId="0" applyFont="1" applyFill="1" applyBorder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16" fillId="44" borderId="0" xfId="0" applyFont="1" applyFill="1" applyAlignment="1">
      <alignment horizontal="left"/>
    </xf>
    <xf numFmtId="0" fontId="14" fillId="44" borderId="23" xfId="0" applyFont="1" applyFill="1" applyBorder="1" applyAlignment="1">
      <alignment vertical="center"/>
    </xf>
    <xf numFmtId="4" fontId="14" fillId="44" borderId="23" xfId="0" applyNumberFormat="1" applyFont="1" applyFill="1" applyBorder="1" applyAlignment="1">
      <alignment horizontal="center" vertical="center"/>
    </xf>
    <xf numFmtId="0" fontId="16" fillId="45" borderId="29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4" fillId="0" borderId="2" xfId="0" applyFont="1" applyBorder="1" applyAlignment="1">
      <alignment horizontal="left"/>
    </xf>
    <xf numFmtId="4" fontId="14" fillId="0" borderId="2" xfId="0" applyNumberFormat="1" applyFont="1" applyBorder="1" applyAlignment="1">
      <alignment horizontal="center" vertical="center"/>
    </xf>
    <xf numFmtId="4" fontId="18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left"/>
    </xf>
    <xf numFmtId="0" fontId="13" fillId="0" borderId="0" xfId="0" applyFont="1"/>
    <xf numFmtId="171" fontId="14" fillId="0" borderId="0" xfId="0" applyNumberFormat="1" applyFont="1" applyAlignment="1">
      <alignment horizontal="center"/>
    </xf>
    <xf numFmtId="169" fontId="14" fillId="0" borderId="0" xfId="0" applyNumberFormat="1" applyFont="1" applyAlignment="1">
      <alignment horizontal="right"/>
    </xf>
    <xf numFmtId="0" fontId="13" fillId="44" borderId="0" xfId="0" applyFont="1" applyFill="1"/>
    <xf numFmtId="190" fontId="14" fillId="0" borderId="0" xfId="0" applyNumberFormat="1" applyFont="1" applyAlignment="1">
      <alignment horizontal="center" vertical="center"/>
    </xf>
    <xf numFmtId="190" fontId="14" fillId="0" borderId="2" xfId="0" applyNumberFormat="1" applyFont="1" applyBorder="1" applyAlignment="1">
      <alignment horizontal="center"/>
    </xf>
    <xf numFmtId="165" fontId="18" fillId="0" borderId="2" xfId="0" applyNumberFormat="1" applyFont="1" applyBorder="1" applyAlignment="1">
      <alignment horizontal="right" vertical="center"/>
    </xf>
    <xf numFmtId="169" fontId="14" fillId="0" borderId="0" xfId="0" applyNumberFormat="1" applyFont="1" applyAlignment="1">
      <alignment horizontal="center" vertical="center"/>
    </xf>
    <xf numFmtId="0" fontId="19" fillId="44" borderId="0" xfId="0" applyFont="1" applyFill="1" applyAlignment="1">
      <alignment horizontal="left" vertical="center"/>
    </xf>
    <xf numFmtId="4" fontId="19" fillId="44" borderId="0" xfId="0" applyNumberFormat="1" applyFont="1" applyFill="1" applyAlignment="1">
      <alignment horizontal="center" vertical="center"/>
    </xf>
    <xf numFmtId="0" fontId="50" fillId="44" borderId="0" xfId="0" applyFont="1" applyFill="1" applyAlignment="1">
      <alignment horizontal="left" vertical="center"/>
    </xf>
    <xf numFmtId="0" fontId="21" fillId="0" borderId="26" xfId="60" applyFont="1" applyBorder="1" applyAlignment="1">
      <alignment vertical="center"/>
    </xf>
    <xf numFmtId="169" fontId="21" fillId="3" borderId="3" xfId="55" applyNumberFormat="1" applyFont="1" applyFill="1" applyAlignment="1">
      <alignment horizontal="right" vertical="center"/>
    </xf>
    <xf numFmtId="0" fontId="28" fillId="0" borderId="16" xfId="55" applyFont="1" applyBorder="1" applyAlignment="1">
      <alignment horizontal="center"/>
    </xf>
    <xf numFmtId="4" fontId="50" fillId="2" borderId="3" xfId="0" applyNumberFormat="1" applyFont="1" applyFill="1" applyBorder="1" applyAlignment="1">
      <alignment horizontal="center"/>
    </xf>
    <xf numFmtId="4" fontId="14" fillId="0" borderId="0" xfId="0" applyNumberFormat="1" applyFont="1" applyAlignment="1">
      <alignment horizontal="center"/>
    </xf>
    <xf numFmtId="0" fontId="18" fillId="0" borderId="0" xfId="0" applyFont="1" applyAlignment="1">
      <alignment vertical="center"/>
    </xf>
    <xf numFmtId="0" fontId="18" fillId="0" borderId="0" xfId="0" applyFont="1"/>
    <xf numFmtId="4" fontId="28" fillId="0" borderId="0" xfId="0" applyNumberFormat="1" applyFont="1" applyAlignment="1">
      <alignment horizontal="center"/>
    </xf>
    <xf numFmtId="2" fontId="14" fillId="0" borderId="2" xfId="0" applyNumberFormat="1" applyFont="1" applyBorder="1" applyAlignment="1">
      <alignment horizontal="center" vertical="center"/>
    </xf>
    <xf numFmtId="166" fontId="14" fillId="0" borderId="2" xfId="0" applyNumberFormat="1" applyFont="1" applyBorder="1" applyAlignment="1">
      <alignment horizontal="center"/>
    </xf>
    <xf numFmtId="2" fontId="14" fillId="0" borderId="2" xfId="0" applyNumberFormat="1" applyFont="1" applyBorder="1" applyAlignment="1">
      <alignment horizontal="center"/>
    </xf>
    <xf numFmtId="1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90" fontId="1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vertical="center"/>
    </xf>
    <xf numFmtId="0" fontId="17" fillId="0" borderId="3" xfId="65" applyFont="1" applyAlignment="1">
      <alignment vertical="center"/>
    </xf>
    <xf numFmtId="0" fontId="20" fillId="0" borderId="2" xfId="0" applyFont="1" applyBorder="1" applyAlignment="1">
      <alignment horizontal="center"/>
    </xf>
    <xf numFmtId="169" fontId="14" fillId="0" borderId="2" xfId="0" applyNumberFormat="1" applyFont="1" applyBorder="1" applyAlignment="1">
      <alignment horizontal="center" vertical="center"/>
    </xf>
    <xf numFmtId="168" fontId="20" fillId="0" borderId="0" xfId="0" applyNumberFormat="1" applyFont="1" applyAlignment="1">
      <alignment horizontal="center" vertical="center"/>
    </xf>
    <xf numFmtId="0" fontId="14" fillId="0" borderId="0" xfId="0" applyFont="1"/>
    <xf numFmtId="0" fontId="14" fillId="4" borderId="6" xfId="55" applyFont="1" applyFill="1" applyBorder="1" applyAlignment="1">
      <alignment vertical="center"/>
    </xf>
    <xf numFmtId="0" fontId="30" fillId="0" borderId="3" xfId="63" applyFont="1" applyAlignment="1">
      <alignment vertical="center"/>
    </xf>
    <xf numFmtId="0" fontId="30" fillId="0" borderId="3" xfId="63" applyFont="1"/>
    <xf numFmtId="0" fontId="14" fillId="0" borderId="6" xfId="55" applyFont="1" applyBorder="1" applyAlignment="1">
      <alignment horizontal="left" vertical="center"/>
    </xf>
    <xf numFmtId="0" fontId="30" fillId="0" borderId="3" xfId="4" applyFont="1"/>
    <xf numFmtId="3" fontId="30" fillId="3" borderId="3" xfId="4" applyNumberFormat="1" applyFont="1" applyFill="1" applyAlignment="1">
      <alignment horizontal="right" vertical="center"/>
    </xf>
    <xf numFmtId="0" fontId="27" fillId="0" borderId="3" xfId="4" applyFont="1" applyAlignment="1">
      <alignment vertical="center" wrapText="1"/>
    </xf>
    <xf numFmtId="171" fontId="21" fillId="3" borderId="3" xfId="3" applyNumberFormat="1" applyFont="1" applyFill="1" applyBorder="1" applyAlignment="1">
      <alignment horizontal="right" vertical="center"/>
    </xf>
    <xf numFmtId="186" fontId="24" fillId="4" borderId="3" xfId="55" applyNumberFormat="1" applyFont="1" applyFill="1" applyAlignment="1">
      <alignment horizontal="center" vertical="center"/>
    </xf>
    <xf numFmtId="0" fontId="62" fillId="0" borderId="0" xfId="0" applyFont="1" applyAlignment="1">
      <alignment vertical="center"/>
    </xf>
    <xf numFmtId="0" fontId="16" fillId="45" borderId="33" xfId="0" applyFont="1" applyFill="1" applyBorder="1" applyAlignment="1">
      <alignment horizontal="center" vertical="center" wrapText="1"/>
    </xf>
    <xf numFmtId="2" fontId="51" fillId="4" borderId="3" xfId="55" applyNumberFormat="1" applyFont="1" applyFill="1" applyAlignment="1">
      <alignment horizontal="right" vertical="center"/>
    </xf>
    <xf numFmtId="2" fontId="51" fillId="4" borderId="6" xfId="55" applyNumberFormat="1" applyFont="1" applyFill="1" applyBorder="1" applyAlignment="1">
      <alignment horizontal="right" vertical="center"/>
    </xf>
    <xf numFmtId="0" fontId="24" fillId="39" borderId="16" xfId="55" applyFont="1" applyFill="1" applyBorder="1" applyAlignment="1">
      <alignment horizontal="left" vertical="center"/>
    </xf>
    <xf numFmtId="0" fontId="21" fillId="0" borderId="3" xfId="55" applyFont="1" applyAlignment="1">
      <alignment horizontal="left" vertical="center"/>
    </xf>
    <xf numFmtId="2" fontId="21" fillId="4" borderId="3" xfId="55" applyNumberFormat="1" applyFont="1" applyFill="1" applyAlignment="1">
      <alignment horizontal="right" vertical="center"/>
    </xf>
    <xf numFmtId="0" fontId="21" fillId="4" borderId="3" xfId="55" applyFont="1" applyFill="1" applyAlignment="1">
      <alignment horizontal="left" vertical="center"/>
    </xf>
    <xf numFmtId="0" fontId="21" fillId="4" borderId="6" xfId="55" applyFont="1" applyFill="1" applyBorder="1" applyAlignment="1">
      <alignment horizontal="left" vertical="center"/>
    </xf>
    <xf numFmtId="2" fontId="21" fillId="4" borderId="6" xfId="55" applyNumberFormat="1" applyFont="1" applyFill="1" applyBorder="1" applyAlignment="1">
      <alignment horizontal="right" vertical="center"/>
    </xf>
    <xf numFmtId="0" fontId="24" fillId="39" borderId="3" xfId="55" applyFont="1" applyFill="1" applyAlignment="1">
      <alignment horizontal="left" vertical="center"/>
    </xf>
    <xf numFmtId="2" fontId="24" fillId="4" borderId="3" xfId="55" applyNumberFormat="1" applyFont="1" applyFill="1" applyAlignment="1">
      <alignment horizontal="right" vertical="center"/>
    </xf>
    <xf numFmtId="0" fontId="21" fillId="0" borderId="6" xfId="55" applyFont="1" applyBorder="1" applyAlignment="1">
      <alignment horizontal="left" vertical="center"/>
    </xf>
    <xf numFmtId="2" fontId="24" fillId="4" borderId="16" xfId="55" applyNumberFormat="1" applyFont="1" applyFill="1" applyBorder="1" applyAlignment="1">
      <alignment vertical="center"/>
    </xf>
    <xf numFmtId="167" fontId="51" fillId="4" borderId="3" xfId="55" applyNumberFormat="1" applyFont="1" applyFill="1" applyAlignment="1">
      <alignment vertical="center"/>
    </xf>
    <xf numFmtId="49" fontId="61" fillId="0" borderId="3" xfId="55" applyNumberFormat="1" applyFont="1" applyAlignment="1">
      <alignment horizontal="center" vertical="center"/>
    </xf>
    <xf numFmtId="2" fontId="61" fillId="4" borderId="3" xfId="55" applyNumberFormat="1" applyFont="1" applyFill="1" applyAlignment="1">
      <alignment horizontal="center" vertical="center"/>
    </xf>
    <xf numFmtId="2" fontId="61" fillId="4" borderId="3" xfId="55" applyNumberFormat="1" applyFont="1" applyFill="1" applyAlignment="1">
      <alignment horizontal="right" vertical="center"/>
    </xf>
    <xf numFmtId="0" fontId="51" fillId="4" borderId="16" xfId="55" applyFont="1" applyFill="1" applyBorder="1" applyAlignment="1">
      <alignment vertical="center"/>
    </xf>
    <xf numFmtId="172" fontId="51" fillId="4" borderId="3" xfId="55" applyNumberFormat="1" applyFont="1" applyFill="1" applyAlignment="1">
      <alignment horizontal="center" vertical="center"/>
    </xf>
    <xf numFmtId="2" fontId="51" fillId="4" borderId="3" xfId="55" applyNumberFormat="1" applyFont="1" applyFill="1" applyAlignment="1">
      <alignment horizontal="center" vertical="center"/>
    </xf>
    <xf numFmtId="0" fontId="63" fillId="4" borderId="0" xfId="0" applyFont="1" applyFill="1" applyAlignment="1">
      <alignment vertical="center"/>
    </xf>
    <xf numFmtId="0" fontId="63" fillId="4" borderId="3" xfId="55" applyFont="1" applyFill="1" applyAlignment="1">
      <alignment vertical="center"/>
    </xf>
    <xf numFmtId="172" fontId="51" fillId="4" borderId="16" xfId="55" applyNumberFormat="1" applyFont="1" applyFill="1" applyBorder="1" applyAlignment="1">
      <alignment horizontal="right" vertical="center"/>
    </xf>
    <xf numFmtId="172" fontId="51" fillId="4" borderId="3" xfId="55" applyNumberFormat="1" applyFont="1" applyFill="1" applyAlignment="1">
      <alignment horizontal="right" vertical="center" wrapText="1"/>
    </xf>
    <xf numFmtId="49" fontId="24" fillId="38" borderId="5" xfId="55" applyNumberFormat="1" applyFont="1" applyFill="1" applyBorder="1" applyAlignment="1">
      <alignment horizontal="center" vertical="center"/>
    </xf>
    <xf numFmtId="172" fontId="21" fillId="4" borderId="6" xfId="55" applyNumberFormat="1" applyFont="1" applyFill="1" applyBorder="1" applyAlignment="1">
      <alignment vertical="center"/>
    </xf>
    <xf numFmtId="3" fontId="21" fillId="0" borderId="6" xfId="55" applyNumberFormat="1" applyFont="1" applyBorder="1" applyAlignment="1">
      <alignment vertical="center"/>
    </xf>
    <xf numFmtId="0" fontId="30" fillId="0" borderId="3" xfId="67" applyFont="1" applyAlignment="1">
      <alignment vertical="center"/>
    </xf>
    <xf numFmtId="0" fontId="30" fillId="0" borderId="3" xfId="67" applyFont="1"/>
    <xf numFmtId="0" fontId="24" fillId="4" borderId="3" xfId="55" applyFont="1" applyFill="1" applyAlignment="1">
      <alignment horizontal="left" vertical="center" wrapText="1"/>
    </xf>
    <xf numFmtId="0" fontId="14" fillId="4" borderId="3" xfId="55" applyFont="1" applyFill="1" applyAlignment="1">
      <alignment horizontal="center" vertical="center"/>
    </xf>
    <xf numFmtId="3" fontId="16" fillId="4" borderId="3" xfId="55" applyNumberFormat="1" applyFont="1" applyFill="1" applyAlignment="1">
      <alignment vertical="center"/>
    </xf>
    <xf numFmtId="3" fontId="14" fillId="4" borderId="3" xfId="55" applyNumberFormat="1" applyFont="1" applyFill="1" applyAlignment="1">
      <alignment horizontal="right" vertical="center"/>
    </xf>
    <xf numFmtId="3" fontId="21" fillId="4" borderId="3" xfId="55" applyNumberFormat="1" applyFont="1" applyFill="1" applyAlignment="1">
      <alignment horizontal="right" vertical="center"/>
    </xf>
    <xf numFmtId="3" fontId="21" fillId="4" borderId="3" xfId="55" applyNumberFormat="1" applyFont="1" applyFill="1" applyAlignment="1">
      <alignment vertical="center"/>
    </xf>
    <xf numFmtId="0" fontId="14" fillId="0" borderId="3" xfId="55" applyFont="1" applyAlignment="1">
      <alignment vertical="center"/>
    </xf>
    <xf numFmtId="1" fontId="14" fillId="0" borderId="3" xfId="55" applyNumberFormat="1" applyFont="1" applyAlignment="1">
      <alignment vertical="center"/>
    </xf>
    <xf numFmtId="166" fontId="14" fillId="0" borderId="3" xfId="55" applyNumberFormat="1" applyFont="1" applyAlignment="1">
      <alignment vertical="center"/>
    </xf>
    <xf numFmtId="177" fontId="16" fillId="38" borderId="18" xfId="55" applyNumberFormat="1" applyFont="1" applyFill="1" applyBorder="1" applyAlignment="1">
      <alignment horizontal="center" vertical="center"/>
    </xf>
    <xf numFmtId="177" fontId="16" fillId="38" borderId="19" xfId="55" applyNumberFormat="1" applyFont="1" applyFill="1" applyBorder="1" applyAlignment="1">
      <alignment horizontal="center" vertical="center"/>
    </xf>
    <xf numFmtId="0" fontId="16" fillId="0" borderId="4" xfId="55" applyFont="1" applyBorder="1" applyAlignment="1">
      <alignment horizontal="left" vertical="center" wrapText="1"/>
    </xf>
    <xf numFmtId="0" fontId="14" fillId="0" borderId="3" xfId="0" applyFont="1" applyBorder="1" applyAlignment="1">
      <alignment vertical="center" wrapText="1"/>
    </xf>
    <xf numFmtId="176" fontId="14" fillId="44" borderId="6" xfId="0" applyNumberFormat="1" applyFont="1" applyFill="1" applyBorder="1" applyAlignment="1">
      <alignment horizontal="center" vertical="center"/>
    </xf>
    <xf numFmtId="167" fontId="14" fillId="44" borderId="3" xfId="0" applyNumberFormat="1" applyFont="1" applyFill="1" applyBorder="1" applyAlignment="1">
      <alignment horizontal="left" vertical="center"/>
    </xf>
    <xf numFmtId="4" fontId="14" fillId="44" borderId="6" xfId="0" applyNumberFormat="1" applyFont="1" applyFill="1" applyBorder="1" applyAlignment="1">
      <alignment horizontal="center" vertical="center"/>
    </xf>
    <xf numFmtId="177" fontId="58" fillId="0" borderId="3" xfId="68" applyNumberFormat="1" applyFont="1" applyAlignment="1">
      <alignment horizontal="left"/>
    </xf>
    <xf numFmtId="0" fontId="28" fillId="0" borderId="3" xfId="68" applyFont="1"/>
    <xf numFmtId="187" fontId="14" fillId="3" borderId="3" xfId="68" applyNumberFormat="1" applyFont="1" applyFill="1" applyAlignment="1">
      <alignment horizontal="right" vertical="center"/>
    </xf>
    <xf numFmtId="0" fontId="21" fillId="3" borderId="3" xfId="68" applyFont="1" applyFill="1" applyAlignment="1">
      <alignment horizontal="left" vertical="center" indent="1"/>
    </xf>
    <xf numFmtId="187" fontId="16" fillId="3" borderId="3" xfId="68" applyNumberFormat="1" applyFont="1" applyFill="1" applyAlignment="1">
      <alignment horizontal="right" vertical="center"/>
    </xf>
    <xf numFmtId="0" fontId="16" fillId="42" borderId="3" xfId="68" applyFont="1" applyFill="1" applyAlignment="1">
      <alignment vertical="center"/>
    </xf>
    <xf numFmtId="167" fontId="14" fillId="4" borderId="3" xfId="4" applyNumberFormat="1" applyFont="1" applyFill="1"/>
    <xf numFmtId="169" fontId="14" fillId="3" borderId="3" xfId="68" applyNumberFormat="1" applyFont="1" applyFill="1" applyAlignment="1">
      <alignment horizontal="right" vertical="center"/>
    </xf>
    <xf numFmtId="186" fontId="14" fillId="3" borderId="3" xfId="68" applyNumberFormat="1" applyFont="1" applyFill="1" applyAlignment="1">
      <alignment horizontal="center" vertical="center"/>
    </xf>
    <xf numFmtId="167" fontId="16" fillId="42" borderId="3" xfId="68" applyNumberFormat="1" applyFont="1" applyFill="1" applyAlignment="1">
      <alignment vertical="center"/>
    </xf>
    <xf numFmtId="186" fontId="16" fillId="3" borderId="3" xfId="68" applyNumberFormat="1" applyFont="1" applyFill="1" applyAlignment="1">
      <alignment horizontal="center" vertical="center"/>
    </xf>
    <xf numFmtId="167" fontId="21" fillId="3" borderId="3" xfId="68" applyNumberFormat="1" applyFont="1" applyFill="1" applyAlignment="1">
      <alignment horizontal="left" vertical="center" indent="1"/>
    </xf>
    <xf numFmtId="169" fontId="21" fillId="3" borderId="3" xfId="68" applyNumberFormat="1" applyFont="1" applyFill="1" applyAlignment="1">
      <alignment horizontal="right" vertical="center"/>
    </xf>
    <xf numFmtId="186" fontId="21" fillId="3" borderId="3" xfId="68" applyNumberFormat="1" applyFont="1" applyFill="1" applyAlignment="1">
      <alignment horizontal="center" vertical="center"/>
    </xf>
    <xf numFmtId="1" fontId="28" fillId="0" borderId="3" xfId="55" applyNumberFormat="1" applyFont="1"/>
    <xf numFmtId="172" fontId="16" fillId="4" borderId="3" xfId="55" applyNumberFormat="1" applyFont="1" applyFill="1" applyAlignment="1">
      <alignment horizontal="right" vertical="center"/>
    </xf>
    <xf numFmtId="167" fontId="24" fillId="4" borderId="3" xfId="4" applyNumberFormat="1" applyFont="1" applyFill="1"/>
    <xf numFmtId="0" fontId="30" fillId="0" borderId="3" xfId="69" applyFont="1"/>
    <xf numFmtId="0" fontId="30" fillId="0" borderId="3" xfId="69" applyFont="1" applyAlignment="1">
      <alignment vertical="center"/>
    </xf>
    <xf numFmtId="0" fontId="13" fillId="44" borderId="16" xfId="55" applyFont="1" applyFill="1" applyBorder="1"/>
    <xf numFmtId="0" fontId="58" fillId="0" borderId="16" xfId="68" applyFont="1" applyBorder="1"/>
    <xf numFmtId="0" fontId="14" fillId="3" borderId="3" xfId="68" applyFont="1" applyFill="1" applyAlignment="1">
      <alignment horizontal="right" vertical="center"/>
    </xf>
    <xf numFmtId="169" fontId="21" fillId="3" borderId="3" xfId="68" applyNumberFormat="1" applyFont="1" applyFill="1" applyAlignment="1">
      <alignment vertical="center"/>
    </xf>
    <xf numFmtId="169" fontId="24" fillId="3" borderId="3" xfId="68" applyNumberFormat="1" applyFont="1" applyFill="1" applyAlignment="1">
      <alignment horizontal="right" vertical="center"/>
    </xf>
    <xf numFmtId="169" fontId="24" fillId="3" borderId="3" xfId="68" applyNumberFormat="1" applyFont="1" applyFill="1" applyAlignment="1">
      <alignment vertical="center"/>
    </xf>
    <xf numFmtId="0" fontId="24" fillId="43" borderId="3" xfId="68" applyFont="1" applyFill="1" applyAlignment="1">
      <alignment horizontal="left" vertical="center"/>
    </xf>
    <xf numFmtId="186" fontId="24" fillId="3" borderId="3" xfId="68" applyNumberFormat="1" applyFont="1" applyFill="1" applyAlignment="1">
      <alignment horizontal="center" vertical="center"/>
    </xf>
    <xf numFmtId="0" fontId="24" fillId="42" borderId="3" xfId="68" applyFont="1" applyFill="1" applyAlignment="1">
      <alignment vertical="center"/>
    </xf>
    <xf numFmtId="0" fontId="13" fillId="4" borderId="3" xfId="4" applyFont="1" applyFill="1"/>
    <xf numFmtId="169" fontId="16" fillId="3" borderId="3" xfId="68" applyNumberFormat="1" applyFont="1" applyFill="1" applyAlignment="1">
      <alignment horizontal="right" vertical="center"/>
    </xf>
    <xf numFmtId="171" fontId="21" fillId="3" borderId="3" xfId="68" applyNumberFormat="1" applyFont="1" applyFill="1" applyAlignment="1">
      <alignment horizontal="right" vertical="center"/>
    </xf>
    <xf numFmtId="189" fontId="21" fillId="3" borderId="3" xfId="68" applyNumberFormat="1" applyFont="1" applyFill="1" applyAlignment="1">
      <alignment vertical="center"/>
    </xf>
    <xf numFmtId="171" fontId="24" fillId="3" borderId="3" xfId="68" applyNumberFormat="1" applyFont="1" applyFill="1" applyAlignment="1">
      <alignment horizontal="right" vertical="center"/>
    </xf>
    <xf numFmtId="0" fontId="24" fillId="43" borderId="3" xfId="68" applyFont="1" applyFill="1" applyAlignment="1">
      <alignment vertical="center"/>
    </xf>
    <xf numFmtId="169" fontId="16" fillId="3" borderId="3" xfId="68" applyNumberFormat="1" applyFont="1" applyFill="1" applyAlignment="1">
      <alignment vertical="center"/>
    </xf>
    <xf numFmtId="188" fontId="24" fillId="4" borderId="3" xfId="3" applyNumberFormat="1" applyFont="1" applyFill="1" applyBorder="1" applyAlignment="1">
      <alignment horizontal="right" vertical="center"/>
    </xf>
    <xf numFmtId="167" fontId="24" fillId="42" borderId="3" xfId="68" applyNumberFormat="1" applyFont="1" applyFill="1" applyAlignment="1">
      <alignment vertical="center"/>
    </xf>
    <xf numFmtId="169" fontId="14" fillId="44" borderId="3" xfId="68" applyNumberFormat="1" applyFont="1" applyFill="1" applyAlignment="1">
      <alignment horizontal="right" vertical="center"/>
    </xf>
    <xf numFmtId="0" fontId="28" fillId="0" borderId="3" xfId="55" applyFont="1" applyAlignment="1">
      <alignment horizontal="right"/>
    </xf>
    <xf numFmtId="0" fontId="28" fillId="0" borderId="16" xfId="55" applyFont="1" applyBorder="1" applyAlignment="1">
      <alignment horizontal="right"/>
    </xf>
    <xf numFmtId="186" fontId="14" fillId="4" borderId="3" xfId="55" applyNumberFormat="1" applyFont="1" applyFill="1" applyAlignment="1">
      <alignment horizontal="right" vertical="center"/>
    </xf>
    <xf numFmtId="0" fontId="16" fillId="40" borderId="1" xfId="55" applyFont="1" applyFill="1" applyBorder="1" applyAlignment="1">
      <alignment horizontal="right" vertical="center"/>
    </xf>
    <xf numFmtId="171" fontId="14" fillId="0" borderId="3" xfId="55" applyNumberFormat="1" applyFont="1" applyAlignment="1">
      <alignment horizontal="right"/>
    </xf>
    <xf numFmtId="0" fontId="14" fillId="0" borderId="16" xfId="55" applyFont="1" applyBorder="1" applyAlignment="1">
      <alignment horizontal="right" vertical="center" wrapText="1"/>
    </xf>
    <xf numFmtId="0" fontId="13" fillId="2" borderId="3" xfId="55" applyFont="1" applyFill="1" applyAlignment="1">
      <alignment horizontal="right"/>
    </xf>
    <xf numFmtId="0" fontId="15" fillId="2" borderId="3" xfId="55" applyFont="1" applyFill="1" applyAlignment="1">
      <alignment horizontal="right"/>
    </xf>
    <xf numFmtId="187" fontId="16" fillId="4" borderId="3" xfId="3" applyNumberFormat="1" applyFont="1" applyFill="1" applyBorder="1" applyAlignment="1">
      <alignment horizontal="right" vertical="center"/>
    </xf>
    <xf numFmtId="177" fontId="58" fillId="0" borderId="3" xfId="55" applyNumberFormat="1" applyFont="1" applyAlignment="1">
      <alignment horizontal="left"/>
    </xf>
    <xf numFmtId="0" fontId="58" fillId="0" borderId="3" xfId="55" applyFont="1"/>
    <xf numFmtId="0" fontId="21" fillId="3" borderId="6" xfId="55" applyFont="1" applyFill="1" applyBorder="1" applyAlignment="1">
      <alignment horizontal="left" vertical="center" indent="1"/>
    </xf>
    <xf numFmtId="173" fontId="16" fillId="3" borderId="3" xfId="55" applyNumberFormat="1" applyFont="1" applyFill="1" applyAlignment="1">
      <alignment horizontal="right" vertical="center"/>
    </xf>
    <xf numFmtId="187" fontId="16" fillId="3" borderId="3" xfId="55" applyNumberFormat="1" applyFont="1" applyFill="1" applyAlignment="1">
      <alignment horizontal="right" vertical="center"/>
    </xf>
    <xf numFmtId="0" fontId="16" fillId="43" borderId="3" xfId="55" applyFont="1" applyFill="1" applyAlignment="1">
      <alignment vertical="center"/>
    </xf>
    <xf numFmtId="175" fontId="21" fillId="3" borderId="3" xfId="55" applyNumberFormat="1" applyFont="1" applyFill="1" applyAlignment="1">
      <alignment horizontal="right" vertical="center"/>
    </xf>
    <xf numFmtId="172" fontId="14" fillId="3" borderId="3" xfId="55" applyNumberFormat="1" applyFont="1" applyFill="1" applyAlignment="1">
      <alignment horizontal="center" vertical="center"/>
    </xf>
    <xf numFmtId="0" fontId="16" fillId="42" borderId="3" xfId="55" applyFont="1" applyFill="1" applyAlignment="1">
      <alignment vertical="center"/>
    </xf>
    <xf numFmtId="188" fontId="14" fillId="3" borderId="3" xfId="55" applyNumberFormat="1" applyFont="1" applyFill="1" applyAlignment="1">
      <alignment horizontal="center" vertical="center"/>
    </xf>
    <xf numFmtId="188" fontId="16" fillId="3" borderId="3" xfId="55" applyNumberFormat="1" applyFont="1" applyFill="1" applyAlignment="1">
      <alignment horizontal="center" vertical="center"/>
    </xf>
    <xf numFmtId="171" fontId="24" fillId="4" borderId="3" xfId="55" applyNumberFormat="1" applyFont="1" applyFill="1" applyAlignment="1">
      <alignment horizontal="right" vertical="center"/>
    </xf>
    <xf numFmtId="0" fontId="16" fillId="4" borderId="3" xfId="55" applyFont="1" applyFill="1" applyAlignment="1">
      <alignment vertical="center"/>
    </xf>
    <xf numFmtId="173" fontId="21" fillId="3" borderId="3" xfId="55" applyNumberFormat="1" applyFont="1" applyFill="1" applyAlignment="1">
      <alignment horizontal="right" vertical="center"/>
    </xf>
    <xf numFmtId="165" fontId="18" fillId="0" borderId="16" xfId="55" applyNumberFormat="1" applyFont="1" applyBorder="1" applyAlignment="1">
      <alignment horizontal="right" vertical="center"/>
    </xf>
    <xf numFmtId="173" fontId="24" fillId="3" borderId="3" xfId="55" applyNumberFormat="1" applyFont="1" applyFill="1" applyAlignment="1">
      <alignment horizontal="right" vertical="center"/>
    </xf>
    <xf numFmtId="167" fontId="16" fillId="42" borderId="3" xfId="55" applyNumberFormat="1" applyFont="1" applyFill="1" applyAlignment="1">
      <alignment vertical="center"/>
    </xf>
    <xf numFmtId="4" fontId="14" fillId="2" borderId="3" xfId="55" applyNumberFormat="1" applyFont="1" applyFill="1" applyAlignment="1">
      <alignment horizontal="center" vertical="center"/>
    </xf>
    <xf numFmtId="187" fontId="24" fillId="3" borderId="3" xfId="55" applyNumberFormat="1" applyFont="1" applyFill="1" applyAlignment="1">
      <alignment horizontal="right" vertical="center"/>
    </xf>
    <xf numFmtId="175" fontId="24" fillId="3" borderId="3" xfId="55" applyNumberFormat="1" applyFont="1" applyFill="1" applyAlignment="1">
      <alignment horizontal="right" vertical="center"/>
    </xf>
    <xf numFmtId="0" fontId="58" fillId="0" borderId="16" xfId="55" applyFont="1" applyBorder="1"/>
    <xf numFmtId="169" fontId="21" fillId="3" borderId="6" xfId="55" applyNumberFormat="1" applyFont="1" applyFill="1" applyBorder="1" applyAlignment="1">
      <alignment horizontal="right" vertical="center"/>
    </xf>
    <xf numFmtId="0" fontId="24" fillId="42" borderId="3" xfId="55" applyFont="1" applyFill="1" applyAlignment="1">
      <alignment vertical="center"/>
    </xf>
    <xf numFmtId="188" fontId="14" fillId="3" borderId="3" xfId="55" applyNumberFormat="1" applyFont="1" applyFill="1" applyAlignment="1">
      <alignment horizontal="right" vertical="center"/>
    </xf>
    <xf numFmtId="189" fontId="21" fillId="3" borderId="3" xfId="55" applyNumberFormat="1" applyFont="1" applyFill="1" applyAlignment="1">
      <alignment horizontal="right" vertical="center"/>
    </xf>
    <xf numFmtId="188" fontId="16" fillId="3" borderId="3" xfId="55" applyNumberFormat="1" applyFont="1" applyFill="1" applyAlignment="1">
      <alignment horizontal="right" vertical="center"/>
    </xf>
    <xf numFmtId="167" fontId="24" fillId="42" borderId="3" xfId="55" applyNumberFormat="1" applyFont="1" applyFill="1" applyAlignment="1">
      <alignment vertical="center"/>
    </xf>
    <xf numFmtId="169" fontId="16" fillId="3" borderId="3" xfId="55" applyNumberFormat="1" applyFont="1" applyFill="1" applyAlignment="1">
      <alignment horizontal="right" vertical="center"/>
    </xf>
    <xf numFmtId="171" fontId="24" fillId="3" borderId="3" xfId="55" applyNumberFormat="1" applyFont="1" applyFill="1" applyAlignment="1">
      <alignment horizontal="right" vertical="center"/>
    </xf>
    <xf numFmtId="0" fontId="24" fillId="43" borderId="3" xfId="55" applyFont="1" applyFill="1" applyAlignment="1">
      <alignment vertical="center"/>
    </xf>
    <xf numFmtId="171" fontId="21" fillId="3" borderId="3" xfId="55" applyNumberFormat="1" applyFont="1" applyFill="1" applyAlignment="1">
      <alignment horizontal="right" vertical="center"/>
    </xf>
    <xf numFmtId="188" fontId="24" fillId="3" borderId="3" xfId="55" applyNumberFormat="1" applyFont="1" applyFill="1" applyAlignment="1">
      <alignment horizontal="right" vertical="center"/>
    </xf>
    <xf numFmtId="187" fontId="24" fillId="4" borderId="3" xfId="55" applyNumberFormat="1" applyFont="1" applyFill="1" applyAlignment="1">
      <alignment horizontal="right" vertical="center"/>
    </xf>
    <xf numFmtId="169" fontId="21" fillId="3" borderId="3" xfId="55" applyNumberFormat="1" applyFont="1" applyFill="1" applyAlignment="1">
      <alignment horizontal="center" vertical="center"/>
    </xf>
    <xf numFmtId="169" fontId="14" fillId="3" borderId="3" xfId="55" applyNumberFormat="1" applyFont="1" applyFill="1" applyAlignment="1">
      <alignment horizontal="center"/>
    </xf>
    <xf numFmtId="169" fontId="24" fillId="3" borderId="3" xfId="55" applyNumberFormat="1" applyFont="1" applyFill="1" applyAlignment="1">
      <alignment horizontal="center" vertical="center"/>
    </xf>
    <xf numFmtId="0" fontId="16" fillId="42" borderId="3" xfId="55" applyFont="1" applyFill="1"/>
    <xf numFmtId="0" fontId="14" fillId="3" borderId="3" xfId="55" applyFont="1" applyFill="1" applyAlignment="1">
      <alignment horizontal="right" vertical="center"/>
    </xf>
    <xf numFmtId="0" fontId="16" fillId="3" borderId="3" xfId="55" applyFont="1" applyFill="1" applyAlignment="1">
      <alignment horizontal="right" vertical="center"/>
    </xf>
    <xf numFmtId="188" fontId="21" fillId="3" borderId="3" xfId="55" applyNumberFormat="1" applyFont="1" applyFill="1" applyAlignment="1">
      <alignment horizontal="center" vertical="center"/>
    </xf>
    <xf numFmtId="169" fontId="16" fillId="3" borderId="3" xfId="55" applyNumberFormat="1" applyFont="1" applyFill="1" applyAlignment="1">
      <alignment horizontal="center"/>
    </xf>
    <xf numFmtId="169" fontId="14" fillId="3" borderId="3" xfId="55" applyNumberFormat="1" applyFont="1" applyFill="1" applyAlignment="1">
      <alignment horizontal="center" vertical="center" wrapText="1"/>
    </xf>
    <xf numFmtId="187" fontId="16" fillId="2" borderId="3" xfId="55" applyNumberFormat="1" applyFont="1" applyFill="1" applyAlignment="1">
      <alignment horizontal="right" vertical="center"/>
    </xf>
    <xf numFmtId="4" fontId="16" fillId="2" borderId="3" xfId="55" applyNumberFormat="1" applyFont="1" applyFill="1" applyAlignment="1">
      <alignment horizontal="center" vertical="center"/>
    </xf>
    <xf numFmtId="187" fontId="14" fillId="2" borderId="3" xfId="55" applyNumberFormat="1" applyFont="1" applyFill="1" applyAlignment="1">
      <alignment horizontal="right" vertical="center"/>
    </xf>
    <xf numFmtId="169" fontId="14" fillId="44" borderId="3" xfId="55" applyNumberFormat="1" applyFont="1" applyFill="1" applyAlignment="1">
      <alignment horizontal="right" vertical="center"/>
    </xf>
    <xf numFmtId="4" fontId="21" fillId="3" borderId="3" xfId="55" applyNumberFormat="1" applyFont="1" applyFill="1" applyAlignment="1">
      <alignment horizontal="center" vertical="center"/>
    </xf>
    <xf numFmtId="172" fontId="21" fillId="3" borderId="3" xfId="55" applyNumberFormat="1" applyFont="1" applyFill="1" applyAlignment="1">
      <alignment horizontal="right" vertical="center"/>
    </xf>
    <xf numFmtId="172" fontId="24" fillId="3" borderId="3" xfId="55" applyNumberFormat="1" applyFont="1" applyFill="1" applyAlignment="1">
      <alignment horizontal="right" vertical="center"/>
    </xf>
    <xf numFmtId="0" fontId="65" fillId="0" borderId="3" xfId="55" applyFont="1"/>
    <xf numFmtId="4" fontId="14" fillId="3" borderId="6" xfId="55" applyNumberFormat="1" applyFont="1" applyFill="1" applyBorder="1" applyAlignment="1">
      <alignment horizontal="center" vertical="center"/>
    </xf>
    <xf numFmtId="169" fontId="14" fillId="3" borderId="6" xfId="55" applyNumberFormat="1" applyFont="1" applyFill="1" applyBorder="1" applyAlignment="1">
      <alignment horizontal="center" vertical="center" wrapText="1"/>
    </xf>
    <xf numFmtId="169" fontId="16" fillId="44" borderId="3" xfId="55" applyNumberFormat="1" applyFont="1" applyFill="1" applyAlignment="1">
      <alignment horizontal="right" vertical="center"/>
    </xf>
    <xf numFmtId="165" fontId="18" fillId="0" borderId="3" xfId="0" applyNumberFormat="1" applyFont="1" applyBorder="1" applyAlignment="1">
      <alignment horizontal="right" vertical="top"/>
    </xf>
    <xf numFmtId="0" fontId="24" fillId="37" borderId="4" xfId="55" applyFont="1" applyFill="1" applyBorder="1" applyAlignment="1">
      <alignment horizontal="left" vertical="center"/>
    </xf>
    <xf numFmtId="1" fontId="21" fillId="4" borderId="4" xfId="55" applyNumberFormat="1" applyFont="1" applyFill="1" applyBorder="1" applyAlignment="1">
      <alignment horizontal="center" vertical="center"/>
    </xf>
    <xf numFmtId="4" fontId="21" fillId="4" borderId="4" xfId="55" applyNumberFormat="1" applyFont="1" applyFill="1" applyBorder="1" applyAlignment="1">
      <alignment horizontal="center" vertical="center"/>
    </xf>
    <xf numFmtId="0" fontId="16" fillId="39" borderId="4" xfId="55" applyFont="1" applyFill="1" applyBorder="1" applyAlignment="1">
      <alignment horizontal="left" vertical="center"/>
    </xf>
    <xf numFmtId="0" fontId="16" fillId="0" borderId="3" xfId="55" applyFont="1" applyAlignment="1">
      <alignment horizontal="center" vertical="center"/>
    </xf>
    <xf numFmtId="0" fontId="17" fillId="4" borderId="3" xfId="55" applyFont="1" applyFill="1" applyAlignment="1">
      <alignment horizontal="left"/>
    </xf>
    <xf numFmtId="0" fontId="15" fillId="4" borderId="3" xfId="55" applyFont="1" applyFill="1" applyAlignment="1">
      <alignment horizontal="left"/>
    </xf>
    <xf numFmtId="0" fontId="17" fillId="4" borderId="3" xfId="55" applyFont="1" applyFill="1" applyAlignment="1">
      <alignment horizontal="left" vertical="center"/>
    </xf>
    <xf numFmtId="0" fontId="16" fillId="0" borderId="6" xfId="55" applyFont="1" applyBorder="1" applyAlignment="1">
      <alignment horizontal="left" vertical="center" wrapText="1"/>
    </xf>
    <xf numFmtId="0" fontId="16" fillId="0" borderId="3" xfId="55" applyFont="1" applyAlignment="1">
      <alignment horizontal="left" vertical="center" wrapText="1"/>
    </xf>
    <xf numFmtId="180" fontId="27" fillId="0" borderId="3" xfId="4" applyNumberFormat="1" applyFont="1" applyAlignment="1">
      <alignment horizontal="left" vertical="center" wrapText="1"/>
    </xf>
    <xf numFmtId="0" fontId="17" fillId="0" borderId="3" xfId="55" applyFont="1" applyAlignment="1">
      <alignment vertical="center"/>
    </xf>
    <xf numFmtId="3" fontId="14" fillId="0" borderId="3" xfId="55" applyNumberFormat="1" applyFont="1"/>
    <xf numFmtId="2" fontId="14" fillId="0" borderId="3" xfId="55" applyNumberFormat="1" applyFont="1"/>
    <xf numFmtId="0" fontId="16" fillId="0" borderId="6" xfId="55" applyFont="1" applyBorder="1" applyAlignment="1">
      <alignment vertical="center"/>
    </xf>
    <xf numFmtId="0" fontId="14" fillId="0" borderId="6" xfId="55" applyFont="1" applyBorder="1"/>
    <xf numFmtId="3" fontId="14" fillId="0" borderId="6" xfId="55" applyNumberFormat="1" applyFont="1" applyBorder="1"/>
    <xf numFmtId="2" fontId="14" fillId="0" borderId="6" xfId="55" applyNumberFormat="1" applyFont="1" applyBorder="1"/>
    <xf numFmtId="0" fontId="14" fillId="0" borderId="16" xfId="55" applyFont="1" applyBorder="1"/>
    <xf numFmtId="0" fontId="16" fillId="0" borderId="6" xfId="55" applyFont="1" applyBorder="1" applyAlignment="1">
      <alignment horizontal="left" vertical="center"/>
    </xf>
    <xf numFmtId="0" fontId="16" fillId="0" borderId="4" xfId="55" applyFont="1" applyBorder="1" applyAlignment="1">
      <alignment vertical="center"/>
    </xf>
    <xf numFmtId="0" fontId="14" fillId="0" borderId="4" xfId="55" applyFont="1" applyBorder="1"/>
    <xf numFmtId="3" fontId="14" fillId="0" borderId="4" xfId="55" applyNumberFormat="1" applyFont="1" applyBorder="1"/>
    <xf numFmtId="2" fontId="14" fillId="0" borderId="4" xfId="55" applyNumberFormat="1" applyFont="1" applyBorder="1"/>
    <xf numFmtId="1" fontId="14" fillId="0" borderId="6" xfId="55" applyNumberFormat="1" applyFont="1" applyBorder="1"/>
    <xf numFmtId="0" fontId="16" fillId="0" borderId="3" xfId="55" applyFont="1" applyAlignment="1">
      <alignment horizontal="left" vertical="center"/>
    </xf>
    <xf numFmtId="1" fontId="14" fillId="0" borderId="3" xfId="55" applyNumberFormat="1" applyFont="1"/>
    <xf numFmtId="1" fontId="14" fillId="0" borderId="4" xfId="55" applyNumberFormat="1" applyFont="1" applyBorder="1"/>
    <xf numFmtId="1" fontId="14" fillId="0" borderId="16" xfId="55" applyNumberFormat="1" applyFont="1" applyBorder="1"/>
    <xf numFmtId="3" fontId="14" fillId="0" borderId="16" xfId="55" applyNumberFormat="1" applyFont="1" applyBorder="1"/>
    <xf numFmtId="2" fontId="14" fillId="0" borderId="16" xfId="55" applyNumberFormat="1" applyFont="1" applyBorder="1"/>
    <xf numFmtId="0" fontId="17" fillId="44" borderId="3" xfId="65" applyFont="1" applyFill="1"/>
    <xf numFmtId="0" fontId="13" fillId="0" borderId="3" xfId="65" applyFont="1"/>
    <xf numFmtId="0" fontId="28" fillId="0" borderId="3" xfId="65" applyFont="1"/>
    <xf numFmtId="0" fontId="15" fillId="0" borderId="3" xfId="65" applyFont="1"/>
    <xf numFmtId="0" fontId="15" fillId="0" borderId="23" xfId="65" applyFont="1" applyBorder="1"/>
    <xf numFmtId="171" fontId="16" fillId="3" borderId="3" xfId="55" applyNumberFormat="1" applyFont="1" applyFill="1" applyAlignment="1">
      <alignment vertical="center"/>
    </xf>
    <xf numFmtId="171" fontId="14" fillId="3" borderId="3" xfId="55" applyNumberFormat="1" applyFont="1" applyFill="1" applyAlignment="1">
      <alignment vertical="center"/>
    </xf>
    <xf numFmtId="171" fontId="21" fillId="3" borderId="6" xfId="3" applyNumberFormat="1" applyFont="1" applyFill="1" applyBorder="1" applyAlignment="1">
      <alignment horizontal="right" vertical="center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4" fillId="44" borderId="3" xfId="0" applyFont="1" applyFill="1" applyBorder="1" applyAlignment="1">
      <alignment horizontal="left" vertical="center"/>
    </xf>
    <xf numFmtId="0" fontId="16" fillId="44" borderId="3" xfId="0" applyFont="1" applyFill="1" applyBorder="1" applyAlignment="1">
      <alignment vertical="center"/>
    </xf>
    <xf numFmtId="176" fontId="16" fillId="44" borderId="3" xfId="0" applyNumberFormat="1" applyFont="1" applyFill="1" applyBorder="1" applyAlignment="1">
      <alignment horizontal="center" vertical="center"/>
    </xf>
    <xf numFmtId="0" fontId="14" fillId="0" borderId="3" xfId="55" applyFont="1" applyAlignment="1">
      <alignment horizontal="left" vertical="center" indent="1"/>
    </xf>
    <xf numFmtId="0" fontId="16" fillId="0" borderId="16" xfId="55" applyFont="1" applyBorder="1" applyAlignment="1">
      <alignment vertical="center" wrapText="1"/>
    </xf>
    <xf numFmtId="0" fontId="28" fillId="4" borderId="16" xfId="55" applyFont="1" applyFill="1" applyBorder="1" applyAlignment="1">
      <alignment vertical="center"/>
    </xf>
    <xf numFmtId="0" fontId="16" fillId="0" borderId="3" xfId="55" applyFont="1" applyAlignment="1" applyProtection="1">
      <alignment vertical="center"/>
      <protection locked="0"/>
    </xf>
    <xf numFmtId="0" fontId="14" fillId="0" borderId="3" xfId="55" applyFont="1" applyProtection="1">
      <protection locked="0"/>
    </xf>
    <xf numFmtId="3" fontId="14" fillId="0" borderId="3" xfId="55" applyNumberFormat="1" applyFont="1" applyProtection="1">
      <protection locked="0"/>
    </xf>
    <xf numFmtId="2" fontId="14" fillId="0" borderId="3" xfId="55" applyNumberFormat="1" applyFont="1" applyProtection="1">
      <protection locked="0"/>
    </xf>
    <xf numFmtId="181" fontId="14" fillId="0" borderId="3" xfId="53" applyNumberFormat="1" applyFont="1" applyAlignment="1">
      <alignment vertical="center"/>
    </xf>
    <xf numFmtId="0" fontId="14" fillId="0" borderId="6" xfId="55" applyFont="1" applyBorder="1" applyAlignment="1">
      <alignment vertical="center"/>
    </xf>
    <xf numFmtId="181" fontId="14" fillId="0" borderId="6" xfId="53" applyNumberFormat="1" applyFont="1" applyBorder="1" applyAlignment="1">
      <alignment vertical="center"/>
    </xf>
    <xf numFmtId="181" fontId="14" fillId="0" borderId="3" xfId="53" applyNumberFormat="1" applyFont="1" applyBorder="1" applyAlignment="1">
      <alignment vertical="center"/>
    </xf>
    <xf numFmtId="0" fontId="14" fillId="0" borderId="4" xfId="55" applyFont="1" applyBorder="1" applyAlignment="1">
      <alignment vertical="center"/>
    </xf>
    <xf numFmtId="181" fontId="14" fillId="0" borderId="4" xfId="53" applyNumberFormat="1" applyFont="1" applyBorder="1" applyAlignment="1">
      <alignment vertical="center"/>
    </xf>
    <xf numFmtId="0" fontId="16" fillId="0" borderId="16" xfId="55" applyFont="1" applyBorder="1" applyAlignment="1">
      <alignment vertical="center"/>
    </xf>
    <xf numFmtId="182" fontId="21" fillId="0" borderId="3" xfId="4" applyNumberFormat="1" applyFont="1" applyAlignment="1">
      <alignment vertical="center"/>
    </xf>
    <xf numFmtId="182" fontId="14" fillId="0" borderId="3" xfId="55" applyNumberFormat="1" applyFont="1" applyAlignment="1">
      <alignment vertical="center"/>
    </xf>
    <xf numFmtId="182" fontId="14" fillId="0" borderId="6" xfId="55" applyNumberFormat="1" applyFont="1" applyBorder="1" applyAlignment="1">
      <alignment vertical="center"/>
    </xf>
    <xf numFmtId="182" fontId="14" fillId="0" borderId="4" xfId="55" applyNumberFormat="1" applyFont="1" applyBorder="1" applyAlignment="1">
      <alignment vertical="center"/>
    </xf>
    <xf numFmtId="0" fontId="21" fillId="0" borderId="27" xfId="60" applyFont="1" applyBorder="1" applyAlignment="1">
      <alignment horizontal="left" vertical="center" wrapText="1"/>
    </xf>
    <xf numFmtId="0" fontId="50" fillId="0" borderId="3" xfId="60" applyFont="1" applyAlignment="1">
      <alignment horizontal="left" vertical="center" wrapText="1"/>
    </xf>
    <xf numFmtId="0" fontId="50" fillId="0" borderId="27" xfId="60" applyFont="1" applyBorder="1" applyAlignment="1">
      <alignment horizontal="left" vertical="center" wrapText="1"/>
    </xf>
    <xf numFmtId="0" fontId="21" fillId="0" borderId="3" xfId="60" applyFont="1" applyAlignment="1">
      <alignment horizontal="left" vertical="center" wrapText="1"/>
    </xf>
    <xf numFmtId="0" fontId="21" fillId="0" borderId="26" xfId="60" applyFont="1" applyBorder="1" applyAlignment="1">
      <alignment vertical="center" wrapText="1"/>
    </xf>
    <xf numFmtId="0" fontId="24" fillId="0" borderId="16" xfId="55" applyFont="1" applyBorder="1" applyAlignment="1">
      <alignment horizontal="left" vertical="center" wrapText="1"/>
    </xf>
    <xf numFmtId="0" fontId="24" fillId="0" borderId="3" xfId="55" applyFont="1" applyAlignment="1">
      <alignment horizontal="left" vertical="center" wrapText="1"/>
    </xf>
    <xf numFmtId="0" fontId="24" fillId="0" borderId="6" xfId="55" applyFont="1" applyBorder="1" applyAlignment="1">
      <alignment horizontal="left" vertical="center" wrapText="1"/>
    </xf>
    <xf numFmtId="0" fontId="16" fillId="39" borderId="16" xfId="55" applyFont="1" applyFill="1" applyBorder="1" applyAlignment="1">
      <alignment horizontal="center" vertical="center" wrapText="1"/>
    </xf>
    <xf numFmtId="0" fontId="16" fillId="39" borderId="3" xfId="55" applyFont="1" applyFill="1" applyAlignment="1">
      <alignment horizontal="center" vertical="center" wrapText="1"/>
    </xf>
    <xf numFmtId="0" fontId="16" fillId="39" borderId="6" xfId="55" applyFont="1" applyFill="1" applyBorder="1" applyAlignment="1">
      <alignment horizontal="center" vertical="center" wrapText="1"/>
    </xf>
    <xf numFmtId="177" fontId="27" fillId="2" borderId="0" xfId="0" applyNumberFormat="1" applyFont="1" applyFill="1" applyAlignment="1">
      <alignment horizontal="left"/>
    </xf>
    <xf numFmtId="0" fontId="54" fillId="2" borderId="0" xfId="0" applyFont="1" applyFill="1" applyAlignment="1">
      <alignment horizontal="left" vertical="top"/>
    </xf>
    <xf numFmtId="0" fontId="16" fillId="40" borderId="28" xfId="55" applyFont="1" applyFill="1" applyBorder="1" applyAlignment="1">
      <alignment horizontal="center" vertical="center"/>
    </xf>
    <xf numFmtId="0" fontId="22" fillId="38" borderId="32" xfId="55" applyFont="1" applyFill="1" applyBorder="1"/>
    <xf numFmtId="0" fontId="16" fillId="40" borderId="29" xfId="55" applyFont="1" applyFill="1" applyBorder="1" applyAlignment="1">
      <alignment horizontal="center" vertical="center"/>
    </xf>
    <xf numFmtId="0" fontId="22" fillId="38" borderId="30" xfId="55" applyFont="1" applyFill="1" applyBorder="1"/>
    <xf numFmtId="0" fontId="22" fillId="38" borderId="31" xfId="55" applyFont="1" applyFill="1" applyBorder="1"/>
    <xf numFmtId="0" fontId="16" fillId="0" borderId="6" xfId="5" applyFont="1" applyBorder="1" applyAlignment="1">
      <alignment horizontal="left"/>
    </xf>
    <xf numFmtId="0" fontId="16" fillId="0" borderId="3" xfId="55" applyFont="1" applyAlignment="1">
      <alignment horizontal="center" vertical="center"/>
    </xf>
    <xf numFmtId="0" fontId="22" fillId="0" borderId="3" xfId="55" applyFont="1"/>
    <xf numFmtId="0" fontId="22" fillId="38" borderId="30" xfId="55" applyFont="1" applyFill="1" applyBorder="1" applyAlignment="1">
      <alignment horizontal="center"/>
    </xf>
    <xf numFmtId="0" fontId="22" fillId="38" borderId="31" xfId="55" applyFont="1" applyFill="1" applyBorder="1" applyAlignment="1">
      <alignment horizontal="center"/>
    </xf>
    <xf numFmtId="0" fontId="16" fillId="0" borderId="3" xfId="5" applyFont="1" applyAlignment="1">
      <alignment horizontal="left"/>
    </xf>
    <xf numFmtId="0" fontId="22" fillId="40" borderId="32" xfId="55" applyFont="1" applyFill="1" applyBorder="1"/>
    <xf numFmtId="0" fontId="22" fillId="40" borderId="30" xfId="55" applyFont="1" applyFill="1" applyBorder="1"/>
    <xf numFmtId="0" fontId="22" fillId="40" borderId="31" xfId="55" applyFont="1" applyFill="1" applyBorder="1"/>
    <xf numFmtId="0" fontId="16" fillId="40" borderId="29" xfId="55" applyFont="1" applyFill="1" applyBorder="1" applyAlignment="1">
      <alignment horizontal="right" vertical="center"/>
    </xf>
    <xf numFmtId="0" fontId="22" fillId="40" borderId="30" xfId="55" applyFont="1" applyFill="1" applyBorder="1" applyAlignment="1">
      <alignment horizontal="right"/>
    </xf>
    <xf numFmtId="0" fontId="22" fillId="40" borderId="31" xfId="55" applyFont="1" applyFill="1" applyBorder="1" applyAlignment="1">
      <alignment horizontal="right"/>
    </xf>
    <xf numFmtId="0" fontId="16" fillId="40" borderId="32" xfId="55" applyFont="1" applyFill="1" applyBorder="1" applyAlignment="1">
      <alignment horizontal="center" vertical="center"/>
    </xf>
    <xf numFmtId="0" fontId="16" fillId="40" borderId="30" xfId="55" applyFont="1" applyFill="1" applyBorder="1" applyAlignment="1">
      <alignment horizontal="center" vertical="center"/>
    </xf>
    <xf numFmtId="0" fontId="16" fillId="40" borderId="31" xfId="55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8" fillId="0" borderId="0" xfId="0" applyFont="1"/>
    <xf numFmtId="0" fontId="17" fillId="4" borderId="3" xfId="55" applyFont="1" applyFill="1" applyAlignment="1">
      <alignment horizontal="left"/>
    </xf>
    <xf numFmtId="0" fontId="15" fillId="4" borderId="3" xfId="55" applyFont="1" applyFill="1" applyAlignment="1">
      <alignment horizontal="left"/>
    </xf>
    <xf numFmtId="0" fontId="17" fillId="4" borderId="3" xfId="55" applyFont="1" applyFill="1" applyAlignment="1">
      <alignment horizontal="left" vertical="center"/>
    </xf>
    <xf numFmtId="0" fontId="24" fillId="4" borderId="3" xfId="5" applyFont="1" applyFill="1" applyAlignment="1">
      <alignment horizontal="left" vertical="center"/>
    </xf>
    <xf numFmtId="0" fontId="16" fillId="38" borderId="18" xfId="55" applyFont="1" applyFill="1" applyBorder="1" applyAlignment="1">
      <alignment horizontal="center" vertical="center"/>
    </xf>
    <xf numFmtId="0" fontId="16" fillId="38" borderId="4" xfId="55" applyFont="1" applyFill="1" applyBorder="1" applyAlignment="1">
      <alignment horizontal="center" vertical="center"/>
    </xf>
    <xf numFmtId="0" fontId="16" fillId="38" borderId="19" xfId="55" applyFont="1" applyFill="1" applyBorder="1" applyAlignment="1">
      <alignment horizontal="center" vertical="center"/>
    </xf>
    <xf numFmtId="0" fontId="16" fillId="38" borderId="17" xfId="55" applyFont="1" applyFill="1" applyBorder="1" applyAlignment="1">
      <alignment horizontal="center" vertical="center" wrapText="1"/>
    </xf>
    <xf numFmtId="0" fontId="16" fillId="38" borderId="20" xfId="55" applyFont="1" applyFill="1" applyBorder="1" applyAlignment="1">
      <alignment horizontal="center" vertical="center" wrapText="1"/>
    </xf>
    <xf numFmtId="0" fontId="16" fillId="4" borderId="3" xfId="5" applyFont="1" applyFill="1" applyAlignment="1">
      <alignment horizontal="left" vertical="center"/>
    </xf>
    <xf numFmtId="0" fontId="27" fillId="4" borderId="3" xfId="55" applyFont="1" applyFill="1" applyAlignment="1">
      <alignment horizontal="left"/>
    </xf>
    <xf numFmtId="0" fontId="16" fillId="4" borderId="3" xfId="5" applyFont="1" applyFill="1" applyAlignment="1">
      <alignment horizontal="left"/>
    </xf>
    <xf numFmtId="167" fontId="16" fillId="38" borderId="17" xfId="55" applyNumberFormat="1" applyFont="1" applyFill="1" applyBorder="1" applyAlignment="1">
      <alignment horizontal="center" vertical="center" wrapText="1"/>
    </xf>
    <xf numFmtId="167" fontId="16" fillId="38" borderId="24" xfId="55" applyNumberFormat="1" applyFont="1" applyFill="1" applyBorder="1" applyAlignment="1">
      <alignment horizontal="center" vertical="center" wrapText="1"/>
    </xf>
    <xf numFmtId="167" fontId="16" fillId="38" borderId="18" xfId="55" applyNumberFormat="1" applyFont="1" applyFill="1" applyBorder="1" applyAlignment="1">
      <alignment horizontal="center" vertical="center"/>
    </xf>
    <xf numFmtId="167" fontId="16" fillId="38" borderId="4" xfId="55" applyNumberFormat="1" applyFont="1" applyFill="1" applyBorder="1" applyAlignment="1">
      <alignment horizontal="center" vertical="center"/>
    </xf>
    <xf numFmtId="167" fontId="16" fillId="38" borderId="19" xfId="55" applyNumberFormat="1" applyFont="1" applyFill="1" applyBorder="1" applyAlignment="1">
      <alignment horizontal="center" vertical="center"/>
    </xf>
    <xf numFmtId="0" fontId="16" fillId="0" borderId="16" xfId="55" applyFont="1" applyBorder="1" applyAlignment="1">
      <alignment horizontal="left" vertical="center" wrapText="1"/>
    </xf>
    <xf numFmtId="0" fontId="16" fillId="0" borderId="3" xfId="55" applyFont="1" applyAlignment="1">
      <alignment horizontal="left" vertical="center" wrapText="1"/>
    </xf>
    <xf numFmtId="0" fontId="16" fillId="0" borderId="6" xfId="55" applyFont="1" applyBorder="1" applyAlignment="1">
      <alignment horizontal="left" vertical="center" wrapText="1"/>
    </xf>
    <xf numFmtId="0" fontId="27" fillId="0" borderId="3" xfId="4" applyFont="1" applyAlignment="1">
      <alignment horizontal="left" wrapText="1"/>
    </xf>
    <xf numFmtId="0" fontId="16" fillId="0" borderId="16" xfId="55" applyFont="1" applyBorder="1" applyAlignment="1">
      <alignment horizontal="left" vertical="center"/>
    </xf>
    <xf numFmtId="0" fontId="16" fillId="0" borderId="3" xfId="55" applyFont="1" applyAlignment="1">
      <alignment horizontal="left" vertical="center"/>
    </xf>
    <xf numFmtId="0" fontId="16" fillId="0" borderId="6" xfId="55" applyFont="1" applyBorder="1" applyAlignment="1">
      <alignment horizontal="left" vertical="center"/>
    </xf>
    <xf numFmtId="0" fontId="27" fillId="0" borderId="3" xfId="4" applyFont="1" applyAlignment="1">
      <alignment horizontal="left" vertical="center" wrapText="1"/>
    </xf>
    <xf numFmtId="0" fontId="27" fillId="0" borderId="6" xfId="4" applyFont="1" applyBorder="1" applyAlignment="1">
      <alignment horizontal="left" vertical="center" wrapText="1"/>
    </xf>
    <xf numFmtId="180" fontId="27" fillId="0" borderId="3" xfId="4" applyNumberFormat="1" applyFont="1" applyAlignment="1">
      <alignment horizontal="left" vertical="center" wrapText="1"/>
    </xf>
    <xf numFmtId="0" fontId="16" fillId="0" borderId="16" xfId="55" applyFont="1" applyBorder="1" applyAlignment="1">
      <alignment vertical="center"/>
    </xf>
    <xf numFmtId="0" fontId="16" fillId="0" borderId="3" xfId="55" applyFont="1" applyAlignment="1">
      <alignment vertical="center"/>
    </xf>
    <xf numFmtId="0" fontId="16" fillId="0" borderId="6" xfId="55" applyFont="1" applyBorder="1" applyAlignment="1">
      <alignment vertical="center"/>
    </xf>
  </cellXfs>
  <cellStyles count="71">
    <cellStyle name="20% - Énfasis1 2" xfId="25" xr:uid="{00000000-0005-0000-0000-000000000000}"/>
    <cellStyle name="20% - Énfasis2 2" xfId="29" xr:uid="{00000000-0005-0000-0000-000001000000}"/>
    <cellStyle name="20% - Énfasis3 2" xfId="33" xr:uid="{00000000-0005-0000-0000-000002000000}"/>
    <cellStyle name="20% - Énfasis4 2" xfId="37" xr:uid="{00000000-0005-0000-0000-000003000000}"/>
    <cellStyle name="20% - Énfasis5 2" xfId="41" xr:uid="{00000000-0005-0000-0000-000004000000}"/>
    <cellStyle name="20% - Énfasis6 2" xfId="45" xr:uid="{00000000-0005-0000-0000-000005000000}"/>
    <cellStyle name="40% - Énfasis1 2" xfId="26" xr:uid="{00000000-0005-0000-0000-000006000000}"/>
    <cellStyle name="40% - Énfasis2 2" xfId="30" xr:uid="{00000000-0005-0000-0000-000007000000}"/>
    <cellStyle name="40% - Énfasis3 2" xfId="34" xr:uid="{00000000-0005-0000-0000-000008000000}"/>
    <cellStyle name="40% - Énfasis4 2" xfId="38" xr:uid="{00000000-0005-0000-0000-000009000000}"/>
    <cellStyle name="40% - Énfasis5 2" xfId="42" xr:uid="{00000000-0005-0000-0000-00000A000000}"/>
    <cellStyle name="40% - Énfasis6 2" xfId="46" xr:uid="{00000000-0005-0000-0000-00000B000000}"/>
    <cellStyle name="60% - Énfasis1 2" xfId="27" xr:uid="{00000000-0005-0000-0000-00000C000000}"/>
    <cellStyle name="60% - Énfasis2 2" xfId="31" xr:uid="{00000000-0005-0000-0000-00000D000000}"/>
    <cellStyle name="60% - Énfasis3 2" xfId="35" xr:uid="{00000000-0005-0000-0000-00000E000000}"/>
    <cellStyle name="60% - Énfasis4 2" xfId="39" xr:uid="{00000000-0005-0000-0000-00000F000000}"/>
    <cellStyle name="60% - Énfasis5 2" xfId="43" xr:uid="{00000000-0005-0000-0000-000010000000}"/>
    <cellStyle name="60% - Énfasis6 2" xfId="47" xr:uid="{00000000-0005-0000-0000-000011000000}"/>
    <cellStyle name="Bueno 2" xfId="19" xr:uid="{00000000-0005-0000-0000-000012000000}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7" builtinId="16" customBuiltin="1"/>
    <cellStyle name="Encabezado 4 2" xfId="18" xr:uid="{00000000-0005-0000-0000-000017000000}"/>
    <cellStyle name="Énfasis1 2" xfId="24" xr:uid="{00000000-0005-0000-0000-000018000000}"/>
    <cellStyle name="Énfasis2 2" xfId="28" xr:uid="{00000000-0005-0000-0000-000019000000}"/>
    <cellStyle name="Énfasis3 2" xfId="32" xr:uid="{00000000-0005-0000-0000-00001A000000}"/>
    <cellStyle name="Énfasis4 2" xfId="36" xr:uid="{00000000-0005-0000-0000-00001B000000}"/>
    <cellStyle name="Énfasis5 2" xfId="40" xr:uid="{00000000-0005-0000-0000-00001C000000}"/>
    <cellStyle name="Énfasis6 2" xfId="44" xr:uid="{00000000-0005-0000-0000-00001D000000}"/>
    <cellStyle name="Entrada" xfId="10" builtinId="20" customBuiltin="1"/>
    <cellStyle name="Incorrecto 2" xfId="20" xr:uid="{00000000-0005-0000-0000-00001F000000}"/>
    <cellStyle name="Millares 2" xfId="53" xr:uid="{00000000-0005-0000-0000-000020000000}"/>
    <cellStyle name="Millares 3" xfId="3" xr:uid="{00000000-0005-0000-0000-000021000000}"/>
    <cellStyle name="Moneda 2" xfId="54" xr:uid="{00000000-0005-0000-0000-000022000000}"/>
    <cellStyle name="Neutral 2" xfId="21" xr:uid="{00000000-0005-0000-0000-000023000000}"/>
    <cellStyle name="Normal" xfId="0" builtinId="0"/>
    <cellStyle name="Normal 2" xfId="6" xr:uid="{00000000-0005-0000-0000-000025000000}"/>
    <cellStyle name="Normal 2 2" xfId="48" xr:uid="{00000000-0005-0000-0000-000026000000}"/>
    <cellStyle name="Normal 2 3" xfId="50" xr:uid="{00000000-0005-0000-0000-000027000000}"/>
    <cellStyle name="Normal 2 3 2" xfId="52" xr:uid="{00000000-0005-0000-0000-000028000000}"/>
    <cellStyle name="Normal 2 3 2 2" xfId="56" xr:uid="{00000000-0005-0000-0000-000029000000}"/>
    <cellStyle name="Normal 2 3 2 2 2" xfId="57" xr:uid="{00000000-0005-0000-0000-00002A000000}"/>
    <cellStyle name="Normal 2 3 2 2 2 2" xfId="61" xr:uid="{00000000-0005-0000-0000-00002B000000}"/>
    <cellStyle name="Normal 2 3 2 2 2 3" xfId="63" xr:uid="{00000000-0005-0000-0000-00002C000000}"/>
    <cellStyle name="Normal 2 3 2 2 2 3 2" xfId="69" xr:uid="{00000000-0005-0000-0000-00002D000000}"/>
    <cellStyle name="Normal 2 3 2 2 2 4" xfId="64" xr:uid="{00000000-0005-0000-0000-00002E000000}"/>
    <cellStyle name="Normal 2 3 2 2 3" xfId="59" xr:uid="{00000000-0005-0000-0000-00002F000000}"/>
    <cellStyle name="Normal 2 3 2 2 3 2" xfId="67" xr:uid="{00000000-0005-0000-0000-000030000000}"/>
    <cellStyle name="Normal 3" xfId="16" xr:uid="{00000000-0005-0000-0000-000031000000}"/>
    <cellStyle name="Normal 3 2" xfId="4" xr:uid="{00000000-0005-0000-0000-000032000000}"/>
    <cellStyle name="Normal 4" xfId="51" xr:uid="{00000000-0005-0000-0000-000033000000}"/>
    <cellStyle name="Normal 4 2" xfId="55" xr:uid="{00000000-0005-0000-0000-000034000000}"/>
    <cellStyle name="Normal 5" xfId="60" xr:uid="{00000000-0005-0000-0000-000035000000}"/>
    <cellStyle name="Normal 5 2" xfId="2" xr:uid="{00000000-0005-0000-0000-000036000000}"/>
    <cellStyle name="Normal 6" xfId="62" xr:uid="{00000000-0005-0000-0000-000037000000}"/>
    <cellStyle name="Normal 6 2" xfId="66" xr:uid="{00000000-0005-0000-0000-000038000000}"/>
    <cellStyle name="Normal 7" xfId="65" xr:uid="{00000000-0005-0000-0000-000039000000}"/>
    <cellStyle name="Normal 8" xfId="68" xr:uid="{00000000-0005-0000-0000-00003A000000}"/>
    <cellStyle name="Normal 9" xfId="70" xr:uid="{00000000-0005-0000-0000-00003B000000}"/>
    <cellStyle name="Normal_C-76-79 Año 20112" xfId="5" xr:uid="{00000000-0005-0000-0000-00003C000000}"/>
    <cellStyle name="Normal_cuadro 7" xfId="1" xr:uid="{00000000-0005-0000-0000-00003D000000}"/>
    <cellStyle name="Normal_cuadro 87" xfId="58" xr:uid="{00000000-0005-0000-0000-00003E000000}"/>
    <cellStyle name="Notas 2" xfId="49" xr:uid="{00000000-0005-0000-0000-00003F000000}"/>
    <cellStyle name="Salida" xfId="11" builtinId="21" customBuiltin="1"/>
    <cellStyle name="Texto de advertencia 2" xfId="22" xr:uid="{00000000-0005-0000-0000-000041000000}"/>
    <cellStyle name="Texto explicativo 2" xfId="23" xr:uid="{00000000-0005-0000-0000-000042000000}"/>
    <cellStyle name="Título 2" xfId="8" builtinId="17" customBuiltin="1"/>
    <cellStyle name="Título 3" xfId="9" builtinId="18" customBuiltin="1"/>
    <cellStyle name="Título 4" xfId="17" xr:uid="{00000000-0005-0000-0000-000045000000}"/>
    <cellStyle name="Total" xfId="15" builtinId="25" customBuiltin="1"/>
  </cellStyles>
  <dxfs count="66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4" formatCode="#,##0.0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4" formatCode="#,##0.0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4" formatCode="#,##0.0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4" formatCode="#,##0.0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176" formatCode="0.00__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176" formatCode="0.00__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29" defaultTableStyle="TableStyleMedium2" defaultPivotStyle="PivotStyleLight16">
    <tableStyle name="C,101-style" pivot="0" count="2" xr9:uid="{00000000-0011-0000-FFFF-FFFF00000000}">
      <tableStyleElement type="firstRowStripe" dxfId="65"/>
      <tableStyleElement type="secondRowStripe" dxfId="64"/>
    </tableStyle>
    <tableStyle name="C,98-style" pivot="0" count="2" xr9:uid="{00000000-0011-0000-FFFF-FFFF01000000}">
      <tableStyleElement type="firstRowStripe" dxfId="63"/>
      <tableStyleElement type="secondRowStripe" dxfId="62"/>
    </tableStyle>
    <tableStyle name="C,99-style" pivot="0" count="2" xr9:uid="{00000000-0011-0000-FFFF-FFFF02000000}">
      <tableStyleElement type="firstRowStripe" dxfId="61"/>
      <tableStyleElement type="secondRowStripe" dxfId="60"/>
    </tableStyle>
    <tableStyle name="C.100-style" pivot="0" count="2" xr9:uid="{00000000-0011-0000-FFFF-FFFF03000000}">
      <tableStyleElement type="firstRowStripe" dxfId="59"/>
      <tableStyleElement type="secondRowStripe" dxfId="58"/>
    </tableStyle>
    <tableStyle name="C.100-style 2" pivot="0" count="2" xr9:uid="{00000000-0011-0000-FFFF-FFFF04000000}">
      <tableStyleElement type="firstRowStripe" dxfId="57"/>
      <tableStyleElement type="secondRowStripe" dxfId="56"/>
    </tableStyle>
    <tableStyle name="C.100-style 3" pivot="0" count="2" xr9:uid="{00000000-0011-0000-FFFF-FFFF05000000}">
      <tableStyleElement type="firstRowStripe" dxfId="55"/>
      <tableStyleElement type="secondRowStripe" dxfId="54"/>
    </tableStyle>
    <tableStyle name="C.100-style 4" pivot="0" count="2" xr9:uid="{00000000-0011-0000-FFFF-FFFF06000000}">
      <tableStyleElement type="firstRowStripe" dxfId="53"/>
      <tableStyleElement type="secondRowStripe" dxfId="52"/>
    </tableStyle>
    <tableStyle name="C.101-style" pivot="0" count="2" xr9:uid="{00000000-0011-0000-FFFF-FFFF07000000}">
      <tableStyleElement type="firstRowStripe" dxfId="51"/>
      <tableStyleElement type="secondRowStripe" dxfId="50"/>
    </tableStyle>
    <tableStyle name="C.101-style 2" pivot="0" count="2" xr9:uid="{00000000-0011-0000-FFFF-FFFF08000000}">
      <tableStyleElement type="firstRowStripe" dxfId="49"/>
      <tableStyleElement type="secondRowStripe" dxfId="48"/>
    </tableStyle>
    <tableStyle name="C.101-style 3" pivot="0" count="2" xr9:uid="{00000000-0011-0000-FFFF-FFFF09000000}">
      <tableStyleElement type="firstRowStripe" dxfId="47"/>
      <tableStyleElement type="secondRowStripe" dxfId="46"/>
    </tableStyle>
    <tableStyle name="C.101-style 4" pivot="0" count="2" xr9:uid="{00000000-0011-0000-FFFF-FFFF0A000000}">
      <tableStyleElement type="firstRowStripe" dxfId="45"/>
      <tableStyleElement type="secondRowStripe" dxfId="44"/>
    </tableStyle>
    <tableStyle name="C.96-style" pivot="0" count="3" xr9:uid="{00000000-0011-0000-FFFF-FFFF0B000000}">
      <tableStyleElement type="headerRow" dxfId="43"/>
      <tableStyleElement type="firstRowStripe" dxfId="42"/>
      <tableStyleElement type="secondRowStripe" dxfId="41"/>
    </tableStyle>
    <tableStyle name="C.96-style 2" pivot="0" count="2" xr9:uid="{00000000-0011-0000-FFFF-FFFF0C000000}">
      <tableStyleElement type="firstRowStripe" dxfId="40"/>
      <tableStyleElement type="secondRowStripe" dxfId="39"/>
    </tableStyle>
    <tableStyle name="C.96-style 3" pivot="0" count="2" xr9:uid="{00000000-0011-0000-FFFF-FFFF0D000000}">
      <tableStyleElement type="firstRowStripe" dxfId="38"/>
      <tableStyleElement type="secondRowStripe" dxfId="37"/>
    </tableStyle>
    <tableStyle name="C.96-style 4" pivot="0" count="2" xr9:uid="{00000000-0011-0000-FFFF-FFFF0E000000}">
      <tableStyleElement type="firstRowStripe" dxfId="36"/>
      <tableStyleElement type="secondRowStripe" dxfId="35"/>
    </tableStyle>
    <tableStyle name="C.96-style 5" pivot="0" count="2" xr9:uid="{00000000-0011-0000-FFFF-FFFF0F000000}">
      <tableStyleElement type="firstRowStripe" dxfId="34"/>
      <tableStyleElement type="secondRowStripe" dxfId="33"/>
    </tableStyle>
    <tableStyle name="C.96-style 6" pivot="0" count="2" xr9:uid="{00000000-0011-0000-FFFF-FFFF10000000}">
      <tableStyleElement type="firstRowStripe" dxfId="32"/>
      <tableStyleElement type="secondRowStripe" dxfId="31"/>
    </tableStyle>
    <tableStyle name="C.96-style 7" pivot="0" count="2" xr9:uid="{00000000-0011-0000-FFFF-FFFF11000000}">
      <tableStyleElement type="firstRowStripe" dxfId="30"/>
      <tableStyleElement type="secondRowStripe" dxfId="29"/>
    </tableStyle>
    <tableStyle name="C.96-style 8" pivot="0" count="2" xr9:uid="{00000000-0011-0000-FFFF-FFFF12000000}">
      <tableStyleElement type="firstRowStripe" dxfId="28"/>
      <tableStyleElement type="secondRowStripe" dxfId="27"/>
    </tableStyle>
    <tableStyle name="C.96-style 9" pivot="0" count="2" xr9:uid="{00000000-0011-0000-FFFF-FFFF13000000}">
      <tableStyleElement type="firstRowStripe" dxfId="26"/>
      <tableStyleElement type="secondRowStripe" dxfId="25"/>
    </tableStyle>
    <tableStyle name="C.97-style" pivot="0" count="2" xr9:uid="{00000000-0011-0000-FFFF-FFFF14000000}">
      <tableStyleElement type="firstRowStripe" dxfId="24"/>
      <tableStyleElement type="secondRowStripe" dxfId="23"/>
    </tableStyle>
    <tableStyle name="C.97-style 2" pivot="0" count="2" xr9:uid="{00000000-0011-0000-FFFF-FFFF15000000}">
      <tableStyleElement type="firstRowStripe" dxfId="22"/>
      <tableStyleElement type="secondRowStripe" dxfId="21"/>
    </tableStyle>
    <tableStyle name="C.98-style" pivot="0" count="2" xr9:uid="{00000000-0011-0000-FFFF-FFFF16000000}">
      <tableStyleElement type="firstRowStripe" dxfId="20"/>
      <tableStyleElement type="secondRowStripe" dxfId="19"/>
    </tableStyle>
    <tableStyle name="C.98-style 2" pivot="0" count="2" xr9:uid="{00000000-0011-0000-FFFF-FFFF17000000}">
      <tableStyleElement type="firstRowStripe" dxfId="18"/>
      <tableStyleElement type="secondRowStripe" dxfId="17"/>
    </tableStyle>
    <tableStyle name="C.99-style" pivot="0" count="2" xr9:uid="{00000000-0011-0000-FFFF-FFFF18000000}">
      <tableStyleElement type="firstRowStripe" dxfId="16"/>
      <tableStyleElement type="secondRowStripe" dxfId="15"/>
    </tableStyle>
    <tableStyle name="C.99-style 2" pivot="0" count="2" xr9:uid="{00000000-0011-0000-FFFF-FFFF19000000}">
      <tableStyleElement type="firstRowStripe" dxfId="14"/>
      <tableStyleElement type="secondRowStripe" dxfId="13"/>
    </tableStyle>
    <tableStyle name="C.99-style 3" pivot="0" count="2" xr9:uid="{00000000-0011-0000-FFFF-FFFF1A000000}">
      <tableStyleElement type="firstRowStripe" dxfId="12"/>
      <tableStyleElement type="secondRowStripe" dxfId="11"/>
    </tableStyle>
    <tableStyle name="C.99-style 4" pivot="0" count="2" xr9:uid="{00000000-0011-0000-FFFF-FFFF1B000000}">
      <tableStyleElement type="firstRowStripe" dxfId="10"/>
      <tableStyleElement type="secondRowStripe" dxfId="9"/>
    </tableStyle>
    <tableStyle name="C.99-style 5" pivot="0" count="2" xr9:uid="{00000000-0011-0000-FFFF-FFFF1C000000}">
      <tableStyleElement type="firstRowStripe" dxfId="8"/>
      <tableStyleElement type="secondRowStripe" dxfId="7"/>
    </tableStyle>
  </tableStyles>
  <colors>
    <mruColors>
      <color rgb="FFF1EFDC"/>
      <color rgb="FFA5A0EC"/>
      <color rgb="FFFEF5C2"/>
      <color rgb="FFB5B7D6"/>
      <color rgb="FFDEDFF5"/>
      <color rgb="FFE9E8FF"/>
      <color rgb="FFFFE287"/>
      <color rgb="FFFDEE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@/Archivosvm02/estadistica%20de%20insumos/Users/asihuas/Downloads/IND_ECONOMIC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2-3"/>
      <sheetName val="C-4-5-6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_1" displayName="Table_1" ref="B20:B25" headerRowCount="0" totalsRowCount="1">
  <tableColumns count="1">
    <tableColumn id="1" xr3:uid="{00000000-0010-0000-0000-000001000000}" name="Column1" totalsRowFunction="custom" dataDxfId="5" totalsRowDxfId="4">
      <totalsRowFormula>AVERAGE(B26:B32)</totalsRowFormula>
    </tableColumn>
  </tableColumns>
  <tableStyleInfo name="C.9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_2" displayName="Table_2" ref="B15:B25" headerRowCount="0" totalsRowCount="1">
  <tableColumns count="1">
    <tableColumn id="1" xr3:uid="{00000000-0010-0000-0100-000001000000}" name="Column1" totalsRowFunction="custom" dataDxfId="3" totalsRowDxfId="2">
      <totalsRowFormula>AVERAGE(B26:B27)</totalsRowFormula>
    </tableColumn>
  </tableColumns>
  <tableStyleInfo name="C.99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_3" displayName="Table_3" ref="B18:B35" headerRowCount="0" totalsRowShown="0">
  <tableColumns count="1">
    <tableColumn id="1" xr3:uid="{00000000-0010-0000-0200-000001000000}" name="Column1" dataDxfId="1" totalsRowDxfId="0"/>
  </tableColumns>
  <tableStyleInfo name="C.100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996"/>
  <sheetViews>
    <sheetView zoomScale="145" zoomScaleNormal="145" workbookViewId="0">
      <selection activeCell="B7" sqref="B7"/>
    </sheetView>
  </sheetViews>
  <sheetFormatPr baseColWidth="10" defaultColWidth="12.7109375" defaultRowHeight="15" customHeight="1" x14ac:dyDescent="0.2"/>
  <cols>
    <col min="1" max="1" width="6.42578125" style="185" customWidth="1"/>
    <col min="2" max="5" width="10.7109375" style="185" customWidth="1"/>
    <col min="6" max="6" width="50" style="185" customWidth="1"/>
    <col min="7" max="13" width="10.7109375" style="185" customWidth="1"/>
    <col min="14" max="16384" width="12.7109375" style="185"/>
  </cols>
  <sheetData>
    <row r="1" spans="1:7" ht="12.75" customHeight="1" x14ac:dyDescent="0.25">
      <c r="A1" s="182" t="s">
        <v>159</v>
      </c>
      <c r="B1" s="183"/>
      <c r="C1" s="183"/>
      <c r="D1" s="183"/>
      <c r="E1" s="183"/>
      <c r="F1" s="183"/>
      <c r="G1" s="184"/>
    </row>
    <row r="2" spans="1:7" ht="12.75" customHeight="1" x14ac:dyDescent="0.25">
      <c r="A2" s="186"/>
      <c r="B2" s="183"/>
      <c r="C2" s="183"/>
      <c r="D2" s="183"/>
      <c r="E2" s="183"/>
      <c r="F2" s="183"/>
      <c r="G2" s="184"/>
    </row>
    <row r="3" spans="1:7" ht="12.75" customHeight="1" x14ac:dyDescent="0.25">
      <c r="A3" s="183"/>
      <c r="B3" s="183"/>
      <c r="C3" s="183"/>
      <c r="D3" s="183"/>
      <c r="E3" s="183"/>
      <c r="F3" s="183"/>
    </row>
    <row r="4" spans="1:7" ht="12.75" customHeight="1" x14ac:dyDescent="0.25">
      <c r="A4" s="183"/>
      <c r="B4" s="187"/>
      <c r="C4" s="183"/>
      <c r="D4" s="183"/>
      <c r="E4" s="183"/>
      <c r="F4" s="183"/>
    </row>
    <row r="5" spans="1:7" ht="12.75" customHeight="1" x14ac:dyDescent="0.25">
      <c r="A5" s="188" t="s">
        <v>160</v>
      </c>
      <c r="B5" s="189" t="s">
        <v>161</v>
      </c>
      <c r="C5" s="189"/>
      <c r="D5" s="189"/>
      <c r="E5" s="189"/>
      <c r="F5" s="190"/>
    </row>
    <row r="6" spans="1:7" ht="20.100000000000001" customHeight="1" x14ac:dyDescent="0.25">
      <c r="A6" s="191" t="s">
        <v>162</v>
      </c>
      <c r="B6" s="395" t="s">
        <v>538</v>
      </c>
      <c r="C6" s="192"/>
      <c r="D6" s="193"/>
      <c r="E6" s="193"/>
      <c r="F6" s="193"/>
      <c r="G6" s="194"/>
    </row>
    <row r="7" spans="1:7" ht="17.25" customHeight="1" x14ac:dyDescent="0.25">
      <c r="A7" s="191" t="s">
        <v>163</v>
      </c>
      <c r="B7" s="191" t="s">
        <v>539</v>
      </c>
      <c r="C7" s="192"/>
      <c r="D7" s="193"/>
      <c r="E7" s="193"/>
      <c r="F7" s="193"/>
      <c r="G7" s="194"/>
    </row>
    <row r="8" spans="1:7" ht="9.9499999999999993" customHeight="1" x14ac:dyDescent="0.2">
      <c r="A8" s="695" t="s">
        <v>164</v>
      </c>
      <c r="B8" s="691" t="s">
        <v>540</v>
      </c>
      <c r="C8" s="694"/>
      <c r="D8" s="694"/>
      <c r="E8" s="694"/>
      <c r="F8" s="694"/>
      <c r="G8" s="194"/>
    </row>
    <row r="9" spans="1:7" ht="9.9499999999999993" customHeight="1" x14ac:dyDescent="0.2">
      <c r="A9" s="695"/>
      <c r="B9" s="691"/>
      <c r="C9" s="694"/>
      <c r="D9" s="694"/>
      <c r="E9" s="694"/>
      <c r="F9" s="694"/>
      <c r="G9" s="194"/>
    </row>
    <row r="10" spans="1:7" ht="9.9499999999999993" customHeight="1" x14ac:dyDescent="0.2">
      <c r="A10" s="695" t="s">
        <v>165</v>
      </c>
      <c r="B10" s="691" t="s">
        <v>541</v>
      </c>
      <c r="C10" s="694"/>
      <c r="D10" s="694"/>
      <c r="E10" s="694"/>
      <c r="F10" s="694"/>
      <c r="G10" s="194"/>
    </row>
    <row r="11" spans="1:7" ht="9.9499999999999993" customHeight="1" x14ac:dyDescent="0.2">
      <c r="A11" s="695"/>
      <c r="B11" s="691"/>
      <c r="C11" s="694"/>
      <c r="D11" s="694"/>
      <c r="E11" s="694"/>
      <c r="F11" s="694"/>
      <c r="G11" s="194"/>
    </row>
    <row r="12" spans="1:7" ht="9.9499999999999993" customHeight="1" x14ac:dyDescent="0.2">
      <c r="A12" s="695" t="s">
        <v>166</v>
      </c>
      <c r="B12" s="691" t="s">
        <v>542</v>
      </c>
      <c r="C12" s="694"/>
      <c r="D12" s="694"/>
      <c r="E12" s="694"/>
      <c r="F12" s="694"/>
      <c r="G12" s="194"/>
    </row>
    <row r="13" spans="1:7" ht="9.9499999999999993" customHeight="1" x14ac:dyDescent="0.2">
      <c r="A13" s="695"/>
      <c r="B13" s="691"/>
      <c r="C13" s="694"/>
      <c r="D13" s="694"/>
      <c r="E13" s="694"/>
      <c r="F13" s="694"/>
      <c r="G13" s="194"/>
    </row>
    <row r="14" spans="1:7" ht="9.9499999999999993" customHeight="1" x14ac:dyDescent="0.2">
      <c r="A14" s="695" t="s">
        <v>167</v>
      </c>
      <c r="B14" s="691" t="s">
        <v>543</v>
      </c>
      <c r="C14" s="692"/>
      <c r="D14" s="692"/>
      <c r="E14" s="692"/>
      <c r="F14" s="692"/>
      <c r="G14" s="194"/>
    </row>
    <row r="15" spans="1:7" ht="9.9499999999999993" customHeight="1" x14ac:dyDescent="0.2">
      <c r="A15" s="695"/>
      <c r="B15" s="693"/>
      <c r="C15" s="692"/>
      <c r="D15" s="692"/>
      <c r="E15" s="692"/>
      <c r="F15" s="692"/>
      <c r="G15" s="194"/>
    </row>
    <row r="16" spans="1:7" ht="9.9499999999999993" customHeight="1" x14ac:dyDescent="0.2">
      <c r="A16" s="695" t="s">
        <v>168</v>
      </c>
      <c r="B16" s="691" t="s">
        <v>544</v>
      </c>
      <c r="C16" s="692"/>
      <c r="D16" s="692"/>
      <c r="E16" s="692"/>
      <c r="F16" s="692"/>
      <c r="G16" s="194"/>
    </row>
    <row r="17" spans="1:7" ht="9.9499999999999993" customHeight="1" x14ac:dyDescent="0.2">
      <c r="A17" s="695"/>
      <c r="B17" s="693"/>
      <c r="C17" s="692"/>
      <c r="D17" s="692"/>
      <c r="E17" s="692"/>
      <c r="F17" s="692"/>
      <c r="G17" s="194"/>
    </row>
    <row r="18" spans="1:7" ht="9.9499999999999993" customHeight="1" x14ac:dyDescent="0.2">
      <c r="A18" s="695" t="s">
        <v>169</v>
      </c>
      <c r="B18" s="691" t="s">
        <v>545</v>
      </c>
      <c r="C18" s="692"/>
      <c r="D18" s="692"/>
      <c r="E18" s="692"/>
      <c r="F18" s="692"/>
      <c r="G18" s="194"/>
    </row>
    <row r="19" spans="1:7" ht="9.9499999999999993" customHeight="1" x14ac:dyDescent="0.2">
      <c r="A19" s="695"/>
      <c r="B19" s="693"/>
      <c r="C19" s="692"/>
      <c r="D19" s="692"/>
      <c r="E19" s="692"/>
      <c r="F19" s="692"/>
      <c r="G19" s="194"/>
    </row>
    <row r="20" spans="1:7" ht="9.9499999999999993" customHeight="1" x14ac:dyDescent="0.2">
      <c r="A20" s="695" t="s">
        <v>170</v>
      </c>
      <c r="B20" s="691" t="s">
        <v>588</v>
      </c>
      <c r="C20" s="692"/>
      <c r="D20" s="692"/>
      <c r="E20" s="692"/>
      <c r="F20" s="692"/>
      <c r="G20" s="194"/>
    </row>
    <row r="21" spans="1:7" ht="9.9499999999999993" customHeight="1" x14ac:dyDescent="0.2">
      <c r="A21" s="695"/>
      <c r="B21" s="693"/>
      <c r="C21" s="692"/>
      <c r="D21" s="692"/>
      <c r="E21" s="692"/>
      <c r="F21" s="692"/>
      <c r="G21" s="194"/>
    </row>
    <row r="22" spans="1:7" ht="9.9499999999999993" customHeight="1" x14ac:dyDescent="0.2">
      <c r="A22" s="695" t="s">
        <v>171</v>
      </c>
      <c r="B22" s="691" t="s">
        <v>546</v>
      </c>
      <c r="C22" s="692"/>
      <c r="D22" s="692"/>
      <c r="E22" s="692"/>
      <c r="F22" s="692"/>
      <c r="G22" s="194"/>
    </row>
    <row r="23" spans="1:7" ht="9.9499999999999993" customHeight="1" x14ac:dyDescent="0.2">
      <c r="A23" s="695"/>
      <c r="B23" s="693"/>
      <c r="C23" s="692"/>
      <c r="D23" s="692"/>
      <c r="E23" s="692"/>
      <c r="F23" s="692"/>
      <c r="G23" s="194"/>
    </row>
    <row r="24" spans="1:7" ht="9.9499999999999993" customHeight="1" x14ac:dyDescent="0.2">
      <c r="A24" s="695" t="s">
        <v>172</v>
      </c>
      <c r="B24" s="691" t="s">
        <v>547</v>
      </c>
      <c r="C24" s="692"/>
      <c r="D24" s="692"/>
      <c r="E24" s="692"/>
      <c r="F24" s="692"/>
      <c r="G24" s="194"/>
    </row>
    <row r="25" spans="1:7" ht="9.9499999999999993" customHeight="1" x14ac:dyDescent="0.2">
      <c r="A25" s="695"/>
      <c r="B25" s="693"/>
      <c r="C25" s="692"/>
      <c r="D25" s="692"/>
      <c r="E25" s="692"/>
      <c r="F25" s="692"/>
      <c r="G25" s="194"/>
    </row>
    <row r="26" spans="1:7" ht="9.75" customHeight="1" x14ac:dyDescent="0.2">
      <c r="A26" s="695" t="s">
        <v>173</v>
      </c>
      <c r="B26" s="691" t="s">
        <v>548</v>
      </c>
      <c r="C26" s="692"/>
      <c r="D26" s="692"/>
      <c r="E26" s="692"/>
      <c r="F26" s="692"/>
      <c r="G26" s="194"/>
    </row>
    <row r="27" spans="1:7" ht="9.75" customHeight="1" x14ac:dyDescent="0.2">
      <c r="A27" s="695"/>
      <c r="B27" s="693"/>
      <c r="C27" s="692"/>
      <c r="D27" s="692"/>
      <c r="E27" s="692"/>
      <c r="F27" s="692"/>
      <c r="G27" s="194"/>
    </row>
    <row r="28" spans="1:7" ht="20.100000000000001" customHeight="1" x14ac:dyDescent="0.2">
      <c r="A28" s="452" t="s">
        <v>174</v>
      </c>
      <c r="B28" s="192" t="s">
        <v>549</v>
      </c>
      <c r="C28" s="192"/>
      <c r="D28" s="193"/>
      <c r="E28" s="193"/>
      <c r="F28" s="193"/>
      <c r="G28" s="194"/>
    </row>
    <row r="29" spans="1:7" ht="20.100000000000001" customHeight="1" x14ac:dyDescent="0.2">
      <c r="A29" s="452" t="s">
        <v>175</v>
      </c>
      <c r="B29" s="192" t="s">
        <v>552</v>
      </c>
      <c r="C29" s="192"/>
      <c r="D29" s="193"/>
      <c r="E29" s="193"/>
      <c r="F29" s="193"/>
      <c r="G29" s="194"/>
    </row>
    <row r="30" spans="1:7" ht="20.100000000000001" customHeight="1" x14ac:dyDescent="0.2">
      <c r="A30" s="452" t="s">
        <v>176</v>
      </c>
      <c r="B30" s="192" t="s">
        <v>550</v>
      </c>
      <c r="C30" s="192"/>
      <c r="D30" s="193"/>
      <c r="E30" s="193"/>
      <c r="F30" s="193"/>
      <c r="G30" s="194"/>
    </row>
    <row r="31" spans="1:7" ht="20.100000000000001" customHeight="1" x14ac:dyDescent="0.2">
      <c r="A31" s="452" t="s">
        <v>177</v>
      </c>
      <c r="B31" s="192" t="s">
        <v>551</v>
      </c>
      <c r="C31" s="192"/>
      <c r="D31" s="193"/>
      <c r="E31" s="193"/>
      <c r="F31" s="193"/>
      <c r="G31" s="194"/>
    </row>
    <row r="32" spans="1:7" ht="20.100000000000001" customHeight="1" x14ac:dyDescent="0.2">
      <c r="A32" s="452" t="s">
        <v>178</v>
      </c>
      <c r="B32" s="192" t="s">
        <v>553</v>
      </c>
      <c r="C32" s="192"/>
      <c r="D32" s="193"/>
      <c r="E32" s="193"/>
      <c r="F32" s="193"/>
      <c r="G32" s="194"/>
    </row>
    <row r="33" spans="1:7" ht="20.100000000000001" customHeight="1" x14ac:dyDescent="0.2">
      <c r="A33" s="452" t="s">
        <v>179</v>
      </c>
      <c r="B33" s="192" t="s">
        <v>566</v>
      </c>
      <c r="C33" s="192"/>
      <c r="D33" s="193"/>
      <c r="E33" s="193"/>
      <c r="F33" s="193"/>
      <c r="G33" s="194"/>
    </row>
    <row r="34" spans="1:7" ht="20.100000000000001" customHeight="1" x14ac:dyDescent="0.2">
      <c r="A34" s="452" t="s">
        <v>180</v>
      </c>
      <c r="B34" s="192" t="s">
        <v>563</v>
      </c>
      <c r="C34" s="192"/>
      <c r="D34" s="193"/>
      <c r="E34" s="193"/>
      <c r="F34" s="193"/>
      <c r="G34" s="194"/>
    </row>
    <row r="35" spans="1:7" ht="20.100000000000001" customHeight="1" x14ac:dyDescent="0.2">
      <c r="A35" s="452" t="s">
        <v>181</v>
      </c>
      <c r="B35" s="192" t="s">
        <v>564</v>
      </c>
      <c r="C35" s="192"/>
      <c r="D35" s="193"/>
      <c r="E35" s="193"/>
      <c r="F35" s="193"/>
      <c r="G35" s="194"/>
    </row>
    <row r="36" spans="1:7" ht="20.100000000000001" customHeight="1" x14ac:dyDescent="0.2">
      <c r="A36" s="452" t="s">
        <v>182</v>
      </c>
      <c r="B36" s="192" t="s">
        <v>565</v>
      </c>
      <c r="C36" s="192"/>
      <c r="D36" s="193"/>
      <c r="E36" s="193"/>
      <c r="F36" s="193"/>
      <c r="G36" s="194"/>
    </row>
    <row r="37" spans="1:7" ht="20.100000000000001" customHeight="1" x14ac:dyDescent="0.25">
      <c r="A37" s="195"/>
      <c r="B37" s="196"/>
      <c r="C37" s="196"/>
      <c r="D37" s="196"/>
      <c r="E37" s="196"/>
      <c r="F37" s="196"/>
      <c r="G37" s="194"/>
    </row>
    <row r="38" spans="1:7" ht="20.100000000000001" customHeight="1" x14ac:dyDescent="0.25">
      <c r="A38" s="195"/>
      <c r="B38" s="196"/>
      <c r="C38" s="196"/>
      <c r="D38" s="196"/>
      <c r="E38" s="196"/>
      <c r="F38" s="196"/>
      <c r="G38" s="194"/>
    </row>
    <row r="39" spans="1:7" ht="20.100000000000001" customHeight="1" x14ac:dyDescent="0.25">
      <c r="A39" s="195"/>
      <c r="B39" s="196"/>
      <c r="C39" s="196"/>
      <c r="D39" s="196"/>
      <c r="E39" s="196"/>
      <c r="F39" s="196"/>
      <c r="G39" s="194"/>
    </row>
    <row r="40" spans="1:7" ht="20.100000000000001" customHeight="1" x14ac:dyDescent="0.25">
      <c r="A40" s="195"/>
      <c r="B40" s="196"/>
      <c r="C40" s="196"/>
      <c r="D40" s="196"/>
      <c r="E40" s="196"/>
      <c r="F40" s="196"/>
      <c r="G40" s="194"/>
    </row>
    <row r="41" spans="1:7" ht="12.75" customHeight="1" x14ac:dyDescent="0.25">
      <c r="A41" s="195"/>
      <c r="B41" s="196"/>
      <c r="C41" s="196"/>
      <c r="D41" s="196"/>
      <c r="E41" s="196"/>
      <c r="F41" s="196"/>
      <c r="G41" s="194"/>
    </row>
    <row r="42" spans="1:7" ht="12.75" customHeight="1" x14ac:dyDescent="0.25">
      <c r="A42" s="195"/>
      <c r="B42" s="196"/>
      <c r="C42" s="196"/>
      <c r="D42" s="196"/>
      <c r="E42" s="196"/>
      <c r="F42" s="196"/>
      <c r="G42" s="194"/>
    </row>
    <row r="43" spans="1:7" ht="12.75" customHeight="1" x14ac:dyDescent="0.2">
      <c r="B43" s="194"/>
      <c r="C43" s="194"/>
      <c r="D43" s="194"/>
      <c r="E43" s="194"/>
      <c r="F43" s="194"/>
      <c r="G43" s="194"/>
    </row>
    <row r="44" spans="1:7" ht="12.75" customHeight="1" x14ac:dyDescent="0.2"/>
    <row r="45" spans="1:7" ht="12.75" customHeight="1" x14ac:dyDescent="0.2"/>
    <row r="46" spans="1:7" ht="12.75" customHeight="1" x14ac:dyDescent="0.2"/>
    <row r="47" spans="1:7" ht="12.75" customHeight="1" x14ac:dyDescent="0.2"/>
    <row r="48" spans="1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</sheetData>
  <mergeCells count="20">
    <mergeCell ref="A22:A23"/>
    <mergeCell ref="A24:A25"/>
    <mergeCell ref="A26:A27"/>
    <mergeCell ref="A18:A19"/>
    <mergeCell ref="A20:A21"/>
    <mergeCell ref="A8:A9"/>
    <mergeCell ref="A10:A11"/>
    <mergeCell ref="A12:A13"/>
    <mergeCell ref="A14:A15"/>
    <mergeCell ref="A16:A17"/>
    <mergeCell ref="B8:F9"/>
    <mergeCell ref="B10:F11"/>
    <mergeCell ref="B12:F13"/>
    <mergeCell ref="B14:F15"/>
    <mergeCell ref="B16:F17"/>
    <mergeCell ref="B20:F21"/>
    <mergeCell ref="B22:F23"/>
    <mergeCell ref="B24:F25"/>
    <mergeCell ref="B26:F27"/>
    <mergeCell ref="B18:F19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8"/>
  <sheetViews>
    <sheetView showGridLines="0" topLeftCell="A60" zoomScaleNormal="100" workbookViewId="0">
      <selection activeCell="A60" sqref="A60:O109"/>
    </sheetView>
  </sheetViews>
  <sheetFormatPr baseColWidth="10" defaultColWidth="12.42578125" defaultRowHeight="12.75" x14ac:dyDescent="0.2"/>
  <cols>
    <col min="1" max="1" width="11.28515625" style="2" customWidth="1"/>
    <col min="2" max="2" width="5.28515625" style="2" customWidth="1"/>
    <col min="3" max="3" width="7" style="2" customWidth="1"/>
    <col min="4" max="15" width="6.28515625" style="2" customWidth="1"/>
    <col min="16" max="16384" width="12.42578125" style="2"/>
  </cols>
  <sheetData>
    <row r="1" spans="1:15" ht="13.5" x14ac:dyDescent="0.25">
      <c r="A1" s="70" t="s">
        <v>537</v>
      </c>
      <c r="B1" s="71"/>
      <c r="C1" s="71"/>
      <c r="D1" s="72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1:15" ht="5.0999999999999996" customHeight="1" x14ac:dyDescent="0.25">
      <c r="A2" s="73"/>
      <c r="B2" s="71"/>
      <c r="C2" s="71"/>
      <c r="D2" s="7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1:15" ht="14.1" customHeight="1" x14ac:dyDescent="0.2">
      <c r="A3" s="201" t="s">
        <v>54</v>
      </c>
      <c r="B3" s="202" t="s">
        <v>93</v>
      </c>
      <c r="C3" s="203" t="s">
        <v>562</v>
      </c>
      <c r="D3" s="204" t="s">
        <v>94</v>
      </c>
      <c r="E3" s="201" t="s">
        <v>95</v>
      </c>
      <c r="F3" s="201" t="s">
        <v>96</v>
      </c>
      <c r="G3" s="201" t="s">
        <v>97</v>
      </c>
      <c r="H3" s="201" t="s">
        <v>98</v>
      </c>
      <c r="I3" s="201" t="s">
        <v>99</v>
      </c>
      <c r="J3" s="201" t="s">
        <v>100</v>
      </c>
      <c r="K3" s="201" t="s">
        <v>101</v>
      </c>
      <c r="L3" s="201" t="s">
        <v>102</v>
      </c>
      <c r="M3" s="201" t="s">
        <v>103</v>
      </c>
      <c r="N3" s="201" t="s">
        <v>104</v>
      </c>
      <c r="O3" s="201" t="s">
        <v>105</v>
      </c>
    </row>
    <row r="4" spans="1:15" ht="11.1" customHeight="1" x14ac:dyDescent="0.2">
      <c r="A4" s="699" t="s">
        <v>126</v>
      </c>
      <c r="B4" s="205">
        <v>2015</v>
      </c>
      <c r="C4" s="206">
        <f>SUM(D4:L4)</f>
        <v>769277.58813999989</v>
      </c>
      <c r="D4" s="207">
        <f t="shared" ref="D4:O4" si="0">SUM(D15,D26,D37,D48,D62,D73,D84,D95)</f>
        <v>107453.84950000001</v>
      </c>
      <c r="E4" s="207">
        <f t="shared" si="0"/>
        <v>80187.48559099999</v>
      </c>
      <c r="F4" s="207">
        <f t="shared" si="0"/>
        <v>93405.832999999984</v>
      </c>
      <c r="G4" s="207">
        <f t="shared" si="0"/>
        <v>82563.778928999993</v>
      </c>
      <c r="H4" s="207">
        <f t="shared" si="0"/>
        <v>63602.246119999989</v>
      </c>
      <c r="I4" s="207">
        <f t="shared" si="0"/>
        <v>110816.413</v>
      </c>
      <c r="J4" s="207">
        <f t="shared" si="0"/>
        <v>58324.169000000002</v>
      </c>
      <c r="K4" s="207">
        <f t="shared" si="0"/>
        <v>66018.396500000003</v>
      </c>
      <c r="L4" s="207">
        <f t="shared" si="0"/>
        <v>106905.41649999999</v>
      </c>
      <c r="M4" s="207">
        <f t="shared" si="0"/>
        <v>68972.104000000007</v>
      </c>
      <c r="N4" s="207">
        <f t="shared" si="0"/>
        <v>44188.361120999994</v>
      </c>
      <c r="O4" s="207">
        <f t="shared" si="0"/>
        <v>119693.065</v>
      </c>
    </row>
    <row r="5" spans="1:15" ht="11.1" customHeight="1" x14ac:dyDescent="0.2">
      <c r="A5" s="700"/>
      <c r="B5" s="208">
        <v>2016</v>
      </c>
      <c r="C5" s="206">
        <f>SUM(D5:L5)</f>
        <v>660297.63604100002</v>
      </c>
      <c r="D5" s="206">
        <f t="shared" ref="D5:O5" si="1">SUM(D16,D27,D38,D49,D63,D74,D85,D96)</f>
        <v>68094.185099999988</v>
      </c>
      <c r="E5" s="206">
        <f t="shared" si="1"/>
        <v>98670.593000000008</v>
      </c>
      <c r="F5" s="206">
        <f t="shared" si="1"/>
        <v>51947.345899</v>
      </c>
      <c r="G5" s="206">
        <f t="shared" si="1"/>
        <v>36936.814810000003</v>
      </c>
      <c r="H5" s="206">
        <f t="shared" si="1"/>
        <v>49775.575720000001</v>
      </c>
      <c r="I5" s="206">
        <f t="shared" si="1"/>
        <v>89995.391478000005</v>
      </c>
      <c r="J5" s="206">
        <f t="shared" si="1"/>
        <v>78813.739499999996</v>
      </c>
      <c r="K5" s="206">
        <f t="shared" si="1"/>
        <v>101163.15000000001</v>
      </c>
      <c r="L5" s="206">
        <f t="shared" si="1"/>
        <v>84900.840533999988</v>
      </c>
      <c r="M5" s="206">
        <f t="shared" si="1"/>
        <v>154564.05161299999</v>
      </c>
      <c r="N5" s="206">
        <f t="shared" si="1"/>
        <v>106835.90216599999</v>
      </c>
      <c r="O5" s="206">
        <f t="shared" si="1"/>
        <v>126523.012</v>
      </c>
    </row>
    <row r="6" spans="1:15" ht="11.1" customHeight="1" x14ac:dyDescent="0.2">
      <c r="A6" s="700"/>
      <c r="B6" s="208">
        <v>2017</v>
      </c>
      <c r="C6" s="206">
        <f t="shared" ref="C6:C57" si="2">SUM(D6:L6)</f>
        <v>856051.83769500011</v>
      </c>
      <c r="D6" s="206">
        <f t="shared" ref="D6:O6" si="3">SUM(D17,D28,D39,D50,D64,D75,D86,D97)</f>
        <v>92723.36778</v>
      </c>
      <c r="E6" s="206">
        <f t="shared" si="3"/>
        <v>35583.096400000002</v>
      </c>
      <c r="F6" s="206">
        <f t="shared" si="3"/>
        <v>131335.15</v>
      </c>
      <c r="G6" s="206">
        <f t="shared" si="3"/>
        <v>131448.990552</v>
      </c>
      <c r="H6" s="206">
        <f t="shared" si="3"/>
        <v>105002.94959999999</v>
      </c>
      <c r="I6" s="206">
        <f t="shared" si="3"/>
        <v>108320.33707199999</v>
      </c>
      <c r="J6" s="206">
        <f t="shared" si="3"/>
        <v>77715.872100000008</v>
      </c>
      <c r="K6" s="206">
        <f t="shared" si="3"/>
        <v>125768.514058</v>
      </c>
      <c r="L6" s="206">
        <f t="shared" si="3"/>
        <v>48153.560132999999</v>
      </c>
      <c r="M6" s="206">
        <f t="shared" si="3"/>
        <v>108077.72999999998</v>
      </c>
      <c r="N6" s="206">
        <f t="shared" si="3"/>
        <v>92771.465691999998</v>
      </c>
      <c r="O6" s="206">
        <f t="shared" si="3"/>
        <v>203804.95549999998</v>
      </c>
    </row>
    <row r="7" spans="1:15" ht="11.1" customHeight="1" x14ac:dyDescent="0.2">
      <c r="A7" s="700"/>
      <c r="B7" s="208">
        <v>2018</v>
      </c>
      <c r="C7" s="206">
        <f t="shared" si="2"/>
        <v>716059.76951599994</v>
      </c>
      <c r="D7" s="206">
        <f t="shared" ref="D7:O7" si="4">SUM(D18,D29,D40,D51,D65,D76,D87,D98)</f>
        <v>49484.383000000002</v>
      </c>
      <c r="E7" s="206">
        <f t="shared" si="4"/>
        <v>58261.469059000003</v>
      </c>
      <c r="F7" s="206">
        <f t="shared" si="4"/>
        <v>128480.7025</v>
      </c>
      <c r="G7" s="206">
        <f t="shared" si="4"/>
        <v>64754.514219999997</v>
      </c>
      <c r="H7" s="206">
        <f t="shared" si="4"/>
        <v>68527.326499999996</v>
      </c>
      <c r="I7" s="206">
        <f t="shared" si="4"/>
        <v>27569.705000000002</v>
      </c>
      <c r="J7" s="206">
        <f t="shared" si="4"/>
        <v>112890.64899999999</v>
      </c>
      <c r="K7" s="206">
        <f t="shared" si="4"/>
        <v>116210.026237</v>
      </c>
      <c r="L7" s="206">
        <f t="shared" si="4"/>
        <v>89880.993999999992</v>
      </c>
      <c r="M7" s="206">
        <f t="shared" si="4"/>
        <v>159047.40380500001</v>
      </c>
      <c r="N7" s="206">
        <f t="shared" si="4"/>
        <v>39801.206959999996</v>
      </c>
      <c r="O7" s="206">
        <f t="shared" si="4"/>
        <v>72860.983999999997</v>
      </c>
    </row>
    <row r="8" spans="1:15" ht="11.1" customHeight="1" x14ac:dyDescent="0.2">
      <c r="A8" s="700"/>
      <c r="B8" s="208">
        <v>2019</v>
      </c>
      <c r="C8" s="206">
        <f t="shared" si="2"/>
        <v>895514.35879099998</v>
      </c>
      <c r="D8" s="206">
        <f t="shared" ref="D8:O8" si="5">SUM(D19,D30,D41,D52,D66,D77,D88,D99)</f>
        <v>28102.462500000001</v>
      </c>
      <c r="E8" s="206">
        <f t="shared" si="5"/>
        <v>150143.17700000003</v>
      </c>
      <c r="F8" s="206">
        <f t="shared" si="5"/>
        <v>80767.448500000013</v>
      </c>
      <c r="G8" s="206">
        <f t="shared" si="5"/>
        <v>155149.28037399999</v>
      </c>
      <c r="H8" s="206">
        <f t="shared" si="5"/>
        <v>160924.85224199999</v>
      </c>
      <c r="I8" s="206">
        <f t="shared" si="5"/>
        <v>62410.352499999994</v>
      </c>
      <c r="J8" s="206">
        <f t="shared" si="5"/>
        <v>51947.361713999999</v>
      </c>
      <c r="K8" s="206">
        <f t="shared" si="5"/>
        <v>61988.266665000003</v>
      </c>
      <c r="L8" s="206">
        <f t="shared" si="5"/>
        <v>144081.15729599999</v>
      </c>
      <c r="M8" s="206">
        <f t="shared" si="5"/>
        <v>65257.217950000006</v>
      </c>
      <c r="N8" s="206">
        <f t="shared" si="5"/>
        <v>130538.64549999998</v>
      </c>
      <c r="O8" s="206">
        <f t="shared" si="5"/>
        <v>111354.298429</v>
      </c>
    </row>
    <row r="9" spans="1:15" ht="11.1" customHeight="1" x14ac:dyDescent="0.2">
      <c r="A9" s="700"/>
      <c r="B9" s="208">
        <v>2020</v>
      </c>
      <c r="C9" s="206">
        <f t="shared" si="2"/>
        <v>820640.004526</v>
      </c>
      <c r="D9" s="206">
        <f t="shared" ref="D9:O9" si="6">SUM(D20,D31,D42,D53,D67,D78,D89,D100)</f>
        <v>44090.572</v>
      </c>
      <c r="E9" s="206">
        <f t="shared" si="6"/>
        <v>80768.157580000014</v>
      </c>
      <c r="F9" s="206">
        <f t="shared" si="6"/>
        <v>61774.391999999993</v>
      </c>
      <c r="G9" s="206">
        <f t="shared" si="6"/>
        <v>113917.280036</v>
      </c>
      <c r="H9" s="206">
        <f t="shared" si="6"/>
        <v>90072.00529999999</v>
      </c>
      <c r="I9" s="206">
        <f t="shared" si="6"/>
        <v>90446.288</v>
      </c>
      <c r="J9" s="206">
        <f t="shared" si="6"/>
        <v>200418.50399999999</v>
      </c>
      <c r="K9" s="206">
        <f t="shared" si="6"/>
        <v>76831.721609999993</v>
      </c>
      <c r="L9" s="206">
        <f t="shared" si="6"/>
        <v>62321.084000000003</v>
      </c>
      <c r="M9" s="206">
        <f t="shared" si="6"/>
        <v>167820.02308000001</v>
      </c>
      <c r="N9" s="206">
        <f t="shared" si="6"/>
        <v>103355.895</v>
      </c>
      <c r="O9" s="206">
        <f t="shared" si="6"/>
        <v>175630.94399999999</v>
      </c>
    </row>
    <row r="10" spans="1:15" ht="11.1" customHeight="1" x14ac:dyDescent="0.2">
      <c r="A10" s="700"/>
      <c r="B10" s="208">
        <v>2021</v>
      </c>
      <c r="C10" s="206">
        <f t="shared" si="2"/>
        <v>850901.05273999996</v>
      </c>
      <c r="D10" s="206">
        <f t="shared" ref="D10:O10" si="7">SUM(D21,D32,D43,D54,D68,D79,D90,D101)</f>
        <v>46729.076999999997</v>
      </c>
      <c r="E10" s="206">
        <f t="shared" si="7"/>
        <v>53232.084000000003</v>
      </c>
      <c r="F10" s="206">
        <f t="shared" si="7"/>
        <v>132208.62749999997</v>
      </c>
      <c r="G10" s="206">
        <f t="shared" si="7"/>
        <v>93833.010999999999</v>
      </c>
      <c r="H10" s="206">
        <f t="shared" si="7"/>
        <v>109433.54399999999</v>
      </c>
      <c r="I10" s="206">
        <f t="shared" si="7"/>
        <v>101062.514</v>
      </c>
      <c r="J10" s="206">
        <f t="shared" si="7"/>
        <v>120553.962</v>
      </c>
      <c r="K10" s="206">
        <f t="shared" si="7"/>
        <v>76897.616590000005</v>
      </c>
      <c r="L10" s="206">
        <f t="shared" si="7"/>
        <v>116950.61664999998</v>
      </c>
      <c r="M10" s="206">
        <f t="shared" si="7"/>
        <v>115622.65899999999</v>
      </c>
      <c r="N10" s="206">
        <f t="shared" si="7"/>
        <v>114810.10629999998</v>
      </c>
      <c r="O10" s="206">
        <f t="shared" si="7"/>
        <v>125672.42701</v>
      </c>
    </row>
    <row r="11" spans="1:15" ht="11.1" customHeight="1" x14ac:dyDescent="0.2">
      <c r="A11" s="700"/>
      <c r="B11" s="208">
        <v>2022</v>
      </c>
      <c r="C11" s="206">
        <f t="shared" si="2"/>
        <v>772304.66229000001</v>
      </c>
      <c r="D11" s="206">
        <f t="shared" ref="D11:O11" si="8">SUM(D22,D33,D44,D55,D69,D80,D91,D102)</f>
        <v>57584.665210000006</v>
      </c>
      <c r="E11" s="206">
        <f t="shared" si="8"/>
        <v>57323.518119999993</v>
      </c>
      <c r="F11" s="206">
        <f t="shared" si="8"/>
        <v>83657.985499999995</v>
      </c>
      <c r="G11" s="206">
        <f t="shared" si="8"/>
        <v>64792.617560000006</v>
      </c>
      <c r="H11" s="206">
        <f t="shared" si="8"/>
        <v>86914.500780000002</v>
      </c>
      <c r="I11" s="206">
        <f t="shared" si="8"/>
        <v>75939.010330000019</v>
      </c>
      <c r="J11" s="206">
        <f t="shared" si="8"/>
        <v>110065.02743999999</v>
      </c>
      <c r="K11" s="206">
        <f t="shared" si="8"/>
        <v>141106.20243</v>
      </c>
      <c r="L11" s="206">
        <f t="shared" si="8"/>
        <v>94921.134919999997</v>
      </c>
      <c r="M11" s="206">
        <f t="shared" si="8"/>
        <v>62887.413089999995</v>
      </c>
      <c r="N11" s="206">
        <f t="shared" si="8"/>
        <v>47229.510719999998</v>
      </c>
      <c r="O11" s="206">
        <f t="shared" si="8"/>
        <v>148891.00518999997</v>
      </c>
    </row>
    <row r="12" spans="1:15" ht="11.1" customHeight="1" x14ac:dyDescent="0.2">
      <c r="A12" s="700"/>
      <c r="B12" s="208">
        <v>2023</v>
      </c>
      <c r="C12" s="206">
        <f>SUM(D12:L12)</f>
        <v>645407.72409999999</v>
      </c>
      <c r="D12" s="206">
        <f t="shared" ref="D12:O12" si="9">SUM(D23,D34,D45,D56,D70,D81,D92,D103)</f>
        <v>103335.45329999999</v>
      </c>
      <c r="E12" s="206">
        <f t="shared" si="9"/>
        <v>64074.903240000007</v>
      </c>
      <c r="F12" s="206">
        <f t="shared" si="9"/>
        <v>90092.891419999985</v>
      </c>
      <c r="G12" s="206">
        <f t="shared" si="9"/>
        <v>74674.905869999988</v>
      </c>
      <c r="H12" s="206">
        <f t="shared" si="9"/>
        <v>9303.82</v>
      </c>
      <c r="I12" s="206">
        <f t="shared" si="9"/>
        <v>66548.69445000001</v>
      </c>
      <c r="J12" s="206">
        <f t="shared" si="9"/>
        <v>44419.74912</v>
      </c>
      <c r="K12" s="206">
        <f t="shared" si="9"/>
        <v>90646.846120000002</v>
      </c>
      <c r="L12" s="206">
        <f t="shared" si="9"/>
        <v>102310.46058000001</v>
      </c>
      <c r="M12" s="206">
        <f t="shared" si="9"/>
        <v>52298.631389999995</v>
      </c>
      <c r="N12" s="206">
        <f t="shared" si="9"/>
        <v>115443.42012000002</v>
      </c>
      <c r="O12" s="206">
        <f t="shared" si="9"/>
        <v>99727.028999999995</v>
      </c>
    </row>
    <row r="13" spans="1:15" ht="11.1" customHeight="1" x14ac:dyDescent="0.2">
      <c r="A13" s="700"/>
      <c r="B13" s="208">
        <v>2024</v>
      </c>
      <c r="C13" s="206">
        <f>SUM(D13:L13)</f>
        <v>1034501.7581799999</v>
      </c>
      <c r="D13" s="206">
        <f t="shared" ref="D13:O13" si="10">SUM(D24,D35,D46,D57,D71,D82,D93,D104)</f>
        <v>114431.01999999999</v>
      </c>
      <c r="E13" s="206">
        <f t="shared" si="10"/>
        <v>211799.45475999996</v>
      </c>
      <c r="F13" s="206">
        <f t="shared" si="10"/>
        <v>97481.727249999996</v>
      </c>
      <c r="G13" s="206">
        <f t="shared" si="10"/>
        <v>69761.763489999983</v>
      </c>
      <c r="H13" s="206">
        <f t="shared" si="10"/>
        <v>83930.565040000001</v>
      </c>
      <c r="I13" s="206">
        <f t="shared" si="10"/>
        <v>91778.589260000008</v>
      </c>
      <c r="J13" s="206">
        <f t="shared" si="10"/>
        <v>148023.35738</v>
      </c>
      <c r="K13" s="206">
        <f t="shared" si="10"/>
        <v>95632.552000000011</v>
      </c>
      <c r="L13" s="206">
        <f t="shared" si="10"/>
        <v>121662.72899999999</v>
      </c>
      <c r="M13" s="206">
        <f t="shared" si="10"/>
        <v>127703.97500000001</v>
      </c>
      <c r="N13" s="206">
        <f t="shared" si="10"/>
        <v>97364.06</v>
      </c>
      <c r="O13" s="206">
        <f t="shared" si="10"/>
        <v>73289</v>
      </c>
    </row>
    <row r="14" spans="1:15" ht="11.1" customHeight="1" x14ac:dyDescent="0.2">
      <c r="A14" s="701"/>
      <c r="B14" s="208">
        <v>2025</v>
      </c>
      <c r="C14" s="209">
        <f>SUM(D14:L14)</f>
        <v>836732.52639000001</v>
      </c>
      <c r="D14" s="206">
        <f t="shared" ref="D14:L14" si="11">SUM(D25,D36,D47,D58,D72,D83,D94,D105)</f>
        <v>165924.87800000003</v>
      </c>
      <c r="E14" s="206">
        <f t="shared" si="11"/>
        <v>51035.388059999997</v>
      </c>
      <c r="F14" s="206">
        <f t="shared" si="11"/>
        <v>86937.136160000009</v>
      </c>
      <c r="G14" s="206">
        <f t="shared" si="11"/>
        <v>68331.454530000003</v>
      </c>
      <c r="H14" s="206">
        <f t="shared" si="11"/>
        <v>101478.67847000001</v>
      </c>
      <c r="I14" s="206">
        <f t="shared" si="11"/>
        <v>105319.07799999999</v>
      </c>
      <c r="J14" s="206">
        <f t="shared" si="11"/>
        <v>96359.597720000005</v>
      </c>
      <c r="K14" s="206">
        <f t="shared" si="11"/>
        <v>27108.806619999996</v>
      </c>
      <c r="L14" s="206">
        <f t="shared" si="11"/>
        <v>134237.50882999998</v>
      </c>
      <c r="M14" s="206"/>
      <c r="N14" s="206"/>
      <c r="O14" s="209"/>
    </row>
    <row r="15" spans="1:15" ht="11.1" customHeight="1" x14ac:dyDescent="0.2">
      <c r="A15" s="696" t="s">
        <v>127</v>
      </c>
      <c r="B15" s="74">
        <v>2015</v>
      </c>
      <c r="C15" s="206">
        <f t="shared" si="2"/>
        <v>303013.27</v>
      </c>
      <c r="D15" s="75">
        <v>20142.518</v>
      </c>
      <c r="E15" s="76">
        <v>34887.99</v>
      </c>
      <c r="F15" s="76">
        <v>63697.8</v>
      </c>
      <c r="G15" s="76">
        <v>32069.08</v>
      </c>
      <c r="H15" s="76">
        <v>24125.11</v>
      </c>
      <c r="I15" s="76">
        <v>45333.54</v>
      </c>
      <c r="J15" s="76">
        <v>40801.019999999997</v>
      </c>
      <c r="K15" s="76">
        <v>21792.156999999999</v>
      </c>
      <c r="L15" s="76">
        <v>20164.055</v>
      </c>
      <c r="M15" s="76">
        <v>68521.278000000006</v>
      </c>
      <c r="N15" s="76">
        <v>4362.91</v>
      </c>
      <c r="O15" s="79">
        <v>48411.44</v>
      </c>
    </row>
    <row r="16" spans="1:15" ht="11.1" customHeight="1" x14ac:dyDescent="0.2">
      <c r="A16" s="697"/>
      <c r="B16" s="77">
        <v>2016</v>
      </c>
      <c r="C16" s="206">
        <f t="shared" si="2"/>
        <v>222003.13178200001</v>
      </c>
      <c r="D16" s="78">
        <v>29334.712</v>
      </c>
      <c r="E16" s="79">
        <v>48120.77</v>
      </c>
      <c r="F16" s="79">
        <v>10318.824000000001</v>
      </c>
      <c r="G16" s="79">
        <v>18763.096000000001</v>
      </c>
      <c r="H16" s="79">
        <v>12701.21</v>
      </c>
      <c r="I16" s="79">
        <v>5748.589782</v>
      </c>
      <c r="J16" s="79">
        <v>32731.17</v>
      </c>
      <c r="K16" s="79">
        <v>47096.51</v>
      </c>
      <c r="L16" s="79">
        <v>17188.25</v>
      </c>
      <c r="M16" s="79">
        <v>22901.482613</v>
      </c>
      <c r="N16" s="79">
        <v>55502.26</v>
      </c>
      <c r="O16" s="79">
        <v>57647.26</v>
      </c>
    </row>
    <row r="17" spans="1:15" ht="11.1" customHeight="1" x14ac:dyDescent="0.2">
      <c r="A17" s="697"/>
      <c r="B17" s="77">
        <v>2017</v>
      </c>
      <c r="C17" s="206">
        <f t="shared" si="2"/>
        <v>308143.10500000004</v>
      </c>
      <c r="D17" s="78">
        <v>2863.82</v>
      </c>
      <c r="E17" s="79">
        <v>18136.439999999999</v>
      </c>
      <c r="F17" s="79">
        <v>32720.14</v>
      </c>
      <c r="G17" s="79">
        <v>58983.3</v>
      </c>
      <c r="H17" s="79">
        <v>54269.59</v>
      </c>
      <c r="I17" s="79">
        <v>57058.563999999998</v>
      </c>
      <c r="J17" s="79">
        <v>40290.89</v>
      </c>
      <c r="K17" s="79">
        <v>15893.65</v>
      </c>
      <c r="L17" s="79">
        <v>27926.710999999999</v>
      </c>
      <c r="M17" s="79">
        <v>5899.77</v>
      </c>
      <c r="N17" s="79">
        <v>36304.802000000003</v>
      </c>
      <c r="O17" s="79">
        <v>63341.123</v>
      </c>
    </row>
    <row r="18" spans="1:15" ht="11.1" customHeight="1" x14ac:dyDescent="0.2">
      <c r="A18" s="697"/>
      <c r="B18" s="77">
        <v>2018</v>
      </c>
      <c r="C18" s="206">
        <f t="shared" si="2"/>
        <v>189735.98191999999</v>
      </c>
      <c r="D18" s="78">
        <v>19507.517</v>
      </c>
      <c r="E18" s="79">
        <v>14270.177</v>
      </c>
      <c r="F18" s="79">
        <v>36168.949999999997</v>
      </c>
      <c r="G18" s="79">
        <v>0</v>
      </c>
      <c r="H18" s="79">
        <v>18482.18</v>
      </c>
      <c r="I18" s="79">
        <v>14245.05</v>
      </c>
      <c r="J18" s="79">
        <v>12814.61</v>
      </c>
      <c r="K18" s="79">
        <v>30441.012920000001</v>
      </c>
      <c r="L18" s="79">
        <v>43806.485000000001</v>
      </c>
      <c r="M18" s="79">
        <v>42351.240325000006</v>
      </c>
      <c r="N18" s="79">
        <v>3522.7620000000002</v>
      </c>
      <c r="O18" s="79">
        <v>21290.560000000001</v>
      </c>
    </row>
    <row r="19" spans="1:15" ht="11.1" customHeight="1" x14ac:dyDescent="0.2">
      <c r="A19" s="697"/>
      <c r="B19" s="77">
        <v>2019</v>
      </c>
      <c r="C19" s="206">
        <f t="shared" si="2"/>
        <v>318113.76221100002</v>
      </c>
      <c r="D19" s="78">
        <v>83.4</v>
      </c>
      <c r="E19" s="79">
        <v>64448.69</v>
      </c>
      <c r="F19" s="79">
        <v>22929.98</v>
      </c>
      <c r="G19" s="79">
        <v>57947.76</v>
      </c>
      <c r="H19" s="79">
        <v>76256.649999999994</v>
      </c>
      <c r="I19" s="79">
        <v>63.01</v>
      </c>
      <c r="J19" s="79">
        <v>31460.23</v>
      </c>
      <c r="K19" s="79">
        <v>20043.944664999999</v>
      </c>
      <c r="L19" s="79">
        <v>44880.097545999997</v>
      </c>
      <c r="M19" s="79">
        <v>10259.129999999999</v>
      </c>
      <c r="N19" s="79">
        <v>35640.904999999999</v>
      </c>
      <c r="O19" s="79">
        <v>34990.29</v>
      </c>
    </row>
    <row r="20" spans="1:15" ht="11.1" customHeight="1" x14ac:dyDescent="0.2">
      <c r="A20" s="697"/>
      <c r="B20" s="77">
        <v>2020</v>
      </c>
      <c r="C20" s="206">
        <f t="shared" si="2"/>
        <v>272689.07429000002</v>
      </c>
      <c r="D20" s="78">
        <v>10205.470000000001</v>
      </c>
      <c r="E20" s="79">
        <v>40386.874990000004</v>
      </c>
      <c r="F20" s="79">
        <v>147.91800000000001</v>
      </c>
      <c r="G20" s="79">
        <v>49777.279000000002</v>
      </c>
      <c r="H20" s="79">
        <v>9773.2672999999995</v>
      </c>
      <c r="I20" s="79">
        <v>22797.53</v>
      </c>
      <c r="J20" s="79">
        <v>111215.495</v>
      </c>
      <c r="K20" s="79">
        <v>13427.25</v>
      </c>
      <c r="L20" s="79">
        <v>14957.990000000002</v>
      </c>
      <c r="M20" s="79">
        <v>39719.240000000005</v>
      </c>
      <c r="N20" s="79">
        <v>3127.52</v>
      </c>
      <c r="O20" s="79">
        <v>58064.187999999995</v>
      </c>
    </row>
    <row r="21" spans="1:15" ht="11.1" customHeight="1" x14ac:dyDescent="0.2">
      <c r="A21" s="697"/>
      <c r="B21" s="77">
        <v>2021</v>
      </c>
      <c r="C21" s="206">
        <f t="shared" si="2"/>
        <v>234923.10304000002</v>
      </c>
      <c r="D21" s="78">
        <v>4610.16</v>
      </c>
      <c r="E21" s="79">
        <v>32199.059000000001</v>
      </c>
      <c r="F21" s="79">
        <v>60077.06</v>
      </c>
      <c r="G21" s="79">
        <v>12945.6</v>
      </c>
      <c r="H21" s="79">
        <v>9229.86</v>
      </c>
      <c r="I21" s="79">
        <v>34595</v>
      </c>
      <c r="J21" s="79">
        <v>22753.260000000002</v>
      </c>
      <c r="K21" s="79">
        <v>24906.11404</v>
      </c>
      <c r="L21" s="79">
        <v>33606.99</v>
      </c>
      <c r="M21" s="79">
        <v>52030.149999999987</v>
      </c>
      <c r="N21" s="79">
        <v>20340.78</v>
      </c>
      <c r="O21" s="79">
        <v>18137.2</v>
      </c>
    </row>
    <row r="22" spans="1:15" ht="11.1" customHeight="1" x14ac:dyDescent="0.2">
      <c r="A22" s="697"/>
      <c r="B22" s="77">
        <v>2022</v>
      </c>
      <c r="C22" s="206">
        <f t="shared" si="2"/>
        <v>205756.61627999999</v>
      </c>
      <c r="D22" s="78">
        <v>12634.89</v>
      </c>
      <c r="E22" s="78">
        <v>528.65</v>
      </c>
      <c r="F22" s="79">
        <v>2101.6909999999998</v>
      </c>
      <c r="G22" s="79">
        <v>37896.707669999996</v>
      </c>
      <c r="H22" s="79">
        <v>7527.716999999996</v>
      </c>
      <c r="I22" s="79">
        <v>42028.459330000005</v>
      </c>
      <c r="J22" s="79">
        <v>26867.431</v>
      </c>
      <c r="K22" s="79">
        <v>58812.74699</v>
      </c>
      <c r="L22" s="79">
        <v>17358.323289999997</v>
      </c>
      <c r="M22" s="79">
        <v>24949.995999999999</v>
      </c>
      <c r="N22" s="79">
        <v>22203.17</v>
      </c>
      <c r="O22" s="79">
        <v>77377.01999999999</v>
      </c>
    </row>
    <row r="23" spans="1:15" ht="11.1" customHeight="1" x14ac:dyDescent="0.2">
      <c r="A23" s="697"/>
      <c r="B23" s="77">
        <v>2023</v>
      </c>
      <c r="C23" s="206">
        <f t="shared" si="2"/>
        <v>187909.27680999998</v>
      </c>
      <c r="D23" s="78">
        <v>42422.149299999997</v>
      </c>
      <c r="E23" s="78">
        <v>2.2120000000000001E-2</v>
      </c>
      <c r="F23" s="79">
        <v>38940.31</v>
      </c>
      <c r="G23" s="79">
        <v>42527.927139999985</v>
      </c>
      <c r="H23" s="79">
        <v>282.98</v>
      </c>
      <c r="I23" s="79">
        <v>4277.9582499999988</v>
      </c>
      <c r="J23" s="79">
        <v>10585.77</v>
      </c>
      <c r="K23" s="79">
        <v>14704.82</v>
      </c>
      <c r="L23" s="79">
        <v>34167.340000000004</v>
      </c>
      <c r="M23" s="79">
        <v>30517.813499999997</v>
      </c>
      <c r="N23" s="79">
        <v>22173.8</v>
      </c>
      <c r="O23" s="79">
        <v>14957.94</v>
      </c>
    </row>
    <row r="24" spans="1:15" ht="11.1" customHeight="1" x14ac:dyDescent="0.2">
      <c r="A24" s="697"/>
      <c r="B24" s="77">
        <v>2024</v>
      </c>
      <c r="C24" s="206">
        <f t="shared" si="2"/>
        <v>370248.91650000005</v>
      </c>
      <c r="D24" s="78">
        <v>39338.629999999997</v>
      </c>
      <c r="E24" s="78">
        <v>85021.95</v>
      </c>
      <c r="F24" s="78">
        <v>23247.01</v>
      </c>
      <c r="G24" s="78">
        <v>16427.479999999996</v>
      </c>
      <c r="H24" s="78">
        <v>28531.670000000002</v>
      </c>
      <c r="I24" s="79">
        <v>18630.010000000002</v>
      </c>
      <c r="J24" s="79">
        <v>47896.645499999984</v>
      </c>
      <c r="K24" s="79">
        <v>49556.766000000003</v>
      </c>
      <c r="L24" s="79">
        <v>61598.754999999997</v>
      </c>
      <c r="M24" s="79">
        <v>10503.195</v>
      </c>
      <c r="N24" s="79">
        <v>39440</v>
      </c>
      <c r="O24" s="79">
        <v>21679</v>
      </c>
    </row>
    <row r="25" spans="1:15" ht="11.1" customHeight="1" x14ac:dyDescent="0.2">
      <c r="A25" s="697"/>
      <c r="B25" s="77">
        <v>2025</v>
      </c>
      <c r="C25" s="209">
        <f t="shared" si="2"/>
        <v>240767.29313000001</v>
      </c>
      <c r="D25" s="80">
        <v>35231.090000000004</v>
      </c>
      <c r="E25" s="80">
        <v>35203.12674</v>
      </c>
      <c r="F25" s="80">
        <v>31383.449860000001</v>
      </c>
      <c r="G25" s="78">
        <v>7969.7355299999999</v>
      </c>
      <c r="H25" s="78">
        <v>25152.994000000006</v>
      </c>
      <c r="I25" s="78">
        <v>27642.157999999999</v>
      </c>
      <c r="J25" s="78">
        <v>27918.652999999995</v>
      </c>
      <c r="K25" s="78">
        <v>11526.64</v>
      </c>
      <c r="L25" s="78">
        <v>38739.445999999996</v>
      </c>
    </row>
    <row r="26" spans="1:15" ht="11.1" customHeight="1" x14ac:dyDescent="0.2">
      <c r="A26" s="696" t="s">
        <v>128</v>
      </c>
      <c r="B26" s="74">
        <v>2015</v>
      </c>
      <c r="C26" s="206">
        <f t="shared" si="2"/>
        <v>50571.97</v>
      </c>
      <c r="D26" s="78">
        <v>10887.08</v>
      </c>
      <c r="E26" s="78">
        <v>0</v>
      </c>
      <c r="F26" s="79">
        <v>0</v>
      </c>
      <c r="G26" s="76">
        <v>30705.66</v>
      </c>
      <c r="H26" s="76">
        <v>8979.23</v>
      </c>
      <c r="I26" s="75">
        <v>0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</row>
    <row r="27" spans="1:15" ht="11.1" customHeight="1" x14ac:dyDescent="0.2">
      <c r="A27" s="697"/>
      <c r="B27" s="77">
        <v>2016</v>
      </c>
      <c r="C27" s="206">
        <f t="shared" si="2"/>
        <v>61416.7405</v>
      </c>
      <c r="D27" s="78">
        <v>0</v>
      </c>
      <c r="E27" s="79">
        <v>0</v>
      </c>
      <c r="F27" s="79">
        <v>0</v>
      </c>
      <c r="G27" s="79">
        <v>0</v>
      </c>
      <c r="H27" s="79">
        <v>5.0000000000000001E-4</v>
      </c>
      <c r="I27" s="79">
        <v>23639.71</v>
      </c>
      <c r="J27" s="79">
        <v>12322.61</v>
      </c>
      <c r="K27" s="79">
        <v>0</v>
      </c>
      <c r="L27" s="79">
        <v>25454.42</v>
      </c>
      <c r="M27" s="79">
        <v>33083.11</v>
      </c>
      <c r="N27" s="79">
        <v>0</v>
      </c>
      <c r="O27" s="79">
        <v>33505.699999999997</v>
      </c>
    </row>
    <row r="28" spans="1:15" ht="11.1" customHeight="1" x14ac:dyDescent="0.2">
      <c r="A28" s="697"/>
      <c r="B28" s="77">
        <v>2017</v>
      </c>
      <c r="C28" s="206">
        <f t="shared" si="2"/>
        <v>98976.643000000011</v>
      </c>
      <c r="D28" s="78">
        <v>0</v>
      </c>
      <c r="E28" s="79">
        <v>0</v>
      </c>
      <c r="F28" s="79">
        <v>32894.26</v>
      </c>
      <c r="G28" s="79">
        <v>5012.6499999999996</v>
      </c>
      <c r="H28" s="79">
        <v>27996.473000000002</v>
      </c>
      <c r="I28" s="79">
        <v>0</v>
      </c>
      <c r="J28" s="79">
        <v>0</v>
      </c>
      <c r="K28" s="79">
        <v>33073.26</v>
      </c>
      <c r="L28" s="79">
        <v>0</v>
      </c>
      <c r="M28" s="79">
        <v>32127.71</v>
      </c>
      <c r="N28" s="79">
        <v>0</v>
      </c>
      <c r="O28" s="79">
        <v>22005.119999999999</v>
      </c>
    </row>
    <row r="29" spans="1:15" ht="11.1" customHeight="1" x14ac:dyDescent="0.2">
      <c r="A29" s="697"/>
      <c r="B29" s="77">
        <v>2018</v>
      </c>
      <c r="C29" s="206">
        <f t="shared" si="2"/>
        <v>119810.23000000001</v>
      </c>
      <c r="D29" s="78">
        <v>8025.15</v>
      </c>
      <c r="E29" s="78">
        <v>30279.35</v>
      </c>
      <c r="F29" s="78">
        <v>0.6</v>
      </c>
      <c r="G29" s="78">
        <v>32928.31</v>
      </c>
      <c r="H29" s="79">
        <v>0</v>
      </c>
      <c r="I29" s="79">
        <v>0</v>
      </c>
      <c r="J29" s="78">
        <v>13323.29</v>
      </c>
      <c r="K29" s="79">
        <v>21256.97</v>
      </c>
      <c r="L29" s="79">
        <v>13996.56</v>
      </c>
      <c r="M29" s="79">
        <v>32065.786</v>
      </c>
      <c r="N29" s="79">
        <v>19140.38</v>
      </c>
      <c r="O29" s="79">
        <v>0</v>
      </c>
    </row>
    <row r="30" spans="1:15" ht="11.1" customHeight="1" x14ac:dyDescent="0.2">
      <c r="A30" s="697"/>
      <c r="B30" s="77">
        <v>2019</v>
      </c>
      <c r="C30" s="206">
        <f t="shared" si="2"/>
        <v>133293.2377</v>
      </c>
      <c r="D30" s="78">
        <v>12990.8</v>
      </c>
      <c r="E30" s="78">
        <v>19808.98</v>
      </c>
      <c r="F30" s="78">
        <v>13750.1</v>
      </c>
      <c r="G30" s="78">
        <v>19280.64</v>
      </c>
      <c r="H30" s="79">
        <v>8600.3696999999993</v>
      </c>
      <c r="I30" s="79">
        <v>23003</v>
      </c>
      <c r="J30" s="78">
        <v>4.8000000000000001E-2</v>
      </c>
      <c r="K30" s="79">
        <v>0</v>
      </c>
      <c r="L30" s="79">
        <v>35859.300000000003</v>
      </c>
      <c r="M30" s="79">
        <v>17496.59</v>
      </c>
      <c r="N30" s="79">
        <v>18546.98</v>
      </c>
      <c r="O30" s="79">
        <v>0</v>
      </c>
    </row>
    <row r="31" spans="1:15" ht="11.1" customHeight="1" x14ac:dyDescent="0.2">
      <c r="A31" s="697"/>
      <c r="B31" s="77">
        <v>2020</v>
      </c>
      <c r="C31" s="206">
        <f t="shared" si="2"/>
        <v>78723.070000000007</v>
      </c>
      <c r="D31" s="79">
        <v>2.5000000000000001E-2</v>
      </c>
      <c r="E31" s="79">
        <v>2.5000000000000001E-2</v>
      </c>
      <c r="F31" s="78">
        <v>7608.29</v>
      </c>
      <c r="G31" s="78">
        <v>9998.93</v>
      </c>
      <c r="H31" s="79">
        <v>0</v>
      </c>
      <c r="I31" s="79">
        <v>20389.919999999998</v>
      </c>
      <c r="J31" s="78">
        <v>7021.83</v>
      </c>
      <c r="K31" s="79">
        <v>21707.4</v>
      </c>
      <c r="L31" s="79">
        <v>11996.65</v>
      </c>
      <c r="M31" s="79">
        <v>12015</v>
      </c>
      <c r="N31" s="79">
        <v>28514.12</v>
      </c>
      <c r="O31" s="79">
        <v>8001.02</v>
      </c>
    </row>
    <row r="32" spans="1:15" ht="11.1" customHeight="1" x14ac:dyDescent="0.2">
      <c r="A32" s="697"/>
      <c r="B32" s="77">
        <v>2021</v>
      </c>
      <c r="C32" s="206">
        <f t="shared" si="2"/>
        <v>189688.28000000003</v>
      </c>
      <c r="D32" s="79">
        <v>29083.55</v>
      </c>
      <c r="E32" s="79">
        <v>15412.470000000001</v>
      </c>
      <c r="F32" s="78">
        <v>13500</v>
      </c>
      <c r="G32" s="78">
        <v>13677.57</v>
      </c>
      <c r="H32" s="79">
        <v>25764.17</v>
      </c>
      <c r="I32" s="79">
        <v>11000</v>
      </c>
      <c r="J32" s="78">
        <v>30971</v>
      </c>
      <c r="K32" s="79">
        <v>43270.130000000005</v>
      </c>
      <c r="L32" s="79">
        <v>7009.3899999999994</v>
      </c>
      <c r="M32" s="79">
        <v>21589.33</v>
      </c>
      <c r="N32" s="79">
        <v>41365.279999999999</v>
      </c>
      <c r="O32" s="79">
        <v>59836.44</v>
      </c>
    </row>
    <row r="33" spans="1:15" ht="11.1" customHeight="1" x14ac:dyDescent="0.2">
      <c r="A33" s="697"/>
      <c r="B33" s="77">
        <v>2022</v>
      </c>
      <c r="C33" s="206">
        <f t="shared" si="2"/>
        <v>117005.58511999999</v>
      </c>
      <c r="D33" s="79">
        <v>1010</v>
      </c>
      <c r="E33" s="78">
        <v>2.2120000000000001E-2</v>
      </c>
      <c r="F33" s="78">
        <v>11929.880000000001</v>
      </c>
      <c r="G33" s="78">
        <v>797.90000000000009</v>
      </c>
      <c r="H33" s="79">
        <v>42762.13</v>
      </c>
      <c r="I33" s="79">
        <v>18511.34</v>
      </c>
      <c r="J33" s="78">
        <v>14986.86</v>
      </c>
      <c r="K33" s="79">
        <v>18790.832999999995</v>
      </c>
      <c r="L33" s="79">
        <v>8216.6200000000008</v>
      </c>
      <c r="M33" s="79">
        <v>6009.66</v>
      </c>
      <c r="N33" s="79">
        <v>10505.14</v>
      </c>
      <c r="O33" s="78">
        <v>2.2120000000000001E-2</v>
      </c>
    </row>
    <row r="34" spans="1:15" ht="11.1" customHeight="1" x14ac:dyDescent="0.2">
      <c r="A34" s="697"/>
      <c r="B34" s="77">
        <v>2023</v>
      </c>
      <c r="C34" s="206">
        <f t="shared" si="2"/>
        <v>10148.074859999999</v>
      </c>
      <c r="D34" s="79">
        <v>7198.21</v>
      </c>
      <c r="E34" s="78">
        <v>2.2120000000000001E-2</v>
      </c>
      <c r="F34" s="78">
        <v>2.2120000000000001E-2</v>
      </c>
      <c r="G34" s="78">
        <v>2734.82</v>
      </c>
      <c r="H34" s="78">
        <v>2.2120000000000001E-2</v>
      </c>
      <c r="I34" s="79">
        <v>34.934260000000002</v>
      </c>
      <c r="J34" s="78">
        <v>2.2120000000000001E-2</v>
      </c>
      <c r="K34" s="78">
        <v>2.2120000000000001E-2</v>
      </c>
      <c r="L34" s="79">
        <v>180</v>
      </c>
      <c r="M34" s="79">
        <v>6454.7799999999988</v>
      </c>
      <c r="N34" s="78">
        <v>2.2120000000000001E-2</v>
      </c>
      <c r="O34" s="78">
        <v>40926.69</v>
      </c>
    </row>
    <row r="35" spans="1:15" ht="11.1" customHeight="1" x14ac:dyDescent="0.2">
      <c r="A35" s="697"/>
      <c r="B35" s="77">
        <v>2024</v>
      </c>
      <c r="C35" s="206">
        <f t="shared" si="2"/>
        <v>83626.801999999996</v>
      </c>
      <c r="D35" s="79">
        <v>0</v>
      </c>
      <c r="E35" s="79">
        <v>26457.32</v>
      </c>
      <c r="F35" s="78">
        <v>14998.83</v>
      </c>
      <c r="G35" s="78">
        <v>14206.81</v>
      </c>
      <c r="H35" s="78">
        <v>2963.41</v>
      </c>
      <c r="I35" s="78">
        <v>0</v>
      </c>
      <c r="J35" s="78">
        <v>0.432</v>
      </c>
      <c r="K35" s="78">
        <v>25000</v>
      </c>
      <c r="L35" s="79">
        <v>0</v>
      </c>
      <c r="M35" s="79">
        <v>17536.25</v>
      </c>
      <c r="N35" s="78">
        <v>6961.61</v>
      </c>
      <c r="O35" s="78">
        <v>0</v>
      </c>
    </row>
    <row r="36" spans="1:15" ht="11.1" customHeight="1" x14ac:dyDescent="0.2">
      <c r="A36" s="698"/>
      <c r="B36" s="77">
        <v>2025</v>
      </c>
      <c r="C36" s="209">
        <f>SUM(D36:L36)</f>
        <v>10313.69</v>
      </c>
      <c r="D36" s="79">
        <v>0</v>
      </c>
      <c r="E36" s="79">
        <v>0</v>
      </c>
      <c r="F36" s="78">
        <v>1433.2</v>
      </c>
      <c r="G36" s="78">
        <v>5599.17</v>
      </c>
      <c r="H36" s="79">
        <v>0</v>
      </c>
      <c r="I36" s="79">
        <v>0</v>
      </c>
      <c r="J36" s="79">
        <v>0</v>
      </c>
      <c r="K36" s="78">
        <v>3281.32</v>
      </c>
      <c r="L36" s="79">
        <v>0</v>
      </c>
      <c r="M36" s="79"/>
      <c r="N36" s="78"/>
      <c r="O36" s="78"/>
    </row>
    <row r="37" spans="1:15" ht="11.1" customHeight="1" x14ac:dyDescent="0.2">
      <c r="A37" s="696" t="s">
        <v>129</v>
      </c>
      <c r="B37" s="74">
        <v>2015</v>
      </c>
      <c r="C37" s="206">
        <f t="shared" si="2"/>
        <v>147581.55530100001</v>
      </c>
      <c r="D37" s="75">
        <v>24430.514500000001</v>
      </c>
      <c r="E37" s="75">
        <v>27865.295590999998</v>
      </c>
      <c r="F37" s="75">
        <v>7013.95</v>
      </c>
      <c r="G37" s="75">
        <v>4751.7489289999994</v>
      </c>
      <c r="H37" s="75">
        <v>11672.289280999999</v>
      </c>
      <c r="I37" s="75">
        <v>23958.5445</v>
      </c>
      <c r="J37" s="75">
        <v>3141.7809999999999</v>
      </c>
      <c r="K37" s="76">
        <v>14057.401</v>
      </c>
      <c r="L37" s="75">
        <v>30690.030500000001</v>
      </c>
      <c r="M37" s="76">
        <v>0</v>
      </c>
      <c r="N37" s="75">
        <v>15408.231</v>
      </c>
      <c r="O37" s="75">
        <v>24739.759999999998</v>
      </c>
    </row>
    <row r="38" spans="1:15" ht="11.1" customHeight="1" x14ac:dyDescent="0.2">
      <c r="A38" s="697"/>
      <c r="B38" s="77">
        <v>2016</v>
      </c>
      <c r="C38" s="206">
        <f t="shared" si="2"/>
        <v>148775.25222900003</v>
      </c>
      <c r="D38" s="78">
        <v>34701.6201</v>
      </c>
      <c r="E38" s="78">
        <v>14537.72</v>
      </c>
      <c r="F38" s="78">
        <v>27590.754000000001</v>
      </c>
      <c r="G38" s="78">
        <v>295.01559499999996</v>
      </c>
      <c r="H38" s="78">
        <v>8992.4599999999991</v>
      </c>
      <c r="I38" s="78">
        <v>34738.942000000003</v>
      </c>
      <c r="J38" s="78">
        <v>10675.98</v>
      </c>
      <c r="K38" s="79">
        <v>12483.14</v>
      </c>
      <c r="L38" s="78">
        <v>4759.6205339999997</v>
      </c>
      <c r="M38" s="78">
        <v>55882.002999999997</v>
      </c>
      <c r="N38" s="78">
        <v>5704.6295470000005</v>
      </c>
      <c r="O38" s="78">
        <v>16842.439999999999</v>
      </c>
    </row>
    <row r="39" spans="1:15" ht="11.1" customHeight="1" x14ac:dyDescent="0.2">
      <c r="A39" s="697"/>
      <c r="B39" s="77">
        <v>2017</v>
      </c>
      <c r="C39" s="206">
        <f t="shared" si="2"/>
        <v>150783.46242200001</v>
      </c>
      <c r="D39" s="78">
        <v>27103.393596999998</v>
      </c>
      <c r="E39" s="79">
        <v>0</v>
      </c>
      <c r="F39" s="78">
        <v>24859.02</v>
      </c>
      <c r="G39" s="78">
        <v>32481.697499999998</v>
      </c>
      <c r="H39" s="78">
        <v>5044.04</v>
      </c>
      <c r="I39" s="78">
        <v>9170.2380720000001</v>
      </c>
      <c r="J39" s="78">
        <v>33385.590100000001</v>
      </c>
      <c r="K39" s="78">
        <v>17461.531999999999</v>
      </c>
      <c r="L39" s="78">
        <v>1277.951153</v>
      </c>
      <c r="M39" s="79">
        <v>16584.281999999999</v>
      </c>
      <c r="N39" s="78">
        <v>19656.273000000001</v>
      </c>
      <c r="O39" s="78">
        <v>47925.47</v>
      </c>
    </row>
    <row r="40" spans="1:15" ht="11.1" customHeight="1" x14ac:dyDescent="0.2">
      <c r="A40" s="697"/>
      <c r="B40" s="77">
        <v>2018</v>
      </c>
      <c r="C40" s="206">
        <f t="shared" si="2"/>
        <v>154067.50853700002</v>
      </c>
      <c r="D40" s="78">
        <v>0</v>
      </c>
      <c r="E40" s="79">
        <v>0</v>
      </c>
      <c r="F40" s="79">
        <v>30582.49</v>
      </c>
      <c r="G40" s="79">
        <v>24722.997719999999</v>
      </c>
      <c r="H40" s="79">
        <v>30169.5105</v>
      </c>
      <c r="I40" s="79">
        <v>0</v>
      </c>
      <c r="J40" s="79">
        <v>32617.5</v>
      </c>
      <c r="K40" s="78">
        <v>30360.610317000002</v>
      </c>
      <c r="L40" s="78">
        <v>5614.4</v>
      </c>
      <c r="M40" s="79">
        <v>41531.129999999997</v>
      </c>
      <c r="N40" s="78">
        <v>751.822</v>
      </c>
      <c r="O40" s="78">
        <v>360.76800000000003</v>
      </c>
    </row>
    <row r="41" spans="1:15" ht="11.1" customHeight="1" x14ac:dyDescent="0.2">
      <c r="A41" s="697"/>
      <c r="B41" s="77">
        <v>2019</v>
      </c>
      <c r="C41" s="206">
        <f t="shared" si="2"/>
        <v>181248.681476</v>
      </c>
      <c r="D41" s="78">
        <v>6802.6040000000003</v>
      </c>
      <c r="E41" s="78">
        <v>45682.03</v>
      </c>
      <c r="F41" s="79">
        <v>22209.3</v>
      </c>
      <c r="G41" s="79">
        <v>34192.199000000001</v>
      </c>
      <c r="H41" s="79">
        <v>18678.310541999999</v>
      </c>
      <c r="I41" s="78">
        <v>30938.184000000001</v>
      </c>
      <c r="J41" s="79">
        <v>17.609934000000003</v>
      </c>
      <c r="K41" s="78">
        <v>991.69</v>
      </c>
      <c r="L41" s="78">
        <v>21736.754000000001</v>
      </c>
      <c r="M41" s="79">
        <v>2526.1025</v>
      </c>
      <c r="N41" s="78">
        <v>33298.32</v>
      </c>
      <c r="O41" s="78">
        <v>47216.24</v>
      </c>
    </row>
    <row r="42" spans="1:15" ht="11.1" customHeight="1" x14ac:dyDescent="0.2">
      <c r="A42" s="697"/>
      <c r="B42" s="77">
        <v>2020</v>
      </c>
      <c r="C42" s="206">
        <f t="shared" si="2"/>
        <v>149290.77825599999</v>
      </c>
      <c r="D42" s="78">
        <v>22481.86</v>
      </c>
      <c r="E42" s="3">
        <v>3253.92</v>
      </c>
      <c r="F42" s="79">
        <v>31845.703000000001</v>
      </c>
      <c r="G42" s="79">
        <v>16711.072255999999</v>
      </c>
      <c r="H42" s="79">
        <v>20547.150000000001</v>
      </c>
      <c r="I42" s="78">
        <v>33323.247000000003</v>
      </c>
      <c r="J42" s="79">
        <v>14353.795999999998</v>
      </c>
      <c r="K42" s="78">
        <v>5392.15</v>
      </c>
      <c r="L42" s="78">
        <v>1381.88</v>
      </c>
      <c r="M42" s="79">
        <v>30170.75</v>
      </c>
      <c r="N42" s="78">
        <v>31071.623999999996</v>
      </c>
      <c r="O42" s="78">
        <v>40278.552999999993</v>
      </c>
    </row>
    <row r="43" spans="1:15" ht="11.1" customHeight="1" x14ac:dyDescent="0.2">
      <c r="A43" s="697"/>
      <c r="B43" s="77">
        <v>2021</v>
      </c>
      <c r="C43" s="206">
        <f t="shared" si="2"/>
        <v>182272.64679000003</v>
      </c>
      <c r="D43" s="3">
        <v>312</v>
      </c>
      <c r="E43" s="3">
        <v>231.91499999999999</v>
      </c>
      <c r="F43" s="79">
        <v>51278.99</v>
      </c>
      <c r="G43" s="79">
        <v>37105.481</v>
      </c>
      <c r="H43" s="79">
        <v>23530.035</v>
      </c>
      <c r="I43" s="78">
        <v>1430</v>
      </c>
      <c r="J43" s="79">
        <v>47655.131999999998</v>
      </c>
      <c r="K43" s="78">
        <v>60.175550000000001</v>
      </c>
      <c r="L43" s="78">
        <v>20668.918239999995</v>
      </c>
      <c r="M43" s="79">
        <v>31906.489999999998</v>
      </c>
      <c r="N43" s="78">
        <v>16368.991</v>
      </c>
      <c r="O43" s="78">
        <v>25993.802</v>
      </c>
    </row>
    <row r="44" spans="1:15" ht="11.1" customHeight="1" x14ac:dyDescent="0.2">
      <c r="A44" s="697"/>
      <c r="B44" s="77">
        <v>2022</v>
      </c>
      <c r="C44" s="206">
        <f t="shared" si="2"/>
        <v>269790.18180999998</v>
      </c>
      <c r="D44" s="78">
        <v>31217.99</v>
      </c>
      <c r="E44" s="3">
        <v>46381.099999999991</v>
      </c>
      <c r="F44" s="79">
        <v>65133.850000000006</v>
      </c>
      <c r="G44" s="79">
        <v>336.97218999999996</v>
      </c>
      <c r="H44" s="79">
        <v>31559.257999999998</v>
      </c>
      <c r="I44" s="78">
        <v>1348.732</v>
      </c>
      <c r="J44" s="79">
        <v>39149.36961999999</v>
      </c>
      <c r="K44" s="78">
        <v>23208.720000000001</v>
      </c>
      <c r="L44" s="78">
        <v>31454.190000000002</v>
      </c>
      <c r="M44" s="79">
        <v>15256.006090000001</v>
      </c>
      <c r="N44" s="78">
        <v>2.2120000000000001E-2</v>
      </c>
      <c r="O44" s="78">
        <v>30459.893039999999</v>
      </c>
    </row>
    <row r="45" spans="1:15" ht="11.1" customHeight="1" x14ac:dyDescent="0.2">
      <c r="A45" s="697"/>
      <c r="B45" s="77">
        <v>2023</v>
      </c>
      <c r="C45" s="206">
        <f t="shared" si="2"/>
        <v>207393.23457</v>
      </c>
      <c r="D45" s="78">
        <v>44357.65</v>
      </c>
      <c r="E45" s="3">
        <v>41562.362000000001</v>
      </c>
      <c r="F45" s="79">
        <v>30988.637050000001</v>
      </c>
      <c r="G45" s="79">
        <v>27</v>
      </c>
      <c r="H45" s="79">
        <v>260.95999999999998</v>
      </c>
      <c r="I45" s="78">
        <v>37847.442940000001</v>
      </c>
      <c r="J45" s="79">
        <v>10601.649999999998</v>
      </c>
      <c r="K45" s="78">
        <v>15007.300000000001</v>
      </c>
      <c r="L45" s="78">
        <v>26740.232580000004</v>
      </c>
      <c r="M45" s="79">
        <v>148.02726999999999</v>
      </c>
      <c r="N45" s="78">
        <v>48907.558000000012</v>
      </c>
      <c r="O45" s="78">
        <v>37183.449999999997</v>
      </c>
    </row>
    <row r="46" spans="1:15" ht="11.1" customHeight="1" x14ac:dyDescent="0.2">
      <c r="A46" s="697"/>
      <c r="B46" s="77">
        <v>2024</v>
      </c>
      <c r="C46" s="206">
        <f t="shared" si="2"/>
        <v>260949.18741000001</v>
      </c>
      <c r="D46" s="78">
        <v>30866.730000000003</v>
      </c>
      <c r="E46" s="78">
        <v>64936.147260000005</v>
      </c>
      <c r="F46" s="79">
        <v>30612.11</v>
      </c>
      <c r="G46" s="79">
        <v>4635.9799999999996</v>
      </c>
      <c r="H46" s="79">
        <v>20665.714499999998</v>
      </c>
      <c r="I46" s="78">
        <v>49376.35</v>
      </c>
      <c r="J46" s="79">
        <v>28632.515649999998</v>
      </c>
      <c r="K46" s="78">
        <v>295.60000000000002</v>
      </c>
      <c r="L46" s="78">
        <v>30928.04</v>
      </c>
      <c r="M46" s="79">
        <v>37542.630000000005</v>
      </c>
      <c r="N46" s="78">
        <v>27426</v>
      </c>
      <c r="O46" s="78">
        <v>28537</v>
      </c>
    </row>
    <row r="47" spans="1:15" ht="11.1" customHeight="1" x14ac:dyDescent="0.2">
      <c r="A47" s="698"/>
      <c r="B47" s="77">
        <v>2025</v>
      </c>
      <c r="C47" s="209">
        <f t="shared" si="2"/>
        <v>265707.62614000001</v>
      </c>
      <c r="D47" s="78">
        <v>65301.180000000008</v>
      </c>
      <c r="E47" s="78">
        <v>48</v>
      </c>
      <c r="F47" s="79">
        <v>30439.216919999999</v>
      </c>
      <c r="G47" s="79">
        <v>1600</v>
      </c>
      <c r="H47" s="79">
        <v>45018.510000000017</v>
      </c>
      <c r="I47" s="78">
        <v>52355.360000000001</v>
      </c>
      <c r="J47" s="79">
        <v>1182.2792199999999</v>
      </c>
      <c r="K47" s="79">
        <v>6622.5999999999995</v>
      </c>
      <c r="L47" s="79">
        <v>63140.479999999996</v>
      </c>
      <c r="M47" s="79"/>
      <c r="N47" s="78"/>
      <c r="O47" s="78"/>
    </row>
    <row r="48" spans="1:15" ht="11.1" customHeight="1" x14ac:dyDescent="0.2">
      <c r="A48" s="696" t="s">
        <v>46</v>
      </c>
      <c r="B48" s="74">
        <v>2015</v>
      </c>
      <c r="C48" s="206">
        <f t="shared" si="2"/>
        <v>124848.495</v>
      </c>
      <c r="D48" s="75">
        <v>29358.352999999999</v>
      </c>
      <c r="E48" s="76">
        <v>429.04</v>
      </c>
      <c r="F48" s="76">
        <v>10337.530000000001</v>
      </c>
      <c r="G48" s="76">
        <v>0</v>
      </c>
      <c r="H48" s="76">
        <v>15253.703</v>
      </c>
      <c r="I48" s="76">
        <v>23797.249500000002</v>
      </c>
      <c r="J48" s="76">
        <v>8428.5820000000003</v>
      </c>
      <c r="K48" s="75">
        <v>11102.568499999999</v>
      </c>
      <c r="L48" s="76">
        <v>26141.469000000001</v>
      </c>
      <c r="M48" s="76">
        <v>0</v>
      </c>
      <c r="N48" s="75">
        <v>14252.7225</v>
      </c>
      <c r="O48" s="75">
        <v>30797.675999999999</v>
      </c>
    </row>
    <row r="49" spans="1:15" ht="11.1" customHeight="1" x14ac:dyDescent="0.2">
      <c r="A49" s="697"/>
      <c r="B49" s="77">
        <v>2016</v>
      </c>
      <c r="C49" s="206">
        <f t="shared" si="2"/>
        <v>107990.0805</v>
      </c>
      <c r="D49" s="78">
        <v>1982.723</v>
      </c>
      <c r="E49" s="79">
        <v>16567.873</v>
      </c>
      <c r="F49" s="79">
        <v>1985.9860000000001</v>
      </c>
      <c r="G49" s="79">
        <v>7860.11</v>
      </c>
      <c r="H49" s="79">
        <v>16685.990000000002</v>
      </c>
      <c r="I49" s="79">
        <v>18429.669999999998</v>
      </c>
      <c r="J49" s="79">
        <v>16093.307500000001</v>
      </c>
      <c r="K49" s="78">
        <v>12273.24</v>
      </c>
      <c r="L49" s="79">
        <v>16111.181</v>
      </c>
      <c r="M49" s="79">
        <v>32953.256000000001</v>
      </c>
      <c r="N49" s="78">
        <v>40039.656000000003</v>
      </c>
      <c r="O49" s="78">
        <v>8021.2950000000001</v>
      </c>
    </row>
    <row r="50" spans="1:15" ht="11.1" customHeight="1" x14ac:dyDescent="0.2">
      <c r="A50" s="697"/>
      <c r="B50" s="77">
        <v>2017</v>
      </c>
      <c r="C50" s="206">
        <f t="shared" si="2"/>
        <v>129248.91465199999</v>
      </c>
      <c r="D50" s="78">
        <v>17523.392183</v>
      </c>
      <c r="E50" s="79">
        <v>0</v>
      </c>
      <c r="F50" s="79">
        <v>34518.31</v>
      </c>
      <c r="G50" s="79">
        <v>16275.191999999999</v>
      </c>
      <c r="H50" s="79">
        <v>5507.3760000000002</v>
      </c>
      <c r="I50" s="79">
        <v>10922.05</v>
      </c>
      <c r="J50" s="79">
        <v>529.53</v>
      </c>
      <c r="K50" s="78">
        <v>37297.571468999995</v>
      </c>
      <c r="L50" s="79">
        <v>6675.4930000000004</v>
      </c>
      <c r="M50" s="79">
        <v>33016.31</v>
      </c>
      <c r="N50" s="78">
        <v>7342.6210000000001</v>
      </c>
      <c r="O50" s="78">
        <v>47840.451999999997</v>
      </c>
    </row>
    <row r="51" spans="1:15" ht="11.1" customHeight="1" x14ac:dyDescent="0.2">
      <c r="A51" s="697"/>
      <c r="B51" s="77">
        <v>2018</v>
      </c>
      <c r="C51" s="206">
        <f t="shared" si="2"/>
        <v>111387.68099999998</v>
      </c>
      <c r="D51" s="78">
        <v>19.399999999999999</v>
      </c>
      <c r="E51" s="79">
        <v>0</v>
      </c>
      <c r="F51" s="78">
        <v>32964.381999999998</v>
      </c>
      <c r="G51" s="78">
        <v>2584.886</v>
      </c>
      <c r="H51" s="79">
        <v>0</v>
      </c>
      <c r="I51" s="78">
        <v>49.712000000000003</v>
      </c>
      <c r="J51" s="78">
        <v>47347.360999999997</v>
      </c>
      <c r="K51" s="78">
        <v>23818.550999999999</v>
      </c>
      <c r="L51" s="79">
        <v>4603.3890000000001</v>
      </c>
      <c r="M51" s="79">
        <v>16292.180279999999</v>
      </c>
      <c r="N51" s="78">
        <v>4491.1899999999996</v>
      </c>
      <c r="O51" s="78">
        <v>30449.463</v>
      </c>
    </row>
    <row r="52" spans="1:15" ht="11.1" customHeight="1" x14ac:dyDescent="0.2">
      <c r="A52" s="697"/>
      <c r="B52" s="77">
        <v>2019</v>
      </c>
      <c r="C52" s="206">
        <f t="shared" si="2"/>
        <v>137906.679</v>
      </c>
      <c r="D52" s="78">
        <v>1403.8215</v>
      </c>
      <c r="E52" s="79">
        <v>10498.653</v>
      </c>
      <c r="F52" s="78">
        <v>16493.317500000001</v>
      </c>
      <c r="G52" s="79">
        <v>36559.428999999996</v>
      </c>
      <c r="H52" s="79">
        <v>28747.01</v>
      </c>
      <c r="I52" s="78">
        <v>2679.0320000000002</v>
      </c>
      <c r="J52" s="79">
        <v>25</v>
      </c>
      <c r="K52" s="78">
        <v>28263.912</v>
      </c>
      <c r="L52" s="79">
        <v>13236.504000000001</v>
      </c>
      <c r="M52" s="79">
        <v>6058.8360499999999</v>
      </c>
      <c r="N52" s="78">
        <v>36510.410000000003</v>
      </c>
      <c r="O52" s="78">
        <v>9252.7984290000004</v>
      </c>
    </row>
    <row r="53" spans="1:15" ht="11.1" customHeight="1" x14ac:dyDescent="0.2">
      <c r="A53" s="697"/>
      <c r="B53" s="77">
        <v>2020</v>
      </c>
      <c r="C53" s="206">
        <f t="shared" si="2"/>
        <v>145782.76200000002</v>
      </c>
      <c r="D53" s="78">
        <v>2901.91</v>
      </c>
      <c r="E53" s="78">
        <v>19022.465</v>
      </c>
      <c r="F53" s="78">
        <v>1E-3</v>
      </c>
      <c r="G53" s="79">
        <v>14047.47</v>
      </c>
      <c r="H53" s="79">
        <v>43832.156000000003</v>
      </c>
      <c r="I53" s="78">
        <v>2205.77</v>
      </c>
      <c r="J53" s="79">
        <v>17609.760000000002</v>
      </c>
      <c r="K53" s="78">
        <v>30583.25</v>
      </c>
      <c r="L53" s="79">
        <v>15579.98</v>
      </c>
      <c r="M53" s="79">
        <v>55212.966</v>
      </c>
      <c r="N53" s="78">
        <v>24899.940000000002</v>
      </c>
      <c r="O53" s="78">
        <v>22422.070000000003</v>
      </c>
    </row>
    <row r="54" spans="1:15" ht="11.1" customHeight="1" x14ac:dyDescent="0.2">
      <c r="A54" s="697"/>
      <c r="B54" s="77">
        <v>2021</v>
      </c>
      <c r="C54" s="206">
        <f t="shared" si="2"/>
        <v>84922.929000000004</v>
      </c>
      <c r="D54" s="78">
        <v>3.0000000000000001E-3</v>
      </c>
      <c r="E54" s="78">
        <v>3.0000000000000001E-3</v>
      </c>
      <c r="F54" s="78">
        <v>3.0000000000000001E-3</v>
      </c>
      <c r="G54" s="78">
        <v>3073</v>
      </c>
      <c r="H54" s="79">
        <v>16332.480000000001</v>
      </c>
      <c r="I54" s="78">
        <v>14501</v>
      </c>
      <c r="J54" s="3">
        <v>8468.0300000000007</v>
      </c>
      <c r="K54" s="3">
        <v>69</v>
      </c>
      <c r="L54" s="79">
        <v>42479.409999999996</v>
      </c>
      <c r="M54" s="79">
        <v>2233.6</v>
      </c>
      <c r="N54" s="78">
        <v>19971.319999999992</v>
      </c>
      <c r="O54" s="78">
        <v>20253.820000000003</v>
      </c>
    </row>
    <row r="55" spans="1:15" ht="11.1" customHeight="1" x14ac:dyDescent="0.2">
      <c r="A55" s="697"/>
      <c r="B55" s="77">
        <v>2022</v>
      </c>
      <c r="C55" s="206">
        <f t="shared" si="2"/>
        <v>54976.871500000001</v>
      </c>
      <c r="D55" s="78">
        <v>3.0000000000000001E-3</v>
      </c>
      <c r="E55" s="81">
        <v>800</v>
      </c>
      <c r="F55" s="81">
        <v>500.03849999999983</v>
      </c>
      <c r="G55" s="81">
        <v>73.08</v>
      </c>
      <c r="H55" s="81">
        <v>29.37</v>
      </c>
      <c r="I55" s="81">
        <v>4145.9360000000006</v>
      </c>
      <c r="J55" s="82">
        <v>26332.262000000002</v>
      </c>
      <c r="K55" s="81">
        <v>16756.490000000002</v>
      </c>
      <c r="L55" s="81">
        <v>6339.692</v>
      </c>
      <c r="M55" s="81">
        <v>10843.004999999999</v>
      </c>
      <c r="N55" s="82">
        <v>3953.89</v>
      </c>
      <c r="O55" s="81">
        <v>25320.909769999998</v>
      </c>
    </row>
    <row r="56" spans="1:15" ht="11.1" customHeight="1" x14ac:dyDescent="0.2">
      <c r="A56" s="697"/>
      <c r="B56" s="77">
        <v>2023</v>
      </c>
      <c r="C56" s="206">
        <f t="shared" si="2"/>
        <v>115103.56899999999</v>
      </c>
      <c r="D56" s="78">
        <v>1038.8860000000002</v>
      </c>
      <c r="E56" s="81">
        <v>12681</v>
      </c>
      <c r="F56" s="81">
        <v>3431.1800000000003</v>
      </c>
      <c r="G56" s="81">
        <v>6669.9199999999992</v>
      </c>
      <c r="H56" s="81">
        <v>6699.8600000000006</v>
      </c>
      <c r="I56" s="81">
        <v>17847.251</v>
      </c>
      <c r="J56" s="82">
        <v>13494.51</v>
      </c>
      <c r="K56" s="81">
        <v>25103.49</v>
      </c>
      <c r="L56" s="81">
        <v>28137.472000000002</v>
      </c>
      <c r="M56" s="81">
        <v>947.77320000000009</v>
      </c>
      <c r="N56" s="82">
        <v>15424.625999999998</v>
      </c>
      <c r="O56" s="81">
        <v>2.12262</v>
      </c>
    </row>
    <row r="57" spans="1:15" ht="11.1" customHeight="1" x14ac:dyDescent="0.2">
      <c r="A57" s="697"/>
      <c r="B57" s="77">
        <v>2024</v>
      </c>
      <c r="C57" s="206">
        <f t="shared" si="2"/>
        <v>144974.59927999999</v>
      </c>
      <c r="D57" s="78">
        <v>25022.5</v>
      </c>
      <c r="E57" s="78">
        <v>22202.2935</v>
      </c>
      <c r="F57" s="81">
        <v>11124.428779999998</v>
      </c>
      <c r="G57" s="81">
        <v>24457.689999999995</v>
      </c>
      <c r="H57" s="81">
        <v>1</v>
      </c>
      <c r="I57" s="81">
        <v>17863.586999999996</v>
      </c>
      <c r="J57" s="82">
        <v>31491.600000000006</v>
      </c>
      <c r="K57" s="81">
        <v>5891.08</v>
      </c>
      <c r="L57" s="81">
        <v>6920.42</v>
      </c>
      <c r="M57" s="81">
        <v>24459.75</v>
      </c>
      <c r="N57" s="82">
        <v>8557</v>
      </c>
      <c r="O57" s="81">
        <v>7397</v>
      </c>
    </row>
    <row r="58" spans="1:15" ht="11.1" customHeight="1" x14ac:dyDescent="0.2">
      <c r="A58" s="698"/>
      <c r="B58" s="83">
        <v>2025</v>
      </c>
      <c r="C58" s="209">
        <f>SUM(D58:L58)</f>
        <v>133688.59234</v>
      </c>
      <c r="D58" s="80">
        <v>56308.89</v>
      </c>
      <c r="E58" s="80">
        <v>25</v>
      </c>
      <c r="F58" s="84">
        <v>6069.3850000000002</v>
      </c>
      <c r="G58" s="84">
        <v>26013.030000000002</v>
      </c>
      <c r="H58" s="84">
        <v>1879.16</v>
      </c>
      <c r="I58" s="84">
        <v>500</v>
      </c>
      <c r="J58" s="84">
        <v>29970.7631</v>
      </c>
      <c r="K58" s="84">
        <v>2694.1056199999998</v>
      </c>
      <c r="L58" s="84">
        <v>10228.258620000001</v>
      </c>
      <c r="M58" s="84"/>
      <c r="N58" s="509"/>
      <c r="O58" s="84"/>
    </row>
    <row r="59" spans="1:15" x14ac:dyDescent="0.2">
      <c r="A59" s="512"/>
      <c r="B59" s="513"/>
      <c r="C59" s="514"/>
      <c r="D59" s="515"/>
      <c r="E59" s="515"/>
      <c r="F59" s="516"/>
      <c r="G59" s="516"/>
      <c r="H59" s="516"/>
      <c r="I59" s="516"/>
      <c r="J59" s="516"/>
      <c r="K59" s="516"/>
      <c r="L59" s="516"/>
      <c r="M59" s="516"/>
      <c r="N59" s="517"/>
      <c r="O59" s="359" t="s">
        <v>24</v>
      </c>
    </row>
    <row r="60" spans="1:15" x14ac:dyDescent="0.2">
      <c r="A60" s="85" t="s">
        <v>130</v>
      </c>
      <c r="B60" s="513"/>
      <c r="C60" s="514"/>
      <c r="D60" s="515"/>
      <c r="E60" s="515"/>
      <c r="F60" s="516"/>
      <c r="G60" s="516"/>
      <c r="H60" s="516"/>
      <c r="I60" s="516"/>
      <c r="J60" s="516"/>
      <c r="K60" s="516"/>
      <c r="L60" s="516"/>
      <c r="M60" s="516"/>
      <c r="N60" s="517"/>
      <c r="O60" s="516"/>
    </row>
    <row r="61" spans="1:15" ht="14.1" customHeight="1" x14ac:dyDescent="0.2">
      <c r="A61" s="203" t="s">
        <v>54</v>
      </c>
      <c r="B61" s="521" t="s">
        <v>93</v>
      </c>
      <c r="C61" s="203" t="s">
        <v>562</v>
      </c>
      <c r="D61" s="522" t="s">
        <v>94</v>
      </c>
      <c r="E61" s="203" t="s">
        <v>95</v>
      </c>
      <c r="F61" s="203" t="s">
        <v>96</v>
      </c>
      <c r="G61" s="203" t="s">
        <v>97</v>
      </c>
      <c r="H61" s="203" t="s">
        <v>98</v>
      </c>
      <c r="I61" s="203" t="s">
        <v>99</v>
      </c>
      <c r="J61" s="203" t="s">
        <v>100</v>
      </c>
      <c r="K61" s="203" t="s">
        <v>101</v>
      </c>
      <c r="L61" s="203" t="s">
        <v>102</v>
      </c>
      <c r="M61" s="203" t="s">
        <v>103</v>
      </c>
      <c r="N61" s="203" t="s">
        <v>104</v>
      </c>
      <c r="O61" s="203" t="s">
        <v>105</v>
      </c>
    </row>
    <row r="62" spans="1:15" ht="11.1" customHeight="1" x14ac:dyDescent="0.2">
      <c r="A62" s="696" t="s">
        <v>131</v>
      </c>
      <c r="B62" s="74">
        <v>2015</v>
      </c>
      <c r="C62" s="207">
        <f>SUM(D62:L62)</f>
        <v>2006.1439999999998</v>
      </c>
      <c r="D62" s="75">
        <v>0</v>
      </c>
      <c r="E62" s="76">
        <v>407.005</v>
      </c>
      <c r="F62" s="76">
        <v>121.51</v>
      </c>
      <c r="G62" s="76">
        <v>236.79</v>
      </c>
      <c r="H62" s="76">
        <v>419.66300000000001</v>
      </c>
      <c r="I62" s="76">
        <v>4.0640000000000001</v>
      </c>
      <c r="J62" s="76">
        <v>547.11199999999997</v>
      </c>
      <c r="K62" s="76">
        <v>270</v>
      </c>
      <c r="L62" s="76">
        <v>0</v>
      </c>
      <c r="M62" s="76">
        <v>164.86</v>
      </c>
      <c r="N62" s="76">
        <v>0</v>
      </c>
      <c r="O62" s="76">
        <v>0</v>
      </c>
    </row>
    <row r="63" spans="1:15" ht="11.1" customHeight="1" x14ac:dyDescent="0.2">
      <c r="A63" s="697"/>
      <c r="B63" s="77">
        <v>2016</v>
      </c>
      <c r="C63" s="206">
        <f>SUM(D63:L63)</f>
        <v>2862.7041470000004</v>
      </c>
      <c r="D63" s="78">
        <v>215.60499999999999</v>
      </c>
      <c r="E63" s="518">
        <v>0</v>
      </c>
      <c r="F63" s="79">
        <v>24.869147000000002</v>
      </c>
      <c r="G63" s="79">
        <v>100</v>
      </c>
      <c r="H63" s="79">
        <v>804.76499999999999</v>
      </c>
      <c r="I63" s="79">
        <v>714.08500000000004</v>
      </c>
      <c r="J63" s="79">
        <v>531.64</v>
      </c>
      <c r="K63" s="518">
        <v>0</v>
      </c>
      <c r="L63" s="79">
        <v>471.74</v>
      </c>
      <c r="M63" s="79">
        <v>750.84500000000003</v>
      </c>
      <c r="N63" s="79">
        <v>125.18161900000001</v>
      </c>
      <c r="O63" s="518">
        <v>0</v>
      </c>
    </row>
    <row r="64" spans="1:15" ht="11.1" customHeight="1" x14ac:dyDescent="0.2">
      <c r="A64" s="697"/>
      <c r="B64" s="77">
        <v>2017</v>
      </c>
      <c r="C64" s="206">
        <f t="shared" ref="C64:C105" si="12">SUM(D64:L64)</f>
        <v>4404.0330519999998</v>
      </c>
      <c r="D64" s="78">
        <v>1157.0700000000002</v>
      </c>
      <c r="E64" s="79">
        <v>1077.27</v>
      </c>
      <c r="F64" s="79">
        <v>673.06600000000003</v>
      </c>
      <c r="G64" s="79">
        <v>314.65705200000002</v>
      </c>
      <c r="H64" s="79">
        <v>504.34</v>
      </c>
      <c r="I64" s="79">
        <v>360</v>
      </c>
      <c r="J64" s="79">
        <v>149.63</v>
      </c>
      <c r="K64" s="518">
        <v>0</v>
      </c>
      <c r="L64" s="79">
        <v>168</v>
      </c>
      <c r="M64" s="78">
        <v>25.21</v>
      </c>
      <c r="N64" s="79">
        <v>253.66769199999999</v>
      </c>
      <c r="O64" s="79">
        <v>624.16999999999996</v>
      </c>
    </row>
    <row r="65" spans="1:15" ht="11.1" customHeight="1" x14ac:dyDescent="0.2">
      <c r="A65" s="697"/>
      <c r="B65" s="77">
        <v>2018</v>
      </c>
      <c r="C65" s="206">
        <f t="shared" si="12"/>
        <v>1557.6010000000001</v>
      </c>
      <c r="D65" s="78">
        <v>191.76499999999999</v>
      </c>
      <c r="E65" s="79">
        <v>0</v>
      </c>
      <c r="F65" s="79">
        <v>0</v>
      </c>
      <c r="G65" s="79">
        <v>0</v>
      </c>
      <c r="H65" s="79">
        <v>0</v>
      </c>
      <c r="I65" s="78">
        <v>309</v>
      </c>
      <c r="J65" s="79">
        <v>604.60599999999999</v>
      </c>
      <c r="K65" s="78">
        <v>380.58000000000004</v>
      </c>
      <c r="L65" s="79">
        <v>71.650000000000006</v>
      </c>
      <c r="M65" s="78">
        <v>995.03</v>
      </c>
      <c r="N65" s="78">
        <v>1.01</v>
      </c>
      <c r="O65" s="79">
        <v>349.61</v>
      </c>
    </row>
    <row r="66" spans="1:15" ht="11.1" customHeight="1" x14ac:dyDescent="0.2">
      <c r="A66" s="697"/>
      <c r="B66" s="77">
        <v>2019</v>
      </c>
      <c r="C66" s="206">
        <f t="shared" si="12"/>
        <v>3301.20678</v>
      </c>
      <c r="D66" s="519">
        <v>365.52</v>
      </c>
      <c r="E66" s="518">
        <v>24</v>
      </c>
      <c r="F66" s="519">
        <v>373.97</v>
      </c>
      <c r="G66" s="519">
        <v>226.595</v>
      </c>
      <c r="H66" s="519">
        <v>103.96</v>
      </c>
      <c r="I66" s="519">
        <v>250.52</v>
      </c>
      <c r="J66" s="519">
        <v>3.3317800000000002</v>
      </c>
      <c r="K66" s="518">
        <v>0</v>
      </c>
      <c r="L66" s="519">
        <v>1953.31</v>
      </c>
      <c r="M66" s="519">
        <v>148.80000000000001</v>
      </c>
      <c r="N66" s="519">
        <v>48.036000000000001</v>
      </c>
      <c r="O66" s="518">
        <v>0</v>
      </c>
    </row>
    <row r="67" spans="1:15" ht="11.1" customHeight="1" x14ac:dyDescent="0.2">
      <c r="A67" s="697"/>
      <c r="B67" s="77">
        <v>2020</v>
      </c>
      <c r="C67" s="206">
        <f t="shared" si="12"/>
        <v>6571.01</v>
      </c>
      <c r="D67" s="518">
        <v>104</v>
      </c>
      <c r="E67" s="79">
        <v>0</v>
      </c>
      <c r="F67" s="79">
        <v>0</v>
      </c>
      <c r="G67" s="519">
        <v>199.4</v>
      </c>
      <c r="H67" s="518">
        <v>24</v>
      </c>
      <c r="I67" s="520">
        <v>470.53999999999996</v>
      </c>
      <c r="J67" s="519">
        <v>700.7</v>
      </c>
      <c r="K67" s="79">
        <v>0</v>
      </c>
      <c r="L67" s="519">
        <v>5072.37</v>
      </c>
      <c r="M67" s="519">
        <v>2324.92</v>
      </c>
      <c r="N67" s="519">
        <v>24.4</v>
      </c>
      <c r="O67" s="518">
        <v>250</v>
      </c>
    </row>
    <row r="68" spans="1:15" ht="11.1" customHeight="1" x14ac:dyDescent="0.2">
      <c r="A68" s="697"/>
      <c r="B68" s="77">
        <v>2021</v>
      </c>
      <c r="C68" s="206">
        <f t="shared" si="12"/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519">
        <v>0</v>
      </c>
      <c r="M68" s="519">
        <v>0</v>
      </c>
      <c r="N68" s="519">
        <v>0</v>
      </c>
      <c r="O68" s="519">
        <v>0</v>
      </c>
    </row>
    <row r="69" spans="1:15" ht="11.1" customHeight="1" x14ac:dyDescent="0.2">
      <c r="A69" s="697"/>
      <c r="B69" s="77">
        <v>2022</v>
      </c>
      <c r="C69" s="206">
        <f t="shared" si="12"/>
        <v>0</v>
      </c>
      <c r="D69" s="79">
        <v>0</v>
      </c>
      <c r="E69" s="79">
        <v>0</v>
      </c>
      <c r="F69" s="79">
        <v>0</v>
      </c>
      <c r="G69" s="79">
        <v>0</v>
      </c>
      <c r="H69" s="79">
        <v>0</v>
      </c>
      <c r="I69" s="79">
        <v>0</v>
      </c>
      <c r="J69" s="79">
        <v>0</v>
      </c>
      <c r="K69" s="79">
        <v>0</v>
      </c>
      <c r="L69" s="79">
        <v>0</v>
      </c>
      <c r="M69" s="79">
        <v>0</v>
      </c>
      <c r="N69" s="79">
        <v>0</v>
      </c>
      <c r="O69" s="79">
        <v>0</v>
      </c>
    </row>
    <row r="70" spans="1:15" ht="11.1" customHeight="1" x14ac:dyDescent="0.2">
      <c r="A70" s="697"/>
      <c r="B70" s="77">
        <v>2023</v>
      </c>
      <c r="C70" s="206">
        <f t="shared" si="12"/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</row>
    <row r="71" spans="1:15" ht="11.1" customHeight="1" x14ac:dyDescent="0.2">
      <c r="A71" s="697"/>
      <c r="B71" s="77">
        <v>2024</v>
      </c>
      <c r="C71" s="206">
        <f t="shared" si="12"/>
        <v>0</v>
      </c>
      <c r="D71" s="79">
        <v>0</v>
      </c>
      <c r="E71" s="79">
        <v>0</v>
      </c>
      <c r="F71" s="79">
        <v>0</v>
      </c>
      <c r="G71" s="79">
        <v>0</v>
      </c>
      <c r="H71" s="79">
        <v>0</v>
      </c>
      <c r="I71" s="79">
        <v>0</v>
      </c>
      <c r="J71" s="79">
        <v>0</v>
      </c>
      <c r="K71" s="79">
        <v>0</v>
      </c>
      <c r="L71" s="79">
        <v>0</v>
      </c>
      <c r="M71" s="79">
        <v>0</v>
      </c>
      <c r="N71" s="79">
        <v>0</v>
      </c>
      <c r="O71" s="79">
        <v>0</v>
      </c>
    </row>
    <row r="72" spans="1:15" ht="11.1" customHeight="1" x14ac:dyDescent="0.2">
      <c r="A72" s="698"/>
      <c r="B72" s="83">
        <v>2025</v>
      </c>
      <c r="C72" s="209">
        <f t="shared" si="12"/>
        <v>9134.4249999999993</v>
      </c>
      <c r="D72" s="87">
        <v>249.58499999999998</v>
      </c>
      <c r="E72" s="87">
        <v>0</v>
      </c>
      <c r="F72" s="87">
        <v>0</v>
      </c>
      <c r="G72" s="87">
        <v>7890.11</v>
      </c>
      <c r="H72" s="87">
        <v>994.73</v>
      </c>
      <c r="I72" s="87">
        <v>0</v>
      </c>
      <c r="J72" s="87">
        <v>0</v>
      </c>
      <c r="K72" s="87">
        <v>0</v>
      </c>
      <c r="L72" s="87">
        <v>0</v>
      </c>
      <c r="M72" s="87"/>
      <c r="N72" s="87"/>
      <c r="O72" s="87"/>
    </row>
    <row r="73" spans="1:15" ht="11.1" customHeight="1" x14ac:dyDescent="0.2">
      <c r="A73" s="696" t="s">
        <v>48</v>
      </c>
      <c r="B73" s="74">
        <v>2015</v>
      </c>
      <c r="C73" s="206">
        <f t="shared" si="12"/>
        <v>103614.72699999998</v>
      </c>
      <c r="D73" s="75">
        <v>19613.815999999999</v>
      </c>
      <c r="E73" s="75">
        <v>8985.3649999999998</v>
      </c>
      <c r="F73" s="75">
        <v>8710.0400000000009</v>
      </c>
      <c r="G73" s="75">
        <v>11939.27</v>
      </c>
      <c r="H73" s="75">
        <v>1108.3399999999999</v>
      </c>
      <c r="I73" s="75">
        <v>13300.304</v>
      </c>
      <c r="J73" s="75">
        <v>0</v>
      </c>
      <c r="K73" s="75">
        <v>13031.252</v>
      </c>
      <c r="L73" s="75">
        <v>26926.34</v>
      </c>
      <c r="M73" s="76">
        <v>0</v>
      </c>
      <c r="N73" s="75">
        <v>4049.2806209999999</v>
      </c>
      <c r="O73" s="76">
        <v>0</v>
      </c>
    </row>
    <row r="74" spans="1:15" ht="11.1" customHeight="1" x14ac:dyDescent="0.2">
      <c r="A74" s="697"/>
      <c r="B74" s="77">
        <v>2016</v>
      </c>
      <c r="C74" s="206">
        <f t="shared" si="12"/>
        <v>76540.688752000002</v>
      </c>
      <c r="D74" s="78">
        <v>0</v>
      </c>
      <c r="E74" s="79">
        <v>16112.46</v>
      </c>
      <c r="F74" s="79">
        <v>8914.6027520000007</v>
      </c>
      <c r="G74" s="79">
        <v>7424.8019999999997</v>
      </c>
      <c r="H74" s="79">
        <v>2474.1799999999998</v>
      </c>
      <c r="I74" s="79">
        <v>3554.42</v>
      </c>
      <c r="J74" s="79">
        <v>2859.38</v>
      </c>
      <c r="K74" s="79">
        <v>25205.43</v>
      </c>
      <c r="L74" s="79">
        <v>9995.4140000000007</v>
      </c>
      <c r="M74" s="79">
        <v>0</v>
      </c>
      <c r="N74" s="79">
        <v>0</v>
      </c>
      <c r="O74" s="79">
        <v>3231.21</v>
      </c>
    </row>
    <row r="75" spans="1:15" ht="11.1" customHeight="1" x14ac:dyDescent="0.2">
      <c r="A75" s="697"/>
      <c r="B75" s="77">
        <v>2017</v>
      </c>
      <c r="C75" s="206">
        <f t="shared" si="12"/>
        <v>106879.190569</v>
      </c>
      <c r="D75" s="78">
        <v>33344.730000000003</v>
      </c>
      <c r="E75" s="79">
        <v>9573.6119999999992</v>
      </c>
      <c r="F75" s="79">
        <v>0</v>
      </c>
      <c r="G75" s="79">
        <v>15881.07</v>
      </c>
      <c r="H75" s="79">
        <v>4229.83</v>
      </c>
      <c r="I75" s="79">
        <v>23269.144</v>
      </c>
      <c r="J75" s="79">
        <v>0</v>
      </c>
      <c r="K75" s="79">
        <v>19468.470589</v>
      </c>
      <c r="L75" s="79">
        <v>1112.3339799999999</v>
      </c>
      <c r="M75" s="79">
        <v>0</v>
      </c>
      <c r="N75" s="79">
        <v>9420.7019999999993</v>
      </c>
      <c r="O75" s="79">
        <v>13954.87</v>
      </c>
    </row>
    <row r="76" spans="1:15" ht="11.1" customHeight="1" x14ac:dyDescent="0.2">
      <c r="A76" s="697"/>
      <c r="B76" s="77">
        <v>2018</v>
      </c>
      <c r="C76" s="206">
        <f t="shared" si="12"/>
        <v>86247.569059000001</v>
      </c>
      <c r="D76" s="78">
        <v>13129.72</v>
      </c>
      <c r="E76" s="79">
        <v>11800.787059</v>
      </c>
      <c r="F76" s="79">
        <v>22933.363499999999</v>
      </c>
      <c r="G76" s="79">
        <v>80.005499999999998</v>
      </c>
      <c r="H76" s="79">
        <v>14494.45</v>
      </c>
      <c r="I76" s="79">
        <v>1632.1189999999999</v>
      </c>
      <c r="J76" s="79">
        <v>1775.9680000000001</v>
      </c>
      <c r="K76" s="79">
        <v>4224.6580000000004</v>
      </c>
      <c r="L76" s="79">
        <v>16176.498</v>
      </c>
      <c r="M76" s="79">
        <v>18606.939200000001</v>
      </c>
      <c r="N76" s="79">
        <v>6500.6909599999999</v>
      </c>
      <c r="O76" s="79">
        <v>16800.101999999999</v>
      </c>
    </row>
    <row r="77" spans="1:15" ht="11.1" customHeight="1" x14ac:dyDescent="0.2">
      <c r="A77" s="697"/>
      <c r="B77" s="77">
        <v>2019</v>
      </c>
      <c r="C77" s="206">
        <f t="shared" si="12"/>
        <v>51632.831873999996</v>
      </c>
      <c r="D77" s="78">
        <v>310.22699999999998</v>
      </c>
      <c r="E77" s="79">
        <v>4763.5150000000003</v>
      </c>
      <c r="F77" s="79">
        <v>130</v>
      </c>
      <c r="G77" s="79">
        <v>22.472373999999999</v>
      </c>
      <c r="H77" s="79">
        <v>4013.2015000000001</v>
      </c>
      <c r="I77" s="79">
        <v>5.0000000000000001E-4</v>
      </c>
      <c r="J77" s="79">
        <v>14929.884</v>
      </c>
      <c r="K77" s="79">
        <v>7492.78</v>
      </c>
      <c r="L77" s="79">
        <v>19970.751499999998</v>
      </c>
      <c r="M77" s="79">
        <v>24208.75</v>
      </c>
      <c r="N77" s="79">
        <v>0</v>
      </c>
      <c r="O77" s="79">
        <v>9497.9699999999993</v>
      </c>
    </row>
    <row r="78" spans="1:15" ht="11.1" customHeight="1" x14ac:dyDescent="0.2">
      <c r="A78" s="697"/>
      <c r="B78" s="77">
        <v>2020</v>
      </c>
      <c r="C78" s="206">
        <f t="shared" si="12"/>
        <v>104434.7582</v>
      </c>
      <c r="D78" s="78">
        <v>604.48</v>
      </c>
      <c r="E78" s="79">
        <v>9239.6425899999995</v>
      </c>
      <c r="F78" s="79">
        <v>19151.810000000001</v>
      </c>
      <c r="G78" s="79">
        <v>20908.078000000001</v>
      </c>
      <c r="H78" s="79">
        <v>8714.5969999999998</v>
      </c>
      <c r="I78" s="79">
        <v>4358.0200000000004</v>
      </c>
      <c r="J78" s="79">
        <v>34578.06</v>
      </c>
      <c r="K78" s="79">
        <v>935.17061000000001</v>
      </c>
      <c r="L78" s="79">
        <v>5944.9000000000005</v>
      </c>
      <c r="M78" s="79">
        <v>1888.66</v>
      </c>
      <c r="N78" s="79">
        <v>140</v>
      </c>
      <c r="O78" s="79">
        <v>37275.767999999996</v>
      </c>
    </row>
    <row r="79" spans="1:15" ht="11.1" customHeight="1" x14ac:dyDescent="0.2">
      <c r="A79" s="697"/>
      <c r="B79" s="77">
        <v>2021</v>
      </c>
      <c r="C79" s="206">
        <f t="shared" si="12"/>
        <v>77767.901000000013</v>
      </c>
      <c r="D79" s="78">
        <v>7692.98</v>
      </c>
      <c r="E79" s="79">
        <v>1490</v>
      </c>
      <c r="F79" s="86">
        <v>504</v>
      </c>
      <c r="G79" s="79">
        <v>20261.723999999998</v>
      </c>
      <c r="H79" s="79">
        <v>8101.5</v>
      </c>
      <c r="I79" s="79">
        <v>30955</v>
      </c>
      <c r="J79" s="79">
        <v>7035.2250000000004</v>
      </c>
      <c r="K79" s="79">
        <v>1727.46</v>
      </c>
      <c r="L79" s="79">
        <v>1.2E-2</v>
      </c>
      <c r="M79" s="79">
        <v>1678.3779999999999</v>
      </c>
      <c r="N79" s="79">
        <v>5766.8071899999995</v>
      </c>
      <c r="O79" s="79">
        <v>1.0000000000000001E-5</v>
      </c>
    </row>
    <row r="80" spans="1:15" ht="11.1" customHeight="1" x14ac:dyDescent="0.2">
      <c r="A80" s="697"/>
      <c r="B80" s="77">
        <v>2022</v>
      </c>
      <c r="C80" s="206">
        <f t="shared" si="12"/>
        <v>49250.944829999993</v>
      </c>
      <c r="D80" s="79">
        <v>0</v>
      </c>
      <c r="E80" s="79">
        <v>458.8</v>
      </c>
      <c r="F80" s="86">
        <v>168</v>
      </c>
      <c r="G80" s="79">
        <v>11649.472</v>
      </c>
      <c r="H80" s="79">
        <v>611.35</v>
      </c>
      <c r="I80" s="79">
        <v>8363.0319999999992</v>
      </c>
      <c r="J80" s="79">
        <v>508.71299999999997</v>
      </c>
      <c r="K80" s="79">
        <v>10928.742000000002</v>
      </c>
      <c r="L80" s="79">
        <v>16562.835829999996</v>
      </c>
      <c r="M80" s="79">
        <v>881.72700000000009</v>
      </c>
      <c r="N80" s="79">
        <v>7911.2710000000006</v>
      </c>
      <c r="O80" s="79">
        <v>7889.25</v>
      </c>
    </row>
    <row r="81" spans="1:15" ht="11.1" customHeight="1" x14ac:dyDescent="0.2">
      <c r="A81" s="697"/>
      <c r="B81" s="77">
        <v>2023</v>
      </c>
      <c r="C81" s="206">
        <f t="shared" si="12"/>
        <v>85277.201879999993</v>
      </c>
      <c r="D81" s="79">
        <v>3932.5549999999998</v>
      </c>
      <c r="E81" s="79">
        <v>9016.5</v>
      </c>
      <c r="F81" s="79">
        <v>7917.2800000000007</v>
      </c>
      <c r="G81" s="79">
        <v>20560.34</v>
      </c>
      <c r="H81" s="79">
        <v>432.00188000000003</v>
      </c>
      <c r="I81" s="79">
        <v>2161.2600000000002</v>
      </c>
      <c r="J81" s="79">
        <v>7275.6849999999995</v>
      </c>
      <c r="K81" s="79">
        <v>31579.819999999996</v>
      </c>
      <c r="L81" s="79">
        <v>2401.7600000000002</v>
      </c>
      <c r="M81" s="79">
        <v>5025.7929799999984</v>
      </c>
      <c r="N81" s="79">
        <v>15320</v>
      </c>
      <c r="O81" s="79">
        <v>1.2470000000000001</v>
      </c>
    </row>
    <row r="82" spans="1:15" ht="11.1" customHeight="1" x14ac:dyDescent="0.2">
      <c r="A82" s="697"/>
      <c r="B82" s="77">
        <v>2024</v>
      </c>
      <c r="C82" s="206">
        <f t="shared" si="12"/>
        <v>101220.53522999999</v>
      </c>
      <c r="D82" s="79">
        <v>10993.810000000001</v>
      </c>
      <c r="E82" s="79">
        <v>4670.523000000001</v>
      </c>
      <c r="F82" s="79">
        <v>8770.81</v>
      </c>
      <c r="G82" s="79">
        <v>5337.2910000000002</v>
      </c>
      <c r="H82" s="79">
        <v>25309.670000000002</v>
      </c>
      <c r="I82" s="79">
        <v>1136.47</v>
      </c>
      <c r="J82" s="79">
        <v>25652.001229999998</v>
      </c>
      <c r="K82" s="79">
        <v>6223.1050000000005</v>
      </c>
      <c r="L82" s="79">
        <v>13126.855000000001</v>
      </c>
      <c r="M82" s="79">
        <v>19032.34</v>
      </c>
      <c r="N82" s="79">
        <v>4968</v>
      </c>
      <c r="O82" s="79">
        <v>6860</v>
      </c>
    </row>
    <row r="83" spans="1:15" ht="11.1" customHeight="1" x14ac:dyDescent="0.2">
      <c r="A83" s="698"/>
      <c r="B83" s="83">
        <v>2025</v>
      </c>
      <c r="C83" s="209">
        <f t="shared" si="12"/>
        <v>96305.222070000018</v>
      </c>
      <c r="D83" s="87">
        <v>554.96499999999992</v>
      </c>
      <c r="E83" s="87">
        <v>9537.885000000002</v>
      </c>
      <c r="F83" s="87">
        <v>6147.9750000000004</v>
      </c>
      <c r="G83" s="87">
        <v>13587.300000000001</v>
      </c>
      <c r="H83" s="87">
        <v>18211.97</v>
      </c>
      <c r="I83" s="87">
        <v>2574.2599999999998</v>
      </c>
      <c r="J83" s="87">
        <v>25865.791170000004</v>
      </c>
      <c r="K83" s="87">
        <v>308</v>
      </c>
      <c r="L83" s="87">
        <v>19517.075900000003</v>
      </c>
      <c r="M83" s="87"/>
      <c r="N83" s="87"/>
      <c r="O83" s="87"/>
    </row>
    <row r="84" spans="1:15" ht="11.1" customHeight="1" x14ac:dyDescent="0.2">
      <c r="A84" s="696" t="s">
        <v>49</v>
      </c>
      <c r="B84" s="77">
        <v>2015</v>
      </c>
      <c r="C84" s="206">
        <f t="shared" si="12"/>
        <v>33101.286839</v>
      </c>
      <c r="D84" s="78">
        <v>3007.6480000000001</v>
      </c>
      <c r="E84" s="79">
        <v>7612.79</v>
      </c>
      <c r="F84" s="79">
        <v>3525.0030000000002</v>
      </c>
      <c r="G84" s="79">
        <v>2861.23</v>
      </c>
      <c r="H84" s="79">
        <v>2043.9108389999999</v>
      </c>
      <c r="I84" s="79">
        <v>4422.7110000000002</v>
      </c>
      <c r="J84" s="79">
        <v>5405.674</v>
      </c>
      <c r="K84" s="79">
        <v>1238.798</v>
      </c>
      <c r="L84" s="79">
        <v>2983.5219999999999</v>
      </c>
      <c r="M84" s="79">
        <v>285.96600000000001</v>
      </c>
      <c r="N84" s="79">
        <v>6115.2169999999996</v>
      </c>
      <c r="O84" s="79">
        <v>1458.835</v>
      </c>
    </row>
    <row r="85" spans="1:15" ht="11.1" customHeight="1" x14ac:dyDescent="0.2">
      <c r="A85" s="697"/>
      <c r="B85" s="77">
        <v>2016</v>
      </c>
      <c r="C85" s="206">
        <f t="shared" si="12"/>
        <v>30569.876131000001</v>
      </c>
      <c r="D85" s="78">
        <v>1859.5250000000001</v>
      </c>
      <c r="E85" s="78">
        <v>3276.33</v>
      </c>
      <c r="F85" s="78">
        <v>3056.83</v>
      </c>
      <c r="G85" s="78">
        <v>2493.7912149999997</v>
      </c>
      <c r="H85" s="78">
        <v>4638.0102200000001</v>
      </c>
      <c r="I85" s="78">
        <v>3075.792696</v>
      </c>
      <c r="J85" s="78">
        <v>3352.5920000000001</v>
      </c>
      <c r="K85" s="78">
        <v>3939.47</v>
      </c>
      <c r="L85" s="78">
        <v>4877.5349999999999</v>
      </c>
      <c r="M85" s="78">
        <v>3037.5549999999998</v>
      </c>
      <c r="N85" s="78">
        <v>5296.8850000000002</v>
      </c>
      <c r="O85" s="78">
        <v>7275.107</v>
      </c>
    </row>
    <row r="86" spans="1:15" ht="11.1" customHeight="1" x14ac:dyDescent="0.2">
      <c r="A86" s="697"/>
      <c r="B86" s="77">
        <v>2017</v>
      </c>
      <c r="C86" s="206">
        <f t="shared" si="12"/>
        <v>41028.298999999999</v>
      </c>
      <c r="D86" s="78">
        <v>3422.1419999999998</v>
      </c>
      <c r="E86" s="79">
        <v>6795.7744000000002</v>
      </c>
      <c r="F86" s="79">
        <v>3080.4140000000002</v>
      </c>
      <c r="G86" s="79">
        <v>2500.424</v>
      </c>
      <c r="H86" s="79">
        <v>7451.3005999999996</v>
      </c>
      <c r="I86" s="79">
        <v>7432.3410000000003</v>
      </c>
      <c r="J86" s="79">
        <v>3360.232</v>
      </c>
      <c r="K86" s="78">
        <v>2574.0300000000002</v>
      </c>
      <c r="L86" s="78">
        <v>4411.6409999999996</v>
      </c>
      <c r="M86" s="78">
        <v>5909.2179999999998</v>
      </c>
      <c r="N86" s="78">
        <v>6867.36</v>
      </c>
      <c r="O86" s="78">
        <v>8113.7505000000001</v>
      </c>
    </row>
    <row r="87" spans="1:15" ht="11.1" customHeight="1" x14ac:dyDescent="0.2">
      <c r="A87" s="697"/>
      <c r="B87" s="77">
        <v>2018</v>
      </c>
      <c r="C87" s="206">
        <f t="shared" si="12"/>
        <v>53253.198000000004</v>
      </c>
      <c r="D87" s="78">
        <v>8610.8310000000001</v>
      </c>
      <c r="E87" s="79">
        <v>1911.155</v>
      </c>
      <c r="F87" s="79">
        <v>5830.9170000000004</v>
      </c>
      <c r="G87" s="79">
        <v>4438.3149999999996</v>
      </c>
      <c r="H87" s="79">
        <v>5381.1859999999997</v>
      </c>
      <c r="I87" s="79">
        <v>11333.824000000001</v>
      </c>
      <c r="J87" s="79">
        <v>4407.3140000000003</v>
      </c>
      <c r="K87" s="78">
        <v>5727.6440000000002</v>
      </c>
      <c r="L87" s="78">
        <v>5612.0119999999997</v>
      </c>
      <c r="M87" s="78">
        <v>7205.098</v>
      </c>
      <c r="N87" s="78">
        <v>5393.3519999999999</v>
      </c>
      <c r="O87" s="78">
        <v>3610.4810000000007</v>
      </c>
    </row>
    <row r="88" spans="1:15" ht="11.1" customHeight="1" x14ac:dyDescent="0.2">
      <c r="A88" s="697"/>
      <c r="B88" s="77">
        <v>2019</v>
      </c>
      <c r="C88" s="206">
        <f t="shared" si="12"/>
        <v>54713.31975000001</v>
      </c>
      <c r="D88" s="78">
        <v>6146.09</v>
      </c>
      <c r="E88" s="79">
        <v>4917.3090000000002</v>
      </c>
      <c r="F88" s="79">
        <v>4880.7809999999999</v>
      </c>
      <c r="G88" s="79">
        <v>6920.1850000000004</v>
      </c>
      <c r="H88" s="79">
        <v>9713.3004999999994</v>
      </c>
      <c r="I88" s="79">
        <v>4984.0159999999996</v>
      </c>
      <c r="J88" s="79">
        <v>5511.2579999999998</v>
      </c>
      <c r="K88" s="78">
        <v>5195.9399999999996</v>
      </c>
      <c r="L88" s="78">
        <v>6444.4402499999997</v>
      </c>
      <c r="M88" s="78">
        <v>4559.0094000000008</v>
      </c>
      <c r="N88" s="78">
        <v>6493.9944999999998</v>
      </c>
      <c r="O88" s="78">
        <v>10397</v>
      </c>
    </row>
    <row r="89" spans="1:15" ht="11.1" customHeight="1" x14ac:dyDescent="0.2">
      <c r="A89" s="697"/>
      <c r="B89" s="77">
        <v>2020</v>
      </c>
      <c r="C89" s="206">
        <f t="shared" si="12"/>
        <v>53551.201780000003</v>
      </c>
      <c r="D89" s="78">
        <v>7792.8269999999993</v>
      </c>
      <c r="E89" s="3">
        <v>6485.18</v>
      </c>
      <c r="F89" s="79">
        <v>3020.67</v>
      </c>
      <c r="G89" s="79">
        <v>2275.05078</v>
      </c>
      <c r="H89" s="79">
        <v>7180.8349999999991</v>
      </c>
      <c r="I89" s="79">
        <v>4886.3209999999999</v>
      </c>
      <c r="J89" s="79">
        <v>9850.9030000000002</v>
      </c>
      <c r="K89" s="78">
        <v>4672.1009999999997</v>
      </c>
      <c r="L89" s="78">
        <v>7387.3140000000003</v>
      </c>
      <c r="M89" s="78">
        <v>7161.8044300000001</v>
      </c>
      <c r="N89" s="78">
        <v>15272.771000000001</v>
      </c>
      <c r="O89" s="78">
        <v>9339.3450000000012</v>
      </c>
    </row>
    <row r="90" spans="1:15" ht="11.1" customHeight="1" x14ac:dyDescent="0.2">
      <c r="A90" s="697"/>
      <c r="B90" s="77">
        <v>2021</v>
      </c>
      <c r="C90" s="206">
        <f t="shared" si="12"/>
        <v>59328.131910000011</v>
      </c>
      <c r="D90" s="78">
        <v>5030.3840000000009</v>
      </c>
      <c r="E90" s="3">
        <v>3898.6369999999997</v>
      </c>
      <c r="F90" s="79">
        <v>6848.5745000000006</v>
      </c>
      <c r="G90" s="79">
        <v>6769.6360000000004</v>
      </c>
      <c r="H90" s="79">
        <v>8127.4380000000001</v>
      </c>
      <c r="I90" s="79">
        <v>4931.5140000000001</v>
      </c>
      <c r="J90" s="79">
        <v>3671.3150000000005</v>
      </c>
      <c r="K90" s="78">
        <v>6864.7369999999992</v>
      </c>
      <c r="L90" s="78">
        <v>13185.896410000001</v>
      </c>
      <c r="M90" s="78">
        <v>5932.2710000000006</v>
      </c>
      <c r="N90" s="78">
        <v>10996.928110000003</v>
      </c>
      <c r="O90" s="78">
        <v>1451.165</v>
      </c>
    </row>
    <row r="91" spans="1:15" ht="11.1" customHeight="1" x14ac:dyDescent="0.2">
      <c r="A91" s="697"/>
      <c r="B91" s="77">
        <v>2022</v>
      </c>
      <c r="C91" s="206">
        <f t="shared" si="12"/>
        <v>73625.302750000003</v>
      </c>
      <c r="D91" s="78">
        <v>12696.98221</v>
      </c>
      <c r="E91" s="3">
        <v>9154.9459999999999</v>
      </c>
      <c r="F91" s="79">
        <v>3824.5260000000003</v>
      </c>
      <c r="G91" s="79">
        <v>13988.6957</v>
      </c>
      <c r="H91" s="79">
        <v>4424.1757799999996</v>
      </c>
      <c r="I91" s="79">
        <v>1415.8410000000001</v>
      </c>
      <c r="J91" s="79">
        <v>2220.3918200000007</v>
      </c>
      <c r="K91" s="78">
        <v>11608.67044</v>
      </c>
      <c r="L91" s="78">
        <v>14291.0738</v>
      </c>
      <c r="M91" s="78">
        <v>2224.319</v>
      </c>
      <c r="N91" s="78">
        <v>2655.0176000000001</v>
      </c>
      <c r="O91" s="78">
        <v>4236.3702599999997</v>
      </c>
    </row>
    <row r="92" spans="1:15" ht="11.1" customHeight="1" x14ac:dyDescent="0.2">
      <c r="A92" s="697"/>
      <c r="B92" s="77">
        <v>2023</v>
      </c>
      <c r="C92" s="206">
        <f t="shared" si="12"/>
        <v>25631.24698</v>
      </c>
      <c r="D92" s="78">
        <v>4386.0030000000006</v>
      </c>
      <c r="E92" s="3">
        <v>814.99699999999996</v>
      </c>
      <c r="F92" s="79">
        <v>3563.5122499999998</v>
      </c>
      <c r="G92" s="79">
        <v>2142.8987299999999</v>
      </c>
      <c r="H92" s="79">
        <v>1627.9960000000001</v>
      </c>
      <c r="I92" s="79">
        <v>1242.1379999999999</v>
      </c>
      <c r="J92" s="79">
        <v>2364.7919999999999</v>
      </c>
      <c r="K92" s="78">
        <v>4151.3940000000002</v>
      </c>
      <c r="L92" s="78">
        <v>5337.5159999999996</v>
      </c>
      <c r="M92" s="78">
        <v>4403.4844400000002</v>
      </c>
      <c r="N92" s="78">
        <v>3341.8340000000003</v>
      </c>
      <c r="O92" s="78">
        <v>6654.1753799999997</v>
      </c>
    </row>
    <row r="93" spans="1:15" ht="11.1" customHeight="1" x14ac:dyDescent="0.2">
      <c r="A93" s="697"/>
      <c r="B93" s="77">
        <v>2024</v>
      </c>
      <c r="C93" s="206">
        <f t="shared" si="12"/>
        <v>62707.407759999995</v>
      </c>
      <c r="D93" s="78">
        <v>8207.3499999999985</v>
      </c>
      <c r="E93" s="78">
        <v>8459.2209999999995</v>
      </c>
      <c r="F93" s="79">
        <v>8728.5384699999995</v>
      </c>
      <c r="G93" s="79">
        <v>4696.5124900000001</v>
      </c>
      <c r="H93" s="79">
        <v>6459.1005399999995</v>
      </c>
      <c r="I93" s="79">
        <v>4693.9322599999996</v>
      </c>
      <c r="J93" s="79">
        <v>8850.7129999999997</v>
      </c>
      <c r="K93" s="78">
        <v>8666.001000000002</v>
      </c>
      <c r="L93" s="78">
        <v>3946.0389999999998</v>
      </c>
      <c r="M93" s="78">
        <v>8433.4000000000015</v>
      </c>
      <c r="N93" s="78">
        <v>10009</v>
      </c>
      <c r="O93" s="78">
        <v>8816</v>
      </c>
    </row>
    <row r="94" spans="1:15" ht="11.1" customHeight="1" x14ac:dyDescent="0.2">
      <c r="A94" s="698"/>
      <c r="B94" s="83">
        <v>2025</v>
      </c>
      <c r="C94" s="209">
        <f t="shared" si="12"/>
        <v>58658.327710000005</v>
      </c>
      <c r="D94" s="80">
        <v>8279.1680000000015</v>
      </c>
      <c r="E94" s="80">
        <v>6221.3763199999994</v>
      </c>
      <c r="F94" s="87">
        <v>11443.919380000001</v>
      </c>
      <c r="G94" s="87">
        <v>5672.1090000000004</v>
      </c>
      <c r="H94" s="87">
        <v>10221.314470000001</v>
      </c>
      <c r="I94" s="87">
        <v>3551.1400000000003</v>
      </c>
      <c r="J94" s="87">
        <v>8030.9112300000006</v>
      </c>
      <c r="K94" s="80">
        <v>2666.1410000000001</v>
      </c>
      <c r="L94" s="80">
        <v>2572.2483099999999</v>
      </c>
      <c r="M94" s="80"/>
      <c r="N94" s="80"/>
      <c r="O94" s="80"/>
    </row>
    <row r="95" spans="1:15" ht="11.1" customHeight="1" x14ac:dyDescent="0.2">
      <c r="A95" s="696" t="s">
        <v>132</v>
      </c>
      <c r="B95" s="77">
        <v>2015</v>
      </c>
      <c r="C95" s="206">
        <f t="shared" si="12"/>
        <v>4540.1400000000003</v>
      </c>
      <c r="D95" s="78">
        <v>13.92</v>
      </c>
      <c r="E95" s="79">
        <v>0</v>
      </c>
      <c r="F95" s="79">
        <v>0</v>
      </c>
      <c r="G95" s="79">
        <v>0</v>
      </c>
      <c r="H95" s="79">
        <v>0</v>
      </c>
      <c r="I95" s="79">
        <v>0</v>
      </c>
      <c r="J95" s="79">
        <v>0</v>
      </c>
      <c r="K95" s="79">
        <v>4526.22</v>
      </c>
      <c r="L95" s="79">
        <v>0</v>
      </c>
      <c r="M95" s="79">
        <v>0</v>
      </c>
      <c r="N95" s="79">
        <v>0</v>
      </c>
      <c r="O95" s="79">
        <v>14285.353999999999</v>
      </c>
    </row>
    <row r="96" spans="1:15" ht="11.1" customHeight="1" x14ac:dyDescent="0.2">
      <c r="A96" s="697"/>
      <c r="B96" s="77">
        <v>2016</v>
      </c>
      <c r="C96" s="206">
        <f t="shared" si="12"/>
        <v>10139.162</v>
      </c>
      <c r="D96" s="79">
        <v>0</v>
      </c>
      <c r="E96" s="79">
        <v>55.44</v>
      </c>
      <c r="F96" s="79">
        <v>55.48</v>
      </c>
      <c r="G96" s="79">
        <v>0</v>
      </c>
      <c r="H96" s="79">
        <v>3478.96</v>
      </c>
      <c r="I96" s="79">
        <v>94.182000000000002</v>
      </c>
      <c r="J96" s="79">
        <v>247.06</v>
      </c>
      <c r="K96" s="79">
        <v>165.36</v>
      </c>
      <c r="L96" s="79">
        <v>6042.68</v>
      </c>
      <c r="M96" s="79">
        <v>5955.8</v>
      </c>
      <c r="N96" s="79">
        <v>167.29</v>
      </c>
      <c r="O96" s="79">
        <v>0</v>
      </c>
    </row>
    <row r="97" spans="1:15" ht="11.1" customHeight="1" x14ac:dyDescent="0.2">
      <c r="A97" s="697"/>
      <c r="B97" s="77">
        <v>2017</v>
      </c>
      <c r="C97" s="206">
        <f t="shared" si="12"/>
        <v>16588.190000000002</v>
      </c>
      <c r="D97" s="78">
        <v>7308.82</v>
      </c>
      <c r="E97" s="79">
        <v>0</v>
      </c>
      <c r="F97" s="79">
        <v>2589.94</v>
      </c>
      <c r="G97" s="79">
        <v>0</v>
      </c>
      <c r="H97" s="79">
        <v>0</v>
      </c>
      <c r="I97" s="79">
        <v>108</v>
      </c>
      <c r="J97" s="79">
        <v>0</v>
      </c>
      <c r="K97" s="79">
        <v>0</v>
      </c>
      <c r="L97" s="79">
        <v>6581.43</v>
      </c>
      <c r="M97" s="79">
        <v>14515.23</v>
      </c>
      <c r="N97" s="79">
        <v>12926.04</v>
      </c>
      <c r="O97" s="79">
        <v>0</v>
      </c>
    </row>
    <row r="98" spans="1:15" ht="11.1" customHeight="1" x14ac:dyDescent="0.2">
      <c r="A98" s="697"/>
      <c r="B98" s="77">
        <v>2018</v>
      </c>
      <c r="C98" s="206">
        <f t="shared" si="12"/>
        <v>0</v>
      </c>
      <c r="D98" s="79">
        <v>0</v>
      </c>
      <c r="E98" s="79">
        <v>0</v>
      </c>
      <c r="F98" s="79">
        <v>0</v>
      </c>
      <c r="G98" s="79">
        <v>0</v>
      </c>
      <c r="H98" s="79">
        <v>0</v>
      </c>
      <c r="I98" s="79">
        <v>0</v>
      </c>
      <c r="J98" s="79">
        <v>0</v>
      </c>
      <c r="K98" s="79">
        <v>0</v>
      </c>
      <c r="L98" s="79">
        <v>0</v>
      </c>
      <c r="M98" s="79">
        <v>0</v>
      </c>
      <c r="N98" s="79">
        <v>0</v>
      </c>
      <c r="O98" s="79">
        <v>0</v>
      </c>
    </row>
    <row r="99" spans="1:15" ht="11.1" customHeight="1" x14ac:dyDescent="0.2">
      <c r="A99" s="697"/>
      <c r="B99" s="77">
        <v>2019</v>
      </c>
      <c r="C99" s="206">
        <f t="shared" si="12"/>
        <v>15304.64</v>
      </c>
      <c r="D99" s="79">
        <v>0</v>
      </c>
      <c r="E99" s="79">
        <v>0</v>
      </c>
      <c r="F99" s="79">
        <v>0</v>
      </c>
      <c r="G99" s="79">
        <v>0</v>
      </c>
      <c r="H99" s="79">
        <v>14812.05</v>
      </c>
      <c r="I99" s="79">
        <v>492.59</v>
      </c>
      <c r="J99" s="79">
        <v>0</v>
      </c>
      <c r="K99" s="79">
        <v>0</v>
      </c>
      <c r="L99" s="79">
        <v>0</v>
      </c>
      <c r="M99" s="79">
        <v>0</v>
      </c>
      <c r="N99" s="79">
        <v>0</v>
      </c>
      <c r="O99" s="79">
        <v>0</v>
      </c>
    </row>
    <row r="100" spans="1:15" ht="11.1" customHeight="1" x14ac:dyDescent="0.2">
      <c r="A100" s="697"/>
      <c r="B100" s="77">
        <v>2020</v>
      </c>
      <c r="C100" s="206">
        <f t="shared" si="12"/>
        <v>9597.35</v>
      </c>
      <c r="D100" s="79">
        <v>0</v>
      </c>
      <c r="E100" s="79">
        <v>2380.0500000000002</v>
      </c>
      <c r="F100" s="79">
        <v>0</v>
      </c>
      <c r="G100" s="79">
        <v>0</v>
      </c>
      <c r="H100" s="79">
        <v>0</v>
      </c>
      <c r="I100" s="79">
        <v>2014.94</v>
      </c>
      <c r="J100" s="79">
        <v>5087.96</v>
      </c>
      <c r="K100" s="79">
        <v>114.4</v>
      </c>
      <c r="L100" s="79">
        <v>0</v>
      </c>
      <c r="M100" s="79">
        <v>19326.682649999999</v>
      </c>
      <c r="N100" s="79">
        <v>305.52</v>
      </c>
      <c r="O100" s="79">
        <v>0</v>
      </c>
    </row>
    <row r="101" spans="1:15" ht="11.1" customHeight="1" x14ac:dyDescent="0.2">
      <c r="A101" s="697"/>
      <c r="B101" s="77">
        <v>2021</v>
      </c>
      <c r="C101" s="206">
        <f t="shared" si="12"/>
        <v>21998.061000000002</v>
      </c>
      <c r="D101" s="79">
        <v>0</v>
      </c>
      <c r="E101" s="79">
        <v>0</v>
      </c>
      <c r="F101" s="79">
        <v>0</v>
      </c>
      <c r="G101" s="79">
        <v>0</v>
      </c>
      <c r="H101" s="79">
        <v>18348.061000000002</v>
      </c>
      <c r="I101" s="79">
        <v>3650</v>
      </c>
      <c r="J101" s="79">
        <v>0</v>
      </c>
      <c r="K101" s="79">
        <v>0</v>
      </c>
      <c r="L101" s="79">
        <v>0</v>
      </c>
      <c r="M101" s="79">
        <v>252.44</v>
      </c>
      <c r="N101" s="79">
        <v>0</v>
      </c>
      <c r="O101" s="79">
        <v>0</v>
      </c>
    </row>
    <row r="102" spans="1:15" ht="11.1" customHeight="1" x14ac:dyDescent="0.2">
      <c r="A102" s="697"/>
      <c r="B102" s="77">
        <v>2022</v>
      </c>
      <c r="C102" s="206">
        <f t="shared" si="12"/>
        <v>1899.1599999999999</v>
      </c>
      <c r="D102" s="79">
        <v>24.8</v>
      </c>
      <c r="E102" s="79">
        <v>0</v>
      </c>
      <c r="F102" s="79">
        <v>0</v>
      </c>
      <c r="G102" s="79">
        <v>49.79</v>
      </c>
      <c r="H102" s="79">
        <v>0.5</v>
      </c>
      <c r="I102" s="79">
        <v>125.67</v>
      </c>
      <c r="J102" s="79">
        <v>0</v>
      </c>
      <c r="K102" s="79">
        <v>1000</v>
      </c>
      <c r="L102" s="79">
        <v>698.4</v>
      </c>
      <c r="M102" s="79">
        <v>2722.7</v>
      </c>
      <c r="N102" s="79">
        <v>1</v>
      </c>
      <c r="O102" s="79">
        <v>3607.54</v>
      </c>
    </row>
    <row r="103" spans="1:15" ht="11.1" customHeight="1" x14ac:dyDescent="0.2">
      <c r="A103" s="697"/>
      <c r="B103" s="77">
        <v>2023</v>
      </c>
      <c r="C103" s="206">
        <f t="shared" si="12"/>
        <v>13945.119999999999</v>
      </c>
      <c r="D103" s="79">
        <v>0</v>
      </c>
      <c r="E103" s="79">
        <v>0</v>
      </c>
      <c r="F103" s="79">
        <v>5251.95</v>
      </c>
      <c r="G103" s="79">
        <v>12</v>
      </c>
      <c r="H103" s="79">
        <v>0</v>
      </c>
      <c r="I103" s="79">
        <v>3137.7099999999996</v>
      </c>
      <c r="J103" s="79">
        <v>97.32</v>
      </c>
      <c r="K103" s="79">
        <v>100</v>
      </c>
      <c r="L103" s="79">
        <v>5346.1399999999994</v>
      </c>
      <c r="M103" s="79">
        <v>4800.96</v>
      </c>
      <c r="N103" s="79">
        <v>10275.58</v>
      </c>
      <c r="O103" s="79">
        <v>1.4039999999999999</v>
      </c>
    </row>
    <row r="104" spans="1:15" ht="11.1" customHeight="1" x14ac:dyDescent="0.2">
      <c r="A104" s="697"/>
      <c r="B104" s="77">
        <v>2024</v>
      </c>
      <c r="C104" s="206">
        <f t="shared" si="12"/>
        <v>10774.31</v>
      </c>
      <c r="D104" s="79">
        <v>2</v>
      </c>
      <c r="E104" s="79">
        <v>52</v>
      </c>
      <c r="F104" s="79">
        <v>0</v>
      </c>
      <c r="G104" s="79">
        <v>0</v>
      </c>
      <c r="H104" s="79">
        <v>0</v>
      </c>
      <c r="I104" s="79">
        <v>78.240000000000009</v>
      </c>
      <c r="J104" s="79">
        <v>5499.45</v>
      </c>
      <c r="K104" s="79">
        <v>0</v>
      </c>
      <c r="L104" s="79">
        <v>5142.62</v>
      </c>
      <c r="M104" s="79">
        <v>10196.41</v>
      </c>
      <c r="N104" s="79">
        <v>2.4500000000000002</v>
      </c>
      <c r="O104" s="79">
        <v>0</v>
      </c>
    </row>
    <row r="105" spans="1:15" ht="11.1" customHeight="1" x14ac:dyDescent="0.2">
      <c r="A105" s="698"/>
      <c r="B105" s="83">
        <v>2025</v>
      </c>
      <c r="C105" s="209">
        <f t="shared" si="12"/>
        <v>22157.350000000006</v>
      </c>
      <c r="D105" s="87">
        <v>0</v>
      </c>
      <c r="E105" s="87">
        <v>0</v>
      </c>
      <c r="F105" s="87">
        <v>19.989999999999998</v>
      </c>
      <c r="G105" s="87">
        <v>0</v>
      </c>
      <c r="H105" s="87">
        <v>0</v>
      </c>
      <c r="I105" s="87">
        <v>18696.160000000003</v>
      </c>
      <c r="J105" s="87">
        <v>3391.2</v>
      </c>
      <c r="K105" s="87">
        <v>10</v>
      </c>
      <c r="L105" s="87">
        <v>40</v>
      </c>
      <c r="M105" s="87"/>
      <c r="N105" s="87"/>
      <c r="O105" s="87"/>
    </row>
    <row r="106" spans="1:15" ht="9" customHeight="1" x14ac:dyDescent="0.25">
      <c r="A106" s="197" t="s">
        <v>133</v>
      </c>
      <c r="B106" s="88"/>
      <c r="C106" s="89"/>
      <c r="D106" s="78"/>
      <c r="E106" s="90"/>
      <c r="F106" s="90"/>
      <c r="G106" s="91"/>
      <c r="H106" s="92"/>
      <c r="I106" s="92"/>
      <c r="J106" s="92"/>
      <c r="K106" s="93"/>
      <c r="L106" s="92"/>
      <c r="M106" s="92"/>
      <c r="N106" s="92"/>
      <c r="O106" s="92"/>
    </row>
    <row r="107" spans="1:15" ht="9" customHeight="1" x14ac:dyDescent="0.25">
      <c r="A107" s="510" t="s">
        <v>65</v>
      </c>
      <c r="B107" s="94"/>
      <c r="C107" s="94"/>
      <c r="D107" s="94"/>
      <c r="E107" s="94"/>
      <c r="F107" s="94"/>
      <c r="G107" s="94"/>
      <c r="H107" s="95"/>
      <c r="I107" s="95"/>
      <c r="J107" s="95"/>
      <c r="K107" s="95"/>
      <c r="L107" s="95"/>
      <c r="M107" s="95"/>
      <c r="N107" s="95"/>
      <c r="O107" s="95"/>
    </row>
    <row r="108" spans="1:15" ht="9" customHeight="1" x14ac:dyDescent="0.2">
      <c r="A108" s="511" t="s">
        <v>66</v>
      </c>
    </row>
  </sheetData>
  <mergeCells count="9">
    <mergeCell ref="A62:A72"/>
    <mergeCell ref="A73:A83"/>
    <mergeCell ref="A84:A94"/>
    <mergeCell ref="A95:A105"/>
    <mergeCell ref="A4:A14"/>
    <mergeCell ref="A15:A25"/>
    <mergeCell ref="A26:A36"/>
    <mergeCell ref="A37:A47"/>
    <mergeCell ref="A48:A58"/>
  </mergeCells>
  <pageMargins left="0.27559055118110237" right="0.27559055118110237" top="0.39370078740157483" bottom="0.39370078740157483" header="0" footer="0"/>
  <pageSetup paperSize="9" orientation="portrait" r:id="rId1"/>
  <ignoredErrors>
    <ignoredError sqref="C15:C10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N20"/>
  <sheetViews>
    <sheetView showGridLines="0" zoomScaleNormal="100" workbookViewId="0">
      <selection activeCell="A2" sqref="A2:N2"/>
    </sheetView>
  </sheetViews>
  <sheetFormatPr baseColWidth="10" defaultColWidth="11.42578125" defaultRowHeight="12.75" x14ac:dyDescent="0.2"/>
  <cols>
    <col min="1" max="1" width="7.140625" style="116" customWidth="1"/>
    <col min="2" max="2" width="5.7109375" style="116" bestFit="1" customWidth="1"/>
    <col min="3" max="14" width="5.85546875" style="116" customWidth="1"/>
    <col min="15" max="16384" width="11.42578125" style="116"/>
  </cols>
  <sheetData>
    <row r="2" spans="1:14" ht="13.5" x14ac:dyDescent="0.25">
      <c r="A2" s="702" t="s">
        <v>554</v>
      </c>
      <c r="B2" s="702"/>
      <c r="C2" s="702"/>
      <c r="D2" s="702"/>
      <c r="E2" s="702"/>
      <c r="F2" s="702"/>
      <c r="G2" s="702"/>
      <c r="H2" s="702"/>
      <c r="I2" s="702"/>
      <c r="J2" s="702"/>
      <c r="K2" s="702"/>
      <c r="L2" s="702"/>
      <c r="M2" s="702"/>
      <c r="N2" s="702"/>
    </row>
    <row r="3" spans="1:14" ht="12" customHeight="1" x14ac:dyDescent="0.2">
      <c r="A3" s="703" t="s">
        <v>134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703"/>
      <c r="N3" s="703"/>
    </row>
    <row r="4" spans="1:14" ht="5.0999999999999996" customHeight="1" x14ac:dyDescent="0.2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7"/>
    </row>
    <row r="5" spans="1:14" ht="15.95" customHeight="1" x14ac:dyDescent="0.2">
      <c r="A5" s="210" t="s">
        <v>93</v>
      </c>
      <c r="B5" s="211" t="s">
        <v>135</v>
      </c>
      <c r="C5" s="211" t="s">
        <v>94</v>
      </c>
      <c r="D5" s="211" t="s">
        <v>95</v>
      </c>
      <c r="E5" s="211" t="s">
        <v>96</v>
      </c>
      <c r="F5" s="211" t="s">
        <v>97</v>
      </c>
      <c r="G5" s="211" t="s">
        <v>98</v>
      </c>
      <c r="H5" s="211" t="s">
        <v>99</v>
      </c>
      <c r="I5" s="211" t="s">
        <v>100</v>
      </c>
      <c r="J5" s="211" t="s">
        <v>101</v>
      </c>
      <c r="K5" s="211" t="s">
        <v>102</v>
      </c>
      <c r="L5" s="211" t="s">
        <v>103</v>
      </c>
      <c r="M5" s="211" t="s">
        <v>104</v>
      </c>
      <c r="N5" s="211" t="s">
        <v>105</v>
      </c>
    </row>
    <row r="6" spans="1:14" ht="14.1" customHeight="1" x14ac:dyDescent="0.2">
      <c r="A6" s="98">
        <v>2015</v>
      </c>
      <c r="B6" s="212">
        <f>SUM(C6:N6)</f>
        <v>20275.95</v>
      </c>
      <c r="C6" s="104">
        <v>2289.25</v>
      </c>
      <c r="D6" s="104">
        <v>157.9</v>
      </c>
      <c r="E6" s="105">
        <v>0</v>
      </c>
      <c r="F6" s="105">
        <v>0</v>
      </c>
      <c r="G6" s="104">
        <v>193.25</v>
      </c>
      <c r="H6" s="104">
        <v>1030.05</v>
      </c>
      <c r="I6" s="104">
        <v>1228</v>
      </c>
      <c r="J6" s="104">
        <v>1910.2</v>
      </c>
      <c r="K6" s="104">
        <v>2626</v>
      </c>
      <c r="L6" s="104">
        <v>4184.05</v>
      </c>
      <c r="M6" s="104">
        <v>3914.75</v>
      </c>
      <c r="N6" s="104">
        <v>2742.5</v>
      </c>
    </row>
    <row r="7" spans="1:14" ht="14.1" customHeight="1" x14ac:dyDescent="0.2">
      <c r="A7" s="99">
        <v>2016</v>
      </c>
      <c r="B7" s="212">
        <f t="shared" ref="B7:B14" si="0">SUM(C7:N7)</f>
        <v>28394.95</v>
      </c>
      <c r="C7" s="106">
        <v>3791</v>
      </c>
      <c r="D7" s="106">
        <v>2970</v>
      </c>
      <c r="E7" s="106">
        <v>1809.3</v>
      </c>
      <c r="F7" s="106">
        <v>1518</v>
      </c>
      <c r="G7" s="106">
        <v>2723.85</v>
      </c>
      <c r="H7" s="106">
        <v>2024</v>
      </c>
      <c r="I7" s="106">
        <v>2429</v>
      </c>
      <c r="J7" s="106">
        <v>4448</v>
      </c>
      <c r="K7" s="106">
        <v>3661.45</v>
      </c>
      <c r="L7" s="106">
        <v>1025</v>
      </c>
      <c r="M7" s="106">
        <v>1627.5</v>
      </c>
      <c r="N7" s="106">
        <v>367.85</v>
      </c>
    </row>
    <row r="8" spans="1:14" ht="14.1" customHeight="1" x14ac:dyDescent="0.2">
      <c r="A8" s="99">
        <v>2017</v>
      </c>
      <c r="B8" s="212">
        <f t="shared" si="0"/>
        <v>22952.5</v>
      </c>
      <c r="C8" s="100">
        <v>0</v>
      </c>
      <c r="D8" s="106">
        <v>2410</v>
      </c>
      <c r="E8" s="106">
        <v>3630.8</v>
      </c>
      <c r="F8" s="106">
        <v>1009.2</v>
      </c>
      <c r="G8" s="106">
        <v>285</v>
      </c>
      <c r="H8" s="106">
        <v>1200</v>
      </c>
      <c r="I8" s="106">
        <v>2497.0500000000002</v>
      </c>
      <c r="J8" s="106">
        <v>400.25</v>
      </c>
      <c r="K8" s="106">
        <v>2518.9</v>
      </c>
      <c r="L8" s="106">
        <v>3977.1</v>
      </c>
      <c r="M8" s="106">
        <v>3454.4</v>
      </c>
      <c r="N8" s="106">
        <v>1569.8</v>
      </c>
    </row>
    <row r="9" spans="1:14" ht="14.1" customHeight="1" x14ac:dyDescent="0.2">
      <c r="A9" s="99">
        <v>2018</v>
      </c>
      <c r="B9" s="212">
        <f t="shared" si="0"/>
        <v>25542.400000000001</v>
      </c>
      <c r="C9" s="106">
        <v>862.4</v>
      </c>
      <c r="D9" s="100">
        <v>0</v>
      </c>
      <c r="E9" s="106">
        <v>4100</v>
      </c>
      <c r="F9" s="107">
        <v>4350</v>
      </c>
      <c r="G9" s="106">
        <v>4505</v>
      </c>
      <c r="H9" s="106">
        <v>3200</v>
      </c>
      <c r="I9" s="106">
        <v>1613</v>
      </c>
      <c r="J9" s="106">
        <v>5800</v>
      </c>
      <c r="K9" s="100">
        <v>0</v>
      </c>
      <c r="L9" s="100">
        <v>0</v>
      </c>
      <c r="M9" s="106">
        <v>250</v>
      </c>
      <c r="N9" s="106">
        <v>862</v>
      </c>
    </row>
    <row r="10" spans="1:14" ht="14.1" customHeight="1" x14ac:dyDescent="0.2">
      <c r="A10" s="99">
        <v>2019</v>
      </c>
      <c r="B10" s="212">
        <f t="shared" si="0"/>
        <v>28787.5</v>
      </c>
      <c r="C10" s="100">
        <v>0</v>
      </c>
      <c r="D10" s="100">
        <v>100</v>
      </c>
      <c r="E10" s="106">
        <v>4065</v>
      </c>
      <c r="F10" s="107">
        <v>2110.85</v>
      </c>
      <c r="G10" s="106">
        <v>2963</v>
      </c>
      <c r="H10" s="106">
        <v>2501</v>
      </c>
      <c r="I10" s="106">
        <f>13615-11740</f>
        <v>1875</v>
      </c>
      <c r="J10" s="106">
        <v>2900</v>
      </c>
      <c r="K10" s="100">
        <v>2984.65</v>
      </c>
      <c r="L10" s="100">
        <v>2949</v>
      </c>
      <c r="M10" s="106">
        <v>4724</v>
      </c>
      <c r="N10" s="106">
        <v>1615</v>
      </c>
    </row>
    <row r="11" spans="1:14" ht="14.1" customHeight="1" x14ac:dyDescent="0.2">
      <c r="A11" s="99">
        <v>2020</v>
      </c>
      <c r="B11" s="212">
        <f t="shared" si="0"/>
        <v>10029</v>
      </c>
      <c r="C11" s="100">
        <v>0</v>
      </c>
      <c r="D11" s="100">
        <v>975</v>
      </c>
      <c r="E11" s="106">
        <f>1575-975</f>
        <v>600</v>
      </c>
      <c r="F11" s="107">
        <v>400</v>
      </c>
      <c r="G11" s="106">
        <f>2835-1975</f>
        <v>860</v>
      </c>
      <c r="H11" s="106">
        <v>760</v>
      </c>
      <c r="I11" s="106">
        <f>4804-3595</f>
        <v>1209</v>
      </c>
      <c r="J11" s="106">
        <f>5416-4804</f>
        <v>612</v>
      </c>
      <c r="K11" s="100">
        <f>6416-5416</f>
        <v>1000</v>
      </c>
      <c r="L11" s="100">
        <f>7916-6416</f>
        <v>1500</v>
      </c>
      <c r="M11" s="106">
        <f>8666-7916</f>
        <v>750</v>
      </c>
      <c r="N11" s="106">
        <v>1363</v>
      </c>
    </row>
    <row r="12" spans="1:14" ht="14.1" customHeight="1" x14ac:dyDescent="0.2">
      <c r="A12" s="99">
        <v>2021</v>
      </c>
      <c r="B12" s="212">
        <f t="shared" si="0"/>
        <v>23086.75</v>
      </c>
      <c r="C12" s="100">
        <v>2050</v>
      </c>
      <c r="D12" s="100">
        <f>3950-2050</f>
        <v>1900</v>
      </c>
      <c r="E12" s="100">
        <f>8350.3-3950</f>
        <v>4400.2999999999993</v>
      </c>
      <c r="F12" s="107">
        <v>3354.45</v>
      </c>
      <c r="G12" s="100">
        <v>1600</v>
      </c>
      <c r="H12" s="106">
        <f>14331-13305</f>
        <v>1026</v>
      </c>
      <c r="I12" s="106">
        <f>16311-14331</f>
        <v>1980</v>
      </c>
      <c r="J12" s="106">
        <v>3165</v>
      </c>
      <c r="K12" s="100">
        <v>1350</v>
      </c>
      <c r="L12" s="100">
        <v>1646</v>
      </c>
      <c r="M12" s="106">
        <v>253</v>
      </c>
      <c r="N12" s="106">
        <v>362</v>
      </c>
    </row>
    <row r="13" spans="1:14" ht="14.1" customHeight="1" x14ac:dyDescent="0.2">
      <c r="A13" s="99">
        <v>2022</v>
      </c>
      <c r="B13" s="212">
        <f t="shared" si="0"/>
        <v>19808.900000000001</v>
      </c>
      <c r="C13" s="100">
        <v>0</v>
      </c>
      <c r="D13" s="100">
        <v>0</v>
      </c>
      <c r="E13" s="101">
        <v>2278</v>
      </c>
      <c r="F13" s="102">
        <v>3993</v>
      </c>
      <c r="G13" s="101">
        <f>8375-6271</f>
        <v>2104</v>
      </c>
      <c r="H13" s="101">
        <f>9946-8375</f>
        <v>1571</v>
      </c>
      <c r="I13" s="101">
        <f>13246.2-9946</f>
        <v>3300.2000000000007</v>
      </c>
      <c r="J13" s="101">
        <f>16146.2-13246</f>
        <v>2900.2000000000007</v>
      </c>
      <c r="K13" s="100">
        <v>3268</v>
      </c>
      <c r="L13" s="100">
        <f>21684.35-21584</f>
        <v>100.34999999999854</v>
      </c>
      <c r="M13" s="101">
        <f>21766.15-21685</f>
        <v>81.150000000001455</v>
      </c>
      <c r="N13" s="101">
        <v>213</v>
      </c>
    </row>
    <row r="14" spans="1:14" ht="14.1" customHeight="1" x14ac:dyDescent="0.2">
      <c r="A14" s="99">
        <v>2023</v>
      </c>
      <c r="B14" s="212">
        <f t="shared" si="0"/>
        <v>13351</v>
      </c>
      <c r="C14" s="100">
        <v>0</v>
      </c>
      <c r="D14" s="100">
        <v>0</v>
      </c>
      <c r="E14" s="100">
        <v>0</v>
      </c>
      <c r="F14" s="107">
        <v>1345</v>
      </c>
      <c r="G14" s="100">
        <v>1674</v>
      </c>
      <c r="H14" s="106">
        <v>3052</v>
      </c>
      <c r="I14" s="106">
        <v>3345</v>
      </c>
      <c r="J14" s="106">
        <v>2386</v>
      </c>
      <c r="K14" s="100">
        <v>1065</v>
      </c>
      <c r="L14" s="100">
        <v>484</v>
      </c>
      <c r="M14" s="106">
        <v>0</v>
      </c>
      <c r="N14" s="106">
        <v>0</v>
      </c>
    </row>
    <row r="15" spans="1:14" ht="14.1" customHeight="1" x14ac:dyDescent="0.2">
      <c r="A15" s="99">
        <v>2024</v>
      </c>
      <c r="B15" s="212">
        <f>SUM(C15:N15)</f>
        <v>22288.899999999998</v>
      </c>
      <c r="C15" s="100">
        <v>0</v>
      </c>
      <c r="D15" s="100">
        <v>0</v>
      </c>
      <c r="E15" s="100">
        <v>2040</v>
      </c>
      <c r="F15" s="107">
        <v>1638</v>
      </c>
      <c r="G15" s="100">
        <v>2476</v>
      </c>
      <c r="H15" s="106">
        <v>3901</v>
      </c>
      <c r="I15" s="106">
        <v>3806.1</v>
      </c>
      <c r="J15" s="106">
        <v>2237</v>
      </c>
      <c r="K15" s="100">
        <v>906</v>
      </c>
      <c r="L15" s="100">
        <v>1010.8</v>
      </c>
      <c r="M15" s="106">
        <v>3363</v>
      </c>
      <c r="N15" s="106">
        <v>911</v>
      </c>
    </row>
    <row r="16" spans="1:14" ht="14.1" customHeight="1" x14ac:dyDescent="0.2">
      <c r="A16" s="103">
        <v>2025</v>
      </c>
      <c r="B16" s="213">
        <f>SUM(C16:N16)</f>
        <v>14705.839999999998</v>
      </c>
      <c r="C16" s="108">
        <v>0</v>
      </c>
      <c r="D16" s="108">
        <v>0</v>
      </c>
      <c r="E16" s="108">
        <v>195</v>
      </c>
      <c r="F16" s="109">
        <v>494.01</v>
      </c>
      <c r="G16" s="108">
        <v>2881.73</v>
      </c>
      <c r="H16" s="110">
        <v>2854.13</v>
      </c>
      <c r="I16" s="110">
        <v>2577.6</v>
      </c>
      <c r="J16" s="110">
        <v>1616.29</v>
      </c>
      <c r="K16" s="108">
        <v>4087.08</v>
      </c>
      <c r="L16" s="108"/>
      <c r="M16" s="110"/>
      <c r="N16" s="110"/>
    </row>
    <row r="17" spans="1:14" ht="9" customHeight="1" x14ac:dyDescent="0.2">
      <c r="A17" s="117" t="s">
        <v>136</v>
      </c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2"/>
    </row>
    <row r="18" spans="1:14" ht="9" customHeight="1" x14ac:dyDescent="0.2">
      <c r="A18" s="115" t="s">
        <v>65</v>
      </c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2"/>
    </row>
    <row r="19" spans="1:14" ht="9" customHeight="1" x14ac:dyDescent="0.2">
      <c r="A19" s="115" t="s">
        <v>66</v>
      </c>
      <c r="B19" s="113"/>
      <c r="C19" s="113"/>
      <c r="D19" s="113"/>
      <c r="E19" s="113"/>
      <c r="F19" s="113"/>
      <c r="G19" s="113"/>
      <c r="H19" s="114"/>
      <c r="I19" s="114"/>
      <c r="J19" s="114"/>
      <c r="K19" s="114"/>
      <c r="L19" s="114"/>
      <c r="M19" s="114"/>
      <c r="N19" s="114"/>
    </row>
    <row r="20" spans="1:14" ht="9" customHeight="1" x14ac:dyDescent="0.2">
      <c r="A20" s="115" t="s">
        <v>189</v>
      </c>
      <c r="B20" s="115"/>
      <c r="C20" s="115"/>
      <c r="D20" s="115"/>
      <c r="E20" s="115"/>
      <c r="F20" s="115"/>
      <c r="G20" s="115"/>
    </row>
  </sheetData>
  <mergeCells count="2">
    <mergeCell ref="A2:N2"/>
    <mergeCell ref="A3:N3"/>
  </mergeCells>
  <pageMargins left="0.27559055118110237" right="0.27559055118110237" top="0.39370078740157483" bottom="0.39370078740157483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82"/>
  <sheetViews>
    <sheetView showGridLines="0" zoomScaleNormal="100" workbookViewId="0">
      <pane xSplit="1" ySplit="7" topLeftCell="B8" activePane="bottomRight" state="frozen"/>
      <selection activeCell="L27" sqref="L27"/>
      <selection pane="topRight" activeCell="L27" sqref="L27"/>
      <selection pane="bottomLeft" activeCell="L27" sqref="L27"/>
      <selection pane="bottomRight" activeCell="O31" sqref="O31"/>
    </sheetView>
  </sheetViews>
  <sheetFormatPr baseColWidth="10" defaultColWidth="12.7109375" defaultRowHeight="15" customHeight="1" x14ac:dyDescent="0.2"/>
  <cols>
    <col min="1" max="1" width="19.140625" style="2" customWidth="1"/>
    <col min="2" max="3" width="8.7109375" style="2" customWidth="1"/>
    <col min="4" max="4" width="6.7109375" style="2" customWidth="1"/>
    <col min="5" max="6" width="8.7109375" style="2" customWidth="1"/>
    <col min="7" max="7" width="6.7109375" style="2" customWidth="1"/>
    <col min="8" max="9" width="8.7109375" style="2" customWidth="1"/>
    <col min="10" max="10" width="6.7109375" style="2" customWidth="1"/>
    <col min="11" max="16384" width="12.7109375" style="2"/>
  </cols>
  <sheetData>
    <row r="1" spans="1:12" ht="18" customHeight="1" x14ac:dyDescent="0.25">
      <c r="A1" s="345" t="s">
        <v>410</v>
      </c>
      <c r="B1" s="346"/>
      <c r="C1" s="346"/>
      <c r="D1" s="346"/>
      <c r="E1" s="346"/>
      <c r="F1" s="346"/>
      <c r="G1" s="346"/>
      <c r="H1" s="325"/>
      <c r="I1" s="376"/>
      <c r="J1" s="325"/>
    </row>
    <row r="2" spans="1:12" ht="12" customHeight="1" x14ac:dyDescent="0.25">
      <c r="A2" s="377" t="s">
        <v>555</v>
      </c>
      <c r="B2" s="346"/>
      <c r="C2" s="346"/>
      <c r="D2" s="346"/>
      <c r="E2" s="346"/>
      <c r="F2" s="346"/>
      <c r="G2" s="346"/>
      <c r="H2" s="325"/>
      <c r="I2" s="376"/>
      <c r="J2" s="325"/>
    </row>
    <row r="3" spans="1:12" ht="12" customHeight="1" x14ac:dyDescent="0.25">
      <c r="A3" s="378" t="s">
        <v>385</v>
      </c>
      <c r="B3" s="346"/>
      <c r="C3" s="346"/>
      <c r="D3" s="326"/>
      <c r="E3" s="326"/>
      <c r="F3" s="326"/>
      <c r="G3" s="326"/>
      <c r="H3" s="328"/>
      <c r="I3" s="347"/>
      <c r="J3" s="328"/>
    </row>
    <row r="4" spans="1:12" ht="6" customHeight="1" x14ac:dyDescent="0.25">
      <c r="A4" s="640"/>
      <c r="B4" s="346"/>
      <c r="C4" s="346"/>
      <c r="D4" s="326"/>
      <c r="E4" s="326"/>
      <c r="F4" s="326"/>
      <c r="G4" s="326"/>
      <c r="H4" s="328"/>
      <c r="I4" s="347"/>
      <c r="J4" s="328"/>
    </row>
    <row r="5" spans="1:12" ht="14.1" customHeight="1" x14ac:dyDescent="0.2">
      <c r="A5" s="704" t="s">
        <v>0</v>
      </c>
      <c r="B5" s="706" t="s">
        <v>411</v>
      </c>
      <c r="C5" s="707"/>
      <c r="D5" s="708"/>
      <c r="E5" s="706" t="s">
        <v>412</v>
      </c>
      <c r="F5" s="707"/>
      <c r="G5" s="708"/>
      <c r="H5" s="706" t="s">
        <v>413</v>
      </c>
      <c r="I5" s="707"/>
      <c r="J5" s="708"/>
    </row>
    <row r="6" spans="1:12" ht="14.1" customHeight="1" x14ac:dyDescent="0.2">
      <c r="A6" s="705"/>
      <c r="B6" s="329">
        <v>2024</v>
      </c>
      <c r="C6" s="329">
        <v>2025</v>
      </c>
      <c r="D6" s="329" t="s">
        <v>1</v>
      </c>
      <c r="E6" s="329">
        <v>2024</v>
      </c>
      <c r="F6" s="329">
        <v>2025</v>
      </c>
      <c r="G6" s="329" t="s">
        <v>1</v>
      </c>
      <c r="H6" s="329">
        <v>2024</v>
      </c>
      <c r="I6" s="329">
        <v>2025</v>
      </c>
      <c r="J6" s="329" t="s">
        <v>1</v>
      </c>
    </row>
    <row r="7" spans="1:12" ht="4.5" customHeight="1" x14ac:dyDescent="0.2">
      <c r="A7" s="633"/>
      <c r="B7" s="633"/>
      <c r="C7" s="633"/>
      <c r="D7" s="633"/>
      <c r="E7" s="633"/>
      <c r="F7" s="633"/>
      <c r="G7" s="633"/>
      <c r="H7" s="633"/>
      <c r="I7" s="633"/>
      <c r="J7" s="633"/>
    </row>
    <row r="8" spans="1:12" s="544" customFormat="1" ht="12" customHeight="1" x14ac:dyDescent="0.25">
      <c r="A8" s="583" t="s">
        <v>466</v>
      </c>
      <c r="B8" s="379">
        <f>AVERAGE(B9:B9)</f>
        <v>2070</v>
      </c>
      <c r="C8" s="379">
        <f>AVERAGE(C9:C9)</f>
        <v>1970</v>
      </c>
      <c r="D8" s="353">
        <f>((C8/B8) -   1)*100</f>
        <v>-4.8309178743961345</v>
      </c>
      <c r="E8" s="364" t="s">
        <v>403</v>
      </c>
      <c r="F8" s="364" t="s">
        <v>403</v>
      </c>
      <c r="G8" s="594" t="s">
        <v>3</v>
      </c>
      <c r="H8" s="380" t="s">
        <v>403</v>
      </c>
      <c r="I8" s="380" t="s">
        <v>403</v>
      </c>
      <c r="J8" s="578" t="s">
        <v>567</v>
      </c>
    </row>
    <row r="9" spans="1:12" s="544" customFormat="1" ht="12" customHeight="1" x14ac:dyDescent="0.25">
      <c r="A9" s="335" t="s">
        <v>469</v>
      </c>
      <c r="B9" s="381">
        <v>2070</v>
      </c>
      <c r="C9" s="381">
        <v>1970</v>
      </c>
      <c r="D9" s="355">
        <f>((C9/B9) -   1)*100</f>
        <v>-4.8309178743961345</v>
      </c>
      <c r="E9" s="363" t="s">
        <v>403</v>
      </c>
      <c r="F9" s="363" t="s">
        <v>403</v>
      </c>
      <c r="G9" s="581" t="s">
        <v>3</v>
      </c>
      <c r="H9" s="352" t="s">
        <v>403</v>
      </c>
      <c r="I9" s="352" t="s">
        <v>403</v>
      </c>
      <c r="J9" s="366" t="s">
        <v>567</v>
      </c>
    </row>
    <row r="10" spans="1:12" ht="12" customHeight="1" x14ac:dyDescent="0.2">
      <c r="A10" s="373" t="s">
        <v>419</v>
      </c>
      <c r="B10" s="364" t="s">
        <v>403</v>
      </c>
      <c r="C10" s="379">
        <f>AVERAGE(C11:C15)</f>
        <v>2295</v>
      </c>
      <c r="D10" s="341" t="s">
        <v>390</v>
      </c>
      <c r="E10" s="364" t="s">
        <v>403</v>
      </c>
      <c r="F10" s="379">
        <f>AVERAGE(F11:F15)</f>
        <v>2246</v>
      </c>
      <c r="G10" s="341" t="s">
        <v>390</v>
      </c>
      <c r="H10" s="364" t="s">
        <v>403</v>
      </c>
      <c r="I10" s="379">
        <f>AVERAGE(I11:I15)</f>
        <v>2450</v>
      </c>
      <c r="J10" s="578" t="s">
        <v>567</v>
      </c>
      <c r="L10" s="542"/>
    </row>
    <row r="11" spans="1:12" ht="12" customHeight="1" x14ac:dyDescent="0.2">
      <c r="A11" s="335" t="s">
        <v>420</v>
      </c>
      <c r="B11" s="363" t="s">
        <v>403</v>
      </c>
      <c r="C11" s="381">
        <v>2300</v>
      </c>
      <c r="D11" s="338" t="s">
        <v>390</v>
      </c>
      <c r="E11" s="384" t="s">
        <v>403</v>
      </c>
      <c r="F11" s="381">
        <v>2260</v>
      </c>
      <c r="G11" s="338" t="s">
        <v>390</v>
      </c>
      <c r="H11" s="363" t="s">
        <v>403</v>
      </c>
      <c r="I11" s="363" t="s">
        <v>403</v>
      </c>
      <c r="J11" s="366" t="s">
        <v>567</v>
      </c>
      <c r="L11" s="542"/>
    </row>
    <row r="12" spans="1:12" ht="12" customHeight="1" x14ac:dyDescent="0.2">
      <c r="A12" s="335" t="s">
        <v>492</v>
      </c>
      <c r="B12" s="363" t="s">
        <v>403</v>
      </c>
      <c r="C12" s="381">
        <v>2350</v>
      </c>
      <c r="D12" s="581" t="s">
        <v>3</v>
      </c>
      <c r="E12" s="363" t="s">
        <v>403</v>
      </c>
      <c r="F12" s="363" t="s">
        <v>403</v>
      </c>
      <c r="G12" s="581" t="s">
        <v>3</v>
      </c>
      <c r="H12" s="352" t="s">
        <v>403</v>
      </c>
      <c r="I12" s="352" t="s">
        <v>403</v>
      </c>
      <c r="J12" s="366" t="s">
        <v>567</v>
      </c>
      <c r="L12" s="542"/>
    </row>
    <row r="13" spans="1:12" ht="12" customHeight="1" x14ac:dyDescent="0.2">
      <c r="A13" s="374" t="s">
        <v>421</v>
      </c>
      <c r="B13" s="363" t="s">
        <v>403</v>
      </c>
      <c r="C13" s="381">
        <v>2225</v>
      </c>
      <c r="D13" s="375" t="s">
        <v>3</v>
      </c>
      <c r="E13" s="363" t="s">
        <v>403</v>
      </c>
      <c r="F13" s="381">
        <v>2124</v>
      </c>
      <c r="G13" s="338" t="s">
        <v>390</v>
      </c>
      <c r="H13" s="363" t="s">
        <v>403</v>
      </c>
      <c r="I13" s="381">
        <v>2000</v>
      </c>
      <c r="J13" s="366" t="s">
        <v>567</v>
      </c>
      <c r="L13" s="542"/>
    </row>
    <row r="14" spans="1:12" ht="12" customHeight="1" x14ac:dyDescent="0.2">
      <c r="A14" s="335" t="s">
        <v>573</v>
      </c>
      <c r="B14" s="363" t="s">
        <v>403</v>
      </c>
      <c r="C14" s="381">
        <v>2500</v>
      </c>
      <c r="D14" s="371" t="s">
        <v>3</v>
      </c>
      <c r="E14" s="363" t="s">
        <v>403</v>
      </c>
      <c r="F14" s="381">
        <v>2400</v>
      </c>
      <c r="G14" s="338" t="s">
        <v>390</v>
      </c>
      <c r="H14" s="363" t="s">
        <v>403</v>
      </c>
      <c r="I14" s="381">
        <v>3800</v>
      </c>
      <c r="J14" s="366" t="s">
        <v>567</v>
      </c>
    </row>
    <row r="15" spans="1:12" ht="12" customHeight="1" x14ac:dyDescent="0.2">
      <c r="A15" s="335" t="s">
        <v>444</v>
      </c>
      <c r="B15" s="363" t="s">
        <v>403</v>
      </c>
      <c r="C15" s="381">
        <v>2100</v>
      </c>
      <c r="D15" s="371" t="s">
        <v>3</v>
      </c>
      <c r="E15" s="363" t="s">
        <v>403</v>
      </c>
      <c r="F15" s="381">
        <v>2200</v>
      </c>
      <c r="G15" s="338" t="s">
        <v>390</v>
      </c>
      <c r="H15" s="363" t="s">
        <v>403</v>
      </c>
      <c r="I15" s="381">
        <v>1550</v>
      </c>
      <c r="J15" s="366" t="s">
        <v>567</v>
      </c>
    </row>
    <row r="16" spans="1:12" ht="12" customHeight="1" x14ac:dyDescent="0.2">
      <c r="A16" s="583" t="s">
        <v>75</v>
      </c>
      <c r="B16" s="364" t="s">
        <v>403</v>
      </c>
      <c r="C16" s="543">
        <f>AVERAGE(C17:C20)</f>
        <v>3099.15</v>
      </c>
      <c r="D16" s="341" t="s">
        <v>390</v>
      </c>
      <c r="E16" s="364" t="s">
        <v>403</v>
      </c>
      <c r="F16" s="379">
        <f>AVERAGE(F17:F20)</f>
        <v>3254</v>
      </c>
      <c r="G16" s="341" t="s">
        <v>390</v>
      </c>
      <c r="H16" s="364" t="s">
        <v>403</v>
      </c>
      <c r="I16" s="379">
        <f>AVERAGE(I17:I20)</f>
        <v>4305</v>
      </c>
      <c r="J16" s="366" t="s">
        <v>567</v>
      </c>
    </row>
    <row r="17" spans="1:10" ht="12" customHeight="1" x14ac:dyDescent="0.2">
      <c r="A17" s="335" t="s">
        <v>151</v>
      </c>
      <c r="B17" s="582" t="s">
        <v>403</v>
      </c>
      <c r="C17" s="381">
        <v>2570</v>
      </c>
      <c r="D17" s="581" t="s">
        <v>3</v>
      </c>
      <c r="E17" s="582" t="s">
        <v>403</v>
      </c>
      <c r="F17" s="381">
        <v>2883.4</v>
      </c>
      <c r="G17" s="581" t="s">
        <v>3</v>
      </c>
      <c r="H17" s="350" t="s">
        <v>403</v>
      </c>
      <c r="I17" s="381">
        <v>4400</v>
      </c>
      <c r="J17" s="366" t="s">
        <v>567</v>
      </c>
    </row>
    <row r="18" spans="1:10" ht="12" customHeight="1" x14ac:dyDescent="0.2">
      <c r="A18" s="335" t="s">
        <v>536</v>
      </c>
      <c r="B18" s="582" t="s">
        <v>403</v>
      </c>
      <c r="C18" s="381">
        <v>3640</v>
      </c>
      <c r="D18" s="581" t="s">
        <v>3</v>
      </c>
      <c r="E18" s="582" t="s">
        <v>403</v>
      </c>
      <c r="F18" s="381">
        <v>3600</v>
      </c>
      <c r="G18" s="581" t="s">
        <v>3</v>
      </c>
      <c r="H18" s="350" t="s">
        <v>403</v>
      </c>
      <c r="I18" s="350" t="s">
        <v>403</v>
      </c>
      <c r="J18" s="366" t="s">
        <v>567</v>
      </c>
    </row>
    <row r="19" spans="1:10" ht="12" customHeight="1" x14ac:dyDescent="0.2">
      <c r="A19" s="335" t="s">
        <v>391</v>
      </c>
      <c r="B19" s="582" t="s">
        <v>403</v>
      </c>
      <c r="C19" s="381">
        <v>2800</v>
      </c>
      <c r="D19" s="581" t="s">
        <v>3</v>
      </c>
      <c r="E19" s="582" t="s">
        <v>403</v>
      </c>
      <c r="F19" s="381">
        <v>2952.6</v>
      </c>
      <c r="G19" s="581" t="s">
        <v>3</v>
      </c>
      <c r="H19" s="350" t="s">
        <v>403</v>
      </c>
      <c r="I19" s="381">
        <v>4210</v>
      </c>
      <c r="J19" s="366" t="s">
        <v>567</v>
      </c>
    </row>
    <row r="20" spans="1:10" ht="12" customHeight="1" x14ac:dyDescent="0.2">
      <c r="A20" s="335" t="s">
        <v>157</v>
      </c>
      <c r="B20" s="582" t="s">
        <v>403</v>
      </c>
      <c r="C20" s="381">
        <v>3386.6</v>
      </c>
      <c r="D20" s="581" t="s">
        <v>3</v>
      </c>
      <c r="E20" s="582" t="s">
        <v>403</v>
      </c>
      <c r="F20" s="381">
        <v>3580</v>
      </c>
      <c r="G20" s="581" t="s">
        <v>3</v>
      </c>
      <c r="H20" s="350" t="s">
        <v>403</v>
      </c>
      <c r="I20" s="350" t="s">
        <v>403</v>
      </c>
      <c r="J20" s="366" t="s">
        <v>567</v>
      </c>
    </row>
    <row r="21" spans="1:10" ht="12" customHeight="1" x14ac:dyDescent="0.2">
      <c r="A21" s="383" t="s">
        <v>2</v>
      </c>
      <c r="B21" s="543">
        <f>AVERAGE(B22:B26)</f>
        <v>2103.12</v>
      </c>
      <c r="C21" s="543">
        <f>AVERAGE(C22:C26)</f>
        <v>2132</v>
      </c>
      <c r="D21" s="579">
        <f t="shared" ref="D21:D30" si="0">((C21/B21) -   1)*100</f>
        <v>1.3731979154779639</v>
      </c>
      <c r="E21" s="379">
        <f>AVERAGE(E22:E26)</f>
        <v>2280</v>
      </c>
      <c r="F21" s="379">
        <f>AVERAGE(F22:F26)</f>
        <v>2122.75</v>
      </c>
      <c r="G21" s="593">
        <f>((F21/E21) -   1)*100</f>
        <v>-6.8969298245614041</v>
      </c>
      <c r="H21" s="379">
        <f>AVERAGE(H22:H26)</f>
        <v>1492.5</v>
      </c>
      <c r="I21" s="379">
        <f>AVERAGE(I22:I26)</f>
        <v>1210.5666666666666</v>
      </c>
      <c r="J21" s="578">
        <f>((I21/H21)  -          1)*100</f>
        <v>-18.890005583472924</v>
      </c>
    </row>
    <row r="22" spans="1:10" ht="12" customHeight="1" x14ac:dyDescent="0.2">
      <c r="A22" s="335" t="s">
        <v>5</v>
      </c>
      <c r="B22" s="381">
        <v>1910</v>
      </c>
      <c r="C22" s="381">
        <v>1910</v>
      </c>
      <c r="D22" s="339">
        <f t="shared" si="0"/>
        <v>0</v>
      </c>
      <c r="E22" s="381">
        <v>2040</v>
      </c>
      <c r="F22" s="363" t="s">
        <v>403</v>
      </c>
      <c r="G22" s="338" t="s">
        <v>390</v>
      </c>
      <c r="H22" s="381">
        <v>1180</v>
      </c>
      <c r="I22" s="350" t="s">
        <v>403</v>
      </c>
      <c r="J22" s="366" t="s">
        <v>567</v>
      </c>
    </row>
    <row r="23" spans="1:10" ht="12" customHeight="1" x14ac:dyDescent="0.2">
      <c r="A23" s="335" t="s">
        <v>76</v>
      </c>
      <c r="B23" s="381">
        <v>1845</v>
      </c>
      <c r="C23" s="381">
        <v>2010</v>
      </c>
      <c r="D23" s="339">
        <f t="shared" si="0"/>
        <v>8.9430894308943021</v>
      </c>
      <c r="E23" s="381">
        <v>2100</v>
      </c>
      <c r="F23" s="381">
        <v>1895</v>
      </c>
      <c r="G23" s="339">
        <f>((F23/E23) -   1)*100</f>
        <v>-9.761904761904761</v>
      </c>
      <c r="H23" s="381">
        <v>1200</v>
      </c>
      <c r="I23" s="381">
        <v>1155</v>
      </c>
      <c r="J23" s="366">
        <f>((I23/H23)  -          1)*100</f>
        <v>-3.7499999999999978</v>
      </c>
    </row>
    <row r="24" spans="1:10" ht="12" customHeight="1" x14ac:dyDescent="0.2">
      <c r="A24" s="335" t="s">
        <v>59</v>
      </c>
      <c r="B24" s="381">
        <v>2147.6</v>
      </c>
      <c r="C24" s="381">
        <v>2100</v>
      </c>
      <c r="D24" s="339">
        <f t="shared" si="0"/>
        <v>-2.2164276401564487</v>
      </c>
      <c r="E24" s="381">
        <v>2380</v>
      </c>
      <c r="F24" s="381">
        <v>2056</v>
      </c>
      <c r="G24" s="339">
        <f>((F24/E24) -   1)*100</f>
        <v>-13.613445378151257</v>
      </c>
      <c r="H24" s="381">
        <v>2190</v>
      </c>
      <c r="I24" s="381">
        <v>1416.7</v>
      </c>
      <c r="J24" s="588">
        <f>((I24/H24) -   1)*100</f>
        <v>-35.310502283105016</v>
      </c>
    </row>
    <row r="25" spans="1:10" ht="12" customHeight="1" x14ac:dyDescent="0.2">
      <c r="A25" s="335" t="s">
        <v>511</v>
      </c>
      <c r="B25" s="381">
        <v>2800</v>
      </c>
      <c r="C25" s="381">
        <v>2700</v>
      </c>
      <c r="D25" s="339">
        <f t="shared" si="0"/>
        <v>-3.5714285714285698</v>
      </c>
      <c r="E25" s="381">
        <v>2600</v>
      </c>
      <c r="F25" s="381">
        <v>2600</v>
      </c>
      <c r="G25" s="339">
        <f>((F25/E25) -   1)*100</f>
        <v>0</v>
      </c>
      <c r="H25" s="336" t="s">
        <v>403</v>
      </c>
      <c r="I25" s="336" t="s">
        <v>403</v>
      </c>
      <c r="J25" s="366" t="s">
        <v>567</v>
      </c>
    </row>
    <row r="26" spans="1:10" ht="12" customHeight="1" x14ac:dyDescent="0.2">
      <c r="A26" s="335" t="s">
        <v>186</v>
      </c>
      <c r="B26" s="381">
        <v>1813</v>
      </c>
      <c r="C26" s="381">
        <v>1940</v>
      </c>
      <c r="D26" s="339">
        <f t="shared" si="0"/>
        <v>7.0049641478212799</v>
      </c>
      <c r="E26" s="384" t="s">
        <v>403</v>
      </c>
      <c r="F26" s="381">
        <v>1940</v>
      </c>
      <c r="G26" s="581" t="s">
        <v>3</v>
      </c>
      <c r="H26" s="381">
        <v>1400</v>
      </c>
      <c r="I26" s="381">
        <v>1060</v>
      </c>
      <c r="J26" s="588">
        <f>((I26/H26) -   1)*100</f>
        <v>-24.285714285714288</v>
      </c>
    </row>
    <row r="27" spans="1:10" ht="12" customHeight="1" x14ac:dyDescent="0.2">
      <c r="A27" s="383" t="s">
        <v>6</v>
      </c>
      <c r="B27" s="379">
        <f>AVERAGE(B28:B30)</f>
        <v>3438.6666666666665</v>
      </c>
      <c r="C27" s="379">
        <f>AVERAGE(C28:C30)</f>
        <v>3237.7999999999997</v>
      </c>
      <c r="D27" s="579">
        <f t="shared" si="0"/>
        <v>-5.8414113997673596</v>
      </c>
      <c r="E27" s="379">
        <f>AVERAGE(E28:E30)</f>
        <v>2791.0666666666671</v>
      </c>
      <c r="F27" s="379">
        <f>AVERAGE(F28:F30)</f>
        <v>2360</v>
      </c>
      <c r="G27" s="579">
        <f>((F27/E27) -   1)*100</f>
        <v>-15.444513447666374</v>
      </c>
      <c r="H27" s="379">
        <f>AVERAGE(H28:H30)</f>
        <v>4600</v>
      </c>
      <c r="I27" s="379">
        <f>AVERAGE(I28:I30)</f>
        <v>3300</v>
      </c>
      <c r="J27" s="578">
        <f>((I27/H27)  -          1)*100</f>
        <v>-28.260869565217394</v>
      </c>
    </row>
    <row r="28" spans="1:10" ht="12" customHeight="1" x14ac:dyDescent="0.2">
      <c r="A28" s="335" t="s">
        <v>8</v>
      </c>
      <c r="B28" s="381">
        <v>2173</v>
      </c>
      <c r="C28" s="381">
        <v>2213.4</v>
      </c>
      <c r="D28" s="339">
        <f t="shared" si="0"/>
        <v>1.859180855959508</v>
      </c>
      <c r="E28" s="381">
        <v>2266.6</v>
      </c>
      <c r="F28" s="381">
        <v>2200</v>
      </c>
      <c r="G28" s="339">
        <f>((F28/E28) -   1)*100</f>
        <v>-2.9383217153445607</v>
      </c>
      <c r="H28" s="336" t="s">
        <v>403</v>
      </c>
      <c r="I28" s="381">
        <v>3300</v>
      </c>
      <c r="J28" s="366" t="s">
        <v>567</v>
      </c>
    </row>
    <row r="29" spans="1:10" ht="12" customHeight="1" x14ac:dyDescent="0.2">
      <c r="A29" s="335" t="s">
        <v>11</v>
      </c>
      <c r="B29" s="381">
        <v>5550</v>
      </c>
      <c r="C29" s="381">
        <v>5000</v>
      </c>
      <c r="D29" s="339">
        <f t="shared" si="0"/>
        <v>-9.9099099099099082</v>
      </c>
      <c r="E29" s="381">
        <v>3600</v>
      </c>
      <c r="F29" s="363" t="s">
        <v>403</v>
      </c>
      <c r="G29" s="581" t="s">
        <v>3</v>
      </c>
      <c r="H29" s="381">
        <v>4600</v>
      </c>
      <c r="I29" s="352" t="s">
        <v>403</v>
      </c>
      <c r="J29" s="366" t="s">
        <v>567</v>
      </c>
    </row>
    <row r="30" spans="1:10" ht="12" customHeight="1" x14ac:dyDescent="0.2">
      <c r="A30" s="335" t="s">
        <v>392</v>
      </c>
      <c r="B30" s="381">
        <v>2593</v>
      </c>
      <c r="C30" s="381">
        <v>2500</v>
      </c>
      <c r="D30" s="339">
        <f t="shared" si="0"/>
        <v>-3.5865792518318562</v>
      </c>
      <c r="E30" s="381">
        <v>2506.6</v>
      </c>
      <c r="F30" s="381">
        <v>2520</v>
      </c>
      <c r="G30" s="339">
        <f>((F30/E30) -   1)*100</f>
        <v>0.5345886858693083</v>
      </c>
      <c r="H30" s="352" t="s">
        <v>403</v>
      </c>
      <c r="I30" s="352" t="s">
        <v>403</v>
      </c>
      <c r="J30" s="366" t="s">
        <v>567</v>
      </c>
    </row>
    <row r="31" spans="1:10" ht="12" customHeight="1" x14ac:dyDescent="0.2">
      <c r="A31" s="385" t="s">
        <v>13</v>
      </c>
      <c r="B31" s="379">
        <f>AVERAGE(B32:B34)</f>
        <v>2571.6</v>
      </c>
      <c r="C31" s="379">
        <f>AVERAGE(C32:C34)</f>
        <v>2800</v>
      </c>
      <c r="D31" s="579">
        <f>((C31/B31) -   1)*100</f>
        <v>8.8816301135479883</v>
      </c>
      <c r="E31" s="379">
        <f>AVERAGE(E32:E34)</f>
        <v>2808</v>
      </c>
      <c r="F31" s="379">
        <f>AVERAGE(F32:F34)</f>
        <v>2400</v>
      </c>
      <c r="G31" s="579">
        <f>((F31/E31) -   1)*100</f>
        <v>-14.529914529914533</v>
      </c>
      <c r="H31" s="379">
        <f>AVERAGE(H32:H34)</f>
        <v>2375.6</v>
      </c>
      <c r="I31" s="379">
        <f>AVERAGE(I32:I34)</f>
        <v>2200</v>
      </c>
      <c r="J31" s="578">
        <f>((I31/H31)  -          1)*100</f>
        <v>-7.3918168041757877</v>
      </c>
    </row>
    <row r="32" spans="1:10" ht="12" customHeight="1" x14ac:dyDescent="0.2">
      <c r="A32" s="335" t="s">
        <v>187</v>
      </c>
      <c r="B32" s="381">
        <v>2571.6</v>
      </c>
      <c r="C32" s="381">
        <v>2800</v>
      </c>
      <c r="D32" s="339">
        <f>((C32/B32) -   1)*100</f>
        <v>8.8816301135479883</v>
      </c>
      <c r="E32" s="381">
        <v>2808</v>
      </c>
      <c r="F32" s="381">
        <v>2500</v>
      </c>
      <c r="G32" s="386">
        <f>((F32/E32) -   1)*100</f>
        <v>-10.96866096866097</v>
      </c>
      <c r="H32" s="381">
        <v>2375.6</v>
      </c>
      <c r="I32" s="352" t="s">
        <v>403</v>
      </c>
      <c r="J32" s="366" t="s">
        <v>567</v>
      </c>
    </row>
    <row r="33" spans="1:10" ht="12" customHeight="1" x14ac:dyDescent="0.2">
      <c r="A33" s="335" t="s">
        <v>68</v>
      </c>
      <c r="B33" s="363" t="s">
        <v>403</v>
      </c>
      <c r="C33" s="381">
        <v>2200</v>
      </c>
      <c r="D33" s="371" t="s">
        <v>3</v>
      </c>
      <c r="E33" s="363" t="s">
        <v>403</v>
      </c>
      <c r="F33" s="381">
        <v>1700</v>
      </c>
      <c r="G33" s="338" t="s">
        <v>390</v>
      </c>
      <c r="H33" s="363" t="s">
        <v>403</v>
      </c>
      <c r="I33" s="381">
        <v>1800</v>
      </c>
      <c r="J33" s="366" t="s">
        <v>567</v>
      </c>
    </row>
    <row r="34" spans="1:10" ht="12" customHeight="1" x14ac:dyDescent="0.2">
      <c r="A34" s="374" t="s">
        <v>67</v>
      </c>
      <c r="B34" s="363" t="s">
        <v>403</v>
      </c>
      <c r="C34" s="381">
        <v>3400</v>
      </c>
      <c r="D34" s="371" t="s">
        <v>3</v>
      </c>
      <c r="E34" s="363" t="s">
        <v>403</v>
      </c>
      <c r="F34" s="381">
        <v>3000</v>
      </c>
      <c r="G34" s="338" t="s">
        <v>390</v>
      </c>
      <c r="H34" s="363" t="s">
        <v>403</v>
      </c>
      <c r="I34" s="381">
        <v>2600</v>
      </c>
      <c r="J34" s="366" t="s">
        <v>567</v>
      </c>
    </row>
    <row r="35" spans="1:10" ht="12" customHeight="1" x14ac:dyDescent="0.2">
      <c r="A35" s="591" t="s">
        <v>14</v>
      </c>
      <c r="B35" s="379">
        <f>AVERAGE(B36:B40)</f>
        <v>2508</v>
      </c>
      <c r="C35" s="379">
        <f>AVERAGE(C36:C40)</f>
        <v>2526.25</v>
      </c>
      <c r="D35" s="579">
        <f>((C35/B35) -   1)*100</f>
        <v>0.72767145135566036</v>
      </c>
      <c r="E35" s="618">
        <f>AVERAGE(E36:E40)</f>
        <v>2468.3599999999997</v>
      </c>
      <c r="F35" s="379">
        <f>AVERAGE(F36:F40)</f>
        <v>2488.6799999999998</v>
      </c>
      <c r="G35" s="579">
        <f t="shared" ref="G35:G42" si="1">((F35/E35 -   1)*100)</f>
        <v>0.82321865530150529</v>
      </c>
      <c r="H35" s="380" t="s">
        <v>403</v>
      </c>
      <c r="I35" s="379">
        <f>AVERAGE(I36:I40)</f>
        <v>2300</v>
      </c>
      <c r="J35" s="366" t="s">
        <v>567</v>
      </c>
    </row>
    <row r="36" spans="1:10" ht="12" customHeight="1" x14ac:dyDescent="0.2">
      <c r="A36" s="335" t="s">
        <v>482</v>
      </c>
      <c r="B36" s="381">
        <v>2466.6</v>
      </c>
      <c r="C36" s="363" t="s">
        <v>403</v>
      </c>
      <c r="D36" s="371" t="s">
        <v>3</v>
      </c>
      <c r="E36" s="592">
        <v>2333.4</v>
      </c>
      <c r="F36" s="381">
        <v>2333.4</v>
      </c>
      <c r="G36" s="386">
        <f t="shared" si="1"/>
        <v>0</v>
      </c>
      <c r="H36" s="352" t="s">
        <v>403</v>
      </c>
      <c r="I36" s="352" t="s">
        <v>403</v>
      </c>
      <c r="J36" s="366" t="s">
        <v>567</v>
      </c>
    </row>
    <row r="37" spans="1:10" ht="12" customHeight="1" x14ac:dyDescent="0.2">
      <c r="A37" s="335" t="s">
        <v>571</v>
      </c>
      <c r="B37" s="381">
        <v>2333.4</v>
      </c>
      <c r="C37" s="381">
        <v>3190</v>
      </c>
      <c r="D37" s="339">
        <f t="shared" ref="D37:D42" si="2">((C37/B37) -   1)*100</f>
        <v>36.710379703437049</v>
      </c>
      <c r="E37" s="592">
        <v>2333.4</v>
      </c>
      <c r="F37" s="381">
        <v>3100</v>
      </c>
      <c r="G37" s="386">
        <f t="shared" si="1"/>
        <v>32.853347047227224</v>
      </c>
      <c r="H37" s="352" t="s">
        <v>403</v>
      </c>
      <c r="I37" s="352" t="s">
        <v>403</v>
      </c>
      <c r="J37" s="366" t="s">
        <v>567</v>
      </c>
    </row>
    <row r="38" spans="1:10" ht="12" customHeight="1" x14ac:dyDescent="0.2">
      <c r="A38" s="335" t="s">
        <v>470</v>
      </c>
      <c r="B38" s="381">
        <v>2750</v>
      </c>
      <c r="C38" s="381">
        <v>2400</v>
      </c>
      <c r="D38" s="339">
        <f t="shared" si="2"/>
        <v>-12.727272727272732</v>
      </c>
      <c r="E38" s="592">
        <v>2650</v>
      </c>
      <c r="F38" s="381">
        <v>2510</v>
      </c>
      <c r="G38" s="386">
        <f t="shared" si="1"/>
        <v>-5.2830188679245271</v>
      </c>
      <c r="H38" s="352" t="s">
        <v>403</v>
      </c>
      <c r="I38" s="352" t="s">
        <v>403</v>
      </c>
      <c r="J38" s="366" t="s">
        <v>567</v>
      </c>
    </row>
    <row r="39" spans="1:10" ht="12" customHeight="1" x14ac:dyDescent="0.2">
      <c r="A39" s="335" t="s">
        <v>15</v>
      </c>
      <c r="B39" s="381">
        <v>2875</v>
      </c>
      <c r="C39" s="381">
        <v>2400</v>
      </c>
      <c r="D39" s="339">
        <f t="shared" si="2"/>
        <v>-16.521739130434788</v>
      </c>
      <c r="E39" s="592">
        <v>2875</v>
      </c>
      <c r="F39" s="381">
        <v>2350</v>
      </c>
      <c r="G39" s="386">
        <f t="shared" si="1"/>
        <v>-18.260869565217387</v>
      </c>
      <c r="H39" s="352" t="s">
        <v>403</v>
      </c>
      <c r="I39" s="381">
        <v>2300</v>
      </c>
      <c r="J39" s="366" t="s">
        <v>567</v>
      </c>
    </row>
    <row r="40" spans="1:10" ht="12" customHeight="1" x14ac:dyDescent="0.2">
      <c r="A40" s="335" t="s">
        <v>188</v>
      </c>
      <c r="B40" s="381">
        <v>2115</v>
      </c>
      <c r="C40" s="381">
        <v>2115</v>
      </c>
      <c r="D40" s="339">
        <f t="shared" si="2"/>
        <v>0</v>
      </c>
      <c r="E40" s="592">
        <v>2150</v>
      </c>
      <c r="F40" s="381">
        <v>2150</v>
      </c>
      <c r="G40" s="386">
        <f t="shared" si="1"/>
        <v>0</v>
      </c>
      <c r="H40" s="352" t="s">
        <v>403</v>
      </c>
      <c r="I40" s="352" t="s">
        <v>403</v>
      </c>
      <c r="J40" s="366" t="s">
        <v>567</v>
      </c>
    </row>
    <row r="41" spans="1:10" ht="12" customHeight="1" x14ac:dyDescent="0.2">
      <c r="A41" s="591" t="s">
        <v>16</v>
      </c>
      <c r="B41" s="379">
        <f>AVERAGE(B42:B50)</f>
        <v>2580</v>
      </c>
      <c r="C41" s="379">
        <f>AVERAGE(C42:C50)</f>
        <v>2348.8222222222225</v>
      </c>
      <c r="D41" s="579">
        <f t="shared" si="2"/>
        <v>-8.9603789836347865</v>
      </c>
      <c r="E41" s="618">
        <f>AVERAGE(E42:E50)</f>
        <v>2460</v>
      </c>
      <c r="F41" s="379">
        <f>AVERAGE(F42:F50)</f>
        <v>2270.3333333333335</v>
      </c>
      <c r="G41" s="579">
        <f t="shared" si="1"/>
        <v>-7.7100271002709997</v>
      </c>
      <c r="H41" s="379">
        <f>AVERAGE(H42:H50)</f>
        <v>1760.4</v>
      </c>
      <c r="I41" s="379">
        <f>AVERAGE(I42:I50)</f>
        <v>1937.6799999999998</v>
      </c>
      <c r="J41" s="578">
        <f>((I41/H41  -          1)*100)</f>
        <v>10.07043853669618</v>
      </c>
    </row>
    <row r="42" spans="1:10" ht="12" customHeight="1" x14ac:dyDescent="0.2">
      <c r="A42" s="335" t="s">
        <v>17</v>
      </c>
      <c r="B42" s="381">
        <v>2200</v>
      </c>
      <c r="C42" s="381">
        <v>2333.4</v>
      </c>
      <c r="D42" s="339">
        <f t="shared" si="2"/>
        <v>6.0636363636363599</v>
      </c>
      <c r="E42" s="592">
        <v>2300</v>
      </c>
      <c r="F42" s="381">
        <v>2266</v>
      </c>
      <c r="G42" s="386">
        <f t="shared" si="1"/>
        <v>-1.4782608695652177</v>
      </c>
      <c r="H42" s="381">
        <v>2100</v>
      </c>
      <c r="I42" s="381">
        <v>2000</v>
      </c>
      <c r="J42" s="588">
        <f>((I42/H42  -          1)*100)</f>
        <v>-4.7619047619047672</v>
      </c>
    </row>
    <row r="43" spans="1:10" ht="12" customHeight="1" x14ac:dyDescent="0.2">
      <c r="A43" s="335" t="s">
        <v>19</v>
      </c>
      <c r="B43" s="381">
        <v>2150</v>
      </c>
      <c r="C43" s="381">
        <v>2000</v>
      </c>
      <c r="D43" s="339">
        <f t="shared" ref="D43:D49" si="3">((C43/B43) -   1)*100</f>
        <v>-6.9767441860465134</v>
      </c>
      <c r="E43" s="592">
        <v>2355</v>
      </c>
      <c r="F43" s="381">
        <v>2100</v>
      </c>
      <c r="G43" s="386">
        <f>((F43/E43 -   1)*100)</f>
        <v>-10.828025477707005</v>
      </c>
      <c r="H43" s="381">
        <v>1410</v>
      </c>
      <c r="I43" s="381">
        <v>1353.4</v>
      </c>
      <c r="J43" s="588">
        <f>((I43/H43  -          1)*100)</f>
        <v>-4.0141843971631115</v>
      </c>
    </row>
    <row r="44" spans="1:10" ht="12" customHeight="1" x14ac:dyDescent="0.2">
      <c r="A44" s="335" t="s">
        <v>399</v>
      </c>
      <c r="B44" s="381">
        <v>3200</v>
      </c>
      <c r="C44" s="381">
        <v>2600</v>
      </c>
      <c r="D44" s="339">
        <f t="shared" si="3"/>
        <v>-18.75</v>
      </c>
      <c r="E44" s="592">
        <v>3400</v>
      </c>
      <c r="F44" s="381">
        <v>2700</v>
      </c>
      <c r="G44" s="386">
        <f>((F44/E44 -   1)*100)</f>
        <v>-20.588235294117652</v>
      </c>
      <c r="H44" s="352" t="s">
        <v>403</v>
      </c>
      <c r="I44" s="381">
        <v>2800</v>
      </c>
      <c r="J44" s="588" t="s">
        <v>567</v>
      </c>
    </row>
    <row r="45" spans="1:10" ht="12" customHeight="1" x14ac:dyDescent="0.2">
      <c r="A45" s="335" t="s">
        <v>570</v>
      </c>
      <c r="B45" s="381">
        <v>2500</v>
      </c>
      <c r="C45" s="381">
        <v>2366</v>
      </c>
      <c r="D45" s="339">
        <f t="shared" si="3"/>
        <v>-5.3599999999999977</v>
      </c>
      <c r="E45" s="592">
        <v>2550</v>
      </c>
      <c r="F45" s="381">
        <v>2466</v>
      </c>
      <c r="G45" s="386">
        <f>((F45/E45 -   1)*100)</f>
        <v>-3.2941176470588251</v>
      </c>
      <c r="H45" s="381">
        <v>2066.6</v>
      </c>
      <c r="I45" s="381">
        <v>2100</v>
      </c>
      <c r="J45" s="588">
        <f>((I45/H45  -          1)*100)</f>
        <v>1.6161811671344228</v>
      </c>
    </row>
    <row r="46" spans="1:10" ht="12" customHeight="1" x14ac:dyDescent="0.2">
      <c r="A46" s="335" t="s">
        <v>122</v>
      </c>
      <c r="B46" s="381">
        <v>2500</v>
      </c>
      <c r="C46" s="381">
        <v>2480</v>
      </c>
      <c r="D46" s="339">
        <f t="shared" si="3"/>
        <v>-0.80000000000000071</v>
      </c>
      <c r="E46" s="5" t="s">
        <v>403</v>
      </c>
      <c r="F46" s="5" t="s">
        <v>403</v>
      </c>
      <c r="G46" s="581" t="s">
        <v>3</v>
      </c>
      <c r="H46" s="352" t="s">
        <v>403</v>
      </c>
      <c r="I46" s="352" t="s">
        <v>403</v>
      </c>
      <c r="J46" s="588" t="s">
        <v>567</v>
      </c>
    </row>
    <row r="47" spans="1:10" ht="12" customHeight="1" x14ac:dyDescent="0.2">
      <c r="A47" s="335" t="s">
        <v>20</v>
      </c>
      <c r="B47" s="381">
        <v>2385</v>
      </c>
      <c r="C47" s="381">
        <v>2225</v>
      </c>
      <c r="D47" s="339">
        <f t="shared" si="3"/>
        <v>-6.7085953878406652</v>
      </c>
      <c r="E47" s="356">
        <v>1450</v>
      </c>
      <c r="F47" s="381">
        <v>1460</v>
      </c>
      <c r="G47" s="386">
        <f>((F47/E47 -   1)*100)</f>
        <v>0.68965517241379448</v>
      </c>
      <c r="H47" s="381">
        <v>1465</v>
      </c>
      <c r="I47" s="381">
        <v>1435</v>
      </c>
      <c r="J47" s="588">
        <f>((I47/H47  -          1)*100)</f>
        <v>-2.0477815699658675</v>
      </c>
    </row>
    <row r="48" spans="1:10" ht="12" customHeight="1" x14ac:dyDescent="0.2">
      <c r="A48" s="335" t="s">
        <v>21</v>
      </c>
      <c r="B48" s="381">
        <v>3000</v>
      </c>
      <c r="C48" s="381">
        <v>2600</v>
      </c>
      <c r="D48" s="339">
        <f t="shared" si="3"/>
        <v>-13.33333333333333</v>
      </c>
      <c r="E48" s="5" t="s">
        <v>403</v>
      </c>
      <c r="F48" s="5" t="s">
        <v>403</v>
      </c>
      <c r="G48" s="581" t="s">
        <v>3</v>
      </c>
      <c r="H48" s="5" t="s">
        <v>403</v>
      </c>
      <c r="I48" s="5" t="s">
        <v>403</v>
      </c>
      <c r="J48" s="366" t="s">
        <v>567</v>
      </c>
    </row>
    <row r="49" spans="1:10" ht="12" customHeight="1" x14ac:dyDescent="0.2">
      <c r="A49" s="335" t="s">
        <v>22</v>
      </c>
      <c r="B49" s="381">
        <v>2685</v>
      </c>
      <c r="C49" s="381">
        <v>2115</v>
      </c>
      <c r="D49" s="339">
        <f t="shared" si="3"/>
        <v>-21.229050279329609</v>
      </c>
      <c r="E49" s="356">
        <v>2705</v>
      </c>
      <c r="F49" s="381">
        <v>2630</v>
      </c>
      <c r="G49" s="386">
        <f>((F49/E49) -   1)*100</f>
        <v>-2.7726432532347522</v>
      </c>
      <c r="H49" s="352" t="s">
        <v>403</v>
      </c>
      <c r="I49" s="352" t="s">
        <v>403</v>
      </c>
      <c r="J49" s="366" t="s">
        <v>567</v>
      </c>
    </row>
    <row r="50" spans="1:10" ht="12" customHeight="1" x14ac:dyDescent="0.2">
      <c r="A50" s="335" t="s">
        <v>61</v>
      </c>
      <c r="B50" s="381">
        <v>2600</v>
      </c>
      <c r="C50" s="381">
        <v>2420</v>
      </c>
      <c r="D50" s="362">
        <v>-21.229050279329609</v>
      </c>
      <c r="E50" s="5" t="s">
        <v>403</v>
      </c>
      <c r="F50" s="5" t="s">
        <v>403</v>
      </c>
      <c r="G50" s="581" t="s">
        <v>3</v>
      </c>
      <c r="H50" s="352" t="s">
        <v>403</v>
      </c>
      <c r="I50" s="352" t="s">
        <v>403</v>
      </c>
      <c r="J50" s="366" t="s">
        <v>567</v>
      </c>
    </row>
    <row r="51" spans="1:10" ht="12" customHeight="1" x14ac:dyDescent="0.2">
      <c r="A51" s="591" t="s">
        <v>23</v>
      </c>
      <c r="B51" s="379">
        <f>AVERAGE(B52:B56)</f>
        <v>2004.6799999999998</v>
      </c>
      <c r="C51" s="379">
        <f>AVERAGE(C52:C56)</f>
        <v>2118.3200000000002</v>
      </c>
      <c r="D51" s="579">
        <f t="shared" ref="D51:D59" si="4">((C51/B51)-      1)*100</f>
        <v>5.668735159726257</v>
      </c>
      <c r="E51" s="618">
        <f>AVERAGE(E52:E56)</f>
        <v>2250.06</v>
      </c>
      <c r="F51" s="379">
        <f>AVERAGE(F52:F56)</f>
        <v>2155</v>
      </c>
      <c r="G51" s="579">
        <f t="shared" ref="G51:G59" si="5">((F51/E51)-      1)*100</f>
        <v>-4.2247762281894641</v>
      </c>
      <c r="H51" s="379">
        <f>AVERAGE(H52:H56)</f>
        <v>1311.52</v>
      </c>
      <c r="I51" s="379">
        <f>AVERAGE(I52:I56)</f>
        <v>1351.28</v>
      </c>
      <c r="J51" s="578">
        <f t="shared" ref="J51:J56" si="6">((I51/H51) -             1)*100</f>
        <v>3.0315969257045161</v>
      </c>
    </row>
    <row r="52" spans="1:10" ht="12" customHeight="1" x14ac:dyDescent="0.2">
      <c r="A52" s="335" t="s">
        <v>520</v>
      </c>
      <c r="B52" s="381">
        <v>1973.4</v>
      </c>
      <c r="C52" s="381">
        <v>2280</v>
      </c>
      <c r="D52" s="339">
        <f t="shared" si="4"/>
        <v>15.536637275767706</v>
      </c>
      <c r="E52" s="356">
        <v>2200</v>
      </c>
      <c r="F52" s="381">
        <v>2186.6</v>
      </c>
      <c r="G52" s="339">
        <f t="shared" si="5"/>
        <v>-0.60909090909091468</v>
      </c>
      <c r="H52" s="381">
        <v>1426.6</v>
      </c>
      <c r="I52" s="381">
        <v>1440</v>
      </c>
      <c r="J52" s="588">
        <f t="shared" si="6"/>
        <v>0.93929622879573849</v>
      </c>
    </row>
    <row r="53" spans="1:10" ht="12" customHeight="1" x14ac:dyDescent="0.2">
      <c r="A53" s="335" t="s">
        <v>51</v>
      </c>
      <c r="B53" s="381">
        <v>1945</v>
      </c>
      <c r="C53" s="381">
        <v>1905</v>
      </c>
      <c r="D53" s="339">
        <f t="shared" si="4"/>
        <v>-2.0565552699228773</v>
      </c>
      <c r="E53" s="356">
        <v>2017</v>
      </c>
      <c r="F53" s="381">
        <v>2175</v>
      </c>
      <c r="G53" s="386">
        <f t="shared" si="5"/>
        <v>7.8334159643034251</v>
      </c>
      <c r="H53" s="381">
        <v>1508</v>
      </c>
      <c r="I53" s="381">
        <v>1463</v>
      </c>
      <c r="J53" s="588">
        <f t="shared" si="6"/>
        <v>-2.984084880636606</v>
      </c>
    </row>
    <row r="54" spans="1:10" ht="12" customHeight="1" x14ac:dyDescent="0.2">
      <c r="A54" s="335" t="s">
        <v>521</v>
      </c>
      <c r="B54" s="381">
        <v>2105</v>
      </c>
      <c r="C54" s="381">
        <v>2286.6</v>
      </c>
      <c r="D54" s="339">
        <f t="shared" si="4"/>
        <v>8.6270783847981036</v>
      </c>
      <c r="E54" s="356">
        <v>2513</v>
      </c>
      <c r="F54" s="381">
        <v>2273.4</v>
      </c>
      <c r="G54" s="386">
        <f t="shared" si="5"/>
        <v>-9.5344210107441327</v>
      </c>
      <c r="H54" s="381">
        <v>1330</v>
      </c>
      <c r="I54" s="381">
        <v>1460</v>
      </c>
      <c r="J54" s="588">
        <f t="shared" si="6"/>
        <v>9.7744360902255689</v>
      </c>
    </row>
    <row r="55" spans="1:10" ht="12" customHeight="1" x14ac:dyDescent="0.2">
      <c r="A55" s="335" t="s">
        <v>522</v>
      </c>
      <c r="B55" s="381">
        <v>2000</v>
      </c>
      <c r="C55" s="381">
        <v>2060</v>
      </c>
      <c r="D55" s="339">
        <f t="shared" si="4"/>
        <v>3.0000000000000027</v>
      </c>
      <c r="E55" s="356">
        <v>2333.3000000000002</v>
      </c>
      <c r="F55" s="381">
        <v>2000</v>
      </c>
      <c r="G55" s="386">
        <f t="shared" si="5"/>
        <v>-14.284489778425414</v>
      </c>
      <c r="H55" s="381">
        <v>1380</v>
      </c>
      <c r="I55" s="381">
        <v>1233.4000000000001</v>
      </c>
      <c r="J55" s="588">
        <f t="shared" si="6"/>
        <v>-10.623188405797091</v>
      </c>
    </row>
    <row r="56" spans="1:10" ht="12" customHeight="1" x14ac:dyDescent="0.2">
      <c r="A56" s="335" t="s">
        <v>56</v>
      </c>
      <c r="B56" s="381">
        <v>2000</v>
      </c>
      <c r="C56" s="381">
        <v>2060</v>
      </c>
      <c r="D56" s="339">
        <f t="shared" si="4"/>
        <v>3.0000000000000027</v>
      </c>
      <c r="E56" s="356">
        <v>2187</v>
      </c>
      <c r="F56" s="381">
        <v>2140</v>
      </c>
      <c r="G56" s="386">
        <f t="shared" si="5"/>
        <v>-2.1490626428897985</v>
      </c>
      <c r="H56" s="381">
        <v>913</v>
      </c>
      <c r="I56" s="381">
        <v>1160</v>
      </c>
      <c r="J56" s="588">
        <f t="shared" si="6"/>
        <v>27.053669222343913</v>
      </c>
    </row>
    <row r="57" spans="1:10" ht="12" customHeight="1" x14ac:dyDescent="0.2">
      <c r="A57" s="591" t="s">
        <v>78</v>
      </c>
      <c r="B57" s="379">
        <f>AVERAGE(B58:B62)</f>
        <v>2204.8000000000002</v>
      </c>
      <c r="C57" s="379">
        <f>AVERAGE(C58:C62)</f>
        <v>2306</v>
      </c>
      <c r="D57" s="579">
        <f t="shared" si="4"/>
        <v>4.5899854862119005</v>
      </c>
      <c r="E57" s="618">
        <f>AVERAGE(E58:E62)</f>
        <v>2383.6</v>
      </c>
      <c r="F57" s="379">
        <f>AVERAGE(F58:F62)</f>
        <v>2264.6799999999998</v>
      </c>
      <c r="G57" s="579">
        <f t="shared" si="5"/>
        <v>-4.9890921295519419</v>
      </c>
      <c r="H57" s="380" t="s">
        <v>403</v>
      </c>
      <c r="I57" s="379">
        <f>AVERAGE(I58:I62)</f>
        <v>1966.6666666666667</v>
      </c>
      <c r="J57" s="366" t="s">
        <v>567</v>
      </c>
    </row>
    <row r="58" spans="1:10" ht="12" customHeight="1" x14ac:dyDescent="0.2">
      <c r="A58" s="335" t="s">
        <v>569</v>
      </c>
      <c r="B58" s="381">
        <v>2132</v>
      </c>
      <c r="C58" s="381">
        <v>2500</v>
      </c>
      <c r="D58" s="362">
        <f t="shared" si="4"/>
        <v>17.26078799249531</v>
      </c>
      <c r="E58" s="621">
        <v>2366</v>
      </c>
      <c r="F58" s="381">
        <v>2400</v>
      </c>
      <c r="G58" s="386">
        <f t="shared" si="5"/>
        <v>1.4370245139475823</v>
      </c>
      <c r="H58" s="352" t="s">
        <v>403</v>
      </c>
      <c r="I58" s="381">
        <v>2300</v>
      </c>
      <c r="J58" s="366" t="s">
        <v>567</v>
      </c>
    </row>
    <row r="59" spans="1:10" ht="12" customHeight="1" x14ac:dyDescent="0.2">
      <c r="A59" s="335" t="s">
        <v>393</v>
      </c>
      <c r="B59" s="381">
        <v>2140</v>
      </c>
      <c r="C59" s="381">
        <v>2210</v>
      </c>
      <c r="D59" s="339">
        <f t="shared" si="4"/>
        <v>3.2710280373831724</v>
      </c>
      <c r="E59" s="356">
        <v>2260</v>
      </c>
      <c r="F59" s="381">
        <v>2133.4</v>
      </c>
      <c r="G59" s="386">
        <f t="shared" si="5"/>
        <v>-5.6017699115044177</v>
      </c>
      <c r="H59" s="352" t="s">
        <v>403</v>
      </c>
      <c r="I59" s="352" t="s">
        <v>403</v>
      </c>
      <c r="J59" s="366" t="s">
        <v>567</v>
      </c>
    </row>
    <row r="60" spans="1:10" ht="12" customHeight="1" x14ac:dyDescent="0.2">
      <c r="A60" s="335" t="s">
        <v>25</v>
      </c>
      <c r="B60" s="381">
        <v>2532</v>
      </c>
      <c r="C60" s="381">
        <v>2520</v>
      </c>
      <c r="D60" s="339">
        <f>((C60/B60)-      1)*100</f>
        <v>-0.47393364928910442</v>
      </c>
      <c r="E60" s="356">
        <v>2692</v>
      </c>
      <c r="F60" s="381">
        <v>2460</v>
      </c>
      <c r="G60" s="386">
        <f>((F60/E60)-      1)*100</f>
        <v>-8.6181277860326926</v>
      </c>
      <c r="H60" s="352" t="s">
        <v>403</v>
      </c>
      <c r="I60" s="352" t="s">
        <v>403</v>
      </c>
      <c r="J60" s="366" t="s">
        <v>567</v>
      </c>
    </row>
    <row r="61" spans="1:10" ht="12" customHeight="1" x14ac:dyDescent="0.2">
      <c r="A61" s="335" t="s">
        <v>513</v>
      </c>
      <c r="B61" s="381">
        <v>2220</v>
      </c>
      <c r="C61" s="381">
        <v>2400</v>
      </c>
      <c r="D61" s="339">
        <f>((C61/B61)-      1)*100</f>
        <v>8.1081081081081141</v>
      </c>
      <c r="E61" s="356">
        <v>2400</v>
      </c>
      <c r="F61" s="381">
        <v>2350</v>
      </c>
      <c r="G61" s="386">
        <f>((F61/E61)-      1)*100</f>
        <v>-2.083333333333337</v>
      </c>
      <c r="H61" s="352" t="s">
        <v>403</v>
      </c>
      <c r="I61" s="381">
        <v>1900</v>
      </c>
      <c r="J61" s="588" t="s">
        <v>567</v>
      </c>
    </row>
    <row r="62" spans="1:10" ht="12" customHeight="1" x14ac:dyDescent="0.2">
      <c r="A62" s="335" t="s">
        <v>514</v>
      </c>
      <c r="B62" s="381">
        <v>2000</v>
      </c>
      <c r="C62" s="381">
        <v>1900</v>
      </c>
      <c r="D62" s="339">
        <f>((C62/B62)-      1)*100</f>
        <v>-5.0000000000000044</v>
      </c>
      <c r="E62" s="356">
        <v>2200</v>
      </c>
      <c r="F62" s="381">
        <v>1980</v>
      </c>
      <c r="G62" s="386">
        <f>((F62/E62)-      1)*100</f>
        <v>-9.9999999999999982</v>
      </c>
      <c r="H62" s="352" t="s">
        <v>403</v>
      </c>
      <c r="I62" s="381">
        <v>1700</v>
      </c>
      <c r="J62" s="588" t="s">
        <v>567</v>
      </c>
    </row>
    <row r="63" spans="1:10" ht="11.1" customHeight="1" x14ac:dyDescent="0.2">
      <c r="A63" s="357"/>
      <c r="B63" s="311"/>
      <c r="C63" s="358"/>
      <c r="D63" s="358"/>
      <c r="E63" s="358"/>
      <c r="F63" s="358"/>
      <c r="G63" s="358"/>
      <c r="H63" s="358"/>
      <c r="I63" s="358"/>
      <c r="J63" s="589" t="s">
        <v>24</v>
      </c>
    </row>
    <row r="64" spans="1:10" ht="13.9" customHeight="1" x14ac:dyDescent="0.25">
      <c r="A64" s="709" t="s">
        <v>414</v>
      </c>
      <c r="B64" s="709"/>
      <c r="C64" s="709"/>
      <c r="D64" s="709"/>
      <c r="E64" s="709"/>
      <c r="F64" s="709"/>
      <c r="G64" s="360"/>
      <c r="H64" s="360"/>
      <c r="I64" s="361"/>
      <c r="J64" s="372"/>
    </row>
    <row r="65" spans="1:10" ht="14.1" customHeight="1" x14ac:dyDescent="0.2">
      <c r="A65" s="704" t="s">
        <v>0</v>
      </c>
      <c r="B65" s="706" t="s">
        <v>411</v>
      </c>
      <c r="C65" s="707"/>
      <c r="D65" s="708"/>
      <c r="E65" s="706" t="s">
        <v>412</v>
      </c>
      <c r="F65" s="707"/>
      <c r="G65" s="708"/>
      <c r="H65" s="706" t="s">
        <v>413</v>
      </c>
      <c r="I65" s="707"/>
      <c r="J65" s="708"/>
    </row>
    <row r="66" spans="1:10" ht="14.1" customHeight="1" x14ac:dyDescent="0.2">
      <c r="A66" s="705"/>
      <c r="B66" s="329">
        <v>2024</v>
      </c>
      <c r="C66" s="329">
        <v>2025</v>
      </c>
      <c r="D66" s="329" t="s">
        <v>1</v>
      </c>
      <c r="E66" s="329">
        <v>2024</v>
      </c>
      <c r="F66" s="329">
        <v>2025</v>
      </c>
      <c r="G66" s="329" t="s">
        <v>1</v>
      </c>
      <c r="H66" s="329">
        <v>2024</v>
      </c>
      <c r="I66" s="329">
        <v>2025</v>
      </c>
      <c r="J66" s="329" t="s">
        <v>1</v>
      </c>
    </row>
    <row r="67" spans="1:10" ht="3" customHeight="1" x14ac:dyDescent="0.2">
      <c r="A67" s="335"/>
      <c r="B67" s="381"/>
      <c r="C67" s="352"/>
      <c r="D67" s="339"/>
      <c r="E67" s="382"/>
      <c r="F67" s="356"/>
      <c r="G67" s="386"/>
      <c r="H67" s="336"/>
      <c r="I67" s="352"/>
      <c r="J67" s="366"/>
    </row>
    <row r="68" spans="1:10" ht="12" customHeight="1" x14ac:dyDescent="0.2">
      <c r="A68" s="383" t="s">
        <v>394</v>
      </c>
      <c r="B68" s="379">
        <f>AVERAGE(B69:B80)</f>
        <v>2054.3833333333332</v>
      </c>
      <c r="C68" s="379">
        <f>AVERAGE(C69:C80)</f>
        <v>2198.5</v>
      </c>
      <c r="D68" s="579">
        <f t="shared" ref="D68:D80" si="7">((C68/B68)-      1)*100</f>
        <v>7.0150815735460004</v>
      </c>
      <c r="E68" s="379">
        <f>AVERAGE(E69:E80)</f>
        <v>2260.7333333333331</v>
      </c>
      <c r="F68" s="379">
        <f>AVERAGE(F69:F80)</f>
        <v>2140.1</v>
      </c>
      <c r="G68" s="386">
        <f>((F68/E68)-      1)*100</f>
        <v>-5.3360266580165678</v>
      </c>
      <c r="H68" s="379">
        <f>AVERAGE(H69:H80)</f>
        <v>1236.0999999999999</v>
      </c>
      <c r="I68" s="379">
        <f>AVERAGE(I69:I80)</f>
        <v>1214.8200000000002</v>
      </c>
      <c r="J68" s="578">
        <f>((I68/H68) -             1)*100</f>
        <v>-1.7215435644365118</v>
      </c>
    </row>
    <row r="69" spans="1:10" ht="12" customHeight="1" x14ac:dyDescent="0.2">
      <c r="A69" s="335" t="s">
        <v>26</v>
      </c>
      <c r="B69" s="381">
        <v>1873.4</v>
      </c>
      <c r="C69" s="381">
        <v>2133.4</v>
      </c>
      <c r="D69" s="339">
        <f t="shared" si="7"/>
        <v>13.878509661577887</v>
      </c>
      <c r="E69" s="381">
        <v>2120</v>
      </c>
      <c r="F69" s="381">
        <v>2100</v>
      </c>
      <c r="G69" s="386">
        <f>((F69/E69)-      1)*100</f>
        <v>-0.94339622641509413</v>
      </c>
      <c r="H69" s="381">
        <v>1133.4000000000001</v>
      </c>
      <c r="I69" s="381">
        <v>1166.5999999999999</v>
      </c>
      <c r="J69" s="366">
        <f>((I69/H69) -             1)*100</f>
        <v>2.9292394565025415</v>
      </c>
    </row>
    <row r="70" spans="1:10" ht="12" customHeight="1" x14ac:dyDescent="0.2">
      <c r="A70" s="335" t="s">
        <v>442</v>
      </c>
      <c r="B70" s="381">
        <v>2530</v>
      </c>
      <c r="C70" s="381">
        <v>2510</v>
      </c>
      <c r="D70" s="339">
        <f t="shared" si="7"/>
        <v>-0.7905138339920903</v>
      </c>
      <c r="E70" s="356" t="s">
        <v>403</v>
      </c>
      <c r="F70" s="356" t="s">
        <v>403</v>
      </c>
      <c r="G70" s="581" t="s">
        <v>3</v>
      </c>
      <c r="H70" s="363" t="s">
        <v>403</v>
      </c>
      <c r="I70" s="363" t="s">
        <v>403</v>
      </c>
      <c r="J70" s="588" t="s">
        <v>567</v>
      </c>
    </row>
    <row r="71" spans="1:10" ht="12" customHeight="1" x14ac:dyDescent="0.2">
      <c r="A71" s="335" t="s">
        <v>27</v>
      </c>
      <c r="B71" s="381">
        <v>1832.6</v>
      </c>
      <c r="C71" s="381">
        <v>2093.4</v>
      </c>
      <c r="D71" s="339">
        <f t="shared" si="7"/>
        <v>14.23114700425625</v>
      </c>
      <c r="E71" s="381">
        <v>2010</v>
      </c>
      <c r="F71" s="381">
        <v>2026.6</v>
      </c>
      <c r="G71" s="386">
        <f t="shared" ref="G71:G76" si="8">((F71/E71)-      1)*100</f>
        <v>0.82587064676615807</v>
      </c>
      <c r="H71" s="381">
        <v>1065</v>
      </c>
      <c r="I71" s="381">
        <v>1100</v>
      </c>
      <c r="J71" s="366">
        <f t="shared" ref="J71:J77" si="9">((I71/H71) -             1)*100</f>
        <v>3.2863849765258246</v>
      </c>
    </row>
    <row r="72" spans="1:10" ht="12" customHeight="1" x14ac:dyDescent="0.2">
      <c r="A72" s="335" t="s">
        <v>28</v>
      </c>
      <c r="B72" s="381">
        <v>2130</v>
      </c>
      <c r="C72" s="381">
        <v>2205</v>
      </c>
      <c r="D72" s="339">
        <f t="shared" si="7"/>
        <v>3.5211267605633756</v>
      </c>
      <c r="E72" s="381">
        <v>2865</v>
      </c>
      <c r="F72" s="381">
        <v>2335</v>
      </c>
      <c r="G72" s="386">
        <f t="shared" si="8"/>
        <v>-18.499127399650959</v>
      </c>
      <c r="H72" s="381">
        <v>1295</v>
      </c>
      <c r="I72" s="381">
        <v>1345</v>
      </c>
      <c r="J72" s="366">
        <f t="shared" si="9"/>
        <v>3.8610038610038533</v>
      </c>
    </row>
    <row r="73" spans="1:10" ht="12" customHeight="1" x14ac:dyDescent="0.2">
      <c r="A73" s="335" t="s">
        <v>585</v>
      </c>
      <c r="B73" s="381">
        <v>2000</v>
      </c>
      <c r="C73" s="381">
        <v>2150</v>
      </c>
      <c r="D73" s="339">
        <f t="shared" si="7"/>
        <v>7.4999999999999956</v>
      </c>
      <c r="E73" s="381">
        <v>2200</v>
      </c>
      <c r="F73" s="381">
        <v>2000</v>
      </c>
      <c r="G73" s="386">
        <f t="shared" si="8"/>
        <v>-9.0909090909090935</v>
      </c>
      <c r="H73" s="381">
        <v>1400</v>
      </c>
      <c r="I73" s="381">
        <v>1160</v>
      </c>
      <c r="J73" s="366">
        <f t="shared" si="9"/>
        <v>-17.142857142857139</v>
      </c>
    </row>
    <row r="74" spans="1:10" ht="12" customHeight="1" x14ac:dyDescent="0.2">
      <c r="A74" s="335" t="s">
        <v>29</v>
      </c>
      <c r="B74" s="381">
        <v>1920</v>
      </c>
      <c r="C74" s="381">
        <v>2146.6</v>
      </c>
      <c r="D74" s="339">
        <f t="shared" si="7"/>
        <v>11.802083333333325</v>
      </c>
      <c r="E74" s="381">
        <v>2060</v>
      </c>
      <c r="F74" s="381">
        <v>2050</v>
      </c>
      <c r="G74" s="386">
        <f t="shared" si="8"/>
        <v>-0.48543689320388328</v>
      </c>
      <c r="H74" s="381">
        <v>1160</v>
      </c>
      <c r="I74" s="381">
        <v>1170</v>
      </c>
      <c r="J74" s="366">
        <f t="shared" si="9"/>
        <v>0.86206896551723755</v>
      </c>
    </row>
    <row r="75" spans="1:10" ht="12" customHeight="1" x14ac:dyDescent="0.2">
      <c r="A75" s="335" t="s">
        <v>52</v>
      </c>
      <c r="B75" s="381">
        <v>1846.6</v>
      </c>
      <c r="C75" s="381">
        <v>2066.6</v>
      </c>
      <c r="D75" s="339">
        <f t="shared" si="7"/>
        <v>11.913787501353834</v>
      </c>
      <c r="E75" s="381">
        <v>2046.6</v>
      </c>
      <c r="F75" s="381">
        <v>2013.4</v>
      </c>
      <c r="G75" s="386">
        <f t="shared" si="8"/>
        <v>-1.6222026776116394</v>
      </c>
      <c r="H75" s="381">
        <v>1046.5999999999999</v>
      </c>
      <c r="I75" s="381">
        <v>1106.5999999999999</v>
      </c>
      <c r="J75" s="366">
        <f t="shared" si="9"/>
        <v>5.7328492260653618</v>
      </c>
    </row>
    <row r="76" spans="1:10" ht="12" customHeight="1" x14ac:dyDescent="0.2">
      <c r="A76" s="335" t="s">
        <v>80</v>
      </c>
      <c r="B76" s="381">
        <v>2600</v>
      </c>
      <c r="C76" s="381">
        <v>2500</v>
      </c>
      <c r="D76" s="339">
        <f t="shared" si="7"/>
        <v>-3.8461538461538436</v>
      </c>
      <c r="E76" s="381">
        <v>2800</v>
      </c>
      <c r="F76" s="381">
        <v>2600</v>
      </c>
      <c r="G76" s="339">
        <f t="shared" si="8"/>
        <v>-7.1428571428571397</v>
      </c>
      <c r="H76" s="381">
        <v>1960</v>
      </c>
      <c r="I76" s="381">
        <v>1600</v>
      </c>
      <c r="J76" s="366">
        <f t="shared" si="9"/>
        <v>-18.367346938775508</v>
      </c>
    </row>
    <row r="77" spans="1:10" ht="12" customHeight="1" x14ac:dyDescent="0.2">
      <c r="A77" s="335" t="s">
        <v>30</v>
      </c>
      <c r="B77" s="381">
        <v>1880</v>
      </c>
      <c r="C77" s="381">
        <v>2155</v>
      </c>
      <c r="D77" s="339">
        <f t="shared" si="7"/>
        <v>14.627659574468076</v>
      </c>
      <c r="E77" s="356" t="s">
        <v>403</v>
      </c>
      <c r="F77" s="381">
        <v>2180</v>
      </c>
      <c r="G77" s="581" t="s">
        <v>3</v>
      </c>
      <c r="H77" s="381">
        <v>1145</v>
      </c>
      <c r="I77" s="381">
        <v>1180</v>
      </c>
      <c r="J77" s="366">
        <f t="shared" si="9"/>
        <v>3.0567685589519611</v>
      </c>
    </row>
    <row r="78" spans="1:10" ht="12" customHeight="1" x14ac:dyDescent="0.2">
      <c r="A78" s="335" t="s">
        <v>31</v>
      </c>
      <c r="B78" s="381">
        <v>2290</v>
      </c>
      <c r="C78" s="381">
        <v>2200</v>
      </c>
      <c r="D78" s="339">
        <f t="shared" si="7"/>
        <v>-3.9301310043668103</v>
      </c>
      <c r="E78" s="356" t="s">
        <v>403</v>
      </c>
      <c r="F78" s="356" t="s">
        <v>403</v>
      </c>
      <c r="G78" s="581" t="s">
        <v>3</v>
      </c>
      <c r="H78" s="350" t="s">
        <v>403</v>
      </c>
      <c r="I78" s="350" t="s">
        <v>403</v>
      </c>
      <c r="J78" s="366" t="s">
        <v>567</v>
      </c>
    </row>
    <row r="79" spans="1:10" ht="12" customHeight="1" x14ac:dyDescent="0.2">
      <c r="A79" s="335" t="s">
        <v>64</v>
      </c>
      <c r="B79" s="381">
        <v>1930</v>
      </c>
      <c r="C79" s="381">
        <v>2130</v>
      </c>
      <c r="D79" s="339">
        <f t="shared" si="7"/>
        <v>10.362694300518127</v>
      </c>
      <c r="E79" s="381">
        <v>2190</v>
      </c>
      <c r="F79" s="381">
        <v>2040</v>
      </c>
      <c r="G79" s="339">
        <f>((F79/E79)-      1)*100</f>
        <v>-6.8493150684931559</v>
      </c>
      <c r="H79" s="381">
        <v>1060</v>
      </c>
      <c r="I79" s="381">
        <v>1140</v>
      </c>
      <c r="J79" s="366">
        <f>((I79/H79) -             1)*100</f>
        <v>7.547169811320753</v>
      </c>
    </row>
    <row r="80" spans="1:10" ht="12" customHeight="1" x14ac:dyDescent="0.2">
      <c r="A80" s="335" t="s">
        <v>32</v>
      </c>
      <c r="B80" s="381">
        <v>1820</v>
      </c>
      <c r="C80" s="381">
        <v>2092</v>
      </c>
      <c r="D80" s="339">
        <f t="shared" si="7"/>
        <v>14.945054945054936</v>
      </c>
      <c r="E80" s="381">
        <v>2055</v>
      </c>
      <c r="F80" s="381">
        <v>2056</v>
      </c>
      <c r="G80" s="339">
        <f>((F80/E80)-      1)*100</f>
        <v>4.8661800486615725E-2</v>
      </c>
      <c r="H80" s="382">
        <v>1096</v>
      </c>
      <c r="I80" s="382">
        <v>1180</v>
      </c>
      <c r="J80" s="366">
        <f>((I80/H80) -             1)*100</f>
        <v>7.6642335766423431</v>
      </c>
    </row>
    <row r="81" spans="1:12" ht="12" customHeight="1" x14ac:dyDescent="0.2">
      <c r="A81" s="587" t="s">
        <v>33</v>
      </c>
      <c r="B81" s="379">
        <f>AVERAGE(B82:B84)</f>
        <v>2021.6666666666667</v>
      </c>
      <c r="C81" s="379">
        <f>AVERAGE(C82:C84)</f>
        <v>2266.6666666666665</v>
      </c>
      <c r="D81" s="579">
        <f t="shared" ref="D81:D86" si="10">((C81/B81)-1)*100</f>
        <v>12.118713932399006</v>
      </c>
      <c r="E81" s="379">
        <f>AVERAGE(E82:E84)</f>
        <v>2305</v>
      </c>
      <c r="F81" s="379">
        <f>AVERAGE(F82:F84)</f>
        <v>2221.6666666666665</v>
      </c>
      <c r="G81" s="379">
        <f>((F81/E81)-1)*100</f>
        <v>-3.6153289949385492</v>
      </c>
      <c r="H81" s="379">
        <f>AVERAGE(H82:H84)</f>
        <v>1308.3333333333333</v>
      </c>
      <c r="I81" s="379">
        <f>AVERAGE(I82:I84)</f>
        <v>1286.6666666666667</v>
      </c>
      <c r="J81" s="366">
        <f>((I81/H81) -       1)*100</f>
        <v>-1.6560509554140013</v>
      </c>
    </row>
    <row r="82" spans="1:12" ht="12" customHeight="1" x14ac:dyDescent="0.2">
      <c r="A82" s="335" t="s">
        <v>34</v>
      </c>
      <c r="B82" s="381">
        <v>1980</v>
      </c>
      <c r="C82" s="381">
        <v>2230</v>
      </c>
      <c r="D82" s="339">
        <f t="shared" si="10"/>
        <v>12.62626262626263</v>
      </c>
      <c r="E82" s="381">
        <v>2270</v>
      </c>
      <c r="F82" s="381">
        <v>2180</v>
      </c>
      <c r="G82" s="339">
        <f>((F82/E82)-1)*100</f>
        <v>-3.9647577092510988</v>
      </c>
      <c r="H82" s="381">
        <v>1250</v>
      </c>
      <c r="I82" s="381">
        <v>1250</v>
      </c>
      <c r="J82" s="366">
        <f>((I82/H82) -       1)*100</f>
        <v>0</v>
      </c>
    </row>
    <row r="83" spans="1:12" ht="12" customHeight="1" x14ac:dyDescent="0.2">
      <c r="A83" s="335" t="s">
        <v>35</v>
      </c>
      <c r="B83" s="381">
        <v>2090</v>
      </c>
      <c r="C83" s="381">
        <v>2320</v>
      </c>
      <c r="D83" s="339">
        <f t="shared" si="10"/>
        <v>11.004784688995217</v>
      </c>
      <c r="E83" s="381">
        <v>2360</v>
      </c>
      <c r="F83" s="381">
        <v>2290</v>
      </c>
      <c r="G83" s="339">
        <f>((F83/E83)-1)*100</f>
        <v>-2.9661016949152574</v>
      </c>
      <c r="H83" s="382">
        <v>1385</v>
      </c>
      <c r="I83" s="382">
        <v>1340</v>
      </c>
      <c r="J83" s="366">
        <f>((I83/H83) -       1)*100</f>
        <v>-3.2490974729241895</v>
      </c>
    </row>
    <row r="84" spans="1:12" ht="12" customHeight="1" x14ac:dyDescent="0.2">
      <c r="A84" s="335" t="s">
        <v>36</v>
      </c>
      <c r="B84" s="381">
        <v>1995</v>
      </c>
      <c r="C84" s="381">
        <v>2250</v>
      </c>
      <c r="D84" s="339">
        <f t="shared" si="10"/>
        <v>12.781954887218049</v>
      </c>
      <c r="E84" s="381">
        <v>2285</v>
      </c>
      <c r="F84" s="381">
        <v>2195</v>
      </c>
      <c r="G84" s="339">
        <f>((F84/E84)-1)*100</f>
        <v>-3.9387308533916809</v>
      </c>
      <c r="H84" s="381">
        <v>1290</v>
      </c>
      <c r="I84" s="381">
        <v>1270</v>
      </c>
      <c r="J84" s="366">
        <f>((I84/H84) -       1)*100</f>
        <v>-1.5503875968992276</v>
      </c>
    </row>
    <row r="85" spans="1:12" ht="12" customHeight="1" x14ac:dyDescent="0.2">
      <c r="A85" s="580" t="s">
        <v>518</v>
      </c>
      <c r="B85" s="379">
        <f>AVERAGE(B86:B86)</f>
        <v>2380</v>
      </c>
      <c r="C85" s="379">
        <f>AVERAGE(C86:C86)</f>
        <v>2300</v>
      </c>
      <c r="D85" s="586">
        <f t="shared" si="10"/>
        <v>-3.3613445378151252</v>
      </c>
      <c r="E85" s="379">
        <f>AVERAGE(E86:E86)</f>
        <v>2693.4</v>
      </c>
      <c r="F85" s="363" t="s">
        <v>403</v>
      </c>
      <c r="G85" s="338" t="s">
        <v>390</v>
      </c>
      <c r="H85" s="379">
        <f>AVERAGE(H86:H86)</f>
        <v>1562.2</v>
      </c>
      <c r="I85" s="350" t="s">
        <v>403</v>
      </c>
      <c r="J85" s="366" t="s">
        <v>567</v>
      </c>
    </row>
    <row r="86" spans="1:12" ht="12" customHeight="1" x14ac:dyDescent="0.2">
      <c r="A86" s="335" t="s">
        <v>519</v>
      </c>
      <c r="B86" s="381">
        <v>2380</v>
      </c>
      <c r="C86" s="381">
        <v>2300</v>
      </c>
      <c r="D86" s="371">
        <f t="shared" si="10"/>
        <v>-3.3613445378151252</v>
      </c>
      <c r="E86" s="381">
        <v>2693.4</v>
      </c>
      <c r="F86" s="363" t="s">
        <v>403</v>
      </c>
      <c r="G86" s="338" t="s">
        <v>390</v>
      </c>
      <c r="H86" s="381">
        <v>1562.2</v>
      </c>
      <c r="I86" s="350" t="s">
        <v>403</v>
      </c>
      <c r="J86" s="366" t="s">
        <v>567</v>
      </c>
    </row>
    <row r="87" spans="1:12" ht="12" customHeight="1" x14ac:dyDescent="0.2">
      <c r="A87" s="580" t="s">
        <v>190</v>
      </c>
      <c r="B87" s="379">
        <f>AVERAGE(B88:B89)</f>
        <v>2400</v>
      </c>
      <c r="C87" s="379">
        <f>AVERAGE(C88:C89)</f>
        <v>2486.5</v>
      </c>
      <c r="D87" s="579">
        <f>((C87/B87)-1)*100</f>
        <v>3.604166666666675</v>
      </c>
      <c r="E87" s="379">
        <f>AVERAGE(E88:E89)</f>
        <v>2760</v>
      </c>
      <c r="F87" s="379">
        <f>AVERAGE(F88:F89)</f>
        <v>2490</v>
      </c>
      <c r="G87" s="579">
        <f>((F87/E87)-1)*100</f>
        <v>-9.7826086956521721</v>
      </c>
      <c r="H87" s="379">
        <f>AVERAGE(H88:H89)</f>
        <v>1800</v>
      </c>
      <c r="I87" s="379">
        <f>AVERAGE(I88:I89)</f>
        <v>1693</v>
      </c>
      <c r="J87" s="578">
        <f>((I87/H87) -       1)*100</f>
        <v>-5.9444444444444411</v>
      </c>
      <c r="L87" s="542"/>
    </row>
    <row r="88" spans="1:12" ht="12" customHeight="1" x14ac:dyDescent="0.2">
      <c r="A88" s="335" t="s">
        <v>193</v>
      </c>
      <c r="B88" s="381">
        <v>2200</v>
      </c>
      <c r="C88" s="622">
        <v>2173</v>
      </c>
      <c r="D88" s="362">
        <f>((C88/B88)-1)*100</f>
        <v>-1.2272727272727324</v>
      </c>
      <c r="E88" s="622">
        <v>2720</v>
      </c>
      <c r="F88" s="622">
        <v>2080</v>
      </c>
      <c r="G88" s="362">
        <f>((F88/E88)-1)*100</f>
        <v>-23.529411764705888</v>
      </c>
      <c r="H88" s="622">
        <v>1800</v>
      </c>
      <c r="I88" s="622">
        <v>1693</v>
      </c>
      <c r="J88" s="588">
        <f>((I88/H88) -       1)*100</f>
        <v>-5.9444444444444411</v>
      </c>
      <c r="L88" s="542"/>
    </row>
    <row r="89" spans="1:12" ht="12" customHeight="1" x14ac:dyDescent="0.2">
      <c r="A89" s="335" t="s">
        <v>192</v>
      </c>
      <c r="B89" s="381">
        <v>2600</v>
      </c>
      <c r="C89" s="622">
        <v>2800</v>
      </c>
      <c r="D89" s="362">
        <f>((C89/B89)-1)*100</f>
        <v>7.6923076923076872</v>
      </c>
      <c r="E89" s="622">
        <v>2800</v>
      </c>
      <c r="F89" s="622">
        <v>2900</v>
      </c>
      <c r="G89" s="362">
        <f>((F89/E89)-1)*100</f>
        <v>3.5714285714285809</v>
      </c>
      <c r="H89" s="350" t="s">
        <v>403</v>
      </c>
      <c r="I89" s="350" t="s">
        <v>403</v>
      </c>
      <c r="J89" s="588" t="s">
        <v>567</v>
      </c>
      <c r="L89" s="542"/>
    </row>
    <row r="90" spans="1:12" ht="12" customHeight="1" x14ac:dyDescent="0.2">
      <c r="A90" s="580" t="s">
        <v>37</v>
      </c>
      <c r="B90" s="379">
        <f>AVERAGE(B91:B93)</f>
        <v>2691.6666666666665</v>
      </c>
      <c r="C90" s="623">
        <f>AVERAGE(C91:C93)</f>
        <v>2449.6666666666665</v>
      </c>
      <c r="D90" s="593">
        <f t="shared" ref="D90:D95" si="11">((C90/B90) -   1)*100</f>
        <v>-8.9907120743034081</v>
      </c>
      <c r="E90" s="623">
        <f>AVERAGE(E91:E93)</f>
        <v>2757.5</v>
      </c>
      <c r="F90" s="623">
        <f>AVERAGE(F91:F93)</f>
        <v>2368</v>
      </c>
      <c r="G90" s="593">
        <f>((F90/E90) -   1)*100</f>
        <v>-14.125113327289206</v>
      </c>
      <c r="H90" s="623">
        <f>AVERAGE(H91:H93)</f>
        <v>3122.5</v>
      </c>
      <c r="I90" s="623">
        <f>AVERAGE(I91:I93)</f>
        <v>2165.5</v>
      </c>
      <c r="J90" s="590">
        <f>((I90/H90)  -          1)*100</f>
        <v>-30.648518815052039</v>
      </c>
      <c r="K90" s="542"/>
      <c r="L90" s="542"/>
    </row>
    <row r="91" spans="1:12" ht="12" customHeight="1" x14ac:dyDescent="0.2">
      <c r="A91" s="335" t="s">
        <v>38</v>
      </c>
      <c r="B91" s="381">
        <v>2830</v>
      </c>
      <c r="C91" s="381">
        <v>2322</v>
      </c>
      <c r="D91" s="339">
        <f t="shared" si="11"/>
        <v>-17.950530035335689</v>
      </c>
      <c r="E91" s="381">
        <v>2845</v>
      </c>
      <c r="F91" s="381">
        <v>2318</v>
      </c>
      <c r="G91" s="339">
        <f>((F91/E91) -   1)*100</f>
        <v>-18.523725834797887</v>
      </c>
      <c r="H91" s="381">
        <v>2840</v>
      </c>
      <c r="I91" s="381">
        <v>1911</v>
      </c>
      <c r="J91" s="366">
        <f>((I91/H91)  -          1)*100</f>
        <v>-32.7112676056338</v>
      </c>
      <c r="K91" s="542"/>
      <c r="L91" s="542"/>
    </row>
    <row r="92" spans="1:12" ht="12" customHeight="1" x14ac:dyDescent="0.2">
      <c r="A92" s="335" t="s">
        <v>395</v>
      </c>
      <c r="B92" s="381">
        <v>2600</v>
      </c>
      <c r="C92" s="381">
        <v>2550</v>
      </c>
      <c r="D92" s="339">
        <f t="shared" si="11"/>
        <v>-1.9230769230769273</v>
      </c>
      <c r="E92" s="356" t="s">
        <v>403</v>
      </c>
      <c r="F92" s="356" t="s">
        <v>403</v>
      </c>
      <c r="G92" s="581" t="s">
        <v>3</v>
      </c>
      <c r="H92" s="350" t="s">
        <v>403</v>
      </c>
      <c r="I92" s="350" t="s">
        <v>403</v>
      </c>
      <c r="J92" s="366" t="s">
        <v>567</v>
      </c>
      <c r="K92" s="542"/>
      <c r="L92" s="542"/>
    </row>
    <row r="93" spans="1:12" ht="12" customHeight="1" x14ac:dyDescent="0.2">
      <c r="A93" s="335" t="s">
        <v>39</v>
      </c>
      <c r="B93" s="381">
        <v>2645</v>
      </c>
      <c r="C93" s="381">
        <v>2477</v>
      </c>
      <c r="D93" s="339">
        <f t="shared" si="11"/>
        <v>-6.3516068052930086</v>
      </c>
      <c r="E93" s="381">
        <v>2670</v>
      </c>
      <c r="F93" s="381">
        <v>2418</v>
      </c>
      <c r="G93" s="339">
        <f>((F93/E93) -   1)*100</f>
        <v>-9.4382022471910076</v>
      </c>
      <c r="H93" s="381">
        <v>3405</v>
      </c>
      <c r="I93" s="381">
        <v>2420</v>
      </c>
      <c r="J93" s="366">
        <f>((I93/H93)  -          1)*100</f>
        <v>-28.928046989721</v>
      </c>
    </row>
    <row r="94" spans="1:12" ht="12" customHeight="1" x14ac:dyDescent="0.2">
      <c r="A94" s="383" t="s">
        <v>40</v>
      </c>
      <c r="B94" s="379">
        <f>AVERAGE(B95:B95)</f>
        <v>2033.4</v>
      </c>
      <c r="C94" s="379">
        <f>AVERAGE(C95:C95)</f>
        <v>2100</v>
      </c>
      <c r="D94" s="579">
        <f t="shared" si="11"/>
        <v>3.2753024491000149</v>
      </c>
      <c r="E94" s="379">
        <f>AVERAGE(E95:E95)</f>
        <v>2400</v>
      </c>
      <c r="F94" s="379">
        <f>AVERAGE(F95:F95)</f>
        <v>2090</v>
      </c>
      <c r="G94" s="579">
        <f>((F94/E94) -   1)*100</f>
        <v>-12.916666666666664</v>
      </c>
      <c r="H94" s="379">
        <f>AVERAGE(H95:H95)</f>
        <v>1100</v>
      </c>
      <c r="I94" s="379">
        <f>AVERAGE(I95:I95)</f>
        <v>1180</v>
      </c>
      <c r="J94" s="578">
        <f>((I94/H94)  -          1)*100</f>
        <v>7.2727272727272751</v>
      </c>
    </row>
    <row r="95" spans="1:12" ht="12" customHeight="1" x14ac:dyDescent="0.2">
      <c r="A95" s="335" t="s">
        <v>406</v>
      </c>
      <c r="B95" s="381">
        <v>2033.4</v>
      </c>
      <c r="C95" s="381">
        <v>2100</v>
      </c>
      <c r="D95" s="339">
        <f t="shared" si="11"/>
        <v>3.2753024491000149</v>
      </c>
      <c r="E95" s="381">
        <v>2400</v>
      </c>
      <c r="F95" s="381">
        <v>2090</v>
      </c>
      <c r="G95" s="339">
        <f>((F95/E95) -   1)*100</f>
        <v>-12.916666666666664</v>
      </c>
      <c r="H95" s="381">
        <v>1100</v>
      </c>
      <c r="I95" s="381">
        <v>1180</v>
      </c>
      <c r="J95" s="366">
        <f>((I95/H95)  -          1)*100</f>
        <v>7.2727272727272751</v>
      </c>
    </row>
    <row r="96" spans="1:12" s="534" customFormat="1" ht="12" customHeight="1" x14ac:dyDescent="0.25">
      <c r="A96" s="383" t="s">
        <v>194</v>
      </c>
      <c r="B96" s="481" t="s">
        <v>403</v>
      </c>
      <c r="C96" s="379">
        <f>AVERAGE(C97:C102)</f>
        <v>2361.6666666666665</v>
      </c>
      <c r="D96" s="585" t="s">
        <v>405</v>
      </c>
      <c r="E96" s="354" t="s">
        <v>402</v>
      </c>
      <c r="F96" s="379">
        <f>AVERAGE(F97:F102)</f>
        <v>2398.6</v>
      </c>
      <c r="G96" s="584" t="s">
        <v>405</v>
      </c>
      <c r="H96" s="351" t="s">
        <v>403</v>
      </c>
      <c r="I96" s="351">
        <f>AVERAGE(I97:I102)</f>
        <v>2500</v>
      </c>
      <c r="J96" s="578" t="s">
        <v>567</v>
      </c>
    </row>
    <row r="97" spans="1:10" s="534" customFormat="1" ht="12" customHeight="1" x14ac:dyDescent="0.25">
      <c r="A97" s="335" t="s">
        <v>196</v>
      </c>
      <c r="B97" s="384" t="s">
        <v>403</v>
      </c>
      <c r="C97" s="381">
        <v>2200</v>
      </c>
      <c r="D97" s="584" t="s">
        <v>405</v>
      </c>
      <c r="E97" s="356" t="s">
        <v>402</v>
      </c>
      <c r="F97" s="350">
        <v>2400</v>
      </c>
      <c r="G97" s="584" t="s">
        <v>405</v>
      </c>
      <c r="H97" s="350" t="s">
        <v>403</v>
      </c>
      <c r="I97" s="350">
        <v>2600</v>
      </c>
      <c r="J97" s="366" t="s">
        <v>567</v>
      </c>
    </row>
    <row r="98" spans="1:10" s="534" customFormat="1" ht="12" customHeight="1" x14ac:dyDescent="0.25">
      <c r="A98" s="335" t="s">
        <v>198</v>
      </c>
      <c r="B98" s="384" t="s">
        <v>403</v>
      </c>
      <c r="C98" s="381">
        <v>2400</v>
      </c>
      <c r="D98" s="584" t="s">
        <v>405</v>
      </c>
      <c r="E98" s="356" t="s">
        <v>402</v>
      </c>
      <c r="F98" s="350" t="s">
        <v>403</v>
      </c>
      <c r="G98" s="584" t="s">
        <v>405</v>
      </c>
      <c r="H98" s="350" t="s">
        <v>403</v>
      </c>
      <c r="I98" s="350" t="s">
        <v>403</v>
      </c>
      <c r="J98" s="366" t="s">
        <v>567</v>
      </c>
    </row>
    <row r="99" spans="1:10" s="534" customFormat="1" ht="12" customHeight="1" x14ac:dyDescent="0.25">
      <c r="A99" s="335" t="s">
        <v>515</v>
      </c>
      <c r="B99" s="384" t="s">
        <v>403</v>
      </c>
      <c r="C99" s="381">
        <v>2120</v>
      </c>
      <c r="D99" s="584" t="s">
        <v>405</v>
      </c>
      <c r="E99" s="356" t="s">
        <v>402</v>
      </c>
      <c r="F99" s="350">
        <v>2200</v>
      </c>
      <c r="G99" s="584" t="s">
        <v>405</v>
      </c>
      <c r="H99" s="350" t="s">
        <v>403</v>
      </c>
      <c r="I99" s="350">
        <v>2400</v>
      </c>
      <c r="J99" s="366" t="s">
        <v>567</v>
      </c>
    </row>
    <row r="100" spans="1:10" s="534" customFormat="1" ht="12" customHeight="1" x14ac:dyDescent="0.25">
      <c r="A100" s="335" t="s">
        <v>63</v>
      </c>
      <c r="B100" s="582" t="s">
        <v>403</v>
      </c>
      <c r="C100" s="381">
        <v>2600</v>
      </c>
      <c r="D100" s="584" t="s">
        <v>405</v>
      </c>
      <c r="E100" s="356" t="s">
        <v>402</v>
      </c>
      <c r="F100" s="350">
        <v>2360</v>
      </c>
      <c r="G100" s="584" t="s">
        <v>405</v>
      </c>
      <c r="H100" s="350" t="s">
        <v>403</v>
      </c>
      <c r="I100" s="350" t="s">
        <v>403</v>
      </c>
      <c r="J100" s="366" t="s">
        <v>567</v>
      </c>
    </row>
    <row r="101" spans="1:10" s="534" customFormat="1" ht="12" customHeight="1" x14ac:dyDescent="0.25">
      <c r="A101" s="335" t="s">
        <v>197</v>
      </c>
      <c r="B101" s="384" t="s">
        <v>403</v>
      </c>
      <c r="C101" s="381">
        <v>2450</v>
      </c>
      <c r="D101" s="584" t="s">
        <v>405</v>
      </c>
      <c r="E101" s="356" t="s">
        <v>402</v>
      </c>
      <c r="F101" s="350">
        <v>2333</v>
      </c>
      <c r="G101" s="584" t="s">
        <v>405</v>
      </c>
      <c r="H101" s="350" t="s">
        <v>403</v>
      </c>
      <c r="I101" s="350" t="s">
        <v>403</v>
      </c>
      <c r="J101" s="366" t="s">
        <v>567</v>
      </c>
    </row>
    <row r="102" spans="1:10" s="534" customFormat="1" ht="12" customHeight="1" x14ac:dyDescent="0.25">
      <c r="A102" s="335" t="s">
        <v>195</v>
      </c>
      <c r="B102" s="384" t="s">
        <v>403</v>
      </c>
      <c r="C102" s="381">
        <v>2400</v>
      </c>
      <c r="D102" s="584" t="s">
        <v>405</v>
      </c>
      <c r="E102" s="356" t="s">
        <v>402</v>
      </c>
      <c r="F102" s="350">
        <v>2700</v>
      </c>
      <c r="G102" s="584" t="s">
        <v>405</v>
      </c>
      <c r="H102" s="350" t="s">
        <v>403</v>
      </c>
      <c r="I102" s="350" t="s">
        <v>403</v>
      </c>
      <c r="J102" s="366" t="s">
        <v>567</v>
      </c>
    </row>
    <row r="103" spans="1:10" ht="12" customHeight="1" x14ac:dyDescent="0.2">
      <c r="A103" s="383" t="s">
        <v>81</v>
      </c>
      <c r="B103" s="379">
        <f>AVERAGE(B104:B106)</f>
        <v>2206.2000000000003</v>
      </c>
      <c r="C103" s="379">
        <f>AVERAGE(C104:C106)</f>
        <v>2271.1333333333332</v>
      </c>
      <c r="D103" s="585">
        <f>((C103/B103)-1)*100</f>
        <v>2.9432206206750466</v>
      </c>
      <c r="E103" s="379">
        <f>AVERAGE(E104:E106)</f>
        <v>1880</v>
      </c>
      <c r="F103" s="354" t="s">
        <v>403</v>
      </c>
      <c r="G103" s="585" t="s">
        <v>405</v>
      </c>
      <c r="H103" s="379">
        <f>AVERAGE(H104:H106)</f>
        <v>1416.1333333333332</v>
      </c>
      <c r="I103" s="351">
        <f>AVERAGE(I104:I106)</f>
        <v>1478.8666666666668</v>
      </c>
      <c r="J103" s="578">
        <f>((I103/H103)-1)*100</f>
        <v>4.4299030223142966</v>
      </c>
    </row>
    <row r="104" spans="1:10" ht="12" customHeight="1" x14ac:dyDescent="0.2">
      <c r="A104" s="335" t="s">
        <v>472</v>
      </c>
      <c r="B104" s="381">
        <v>2066.6</v>
      </c>
      <c r="C104" s="381">
        <v>2260</v>
      </c>
      <c r="D104" s="584">
        <f>((C104/B104)-1)*100</f>
        <v>9.3583663989160968</v>
      </c>
      <c r="E104" s="356" t="s">
        <v>402</v>
      </c>
      <c r="F104" s="356" t="s">
        <v>403</v>
      </c>
      <c r="G104" s="584" t="s">
        <v>405</v>
      </c>
      <c r="H104" s="382">
        <v>1333.4</v>
      </c>
      <c r="I104" s="350">
        <v>1410</v>
      </c>
      <c r="J104" s="366">
        <f>((I104/H104)-1)*100</f>
        <v>5.7447127643617701</v>
      </c>
    </row>
    <row r="105" spans="1:10" ht="12" customHeight="1" x14ac:dyDescent="0.2">
      <c r="A105" s="335" t="s">
        <v>516</v>
      </c>
      <c r="B105" s="381">
        <v>2487</v>
      </c>
      <c r="C105" s="381">
        <v>2233.4</v>
      </c>
      <c r="D105" s="584">
        <f>((C105/B105)-1)*100</f>
        <v>-10.197024527543219</v>
      </c>
      <c r="E105" s="356" t="s">
        <v>402</v>
      </c>
      <c r="F105" s="356" t="s">
        <v>403</v>
      </c>
      <c r="G105" s="584" t="s">
        <v>405</v>
      </c>
      <c r="H105" s="381">
        <v>1600</v>
      </c>
      <c r="I105" s="350">
        <v>1666.6</v>
      </c>
      <c r="J105" s="366">
        <f>((I105/H105)-1)*100</f>
        <v>4.1625000000000023</v>
      </c>
    </row>
    <row r="106" spans="1:10" ht="12" customHeight="1" x14ac:dyDescent="0.2">
      <c r="A106" s="335" t="s">
        <v>58</v>
      </c>
      <c r="B106" s="381">
        <v>2065</v>
      </c>
      <c r="C106" s="381">
        <v>2320</v>
      </c>
      <c r="D106" s="584">
        <f>((C106/B106)-1)*100</f>
        <v>12.348668280871667</v>
      </c>
      <c r="E106" s="381">
        <v>1880</v>
      </c>
      <c r="F106" s="356" t="s">
        <v>403</v>
      </c>
      <c r="G106" s="584" t="s">
        <v>405</v>
      </c>
      <c r="H106" s="381">
        <v>1315</v>
      </c>
      <c r="I106" s="350">
        <v>1360</v>
      </c>
      <c r="J106" s="366">
        <f>((I106/H106)-1)*100</f>
        <v>3.4220532319391594</v>
      </c>
    </row>
    <row r="107" spans="1:10" ht="12" customHeight="1" x14ac:dyDescent="0.2">
      <c r="A107" s="583" t="s">
        <v>86</v>
      </c>
      <c r="B107" s="481" t="s">
        <v>403</v>
      </c>
      <c r="C107" s="379">
        <f>AVERAGE(C108:C108)</f>
        <v>2200</v>
      </c>
      <c r="D107" s="585" t="s">
        <v>405</v>
      </c>
      <c r="E107" s="356" t="s">
        <v>402</v>
      </c>
      <c r="F107" s="379">
        <f>AVERAGE(F108:F108)</f>
        <v>2300</v>
      </c>
      <c r="G107" s="585" t="s">
        <v>405</v>
      </c>
      <c r="H107" s="351" t="s">
        <v>403</v>
      </c>
      <c r="I107" s="351" t="s">
        <v>403</v>
      </c>
      <c r="J107" s="578" t="s">
        <v>567</v>
      </c>
    </row>
    <row r="108" spans="1:10" ht="12" customHeight="1" x14ac:dyDescent="0.2">
      <c r="A108" s="335" t="s">
        <v>445</v>
      </c>
      <c r="B108" s="582" t="s">
        <v>403</v>
      </c>
      <c r="C108" s="381">
        <v>2200</v>
      </c>
      <c r="D108" s="585" t="s">
        <v>405</v>
      </c>
      <c r="E108" s="356" t="s">
        <v>402</v>
      </c>
      <c r="F108" s="381">
        <v>2300</v>
      </c>
      <c r="G108" s="584" t="s">
        <v>405</v>
      </c>
      <c r="H108" s="350" t="s">
        <v>403</v>
      </c>
      <c r="I108" s="350" t="s">
        <v>403</v>
      </c>
      <c r="J108" s="366" t="s">
        <v>567</v>
      </c>
    </row>
    <row r="109" spans="1:10" ht="12" customHeight="1" x14ac:dyDescent="0.2">
      <c r="A109" s="583" t="s">
        <v>69</v>
      </c>
      <c r="B109" s="379">
        <f>AVERAGE(B110:B112)</f>
        <v>2157.7999999999997</v>
      </c>
      <c r="C109" s="379">
        <f>AVERAGE(C110:C112)</f>
        <v>2106.6666666666665</v>
      </c>
      <c r="D109" s="579">
        <f t="shared" ref="D109:D114" si="12">((C109/B109)-1)*100</f>
        <v>-2.3696975314363322</v>
      </c>
      <c r="E109" s="379">
        <f>AVERAGE(E110:E112)</f>
        <v>2224.4666666666667</v>
      </c>
      <c r="F109" s="379">
        <f>AVERAGE(F110:F112)</f>
        <v>2450</v>
      </c>
      <c r="G109" s="579">
        <f>((F109/E109 -1)*100)</f>
        <v>10.13875985254893</v>
      </c>
      <c r="H109" s="543">
        <f>AVERAGE(H110:H112)</f>
        <v>1297.8</v>
      </c>
      <c r="I109" s="543">
        <f>AVERAGE(I110:I112)</f>
        <v>1282.2</v>
      </c>
      <c r="J109" s="578">
        <f t="shared" ref="J109:J114" si="13">((I109/H109  -       1)*100)</f>
        <v>-1.2020342117429417</v>
      </c>
    </row>
    <row r="110" spans="1:10" ht="12" customHeight="1" x14ac:dyDescent="0.2">
      <c r="A110" s="335" t="s">
        <v>447</v>
      </c>
      <c r="B110" s="381">
        <v>2160</v>
      </c>
      <c r="C110" s="381">
        <v>2120</v>
      </c>
      <c r="D110" s="339">
        <f t="shared" si="12"/>
        <v>-1.851851851851849</v>
      </c>
      <c r="E110" s="381">
        <v>1900</v>
      </c>
      <c r="F110" s="582" t="s">
        <v>403</v>
      </c>
      <c r="G110" s="581" t="s">
        <v>3</v>
      </c>
      <c r="H110" s="381">
        <v>1320</v>
      </c>
      <c r="I110" s="381">
        <v>1260</v>
      </c>
      <c r="J110" s="366">
        <f t="shared" si="13"/>
        <v>-4.5454545454545414</v>
      </c>
    </row>
    <row r="111" spans="1:10" ht="12" customHeight="1" x14ac:dyDescent="0.2">
      <c r="A111" s="335" t="s">
        <v>70</v>
      </c>
      <c r="B111" s="381">
        <v>2113.4</v>
      </c>
      <c r="C111" s="381">
        <v>2200</v>
      </c>
      <c r="D111" s="339">
        <f t="shared" si="12"/>
        <v>4.0976625343049022</v>
      </c>
      <c r="E111" s="381">
        <v>2273.4</v>
      </c>
      <c r="F111" s="381">
        <v>1900</v>
      </c>
      <c r="G111" s="339">
        <f>((F111/E111 -1)*100)</f>
        <v>-16.424738277469874</v>
      </c>
      <c r="H111" s="381">
        <v>1213.4000000000001</v>
      </c>
      <c r="I111" s="381">
        <v>1186.5999999999999</v>
      </c>
      <c r="J111" s="366">
        <f t="shared" si="13"/>
        <v>-2.2086698533047788</v>
      </c>
    </row>
    <row r="112" spans="1:10" ht="12" customHeight="1" x14ac:dyDescent="0.2">
      <c r="A112" s="335" t="s">
        <v>71</v>
      </c>
      <c r="B112" s="381">
        <v>2200</v>
      </c>
      <c r="C112" s="381">
        <v>2000</v>
      </c>
      <c r="D112" s="339">
        <f t="shared" si="12"/>
        <v>-9.0909090909090935</v>
      </c>
      <c r="E112" s="381">
        <v>2500</v>
      </c>
      <c r="F112" s="381">
        <v>3000</v>
      </c>
      <c r="G112" s="339">
        <f>((F112/E112 -1)*100)</f>
        <v>19.999999999999996</v>
      </c>
      <c r="H112" s="381">
        <v>1360</v>
      </c>
      <c r="I112" s="381">
        <v>1400</v>
      </c>
      <c r="J112" s="366">
        <f t="shared" si="13"/>
        <v>2.9411764705882248</v>
      </c>
    </row>
    <row r="113" spans="1:10" ht="12" customHeight="1" x14ac:dyDescent="0.2">
      <c r="A113" s="580" t="s">
        <v>44</v>
      </c>
      <c r="B113" s="379">
        <f>AVERAGE(B114:B114)</f>
        <v>2050</v>
      </c>
      <c r="C113" s="379">
        <f>AVERAGE(C114:C114)</f>
        <v>2266.6</v>
      </c>
      <c r="D113" s="579">
        <f t="shared" si="12"/>
        <v>10.565853658536572</v>
      </c>
      <c r="E113" s="379">
        <f>AVERAGE(E114:E114)</f>
        <v>2500</v>
      </c>
      <c r="F113" s="379">
        <f>AVERAGE(F114:F114)</f>
        <v>2400</v>
      </c>
      <c r="G113" s="579">
        <f>((F113/E113 -1)*100)</f>
        <v>-4.0000000000000036</v>
      </c>
      <c r="H113" s="543">
        <f>AVERAGE(H114:H114)</f>
        <v>1320</v>
      </c>
      <c r="I113" s="543">
        <f>AVERAGE(I114:I114)</f>
        <v>1313.4</v>
      </c>
      <c r="J113" s="578">
        <f t="shared" si="13"/>
        <v>-0.49999999999998934</v>
      </c>
    </row>
    <row r="114" spans="1:10" ht="12" customHeight="1" x14ac:dyDescent="0.2">
      <c r="A114" s="577" t="s">
        <v>45</v>
      </c>
      <c r="B114" s="381">
        <v>2050</v>
      </c>
      <c r="C114" s="381">
        <v>2266.6</v>
      </c>
      <c r="D114" s="339">
        <f t="shared" si="12"/>
        <v>10.565853658536572</v>
      </c>
      <c r="E114" s="381">
        <v>2500</v>
      </c>
      <c r="F114" s="381">
        <v>2400</v>
      </c>
      <c r="G114" s="339">
        <f>((F114/E114 -1)*100)</f>
        <v>-4.0000000000000036</v>
      </c>
      <c r="H114" s="381">
        <v>1320</v>
      </c>
      <c r="I114" s="381">
        <v>1313.4</v>
      </c>
      <c r="J114" s="366">
        <f t="shared" si="13"/>
        <v>-0.49999999999998934</v>
      </c>
    </row>
    <row r="115" spans="1:10" ht="9" customHeight="1" x14ac:dyDescent="0.2">
      <c r="A115" s="576" t="s">
        <v>84</v>
      </c>
      <c r="B115" s="4"/>
      <c r="C115" s="4"/>
      <c r="D115" s="4"/>
      <c r="E115" s="4"/>
      <c r="F115" s="4"/>
      <c r="G115" s="4"/>
      <c r="H115" s="4"/>
      <c r="I115" s="4"/>
      <c r="J115" s="4"/>
    </row>
    <row r="116" spans="1:10" ht="9" customHeight="1" x14ac:dyDescent="0.2">
      <c r="A116" s="575" t="s">
        <v>489</v>
      </c>
    </row>
    <row r="117" spans="1:10" ht="9" customHeight="1" x14ac:dyDescent="0.2">
      <c r="A117" s="575" t="s">
        <v>66</v>
      </c>
    </row>
    <row r="118" spans="1:10" ht="10.9" customHeight="1" x14ac:dyDescent="0.2"/>
    <row r="119" spans="1:10" ht="10.9" customHeight="1" x14ac:dyDescent="0.2"/>
    <row r="120" spans="1:10" ht="10.9" customHeight="1" x14ac:dyDescent="0.2"/>
    <row r="121" spans="1:10" ht="10.9" customHeight="1" x14ac:dyDescent="0.2"/>
    <row r="122" spans="1:10" ht="10.9" customHeight="1" x14ac:dyDescent="0.2"/>
    <row r="123" spans="1:10" ht="10.9" customHeight="1" x14ac:dyDescent="0.2"/>
    <row r="124" spans="1:10" ht="10.15" customHeight="1" x14ac:dyDescent="0.2"/>
    <row r="125" spans="1:10" ht="10.15" customHeight="1" x14ac:dyDescent="0.2"/>
    <row r="126" spans="1:10" ht="10.5" customHeight="1" x14ac:dyDescent="0.2"/>
    <row r="127" spans="1:10" ht="10.5" customHeight="1" x14ac:dyDescent="0.2"/>
    <row r="128" spans="1:10" ht="10.5" customHeight="1" x14ac:dyDescent="0.2"/>
    <row r="129" s="2" customFormat="1" ht="10.5" customHeight="1" x14ac:dyDescent="0.2"/>
    <row r="130" s="2" customFormat="1" ht="10.5" customHeight="1" x14ac:dyDescent="0.2"/>
    <row r="131" s="2" customFormat="1" ht="10.5" customHeight="1" x14ac:dyDescent="0.2"/>
    <row r="132" s="2" customFormat="1" ht="10.5" customHeight="1" x14ac:dyDescent="0.2"/>
    <row r="133" s="2" customFormat="1" ht="10.5" customHeight="1" x14ac:dyDescent="0.2"/>
    <row r="134" s="2" customFormat="1" ht="10.5" customHeight="1" x14ac:dyDescent="0.2"/>
    <row r="135" s="2" customFormat="1" ht="10.5" customHeight="1" x14ac:dyDescent="0.2"/>
    <row r="136" s="2" customFormat="1" ht="10.5" customHeight="1" x14ac:dyDescent="0.2"/>
    <row r="137" s="2" customFormat="1" ht="10.5" customHeight="1" x14ac:dyDescent="0.2"/>
    <row r="138" s="2" customFormat="1" ht="10.5" customHeight="1" x14ac:dyDescent="0.2"/>
    <row r="139" s="2" customFormat="1" ht="10.5" customHeight="1" x14ac:dyDescent="0.2"/>
    <row r="140" s="2" customFormat="1" ht="10.5" customHeight="1" x14ac:dyDescent="0.2"/>
    <row r="141" s="2" customFormat="1" ht="10.5" customHeight="1" x14ac:dyDescent="0.2"/>
    <row r="142" s="2" customFormat="1" ht="10.5" customHeight="1" x14ac:dyDescent="0.2"/>
    <row r="143" s="2" customFormat="1" ht="10.5" customHeight="1" x14ac:dyDescent="0.2"/>
    <row r="144" s="2" customFormat="1" ht="10.5" customHeight="1" x14ac:dyDescent="0.2"/>
    <row r="145" s="2" customFormat="1" ht="10.5" customHeight="1" x14ac:dyDescent="0.2"/>
    <row r="146" s="2" customFormat="1" ht="10.5" customHeight="1" x14ac:dyDescent="0.2"/>
    <row r="147" s="2" customFormat="1" ht="10.5" customHeight="1" x14ac:dyDescent="0.2"/>
    <row r="148" s="2" customFormat="1" ht="10.5" customHeight="1" x14ac:dyDescent="0.2"/>
    <row r="149" s="2" customFormat="1" ht="10.5" customHeight="1" x14ac:dyDescent="0.2"/>
    <row r="150" s="2" customFormat="1" ht="10.5" customHeight="1" x14ac:dyDescent="0.2"/>
    <row r="151" s="2" customFormat="1" ht="10.5" customHeight="1" x14ac:dyDescent="0.2"/>
    <row r="152" s="2" customFormat="1" ht="10.5" customHeight="1" x14ac:dyDescent="0.2"/>
    <row r="153" s="2" customFormat="1" ht="10.5" customHeight="1" x14ac:dyDescent="0.2"/>
    <row r="154" s="2" customFormat="1" ht="10.5" customHeight="1" x14ac:dyDescent="0.2"/>
    <row r="155" s="2" customFormat="1" ht="13.5" customHeight="1" x14ac:dyDescent="0.2"/>
    <row r="156" s="2" customFormat="1" ht="9" customHeight="1" x14ac:dyDescent="0.2"/>
    <row r="157" s="2" customFormat="1" ht="13.5" customHeight="1" x14ac:dyDescent="0.2"/>
    <row r="158" s="2" customFormat="1" ht="13.5" customHeight="1" x14ac:dyDescent="0.2"/>
    <row r="159" s="2" customFormat="1" ht="13.5" customHeight="1" x14ac:dyDescent="0.2"/>
    <row r="160" s="2" customFormat="1" ht="13.5" customHeight="1" x14ac:dyDescent="0.2"/>
    <row r="161" s="2" customFormat="1" ht="13.5" customHeight="1" x14ac:dyDescent="0.2"/>
    <row r="162" s="2" customFormat="1" ht="13.5" customHeight="1" x14ac:dyDescent="0.2"/>
    <row r="163" s="2" customFormat="1" ht="13.5" customHeight="1" x14ac:dyDescent="0.2"/>
    <row r="164" s="2" customFormat="1" ht="13.5" customHeight="1" x14ac:dyDescent="0.2"/>
    <row r="165" s="2" customFormat="1" ht="13.5" customHeight="1" x14ac:dyDescent="0.2"/>
    <row r="166" s="2" customFormat="1" ht="13.5" customHeight="1" x14ac:dyDescent="0.2"/>
    <row r="167" s="2" customFormat="1" ht="13.5" customHeight="1" x14ac:dyDescent="0.2"/>
    <row r="168" s="2" customFormat="1" ht="13.5" customHeight="1" x14ac:dyDescent="0.2"/>
    <row r="169" s="2" customFormat="1" ht="13.5" customHeight="1" x14ac:dyDescent="0.2"/>
    <row r="170" s="2" customFormat="1" ht="13.5" customHeight="1" x14ac:dyDescent="0.2"/>
    <row r="171" s="2" customFormat="1" ht="13.5" customHeight="1" x14ac:dyDescent="0.2"/>
    <row r="172" s="2" customFormat="1" ht="13.5" customHeight="1" x14ac:dyDescent="0.2"/>
    <row r="173" s="2" customFormat="1" ht="13.5" customHeight="1" x14ac:dyDescent="0.2"/>
    <row r="174" s="2" customFormat="1" ht="13.5" customHeight="1" x14ac:dyDescent="0.2"/>
    <row r="175" s="2" customFormat="1" ht="13.5" customHeight="1" x14ac:dyDescent="0.2"/>
    <row r="176" s="2" customFormat="1" ht="13.5" customHeight="1" x14ac:dyDescent="0.2"/>
    <row r="177" s="2" customFormat="1" ht="13.5" customHeight="1" x14ac:dyDescent="0.2"/>
    <row r="178" s="2" customFormat="1" ht="13.5" customHeight="1" x14ac:dyDescent="0.2"/>
    <row r="179" s="2" customFormat="1" ht="13.5" customHeight="1" x14ac:dyDescent="0.2"/>
    <row r="180" s="2" customFormat="1" ht="13.5" customHeight="1" x14ac:dyDescent="0.2"/>
    <row r="181" s="2" customFormat="1" ht="13.5" customHeight="1" x14ac:dyDescent="0.2"/>
    <row r="182" s="2" customFormat="1" ht="13.5" customHeight="1" x14ac:dyDescent="0.2"/>
    <row r="183" s="2" customFormat="1" ht="13.5" customHeight="1" x14ac:dyDescent="0.2"/>
    <row r="184" s="2" customFormat="1" ht="13.5" customHeight="1" x14ac:dyDescent="0.2"/>
    <row r="185" s="2" customFormat="1" ht="13.5" customHeight="1" x14ac:dyDescent="0.2"/>
    <row r="186" s="2" customFormat="1" ht="13.5" customHeight="1" x14ac:dyDescent="0.2"/>
    <row r="187" s="2" customFormat="1" ht="13.5" customHeight="1" x14ac:dyDescent="0.2"/>
    <row r="188" s="2" customFormat="1" ht="13.5" customHeight="1" x14ac:dyDescent="0.2"/>
    <row r="189" s="2" customFormat="1" ht="13.5" customHeight="1" x14ac:dyDescent="0.2"/>
    <row r="190" s="2" customFormat="1" ht="13.5" customHeight="1" x14ac:dyDescent="0.2"/>
    <row r="191" s="2" customFormat="1" ht="13.5" customHeight="1" x14ac:dyDescent="0.2"/>
    <row r="192" s="2" customFormat="1" ht="13.5" customHeight="1" x14ac:dyDescent="0.2"/>
    <row r="193" s="2" customFormat="1" ht="13.5" customHeight="1" x14ac:dyDescent="0.2"/>
    <row r="194" s="2" customFormat="1" ht="13.5" customHeight="1" x14ac:dyDescent="0.2"/>
    <row r="195" s="2" customFormat="1" ht="13.5" customHeight="1" x14ac:dyDescent="0.2"/>
    <row r="196" s="2" customFormat="1" ht="13.5" customHeight="1" x14ac:dyDescent="0.2"/>
    <row r="197" s="2" customFormat="1" ht="13.5" customHeight="1" x14ac:dyDescent="0.2"/>
    <row r="198" s="2" customFormat="1" ht="13.5" customHeight="1" x14ac:dyDescent="0.2"/>
    <row r="199" s="2" customFormat="1" ht="13.5" customHeight="1" x14ac:dyDescent="0.2"/>
    <row r="200" s="2" customFormat="1" ht="13.5" customHeight="1" x14ac:dyDescent="0.2"/>
    <row r="201" s="2" customFormat="1" ht="13.5" customHeight="1" x14ac:dyDescent="0.2"/>
    <row r="202" s="2" customFormat="1" ht="13.5" customHeight="1" x14ac:dyDescent="0.2"/>
    <row r="203" s="2" customFormat="1" ht="13.5" customHeight="1" x14ac:dyDescent="0.2"/>
    <row r="204" s="2" customFormat="1" ht="13.5" customHeight="1" x14ac:dyDescent="0.2"/>
    <row r="205" s="2" customFormat="1" ht="13.5" customHeight="1" x14ac:dyDescent="0.2"/>
    <row r="206" s="2" customFormat="1" ht="13.5" customHeight="1" x14ac:dyDescent="0.2"/>
    <row r="207" s="2" customFormat="1" ht="13.5" customHeight="1" x14ac:dyDescent="0.2"/>
    <row r="208" s="2" customFormat="1" ht="13.5" customHeight="1" x14ac:dyDescent="0.2"/>
    <row r="209" s="2" customFormat="1" ht="13.5" customHeight="1" x14ac:dyDescent="0.2"/>
    <row r="210" s="2" customFormat="1" ht="13.5" customHeight="1" x14ac:dyDescent="0.2"/>
    <row r="211" s="2" customFormat="1" ht="13.5" customHeight="1" x14ac:dyDescent="0.2"/>
    <row r="212" s="2" customFormat="1" ht="13.5" customHeight="1" x14ac:dyDescent="0.2"/>
    <row r="213" s="2" customFormat="1" ht="13.5" customHeight="1" x14ac:dyDescent="0.2"/>
    <row r="214" s="2" customFormat="1" ht="13.5" customHeight="1" x14ac:dyDescent="0.2"/>
    <row r="215" s="2" customFormat="1" ht="13.5" customHeight="1" x14ac:dyDescent="0.2"/>
    <row r="216" s="2" customFormat="1" ht="13.5" customHeight="1" x14ac:dyDescent="0.2"/>
    <row r="217" s="2" customFormat="1" ht="13.5" customHeight="1" x14ac:dyDescent="0.2"/>
    <row r="218" s="2" customFormat="1" ht="13.5" customHeight="1" x14ac:dyDescent="0.2"/>
    <row r="219" s="2" customFormat="1" ht="13.5" customHeight="1" x14ac:dyDescent="0.2"/>
    <row r="220" s="2" customFormat="1" ht="13.5" customHeight="1" x14ac:dyDescent="0.2"/>
    <row r="221" s="2" customFormat="1" ht="13.5" customHeight="1" x14ac:dyDescent="0.2"/>
    <row r="222" s="2" customFormat="1" ht="13.5" customHeight="1" x14ac:dyDescent="0.2"/>
    <row r="223" s="2" customFormat="1" ht="13.5" customHeight="1" x14ac:dyDescent="0.2"/>
    <row r="224" s="2" customFormat="1" ht="13.5" customHeight="1" x14ac:dyDescent="0.2"/>
    <row r="225" s="2" customFormat="1" ht="13.5" customHeight="1" x14ac:dyDescent="0.2"/>
    <row r="226" s="2" customFormat="1" ht="13.5" customHeight="1" x14ac:dyDescent="0.2"/>
    <row r="227" s="2" customFormat="1" ht="13.5" customHeight="1" x14ac:dyDescent="0.2"/>
    <row r="228" s="2" customFormat="1" ht="13.5" customHeight="1" x14ac:dyDescent="0.2"/>
    <row r="229" s="2" customFormat="1" ht="13.5" customHeight="1" x14ac:dyDescent="0.2"/>
    <row r="230" s="2" customFormat="1" ht="13.5" customHeight="1" x14ac:dyDescent="0.2"/>
    <row r="231" s="2" customFormat="1" ht="13.5" customHeight="1" x14ac:dyDescent="0.2"/>
    <row r="232" s="2" customFormat="1" ht="13.5" customHeight="1" x14ac:dyDescent="0.2"/>
    <row r="233" s="2" customFormat="1" ht="13.5" customHeight="1" x14ac:dyDescent="0.2"/>
    <row r="234" s="2" customFormat="1" ht="13.5" customHeight="1" x14ac:dyDescent="0.2"/>
    <row r="235" s="2" customFormat="1" ht="13.5" customHeight="1" x14ac:dyDescent="0.2"/>
    <row r="236" s="2" customFormat="1" ht="13.5" customHeight="1" x14ac:dyDescent="0.2"/>
    <row r="237" s="2" customFormat="1" ht="13.5" customHeight="1" x14ac:dyDescent="0.2"/>
    <row r="238" s="2" customFormat="1" ht="13.5" customHeight="1" x14ac:dyDescent="0.2"/>
    <row r="239" s="2" customFormat="1" ht="13.5" customHeight="1" x14ac:dyDescent="0.2"/>
    <row r="240" s="2" customFormat="1" ht="13.5" customHeight="1" x14ac:dyDescent="0.2"/>
    <row r="241" s="2" customFormat="1" ht="13.5" customHeight="1" x14ac:dyDescent="0.2"/>
    <row r="242" s="2" customFormat="1" ht="13.5" customHeight="1" x14ac:dyDescent="0.2"/>
    <row r="243" s="2" customFormat="1" ht="13.5" customHeight="1" x14ac:dyDescent="0.2"/>
    <row r="244" s="2" customFormat="1" ht="13.5" customHeight="1" x14ac:dyDescent="0.2"/>
    <row r="245" s="2" customFormat="1" ht="13.5" customHeight="1" x14ac:dyDescent="0.2"/>
    <row r="246" s="2" customFormat="1" ht="13.5" customHeight="1" x14ac:dyDescent="0.2"/>
    <row r="247" s="2" customFormat="1" ht="13.5" customHeight="1" x14ac:dyDescent="0.2"/>
    <row r="248" s="2" customFormat="1" ht="13.5" customHeight="1" x14ac:dyDescent="0.2"/>
    <row r="249" s="2" customFormat="1" ht="13.5" customHeight="1" x14ac:dyDescent="0.2"/>
    <row r="250" s="2" customFormat="1" ht="13.5" customHeight="1" x14ac:dyDescent="0.2"/>
    <row r="251" s="2" customFormat="1" ht="13.5" customHeight="1" x14ac:dyDescent="0.2"/>
    <row r="252" s="2" customFormat="1" ht="13.5" customHeight="1" x14ac:dyDescent="0.2"/>
    <row r="253" s="2" customFormat="1" ht="13.5" customHeight="1" x14ac:dyDescent="0.2"/>
    <row r="254" s="2" customFormat="1" ht="13.5" customHeight="1" x14ac:dyDescent="0.2"/>
    <row r="255" s="2" customFormat="1" ht="13.5" customHeight="1" x14ac:dyDescent="0.2"/>
    <row r="256" s="2" customFormat="1" ht="13.5" customHeight="1" x14ac:dyDescent="0.2"/>
    <row r="257" s="2" customFormat="1" ht="13.5" customHeight="1" x14ac:dyDescent="0.2"/>
    <row r="258" s="2" customFormat="1" ht="13.5" customHeight="1" x14ac:dyDescent="0.2"/>
    <row r="259" s="2" customFormat="1" ht="13.5" customHeight="1" x14ac:dyDescent="0.2"/>
    <row r="260" s="2" customFormat="1" ht="13.5" customHeight="1" x14ac:dyDescent="0.2"/>
    <row r="261" s="2" customFormat="1" ht="13.5" customHeight="1" x14ac:dyDescent="0.2"/>
    <row r="262" s="2" customFormat="1" ht="13.5" customHeight="1" x14ac:dyDescent="0.2"/>
    <row r="263" s="2" customFormat="1" ht="13.5" customHeight="1" x14ac:dyDescent="0.2"/>
    <row r="264" s="2" customFormat="1" ht="13.5" customHeight="1" x14ac:dyDescent="0.2"/>
    <row r="265" s="2" customFormat="1" ht="13.5" customHeight="1" x14ac:dyDescent="0.2"/>
    <row r="266" s="2" customFormat="1" ht="13.5" customHeight="1" x14ac:dyDescent="0.2"/>
    <row r="267" s="2" customFormat="1" ht="13.5" customHeight="1" x14ac:dyDescent="0.2"/>
    <row r="268" s="2" customFormat="1" ht="13.5" customHeight="1" x14ac:dyDescent="0.2"/>
    <row r="269" s="2" customFormat="1" ht="13.5" customHeight="1" x14ac:dyDescent="0.2"/>
    <row r="270" s="2" customFormat="1" ht="13.5" customHeight="1" x14ac:dyDescent="0.2"/>
    <row r="271" s="2" customFormat="1" ht="13.5" customHeight="1" x14ac:dyDescent="0.2"/>
    <row r="272" s="2" customFormat="1" ht="13.5" customHeight="1" x14ac:dyDescent="0.2"/>
    <row r="273" s="2" customFormat="1" ht="13.5" customHeight="1" x14ac:dyDescent="0.2"/>
    <row r="274" s="2" customFormat="1" ht="13.5" customHeight="1" x14ac:dyDescent="0.2"/>
    <row r="275" s="2" customFormat="1" ht="13.5" customHeight="1" x14ac:dyDescent="0.2"/>
    <row r="276" s="2" customFormat="1" ht="13.5" customHeight="1" x14ac:dyDescent="0.2"/>
    <row r="277" s="2" customFormat="1" ht="13.5" customHeight="1" x14ac:dyDescent="0.2"/>
    <row r="278" s="2" customFormat="1" ht="13.5" customHeight="1" x14ac:dyDescent="0.2"/>
    <row r="279" s="2" customFormat="1" ht="13.5" customHeight="1" x14ac:dyDescent="0.2"/>
    <row r="280" s="2" customFormat="1" ht="13.5" customHeight="1" x14ac:dyDescent="0.2"/>
    <row r="281" s="2" customFormat="1" ht="13.5" customHeight="1" x14ac:dyDescent="0.2"/>
    <row r="282" s="2" customFormat="1" ht="13.5" customHeight="1" x14ac:dyDescent="0.2"/>
    <row r="283" s="2" customFormat="1" ht="13.5" customHeight="1" x14ac:dyDescent="0.2"/>
    <row r="284" s="2" customFormat="1" ht="13.5" customHeight="1" x14ac:dyDescent="0.2"/>
    <row r="285" s="2" customFormat="1" ht="13.5" customHeight="1" x14ac:dyDescent="0.2"/>
    <row r="286" s="2" customFormat="1" ht="13.5" customHeight="1" x14ac:dyDescent="0.2"/>
    <row r="287" s="2" customFormat="1" ht="13.5" customHeight="1" x14ac:dyDescent="0.2"/>
    <row r="288" s="2" customFormat="1" ht="13.5" customHeight="1" x14ac:dyDescent="0.2"/>
    <row r="289" s="2" customFormat="1" ht="13.5" customHeight="1" x14ac:dyDescent="0.2"/>
    <row r="290" s="2" customFormat="1" ht="13.5" customHeight="1" x14ac:dyDescent="0.2"/>
    <row r="291" s="2" customFormat="1" ht="13.5" customHeight="1" x14ac:dyDescent="0.2"/>
    <row r="292" s="2" customFormat="1" ht="13.5" customHeight="1" x14ac:dyDescent="0.2"/>
    <row r="293" s="2" customFormat="1" ht="13.5" customHeight="1" x14ac:dyDescent="0.2"/>
    <row r="294" s="2" customFormat="1" ht="13.5" customHeight="1" x14ac:dyDescent="0.2"/>
    <row r="295" s="2" customFormat="1" ht="13.5" customHeight="1" x14ac:dyDescent="0.2"/>
    <row r="296" s="2" customFormat="1" ht="13.5" customHeight="1" x14ac:dyDescent="0.2"/>
    <row r="297" s="2" customFormat="1" ht="13.5" customHeight="1" x14ac:dyDescent="0.2"/>
    <row r="298" s="2" customFormat="1" ht="13.5" customHeight="1" x14ac:dyDescent="0.2"/>
    <row r="299" s="2" customFormat="1" ht="13.5" customHeight="1" x14ac:dyDescent="0.2"/>
    <row r="300" s="2" customFormat="1" ht="13.5" customHeight="1" x14ac:dyDescent="0.2"/>
    <row r="301" s="2" customFormat="1" ht="13.5" customHeight="1" x14ac:dyDescent="0.2"/>
    <row r="302" s="2" customFormat="1" ht="13.5" customHeight="1" x14ac:dyDescent="0.2"/>
    <row r="303" s="2" customFormat="1" ht="13.5" customHeight="1" x14ac:dyDescent="0.2"/>
    <row r="304" s="2" customFormat="1" ht="13.5" customHeight="1" x14ac:dyDescent="0.2"/>
    <row r="305" s="2" customFormat="1" ht="13.5" customHeight="1" x14ac:dyDescent="0.2"/>
    <row r="306" s="2" customFormat="1" ht="13.5" customHeight="1" x14ac:dyDescent="0.2"/>
    <row r="307" s="2" customFormat="1" ht="13.5" customHeight="1" x14ac:dyDescent="0.2"/>
    <row r="308" s="2" customFormat="1" ht="13.5" customHeight="1" x14ac:dyDescent="0.2"/>
    <row r="309" s="2" customFormat="1" ht="13.5" customHeight="1" x14ac:dyDescent="0.2"/>
    <row r="310" s="2" customFormat="1" ht="13.5" customHeight="1" x14ac:dyDescent="0.2"/>
    <row r="311" s="2" customFormat="1" ht="13.5" customHeight="1" x14ac:dyDescent="0.2"/>
    <row r="312" s="2" customFormat="1" ht="13.5" customHeight="1" x14ac:dyDescent="0.2"/>
    <row r="313" s="2" customFormat="1" ht="13.5" customHeight="1" x14ac:dyDescent="0.2"/>
    <row r="314" s="2" customFormat="1" ht="13.5" customHeight="1" x14ac:dyDescent="0.2"/>
    <row r="315" s="2" customFormat="1" ht="13.5" customHeight="1" x14ac:dyDescent="0.2"/>
    <row r="316" s="2" customFormat="1" ht="13.5" customHeight="1" x14ac:dyDescent="0.2"/>
    <row r="317" s="2" customFormat="1" ht="13.5" customHeight="1" x14ac:dyDescent="0.2"/>
    <row r="318" s="2" customFormat="1" ht="13.5" customHeight="1" x14ac:dyDescent="0.2"/>
    <row r="319" s="2" customFormat="1" ht="13.5" customHeight="1" x14ac:dyDescent="0.2"/>
    <row r="320" s="2" customFormat="1" ht="13.5" customHeight="1" x14ac:dyDescent="0.2"/>
    <row r="321" s="2" customFormat="1" ht="13.5" customHeight="1" x14ac:dyDescent="0.2"/>
    <row r="322" s="2" customFormat="1" ht="13.5" customHeight="1" x14ac:dyDescent="0.2"/>
    <row r="323" s="2" customFormat="1" ht="13.5" customHeight="1" x14ac:dyDescent="0.2"/>
    <row r="324" s="2" customFormat="1" ht="13.5" customHeight="1" x14ac:dyDescent="0.2"/>
    <row r="325" s="2" customFormat="1" ht="13.5" customHeight="1" x14ac:dyDescent="0.2"/>
    <row r="326" s="2" customFormat="1" ht="13.5" customHeight="1" x14ac:dyDescent="0.2"/>
    <row r="327" s="2" customFormat="1" ht="13.5" customHeight="1" x14ac:dyDescent="0.2"/>
    <row r="328" s="2" customFormat="1" ht="13.5" customHeight="1" x14ac:dyDescent="0.2"/>
    <row r="329" s="2" customFormat="1" ht="13.5" customHeight="1" x14ac:dyDescent="0.2"/>
    <row r="330" s="2" customFormat="1" ht="13.5" customHeight="1" x14ac:dyDescent="0.2"/>
    <row r="331" s="2" customFormat="1" ht="13.5" customHeight="1" x14ac:dyDescent="0.2"/>
    <row r="332" s="2" customFormat="1" ht="13.5" customHeight="1" x14ac:dyDescent="0.2"/>
    <row r="333" s="2" customFormat="1" ht="13.5" customHeight="1" x14ac:dyDescent="0.2"/>
    <row r="334" s="2" customFormat="1" ht="13.5" customHeight="1" x14ac:dyDescent="0.2"/>
    <row r="335" s="2" customFormat="1" ht="13.5" customHeight="1" x14ac:dyDescent="0.2"/>
    <row r="336" s="2" customFormat="1" ht="13.5" customHeight="1" x14ac:dyDescent="0.2"/>
    <row r="337" s="2" customFormat="1" ht="13.5" customHeight="1" x14ac:dyDescent="0.2"/>
    <row r="338" s="2" customFormat="1" ht="13.5" customHeight="1" x14ac:dyDescent="0.2"/>
    <row r="339" s="2" customFormat="1" ht="13.5" customHeight="1" x14ac:dyDescent="0.2"/>
    <row r="340" s="2" customFormat="1" ht="13.5" customHeight="1" x14ac:dyDescent="0.2"/>
    <row r="341" s="2" customFormat="1" ht="13.5" customHeight="1" x14ac:dyDescent="0.2"/>
    <row r="342" s="2" customFormat="1" ht="13.5" customHeight="1" x14ac:dyDescent="0.2"/>
    <row r="343" s="2" customFormat="1" ht="13.5" customHeight="1" x14ac:dyDescent="0.2"/>
    <row r="344" s="2" customFormat="1" ht="13.5" customHeight="1" x14ac:dyDescent="0.2"/>
    <row r="345" s="2" customFormat="1" ht="13.5" customHeight="1" x14ac:dyDescent="0.2"/>
    <row r="346" s="2" customFormat="1" ht="13.5" customHeight="1" x14ac:dyDescent="0.2"/>
    <row r="347" s="2" customFormat="1" ht="13.5" customHeight="1" x14ac:dyDescent="0.2"/>
    <row r="348" s="2" customFormat="1" ht="13.5" customHeight="1" x14ac:dyDescent="0.2"/>
    <row r="349" s="2" customFormat="1" ht="13.5" customHeight="1" x14ac:dyDescent="0.2"/>
    <row r="350" s="2" customFormat="1" ht="13.5" customHeight="1" x14ac:dyDescent="0.2"/>
    <row r="351" s="2" customFormat="1" ht="13.5" customHeight="1" x14ac:dyDescent="0.2"/>
    <row r="352" s="2" customFormat="1" ht="13.5" customHeight="1" x14ac:dyDescent="0.2"/>
    <row r="353" s="2" customFormat="1" ht="13.5" customHeight="1" x14ac:dyDescent="0.2"/>
    <row r="354" s="2" customFormat="1" ht="13.5" customHeight="1" x14ac:dyDescent="0.2"/>
    <row r="355" s="2" customFormat="1" ht="13.5" customHeight="1" x14ac:dyDescent="0.2"/>
    <row r="356" s="2" customFormat="1" ht="13.5" customHeight="1" x14ac:dyDescent="0.2"/>
    <row r="357" s="2" customFormat="1" ht="13.5" customHeight="1" x14ac:dyDescent="0.2"/>
    <row r="358" s="2" customFormat="1" ht="13.5" customHeight="1" x14ac:dyDescent="0.2"/>
    <row r="359" s="2" customFormat="1" ht="13.5" customHeight="1" x14ac:dyDescent="0.2"/>
    <row r="360" s="2" customFormat="1" ht="13.5" customHeight="1" x14ac:dyDescent="0.2"/>
    <row r="361" s="2" customFormat="1" ht="13.5" customHeight="1" x14ac:dyDescent="0.2"/>
    <row r="362" s="2" customFormat="1" ht="13.5" customHeight="1" x14ac:dyDescent="0.2"/>
    <row r="363" s="2" customFormat="1" ht="13.5" customHeight="1" x14ac:dyDescent="0.2"/>
    <row r="364" s="2" customFormat="1" ht="13.5" customHeight="1" x14ac:dyDescent="0.2"/>
    <row r="365" s="2" customFormat="1" ht="13.5" customHeight="1" x14ac:dyDescent="0.2"/>
    <row r="366" s="2" customFormat="1" ht="13.5" customHeight="1" x14ac:dyDescent="0.2"/>
    <row r="367" s="2" customFormat="1" ht="13.5" customHeight="1" x14ac:dyDescent="0.2"/>
    <row r="368" s="2" customFormat="1" ht="13.5" customHeight="1" x14ac:dyDescent="0.2"/>
    <row r="369" s="2" customFormat="1" ht="13.5" customHeight="1" x14ac:dyDescent="0.2"/>
    <row r="370" s="2" customFormat="1" ht="13.5" customHeight="1" x14ac:dyDescent="0.2"/>
    <row r="371" s="2" customFormat="1" ht="13.5" customHeight="1" x14ac:dyDescent="0.2"/>
    <row r="372" s="2" customFormat="1" ht="13.5" customHeight="1" x14ac:dyDescent="0.2"/>
    <row r="373" s="2" customFormat="1" ht="13.5" customHeight="1" x14ac:dyDescent="0.2"/>
    <row r="374" s="2" customFormat="1" ht="13.5" customHeight="1" x14ac:dyDescent="0.2"/>
    <row r="375" s="2" customFormat="1" ht="13.5" customHeight="1" x14ac:dyDescent="0.2"/>
    <row r="376" s="2" customFormat="1" ht="13.5" customHeight="1" x14ac:dyDescent="0.2"/>
    <row r="377" s="2" customFormat="1" ht="13.5" customHeight="1" x14ac:dyDescent="0.2"/>
    <row r="378" s="2" customFormat="1" ht="13.5" customHeight="1" x14ac:dyDescent="0.2"/>
    <row r="379" s="2" customFormat="1" ht="13.5" customHeight="1" x14ac:dyDescent="0.2"/>
    <row r="380" s="2" customFormat="1" ht="13.5" customHeight="1" x14ac:dyDescent="0.2"/>
    <row r="381" s="2" customFormat="1" ht="13.5" customHeight="1" x14ac:dyDescent="0.2"/>
    <row r="382" s="2" customFormat="1" ht="13.5" customHeight="1" x14ac:dyDescent="0.2"/>
    <row r="383" s="2" customFormat="1" ht="13.5" customHeight="1" x14ac:dyDescent="0.2"/>
    <row r="384" s="2" customFormat="1" ht="13.5" customHeight="1" x14ac:dyDescent="0.2"/>
    <row r="385" s="2" customFormat="1" ht="13.5" customHeight="1" x14ac:dyDescent="0.2"/>
    <row r="386" s="2" customFormat="1" ht="13.5" customHeight="1" x14ac:dyDescent="0.2"/>
    <row r="387" s="2" customFormat="1" ht="13.5" customHeight="1" x14ac:dyDescent="0.2"/>
    <row r="388" s="2" customFormat="1" ht="13.5" customHeight="1" x14ac:dyDescent="0.2"/>
    <row r="389" s="2" customFormat="1" ht="13.5" customHeight="1" x14ac:dyDescent="0.2"/>
    <row r="390" s="2" customFormat="1" ht="13.5" customHeight="1" x14ac:dyDescent="0.2"/>
    <row r="391" s="2" customFormat="1" ht="13.5" customHeight="1" x14ac:dyDescent="0.2"/>
    <row r="392" s="2" customFormat="1" ht="13.5" customHeight="1" x14ac:dyDescent="0.2"/>
    <row r="393" s="2" customFormat="1" ht="13.5" customHeight="1" x14ac:dyDescent="0.2"/>
    <row r="394" s="2" customFormat="1" ht="13.5" customHeight="1" x14ac:dyDescent="0.2"/>
    <row r="395" s="2" customFormat="1" ht="13.5" customHeight="1" x14ac:dyDescent="0.2"/>
    <row r="396" s="2" customFormat="1" ht="13.5" customHeight="1" x14ac:dyDescent="0.2"/>
    <row r="397" s="2" customFormat="1" ht="13.5" customHeight="1" x14ac:dyDescent="0.2"/>
    <row r="398" s="2" customFormat="1" ht="13.5" customHeight="1" x14ac:dyDescent="0.2"/>
    <row r="399" s="2" customFormat="1" ht="13.5" customHeight="1" x14ac:dyDescent="0.2"/>
    <row r="400" s="2" customFormat="1" ht="13.5" customHeight="1" x14ac:dyDescent="0.2"/>
    <row r="401" s="2" customFormat="1" ht="13.5" customHeight="1" x14ac:dyDescent="0.2"/>
    <row r="402" s="2" customFormat="1" ht="13.5" customHeight="1" x14ac:dyDescent="0.2"/>
    <row r="403" s="2" customFormat="1" ht="13.5" customHeight="1" x14ac:dyDescent="0.2"/>
    <row r="404" s="2" customFormat="1" ht="13.5" customHeight="1" x14ac:dyDescent="0.2"/>
    <row r="405" s="2" customFormat="1" ht="13.5" customHeight="1" x14ac:dyDescent="0.2"/>
    <row r="406" s="2" customFormat="1" ht="13.5" customHeight="1" x14ac:dyDescent="0.2"/>
    <row r="407" s="2" customFormat="1" ht="13.5" customHeight="1" x14ac:dyDescent="0.2"/>
    <row r="408" s="2" customFormat="1" ht="13.5" customHeight="1" x14ac:dyDescent="0.2"/>
    <row r="409" s="2" customFormat="1" ht="13.5" customHeight="1" x14ac:dyDescent="0.2"/>
    <row r="410" s="2" customFormat="1" ht="13.5" customHeight="1" x14ac:dyDescent="0.2"/>
    <row r="411" s="2" customFormat="1" ht="13.5" customHeight="1" x14ac:dyDescent="0.2"/>
    <row r="412" s="2" customFormat="1" ht="13.5" customHeight="1" x14ac:dyDescent="0.2"/>
    <row r="413" s="2" customFormat="1" ht="13.5" customHeight="1" x14ac:dyDescent="0.2"/>
    <row r="414" s="2" customFormat="1" ht="13.5" customHeight="1" x14ac:dyDescent="0.2"/>
    <row r="415" s="2" customFormat="1" ht="13.5" customHeight="1" x14ac:dyDescent="0.2"/>
    <row r="416" s="2" customFormat="1" ht="13.5" customHeight="1" x14ac:dyDescent="0.2"/>
    <row r="417" s="2" customFormat="1" ht="13.5" customHeight="1" x14ac:dyDescent="0.2"/>
    <row r="418" s="2" customFormat="1" ht="13.5" customHeight="1" x14ac:dyDescent="0.2"/>
    <row r="419" s="2" customFormat="1" ht="13.5" customHeight="1" x14ac:dyDescent="0.2"/>
    <row r="420" s="2" customFormat="1" ht="13.5" customHeight="1" x14ac:dyDescent="0.2"/>
    <row r="421" s="2" customFormat="1" ht="13.5" customHeight="1" x14ac:dyDescent="0.2"/>
    <row r="422" s="2" customFormat="1" ht="13.5" customHeight="1" x14ac:dyDescent="0.2"/>
    <row r="423" s="2" customFormat="1" ht="13.5" customHeight="1" x14ac:dyDescent="0.2"/>
    <row r="424" s="2" customFormat="1" ht="13.5" customHeight="1" x14ac:dyDescent="0.2"/>
    <row r="425" s="2" customFormat="1" ht="13.5" customHeight="1" x14ac:dyDescent="0.2"/>
    <row r="426" s="2" customFormat="1" ht="13.5" customHeight="1" x14ac:dyDescent="0.2"/>
    <row r="427" s="2" customFormat="1" ht="13.5" customHeight="1" x14ac:dyDescent="0.2"/>
    <row r="428" s="2" customFormat="1" ht="13.5" customHeight="1" x14ac:dyDescent="0.2"/>
    <row r="429" s="2" customFormat="1" ht="13.5" customHeight="1" x14ac:dyDescent="0.2"/>
    <row r="430" s="2" customFormat="1" ht="13.5" customHeight="1" x14ac:dyDescent="0.2"/>
    <row r="431" s="2" customFormat="1" ht="13.5" customHeight="1" x14ac:dyDescent="0.2"/>
    <row r="432" s="2" customFormat="1" ht="13.5" customHeight="1" x14ac:dyDescent="0.2"/>
    <row r="433" s="2" customFormat="1" ht="13.5" customHeight="1" x14ac:dyDescent="0.2"/>
    <row r="434" s="2" customFormat="1" ht="13.5" customHeight="1" x14ac:dyDescent="0.2"/>
    <row r="435" s="2" customFormat="1" ht="13.5" customHeight="1" x14ac:dyDescent="0.2"/>
    <row r="436" s="2" customFormat="1" ht="13.5" customHeight="1" x14ac:dyDescent="0.2"/>
    <row r="437" s="2" customFormat="1" ht="13.5" customHeight="1" x14ac:dyDescent="0.2"/>
    <row r="438" s="2" customFormat="1" ht="13.5" customHeight="1" x14ac:dyDescent="0.2"/>
    <row r="439" s="2" customFormat="1" ht="13.5" customHeight="1" x14ac:dyDescent="0.2"/>
    <row r="440" s="2" customFormat="1" ht="13.5" customHeight="1" x14ac:dyDescent="0.2"/>
    <row r="441" s="2" customFormat="1" ht="13.5" customHeight="1" x14ac:dyDescent="0.2"/>
    <row r="442" s="2" customFormat="1" ht="13.5" customHeight="1" x14ac:dyDescent="0.2"/>
    <row r="443" s="2" customFormat="1" ht="13.5" customHeight="1" x14ac:dyDescent="0.2"/>
    <row r="444" s="2" customFormat="1" ht="13.5" customHeight="1" x14ac:dyDescent="0.2"/>
    <row r="445" s="2" customFormat="1" ht="13.5" customHeight="1" x14ac:dyDescent="0.2"/>
    <row r="446" s="2" customFormat="1" ht="13.5" customHeight="1" x14ac:dyDescent="0.2"/>
    <row r="447" s="2" customFormat="1" ht="13.5" customHeight="1" x14ac:dyDescent="0.2"/>
    <row r="448" s="2" customFormat="1" ht="13.5" customHeight="1" x14ac:dyDescent="0.2"/>
    <row r="449" s="2" customFormat="1" ht="13.5" customHeight="1" x14ac:dyDescent="0.2"/>
    <row r="450" s="2" customFormat="1" ht="13.5" customHeight="1" x14ac:dyDescent="0.2"/>
    <row r="451" s="2" customFormat="1" ht="13.5" customHeight="1" x14ac:dyDescent="0.2"/>
    <row r="452" s="2" customFormat="1" ht="13.5" customHeight="1" x14ac:dyDescent="0.2"/>
    <row r="453" s="2" customFormat="1" ht="13.5" customHeight="1" x14ac:dyDescent="0.2"/>
    <row r="454" s="2" customFormat="1" ht="13.5" customHeight="1" x14ac:dyDescent="0.2"/>
    <row r="455" s="2" customFormat="1" ht="13.5" customHeight="1" x14ac:dyDescent="0.2"/>
    <row r="456" s="2" customFormat="1" ht="13.5" customHeight="1" x14ac:dyDescent="0.2"/>
    <row r="457" s="2" customFormat="1" ht="13.5" customHeight="1" x14ac:dyDescent="0.2"/>
    <row r="458" s="2" customFormat="1" ht="13.5" customHeight="1" x14ac:dyDescent="0.2"/>
    <row r="459" s="2" customFormat="1" ht="13.5" customHeight="1" x14ac:dyDescent="0.2"/>
    <row r="460" s="2" customFormat="1" ht="13.5" customHeight="1" x14ac:dyDescent="0.2"/>
    <row r="461" s="2" customFormat="1" ht="13.5" customHeight="1" x14ac:dyDescent="0.2"/>
    <row r="462" s="2" customFormat="1" ht="13.5" customHeight="1" x14ac:dyDescent="0.2"/>
    <row r="463" s="2" customFormat="1" ht="13.5" customHeight="1" x14ac:dyDescent="0.2"/>
    <row r="464" s="2" customFormat="1" ht="13.5" customHeight="1" x14ac:dyDescent="0.2"/>
    <row r="465" s="2" customFormat="1" ht="13.5" customHeight="1" x14ac:dyDescent="0.2"/>
    <row r="466" s="2" customFormat="1" ht="13.5" customHeight="1" x14ac:dyDescent="0.2"/>
    <row r="467" s="2" customFormat="1" ht="13.5" customHeight="1" x14ac:dyDescent="0.2"/>
    <row r="468" s="2" customFormat="1" ht="13.5" customHeight="1" x14ac:dyDescent="0.2"/>
    <row r="469" s="2" customFormat="1" ht="13.5" customHeight="1" x14ac:dyDescent="0.2"/>
    <row r="470" s="2" customFormat="1" ht="13.5" customHeight="1" x14ac:dyDescent="0.2"/>
    <row r="471" s="2" customFormat="1" ht="13.5" customHeight="1" x14ac:dyDescent="0.2"/>
    <row r="472" s="2" customFormat="1" ht="13.5" customHeight="1" x14ac:dyDescent="0.2"/>
    <row r="473" s="2" customFormat="1" ht="13.5" customHeight="1" x14ac:dyDescent="0.2"/>
    <row r="474" s="2" customFormat="1" ht="13.5" customHeight="1" x14ac:dyDescent="0.2"/>
    <row r="475" s="2" customFormat="1" ht="13.5" customHeight="1" x14ac:dyDescent="0.2"/>
    <row r="476" s="2" customFormat="1" ht="13.5" customHeight="1" x14ac:dyDescent="0.2"/>
    <row r="477" s="2" customFormat="1" ht="13.5" customHeight="1" x14ac:dyDescent="0.2"/>
    <row r="478" s="2" customFormat="1" ht="13.5" customHeight="1" x14ac:dyDescent="0.2"/>
    <row r="479" s="2" customFormat="1" ht="13.5" customHeight="1" x14ac:dyDescent="0.2"/>
    <row r="480" s="2" customFormat="1" ht="13.5" customHeight="1" x14ac:dyDescent="0.2"/>
    <row r="481" s="2" customFormat="1" ht="13.5" customHeight="1" x14ac:dyDescent="0.2"/>
    <row r="482" s="2" customFormat="1" ht="13.5" customHeight="1" x14ac:dyDescent="0.2"/>
    <row r="483" s="2" customFormat="1" ht="13.5" customHeight="1" x14ac:dyDescent="0.2"/>
    <row r="484" s="2" customFormat="1" ht="13.5" customHeight="1" x14ac:dyDescent="0.2"/>
    <row r="485" s="2" customFormat="1" ht="13.5" customHeight="1" x14ac:dyDescent="0.2"/>
    <row r="486" s="2" customFormat="1" ht="13.5" customHeight="1" x14ac:dyDescent="0.2"/>
    <row r="487" s="2" customFormat="1" ht="13.5" customHeight="1" x14ac:dyDescent="0.2"/>
    <row r="488" s="2" customFormat="1" ht="13.5" customHeight="1" x14ac:dyDescent="0.2"/>
    <row r="489" s="2" customFormat="1" ht="13.5" customHeight="1" x14ac:dyDescent="0.2"/>
    <row r="490" s="2" customFormat="1" ht="13.5" customHeight="1" x14ac:dyDescent="0.2"/>
    <row r="491" s="2" customFormat="1" ht="13.5" customHeight="1" x14ac:dyDescent="0.2"/>
    <row r="492" s="2" customFormat="1" ht="13.5" customHeight="1" x14ac:dyDescent="0.2"/>
    <row r="493" s="2" customFormat="1" ht="13.5" customHeight="1" x14ac:dyDescent="0.2"/>
    <row r="494" s="2" customFormat="1" ht="13.5" customHeight="1" x14ac:dyDescent="0.2"/>
    <row r="495" s="2" customFormat="1" ht="13.5" customHeight="1" x14ac:dyDescent="0.2"/>
    <row r="496" s="2" customFormat="1" ht="13.5" customHeight="1" x14ac:dyDescent="0.2"/>
    <row r="497" s="2" customFormat="1" ht="13.5" customHeight="1" x14ac:dyDescent="0.2"/>
    <row r="498" s="2" customFormat="1" ht="13.5" customHeight="1" x14ac:dyDescent="0.2"/>
    <row r="499" s="2" customFormat="1" ht="13.5" customHeight="1" x14ac:dyDescent="0.2"/>
    <row r="500" s="2" customFormat="1" ht="13.5" customHeight="1" x14ac:dyDescent="0.2"/>
    <row r="501" s="2" customFormat="1" ht="13.5" customHeight="1" x14ac:dyDescent="0.2"/>
    <row r="502" s="2" customFormat="1" ht="13.5" customHeight="1" x14ac:dyDescent="0.2"/>
    <row r="503" s="2" customFormat="1" ht="13.5" customHeight="1" x14ac:dyDescent="0.2"/>
    <row r="504" s="2" customFormat="1" ht="13.5" customHeight="1" x14ac:dyDescent="0.2"/>
    <row r="505" s="2" customFormat="1" ht="13.5" customHeight="1" x14ac:dyDescent="0.2"/>
    <row r="506" s="2" customFormat="1" ht="13.5" customHeight="1" x14ac:dyDescent="0.2"/>
    <row r="507" s="2" customFormat="1" ht="13.5" customHeight="1" x14ac:dyDescent="0.2"/>
    <row r="508" s="2" customFormat="1" ht="13.5" customHeight="1" x14ac:dyDescent="0.2"/>
    <row r="509" s="2" customFormat="1" ht="13.5" customHeight="1" x14ac:dyDescent="0.2"/>
    <row r="510" s="2" customFormat="1" ht="13.5" customHeight="1" x14ac:dyDescent="0.2"/>
    <row r="511" s="2" customFormat="1" ht="13.5" customHeight="1" x14ac:dyDescent="0.2"/>
    <row r="512" s="2" customFormat="1" ht="13.5" customHeight="1" x14ac:dyDescent="0.2"/>
    <row r="513" s="2" customFormat="1" ht="13.5" customHeight="1" x14ac:dyDescent="0.2"/>
    <row r="514" s="2" customFormat="1" ht="13.5" customHeight="1" x14ac:dyDescent="0.2"/>
    <row r="515" s="2" customFormat="1" ht="13.5" customHeight="1" x14ac:dyDescent="0.2"/>
    <row r="516" s="2" customFormat="1" ht="13.5" customHeight="1" x14ac:dyDescent="0.2"/>
    <row r="517" s="2" customFormat="1" ht="13.5" customHeight="1" x14ac:dyDescent="0.2"/>
    <row r="518" s="2" customFormat="1" ht="13.5" customHeight="1" x14ac:dyDescent="0.2"/>
    <row r="519" s="2" customFormat="1" ht="13.5" customHeight="1" x14ac:dyDescent="0.2"/>
    <row r="520" s="2" customFormat="1" ht="13.5" customHeight="1" x14ac:dyDescent="0.2"/>
    <row r="521" s="2" customFormat="1" ht="13.5" customHeight="1" x14ac:dyDescent="0.2"/>
    <row r="522" s="2" customFormat="1" ht="13.5" customHeight="1" x14ac:dyDescent="0.2"/>
    <row r="523" s="2" customFormat="1" ht="13.5" customHeight="1" x14ac:dyDescent="0.2"/>
    <row r="524" s="2" customFormat="1" ht="13.5" customHeight="1" x14ac:dyDescent="0.2"/>
    <row r="525" s="2" customFormat="1" ht="13.5" customHeight="1" x14ac:dyDescent="0.2"/>
    <row r="526" s="2" customFormat="1" ht="13.5" customHeight="1" x14ac:dyDescent="0.2"/>
    <row r="527" s="2" customFormat="1" ht="13.5" customHeight="1" x14ac:dyDescent="0.2"/>
    <row r="528" s="2" customFormat="1" ht="13.5" customHeight="1" x14ac:dyDescent="0.2"/>
    <row r="529" s="2" customFormat="1" ht="13.5" customHeight="1" x14ac:dyDescent="0.2"/>
    <row r="530" s="2" customFormat="1" ht="13.5" customHeight="1" x14ac:dyDescent="0.2"/>
    <row r="531" s="2" customFormat="1" ht="13.5" customHeight="1" x14ac:dyDescent="0.2"/>
    <row r="532" s="2" customFormat="1" ht="13.5" customHeight="1" x14ac:dyDescent="0.2"/>
    <row r="533" s="2" customFormat="1" ht="13.5" customHeight="1" x14ac:dyDescent="0.2"/>
    <row r="534" s="2" customFormat="1" ht="13.5" customHeight="1" x14ac:dyDescent="0.2"/>
    <row r="535" s="2" customFormat="1" ht="13.5" customHeight="1" x14ac:dyDescent="0.2"/>
    <row r="536" s="2" customFormat="1" ht="13.5" customHeight="1" x14ac:dyDescent="0.2"/>
    <row r="537" s="2" customFormat="1" ht="13.5" customHeight="1" x14ac:dyDescent="0.2"/>
    <row r="538" s="2" customFormat="1" ht="13.5" customHeight="1" x14ac:dyDescent="0.2"/>
    <row r="539" s="2" customFormat="1" ht="13.5" customHeight="1" x14ac:dyDescent="0.2"/>
    <row r="540" s="2" customFormat="1" ht="13.5" customHeight="1" x14ac:dyDescent="0.2"/>
    <row r="541" s="2" customFormat="1" ht="13.5" customHeight="1" x14ac:dyDescent="0.2"/>
    <row r="542" s="2" customFormat="1" ht="13.5" customHeight="1" x14ac:dyDescent="0.2"/>
    <row r="543" s="2" customFormat="1" ht="13.5" customHeight="1" x14ac:dyDescent="0.2"/>
    <row r="544" s="2" customFormat="1" ht="13.5" customHeight="1" x14ac:dyDescent="0.2"/>
    <row r="545" s="2" customFormat="1" ht="13.5" customHeight="1" x14ac:dyDescent="0.2"/>
    <row r="546" s="2" customFormat="1" ht="13.5" customHeight="1" x14ac:dyDescent="0.2"/>
    <row r="547" s="2" customFormat="1" ht="13.5" customHeight="1" x14ac:dyDescent="0.2"/>
    <row r="548" s="2" customFormat="1" ht="13.5" customHeight="1" x14ac:dyDescent="0.2"/>
    <row r="549" s="2" customFormat="1" ht="13.5" customHeight="1" x14ac:dyDescent="0.2"/>
    <row r="550" s="2" customFormat="1" ht="13.5" customHeight="1" x14ac:dyDescent="0.2"/>
    <row r="551" s="2" customFormat="1" ht="13.5" customHeight="1" x14ac:dyDescent="0.2"/>
    <row r="552" s="2" customFormat="1" ht="13.5" customHeight="1" x14ac:dyDescent="0.2"/>
    <row r="553" s="2" customFormat="1" ht="13.5" customHeight="1" x14ac:dyDescent="0.2"/>
    <row r="554" s="2" customFormat="1" ht="13.5" customHeight="1" x14ac:dyDescent="0.2"/>
    <row r="555" s="2" customFormat="1" ht="13.5" customHeight="1" x14ac:dyDescent="0.2"/>
    <row r="556" s="2" customFormat="1" ht="13.5" customHeight="1" x14ac:dyDescent="0.2"/>
    <row r="557" s="2" customFormat="1" ht="13.5" customHeight="1" x14ac:dyDescent="0.2"/>
    <row r="558" s="2" customFormat="1" ht="13.5" customHeight="1" x14ac:dyDescent="0.2"/>
    <row r="559" s="2" customFormat="1" ht="13.5" customHeight="1" x14ac:dyDescent="0.2"/>
    <row r="560" s="2" customFormat="1" ht="13.5" customHeight="1" x14ac:dyDescent="0.2"/>
    <row r="561" s="2" customFormat="1" ht="13.5" customHeight="1" x14ac:dyDescent="0.2"/>
    <row r="562" s="2" customFormat="1" ht="13.5" customHeight="1" x14ac:dyDescent="0.2"/>
    <row r="563" s="2" customFormat="1" ht="13.5" customHeight="1" x14ac:dyDescent="0.2"/>
    <row r="564" s="2" customFormat="1" ht="13.5" customHeight="1" x14ac:dyDescent="0.2"/>
    <row r="565" s="2" customFormat="1" ht="13.5" customHeight="1" x14ac:dyDescent="0.2"/>
    <row r="566" s="2" customFormat="1" ht="13.5" customHeight="1" x14ac:dyDescent="0.2"/>
    <row r="567" s="2" customFormat="1" ht="13.5" customHeight="1" x14ac:dyDescent="0.2"/>
    <row r="568" s="2" customFormat="1" ht="13.5" customHeight="1" x14ac:dyDescent="0.2"/>
    <row r="569" s="2" customFormat="1" ht="13.5" customHeight="1" x14ac:dyDescent="0.2"/>
    <row r="570" s="2" customFormat="1" ht="13.5" customHeight="1" x14ac:dyDescent="0.2"/>
    <row r="571" s="2" customFormat="1" ht="13.5" customHeight="1" x14ac:dyDescent="0.2"/>
    <row r="572" s="2" customFormat="1" ht="13.5" customHeight="1" x14ac:dyDescent="0.2"/>
    <row r="573" s="2" customFormat="1" ht="13.5" customHeight="1" x14ac:dyDescent="0.2"/>
    <row r="574" s="2" customFormat="1" ht="13.5" customHeight="1" x14ac:dyDescent="0.2"/>
    <row r="575" s="2" customFormat="1" ht="13.5" customHeight="1" x14ac:dyDescent="0.2"/>
    <row r="576" s="2" customFormat="1" ht="13.5" customHeight="1" x14ac:dyDescent="0.2"/>
    <row r="577" s="2" customFormat="1" ht="13.5" customHeight="1" x14ac:dyDescent="0.2"/>
    <row r="578" s="2" customFormat="1" ht="13.5" customHeight="1" x14ac:dyDescent="0.2"/>
    <row r="579" s="2" customFormat="1" ht="13.5" customHeight="1" x14ac:dyDescent="0.2"/>
    <row r="580" s="2" customFormat="1" ht="13.5" customHeight="1" x14ac:dyDescent="0.2"/>
    <row r="581" s="2" customFormat="1" ht="13.5" customHeight="1" x14ac:dyDescent="0.2"/>
    <row r="582" s="2" customFormat="1" ht="13.5" customHeight="1" x14ac:dyDescent="0.2"/>
    <row r="583" s="2" customFormat="1" ht="13.5" customHeight="1" x14ac:dyDescent="0.2"/>
    <row r="584" s="2" customFormat="1" ht="13.5" customHeight="1" x14ac:dyDescent="0.2"/>
    <row r="585" s="2" customFormat="1" ht="13.5" customHeight="1" x14ac:dyDescent="0.2"/>
    <row r="586" s="2" customFormat="1" ht="13.5" customHeight="1" x14ac:dyDescent="0.2"/>
    <row r="587" s="2" customFormat="1" ht="13.5" customHeight="1" x14ac:dyDescent="0.2"/>
    <row r="588" s="2" customFormat="1" ht="13.5" customHeight="1" x14ac:dyDescent="0.2"/>
    <row r="589" s="2" customFormat="1" ht="13.5" customHeight="1" x14ac:dyDescent="0.2"/>
    <row r="590" s="2" customFormat="1" ht="13.5" customHeight="1" x14ac:dyDescent="0.2"/>
    <row r="591" s="2" customFormat="1" ht="13.5" customHeight="1" x14ac:dyDescent="0.2"/>
    <row r="592" s="2" customFormat="1" ht="13.5" customHeight="1" x14ac:dyDescent="0.2"/>
    <row r="593" s="2" customFormat="1" ht="13.5" customHeight="1" x14ac:dyDescent="0.2"/>
    <row r="594" s="2" customFormat="1" ht="13.5" customHeight="1" x14ac:dyDescent="0.2"/>
    <row r="595" s="2" customFormat="1" ht="13.5" customHeight="1" x14ac:dyDescent="0.2"/>
    <row r="596" s="2" customFormat="1" ht="13.5" customHeight="1" x14ac:dyDescent="0.2"/>
    <row r="597" s="2" customFormat="1" ht="13.5" customHeight="1" x14ac:dyDescent="0.2"/>
    <row r="598" s="2" customFormat="1" ht="13.5" customHeight="1" x14ac:dyDescent="0.2"/>
    <row r="599" s="2" customFormat="1" ht="13.5" customHeight="1" x14ac:dyDescent="0.2"/>
    <row r="600" s="2" customFormat="1" ht="13.5" customHeight="1" x14ac:dyDescent="0.2"/>
    <row r="601" s="2" customFormat="1" ht="13.5" customHeight="1" x14ac:dyDescent="0.2"/>
    <row r="602" s="2" customFormat="1" ht="13.5" customHeight="1" x14ac:dyDescent="0.2"/>
    <row r="603" s="2" customFormat="1" ht="13.5" customHeight="1" x14ac:dyDescent="0.2"/>
    <row r="604" s="2" customFormat="1" ht="13.5" customHeight="1" x14ac:dyDescent="0.2"/>
    <row r="605" s="2" customFormat="1" ht="13.5" customHeight="1" x14ac:dyDescent="0.2"/>
    <row r="606" s="2" customFormat="1" ht="13.5" customHeight="1" x14ac:dyDescent="0.2"/>
    <row r="607" s="2" customFormat="1" ht="13.5" customHeight="1" x14ac:dyDescent="0.2"/>
    <row r="608" s="2" customFormat="1" ht="13.5" customHeight="1" x14ac:dyDescent="0.2"/>
    <row r="609" s="2" customFormat="1" ht="13.5" customHeight="1" x14ac:dyDescent="0.2"/>
    <row r="610" s="2" customFormat="1" ht="13.5" customHeight="1" x14ac:dyDescent="0.2"/>
    <row r="611" s="2" customFormat="1" ht="13.5" customHeight="1" x14ac:dyDescent="0.2"/>
    <row r="612" s="2" customFormat="1" ht="13.5" customHeight="1" x14ac:dyDescent="0.2"/>
    <row r="613" s="2" customFormat="1" ht="13.5" customHeight="1" x14ac:dyDescent="0.2"/>
    <row r="614" s="2" customFormat="1" ht="13.5" customHeight="1" x14ac:dyDescent="0.2"/>
    <row r="615" s="2" customFormat="1" ht="13.5" customHeight="1" x14ac:dyDescent="0.2"/>
    <row r="616" s="2" customFormat="1" ht="13.5" customHeight="1" x14ac:dyDescent="0.2"/>
    <row r="617" s="2" customFormat="1" ht="13.5" customHeight="1" x14ac:dyDescent="0.2"/>
    <row r="618" s="2" customFormat="1" ht="13.5" customHeight="1" x14ac:dyDescent="0.2"/>
    <row r="619" s="2" customFormat="1" ht="13.5" customHeight="1" x14ac:dyDescent="0.2"/>
    <row r="620" s="2" customFormat="1" ht="13.5" customHeight="1" x14ac:dyDescent="0.2"/>
    <row r="621" s="2" customFormat="1" ht="13.5" customHeight="1" x14ac:dyDescent="0.2"/>
    <row r="622" s="2" customFormat="1" ht="13.5" customHeight="1" x14ac:dyDescent="0.2"/>
    <row r="623" s="2" customFormat="1" ht="13.5" customHeight="1" x14ac:dyDescent="0.2"/>
    <row r="624" s="2" customFormat="1" ht="13.5" customHeight="1" x14ac:dyDescent="0.2"/>
    <row r="625" s="2" customFormat="1" ht="13.5" customHeight="1" x14ac:dyDescent="0.2"/>
    <row r="626" s="2" customFormat="1" ht="13.5" customHeight="1" x14ac:dyDescent="0.2"/>
    <row r="627" s="2" customFormat="1" ht="13.5" customHeight="1" x14ac:dyDescent="0.2"/>
    <row r="628" s="2" customFormat="1" ht="13.5" customHeight="1" x14ac:dyDescent="0.2"/>
    <row r="629" s="2" customFormat="1" ht="13.5" customHeight="1" x14ac:dyDescent="0.2"/>
    <row r="630" s="2" customFormat="1" ht="13.5" customHeight="1" x14ac:dyDescent="0.2"/>
    <row r="631" s="2" customFormat="1" ht="13.5" customHeight="1" x14ac:dyDescent="0.2"/>
    <row r="632" s="2" customFormat="1" ht="13.5" customHeight="1" x14ac:dyDescent="0.2"/>
    <row r="633" s="2" customFormat="1" ht="13.5" customHeight="1" x14ac:dyDescent="0.2"/>
    <row r="634" s="2" customFormat="1" ht="13.5" customHeight="1" x14ac:dyDescent="0.2"/>
    <row r="635" s="2" customFormat="1" ht="13.5" customHeight="1" x14ac:dyDescent="0.2"/>
    <row r="636" s="2" customFormat="1" ht="13.5" customHeight="1" x14ac:dyDescent="0.2"/>
    <row r="637" s="2" customFormat="1" ht="13.5" customHeight="1" x14ac:dyDescent="0.2"/>
    <row r="638" s="2" customFormat="1" ht="13.5" customHeight="1" x14ac:dyDescent="0.2"/>
    <row r="639" s="2" customFormat="1" ht="13.5" customHeight="1" x14ac:dyDescent="0.2"/>
    <row r="640" s="2" customFormat="1" ht="13.5" customHeight="1" x14ac:dyDescent="0.2"/>
    <row r="641" s="2" customFormat="1" ht="13.5" customHeight="1" x14ac:dyDescent="0.2"/>
    <row r="642" s="2" customFormat="1" ht="13.5" customHeight="1" x14ac:dyDescent="0.2"/>
    <row r="643" s="2" customFormat="1" ht="13.5" customHeight="1" x14ac:dyDescent="0.2"/>
    <row r="644" s="2" customFormat="1" ht="13.5" customHeight="1" x14ac:dyDescent="0.2"/>
    <row r="645" s="2" customFormat="1" ht="13.5" customHeight="1" x14ac:dyDescent="0.2"/>
    <row r="646" s="2" customFormat="1" ht="13.5" customHeight="1" x14ac:dyDescent="0.2"/>
    <row r="647" s="2" customFormat="1" ht="13.5" customHeight="1" x14ac:dyDescent="0.2"/>
    <row r="648" s="2" customFormat="1" ht="13.5" customHeight="1" x14ac:dyDescent="0.2"/>
    <row r="649" s="2" customFormat="1" ht="13.5" customHeight="1" x14ac:dyDescent="0.2"/>
    <row r="650" s="2" customFormat="1" ht="13.5" customHeight="1" x14ac:dyDescent="0.2"/>
    <row r="651" s="2" customFormat="1" ht="13.5" customHeight="1" x14ac:dyDescent="0.2"/>
    <row r="652" s="2" customFormat="1" ht="13.5" customHeight="1" x14ac:dyDescent="0.2"/>
    <row r="653" s="2" customFormat="1" ht="13.5" customHeight="1" x14ac:dyDescent="0.2"/>
    <row r="654" s="2" customFormat="1" ht="13.5" customHeight="1" x14ac:dyDescent="0.2"/>
    <row r="655" s="2" customFormat="1" ht="13.5" customHeight="1" x14ac:dyDescent="0.2"/>
    <row r="656" s="2" customFormat="1" ht="13.5" customHeight="1" x14ac:dyDescent="0.2"/>
    <row r="657" s="2" customFormat="1" ht="13.5" customHeight="1" x14ac:dyDescent="0.2"/>
    <row r="658" s="2" customFormat="1" ht="13.5" customHeight="1" x14ac:dyDescent="0.2"/>
    <row r="659" s="2" customFormat="1" ht="13.5" customHeight="1" x14ac:dyDescent="0.2"/>
    <row r="660" s="2" customFormat="1" ht="13.5" customHeight="1" x14ac:dyDescent="0.2"/>
    <row r="661" s="2" customFormat="1" ht="13.5" customHeight="1" x14ac:dyDescent="0.2"/>
    <row r="662" s="2" customFormat="1" ht="13.5" customHeight="1" x14ac:dyDescent="0.2"/>
    <row r="663" s="2" customFormat="1" ht="13.5" customHeight="1" x14ac:dyDescent="0.2"/>
    <row r="664" s="2" customFormat="1" ht="13.5" customHeight="1" x14ac:dyDescent="0.2"/>
    <row r="665" s="2" customFormat="1" ht="13.5" customHeight="1" x14ac:dyDescent="0.2"/>
    <row r="666" s="2" customFormat="1" ht="13.5" customHeight="1" x14ac:dyDescent="0.2"/>
    <row r="667" s="2" customFormat="1" ht="13.5" customHeight="1" x14ac:dyDescent="0.2"/>
    <row r="668" s="2" customFormat="1" ht="13.5" customHeight="1" x14ac:dyDescent="0.2"/>
    <row r="669" s="2" customFormat="1" ht="13.5" customHeight="1" x14ac:dyDescent="0.2"/>
    <row r="670" s="2" customFormat="1" ht="13.5" customHeight="1" x14ac:dyDescent="0.2"/>
    <row r="671" s="2" customFormat="1" ht="13.5" customHeight="1" x14ac:dyDescent="0.2"/>
    <row r="672" s="2" customFormat="1" ht="13.5" customHeight="1" x14ac:dyDescent="0.2"/>
    <row r="673" s="2" customFormat="1" ht="13.5" customHeight="1" x14ac:dyDescent="0.2"/>
    <row r="674" s="2" customFormat="1" ht="13.5" customHeight="1" x14ac:dyDescent="0.2"/>
    <row r="675" s="2" customFormat="1" ht="13.5" customHeight="1" x14ac:dyDescent="0.2"/>
    <row r="676" s="2" customFormat="1" ht="13.5" customHeight="1" x14ac:dyDescent="0.2"/>
    <row r="677" s="2" customFormat="1" ht="13.5" customHeight="1" x14ac:dyDescent="0.2"/>
    <row r="678" s="2" customFormat="1" ht="13.5" customHeight="1" x14ac:dyDescent="0.2"/>
    <row r="679" s="2" customFormat="1" ht="13.5" customHeight="1" x14ac:dyDescent="0.2"/>
    <row r="680" s="2" customFormat="1" ht="13.5" customHeight="1" x14ac:dyDescent="0.2"/>
    <row r="681" s="2" customFormat="1" ht="13.5" customHeight="1" x14ac:dyDescent="0.2"/>
    <row r="682" s="2" customFormat="1" ht="13.5" customHeight="1" x14ac:dyDescent="0.2"/>
    <row r="683" s="2" customFormat="1" ht="13.5" customHeight="1" x14ac:dyDescent="0.2"/>
    <row r="684" s="2" customFormat="1" ht="13.5" customHeight="1" x14ac:dyDescent="0.2"/>
    <row r="685" s="2" customFormat="1" ht="13.5" customHeight="1" x14ac:dyDescent="0.2"/>
    <row r="686" s="2" customFormat="1" ht="13.5" customHeight="1" x14ac:dyDescent="0.2"/>
    <row r="687" s="2" customFormat="1" ht="13.5" customHeight="1" x14ac:dyDescent="0.2"/>
    <row r="688" s="2" customFormat="1" ht="13.5" customHeight="1" x14ac:dyDescent="0.2"/>
    <row r="689" s="2" customFormat="1" ht="13.5" customHeight="1" x14ac:dyDescent="0.2"/>
    <row r="690" s="2" customFormat="1" ht="13.5" customHeight="1" x14ac:dyDescent="0.2"/>
    <row r="691" s="2" customFormat="1" ht="13.5" customHeight="1" x14ac:dyDescent="0.2"/>
    <row r="692" s="2" customFormat="1" ht="13.5" customHeight="1" x14ac:dyDescent="0.2"/>
    <row r="693" s="2" customFormat="1" ht="13.5" customHeight="1" x14ac:dyDescent="0.2"/>
    <row r="694" s="2" customFormat="1" ht="13.5" customHeight="1" x14ac:dyDescent="0.2"/>
    <row r="695" s="2" customFormat="1" ht="13.5" customHeight="1" x14ac:dyDescent="0.2"/>
    <row r="696" s="2" customFormat="1" ht="13.5" customHeight="1" x14ac:dyDescent="0.2"/>
    <row r="697" s="2" customFormat="1" ht="13.5" customHeight="1" x14ac:dyDescent="0.2"/>
    <row r="698" s="2" customFormat="1" ht="13.5" customHeight="1" x14ac:dyDescent="0.2"/>
    <row r="699" s="2" customFormat="1" ht="13.5" customHeight="1" x14ac:dyDescent="0.2"/>
    <row r="700" s="2" customFormat="1" ht="13.5" customHeight="1" x14ac:dyDescent="0.2"/>
    <row r="701" s="2" customFormat="1" ht="13.5" customHeight="1" x14ac:dyDescent="0.2"/>
    <row r="702" s="2" customFormat="1" ht="13.5" customHeight="1" x14ac:dyDescent="0.2"/>
    <row r="703" s="2" customFormat="1" ht="13.5" customHeight="1" x14ac:dyDescent="0.2"/>
    <row r="704" s="2" customFormat="1" ht="13.5" customHeight="1" x14ac:dyDescent="0.2"/>
    <row r="705" s="2" customFormat="1" ht="13.5" customHeight="1" x14ac:dyDescent="0.2"/>
    <row r="706" s="2" customFormat="1" ht="13.5" customHeight="1" x14ac:dyDescent="0.2"/>
    <row r="707" s="2" customFormat="1" ht="13.5" customHeight="1" x14ac:dyDescent="0.2"/>
    <row r="708" s="2" customFormat="1" ht="13.5" customHeight="1" x14ac:dyDescent="0.2"/>
    <row r="709" s="2" customFormat="1" ht="13.5" customHeight="1" x14ac:dyDescent="0.2"/>
    <row r="710" s="2" customFormat="1" ht="13.5" customHeight="1" x14ac:dyDescent="0.2"/>
    <row r="711" s="2" customFormat="1" ht="13.5" customHeight="1" x14ac:dyDescent="0.2"/>
    <row r="712" s="2" customFormat="1" ht="13.5" customHeight="1" x14ac:dyDescent="0.2"/>
    <row r="713" s="2" customFormat="1" ht="13.5" customHeight="1" x14ac:dyDescent="0.2"/>
    <row r="714" s="2" customFormat="1" ht="13.5" customHeight="1" x14ac:dyDescent="0.2"/>
    <row r="715" s="2" customFormat="1" ht="13.5" customHeight="1" x14ac:dyDescent="0.2"/>
    <row r="716" s="2" customFormat="1" ht="13.5" customHeight="1" x14ac:dyDescent="0.2"/>
    <row r="717" s="2" customFormat="1" ht="13.5" customHeight="1" x14ac:dyDescent="0.2"/>
    <row r="718" s="2" customFormat="1" ht="13.5" customHeight="1" x14ac:dyDescent="0.2"/>
    <row r="719" s="2" customFormat="1" ht="13.5" customHeight="1" x14ac:dyDescent="0.2"/>
    <row r="720" s="2" customFormat="1" ht="13.5" customHeight="1" x14ac:dyDescent="0.2"/>
    <row r="721" s="2" customFormat="1" ht="13.5" customHeight="1" x14ac:dyDescent="0.2"/>
    <row r="722" s="2" customFormat="1" ht="13.5" customHeight="1" x14ac:dyDescent="0.2"/>
    <row r="723" s="2" customFormat="1" ht="13.5" customHeight="1" x14ac:dyDescent="0.2"/>
    <row r="724" s="2" customFormat="1" ht="13.5" customHeight="1" x14ac:dyDescent="0.2"/>
    <row r="725" s="2" customFormat="1" ht="13.5" customHeight="1" x14ac:dyDescent="0.2"/>
    <row r="726" s="2" customFormat="1" ht="13.5" customHeight="1" x14ac:dyDescent="0.2"/>
    <row r="727" s="2" customFormat="1" ht="13.5" customHeight="1" x14ac:dyDescent="0.2"/>
    <row r="728" s="2" customFormat="1" ht="13.5" customHeight="1" x14ac:dyDescent="0.2"/>
    <row r="729" s="2" customFormat="1" ht="13.5" customHeight="1" x14ac:dyDescent="0.2"/>
    <row r="730" s="2" customFormat="1" ht="13.5" customHeight="1" x14ac:dyDescent="0.2"/>
    <row r="731" s="2" customFormat="1" ht="13.5" customHeight="1" x14ac:dyDescent="0.2"/>
    <row r="732" s="2" customFormat="1" ht="13.5" customHeight="1" x14ac:dyDescent="0.2"/>
    <row r="733" s="2" customFormat="1" ht="13.5" customHeight="1" x14ac:dyDescent="0.2"/>
    <row r="734" s="2" customFormat="1" ht="13.5" customHeight="1" x14ac:dyDescent="0.2"/>
    <row r="735" s="2" customFormat="1" ht="13.5" customHeight="1" x14ac:dyDescent="0.2"/>
    <row r="736" s="2" customFormat="1" ht="13.5" customHeight="1" x14ac:dyDescent="0.2"/>
    <row r="737" s="2" customFormat="1" ht="13.5" customHeight="1" x14ac:dyDescent="0.2"/>
    <row r="738" s="2" customFormat="1" ht="13.5" customHeight="1" x14ac:dyDescent="0.2"/>
    <row r="739" s="2" customFormat="1" ht="13.5" customHeight="1" x14ac:dyDescent="0.2"/>
    <row r="740" s="2" customFormat="1" ht="13.5" customHeight="1" x14ac:dyDescent="0.2"/>
    <row r="741" s="2" customFormat="1" ht="13.5" customHeight="1" x14ac:dyDescent="0.2"/>
    <row r="742" s="2" customFormat="1" ht="13.5" customHeight="1" x14ac:dyDescent="0.2"/>
    <row r="743" s="2" customFormat="1" ht="13.5" customHeight="1" x14ac:dyDescent="0.2"/>
    <row r="744" s="2" customFormat="1" ht="13.5" customHeight="1" x14ac:dyDescent="0.2"/>
    <row r="745" s="2" customFormat="1" ht="13.5" customHeight="1" x14ac:dyDescent="0.2"/>
    <row r="746" s="2" customFormat="1" ht="13.5" customHeight="1" x14ac:dyDescent="0.2"/>
    <row r="747" s="2" customFormat="1" ht="13.5" customHeight="1" x14ac:dyDescent="0.2"/>
    <row r="748" s="2" customFormat="1" ht="13.5" customHeight="1" x14ac:dyDescent="0.2"/>
    <row r="749" s="2" customFormat="1" ht="13.5" customHeight="1" x14ac:dyDescent="0.2"/>
    <row r="750" s="2" customFormat="1" ht="13.5" customHeight="1" x14ac:dyDescent="0.2"/>
    <row r="751" s="2" customFormat="1" ht="13.5" customHeight="1" x14ac:dyDescent="0.2"/>
    <row r="752" s="2" customFormat="1" ht="13.5" customHeight="1" x14ac:dyDescent="0.2"/>
    <row r="753" s="2" customFormat="1" ht="13.5" customHeight="1" x14ac:dyDescent="0.2"/>
    <row r="754" s="2" customFormat="1" ht="13.5" customHeight="1" x14ac:dyDescent="0.2"/>
    <row r="755" s="2" customFormat="1" ht="13.5" customHeight="1" x14ac:dyDescent="0.2"/>
    <row r="756" s="2" customFormat="1" ht="13.5" customHeight="1" x14ac:dyDescent="0.2"/>
    <row r="757" s="2" customFormat="1" ht="13.5" customHeight="1" x14ac:dyDescent="0.2"/>
    <row r="758" s="2" customFormat="1" ht="13.5" customHeight="1" x14ac:dyDescent="0.2"/>
    <row r="759" s="2" customFormat="1" ht="13.5" customHeight="1" x14ac:dyDescent="0.2"/>
    <row r="760" s="2" customFormat="1" ht="13.5" customHeight="1" x14ac:dyDescent="0.2"/>
    <row r="761" s="2" customFormat="1" ht="13.5" customHeight="1" x14ac:dyDescent="0.2"/>
    <row r="762" s="2" customFormat="1" ht="13.5" customHeight="1" x14ac:dyDescent="0.2"/>
    <row r="763" s="2" customFormat="1" ht="13.5" customHeight="1" x14ac:dyDescent="0.2"/>
    <row r="764" s="2" customFormat="1" ht="13.5" customHeight="1" x14ac:dyDescent="0.2"/>
    <row r="765" s="2" customFormat="1" ht="13.5" customHeight="1" x14ac:dyDescent="0.2"/>
    <row r="766" s="2" customFormat="1" ht="13.5" customHeight="1" x14ac:dyDescent="0.2"/>
    <row r="767" s="2" customFormat="1" ht="13.5" customHeight="1" x14ac:dyDescent="0.2"/>
    <row r="768" s="2" customFormat="1" ht="13.5" customHeight="1" x14ac:dyDescent="0.2"/>
    <row r="769" s="2" customFormat="1" ht="13.5" customHeight="1" x14ac:dyDescent="0.2"/>
    <row r="770" s="2" customFormat="1" ht="13.5" customHeight="1" x14ac:dyDescent="0.2"/>
    <row r="771" s="2" customFormat="1" ht="13.5" customHeight="1" x14ac:dyDescent="0.2"/>
    <row r="772" s="2" customFormat="1" ht="13.5" customHeight="1" x14ac:dyDescent="0.2"/>
    <row r="773" s="2" customFormat="1" ht="13.5" customHeight="1" x14ac:dyDescent="0.2"/>
    <row r="774" s="2" customFormat="1" ht="13.5" customHeight="1" x14ac:dyDescent="0.2"/>
    <row r="775" s="2" customFormat="1" ht="13.5" customHeight="1" x14ac:dyDescent="0.2"/>
    <row r="776" s="2" customFormat="1" ht="13.5" customHeight="1" x14ac:dyDescent="0.2"/>
    <row r="777" s="2" customFormat="1" ht="13.5" customHeight="1" x14ac:dyDescent="0.2"/>
    <row r="778" s="2" customFormat="1" ht="13.5" customHeight="1" x14ac:dyDescent="0.2"/>
    <row r="779" s="2" customFormat="1" ht="13.5" customHeight="1" x14ac:dyDescent="0.2"/>
    <row r="780" s="2" customFormat="1" ht="13.5" customHeight="1" x14ac:dyDescent="0.2"/>
    <row r="781" s="2" customFormat="1" ht="13.5" customHeight="1" x14ac:dyDescent="0.2"/>
    <row r="782" s="2" customFormat="1" ht="13.5" customHeight="1" x14ac:dyDescent="0.2"/>
    <row r="783" s="2" customFormat="1" ht="13.5" customHeight="1" x14ac:dyDescent="0.2"/>
    <row r="784" s="2" customFormat="1" ht="13.5" customHeight="1" x14ac:dyDescent="0.2"/>
    <row r="785" s="2" customFormat="1" ht="13.5" customHeight="1" x14ac:dyDescent="0.2"/>
    <row r="786" s="2" customFormat="1" ht="13.5" customHeight="1" x14ac:dyDescent="0.2"/>
    <row r="787" s="2" customFormat="1" ht="13.5" customHeight="1" x14ac:dyDescent="0.2"/>
    <row r="788" s="2" customFormat="1" ht="13.5" customHeight="1" x14ac:dyDescent="0.2"/>
    <row r="789" s="2" customFormat="1" ht="13.5" customHeight="1" x14ac:dyDescent="0.2"/>
    <row r="790" s="2" customFormat="1" ht="13.5" customHeight="1" x14ac:dyDescent="0.2"/>
    <row r="791" s="2" customFormat="1" ht="13.5" customHeight="1" x14ac:dyDescent="0.2"/>
    <row r="792" s="2" customFormat="1" ht="13.5" customHeight="1" x14ac:dyDescent="0.2"/>
    <row r="793" s="2" customFormat="1" ht="13.5" customHeight="1" x14ac:dyDescent="0.2"/>
    <row r="794" s="2" customFormat="1" ht="13.5" customHeight="1" x14ac:dyDescent="0.2"/>
    <row r="795" s="2" customFormat="1" ht="13.5" customHeight="1" x14ac:dyDescent="0.2"/>
    <row r="796" s="2" customFormat="1" ht="13.5" customHeight="1" x14ac:dyDescent="0.2"/>
    <row r="797" s="2" customFormat="1" ht="13.5" customHeight="1" x14ac:dyDescent="0.2"/>
    <row r="798" s="2" customFormat="1" ht="13.5" customHeight="1" x14ac:dyDescent="0.2"/>
    <row r="799" s="2" customFormat="1" ht="13.5" customHeight="1" x14ac:dyDescent="0.2"/>
    <row r="800" s="2" customFormat="1" ht="13.5" customHeight="1" x14ac:dyDescent="0.2"/>
    <row r="801" s="2" customFormat="1" ht="13.5" customHeight="1" x14ac:dyDescent="0.2"/>
    <row r="802" s="2" customFormat="1" ht="13.5" customHeight="1" x14ac:dyDescent="0.2"/>
    <row r="803" s="2" customFormat="1" ht="13.5" customHeight="1" x14ac:dyDescent="0.2"/>
    <row r="804" s="2" customFormat="1" ht="13.5" customHeight="1" x14ac:dyDescent="0.2"/>
    <row r="805" s="2" customFormat="1" ht="13.5" customHeight="1" x14ac:dyDescent="0.2"/>
    <row r="806" s="2" customFormat="1" ht="13.5" customHeight="1" x14ac:dyDescent="0.2"/>
    <row r="807" s="2" customFormat="1" ht="13.5" customHeight="1" x14ac:dyDescent="0.2"/>
    <row r="808" s="2" customFormat="1" ht="13.5" customHeight="1" x14ac:dyDescent="0.2"/>
    <row r="809" s="2" customFormat="1" ht="13.5" customHeight="1" x14ac:dyDescent="0.2"/>
    <row r="810" s="2" customFormat="1" ht="13.5" customHeight="1" x14ac:dyDescent="0.2"/>
    <row r="811" s="2" customFormat="1" ht="13.5" customHeight="1" x14ac:dyDescent="0.2"/>
    <row r="812" s="2" customFormat="1" ht="13.5" customHeight="1" x14ac:dyDescent="0.2"/>
    <row r="813" s="2" customFormat="1" ht="13.5" customHeight="1" x14ac:dyDescent="0.2"/>
    <row r="814" s="2" customFormat="1" ht="13.5" customHeight="1" x14ac:dyDescent="0.2"/>
    <row r="815" s="2" customFormat="1" ht="13.5" customHeight="1" x14ac:dyDescent="0.2"/>
    <row r="816" s="2" customFormat="1" ht="13.5" customHeight="1" x14ac:dyDescent="0.2"/>
    <row r="817" s="2" customFormat="1" ht="13.5" customHeight="1" x14ac:dyDescent="0.2"/>
    <row r="818" s="2" customFormat="1" ht="13.5" customHeight="1" x14ac:dyDescent="0.2"/>
    <row r="819" s="2" customFormat="1" ht="13.5" customHeight="1" x14ac:dyDescent="0.2"/>
    <row r="820" s="2" customFormat="1" ht="13.5" customHeight="1" x14ac:dyDescent="0.2"/>
    <row r="821" s="2" customFormat="1" ht="13.5" customHeight="1" x14ac:dyDescent="0.2"/>
    <row r="822" s="2" customFormat="1" ht="13.5" customHeight="1" x14ac:dyDescent="0.2"/>
    <row r="823" s="2" customFormat="1" ht="13.5" customHeight="1" x14ac:dyDescent="0.2"/>
    <row r="824" s="2" customFormat="1" ht="13.5" customHeight="1" x14ac:dyDescent="0.2"/>
    <row r="825" s="2" customFormat="1" ht="13.5" customHeight="1" x14ac:dyDescent="0.2"/>
    <row r="826" s="2" customFormat="1" ht="13.5" customHeight="1" x14ac:dyDescent="0.2"/>
    <row r="827" s="2" customFormat="1" ht="13.5" customHeight="1" x14ac:dyDescent="0.2"/>
    <row r="828" s="2" customFormat="1" ht="13.5" customHeight="1" x14ac:dyDescent="0.2"/>
    <row r="829" s="2" customFormat="1" ht="13.5" customHeight="1" x14ac:dyDescent="0.2"/>
    <row r="830" s="2" customFormat="1" ht="13.5" customHeight="1" x14ac:dyDescent="0.2"/>
    <row r="831" s="2" customFormat="1" ht="13.5" customHeight="1" x14ac:dyDescent="0.2"/>
    <row r="832" s="2" customFormat="1" ht="13.5" customHeight="1" x14ac:dyDescent="0.2"/>
    <row r="833" s="2" customFormat="1" ht="13.5" customHeight="1" x14ac:dyDescent="0.2"/>
    <row r="834" s="2" customFormat="1" ht="13.5" customHeight="1" x14ac:dyDescent="0.2"/>
    <row r="835" s="2" customFormat="1" ht="13.5" customHeight="1" x14ac:dyDescent="0.2"/>
    <row r="836" s="2" customFormat="1" ht="13.5" customHeight="1" x14ac:dyDescent="0.2"/>
    <row r="837" s="2" customFormat="1" ht="13.5" customHeight="1" x14ac:dyDescent="0.2"/>
    <row r="838" s="2" customFormat="1" ht="13.5" customHeight="1" x14ac:dyDescent="0.2"/>
    <row r="839" s="2" customFormat="1" ht="13.5" customHeight="1" x14ac:dyDescent="0.2"/>
    <row r="840" s="2" customFormat="1" ht="13.5" customHeight="1" x14ac:dyDescent="0.2"/>
    <row r="841" s="2" customFormat="1" ht="13.5" customHeight="1" x14ac:dyDescent="0.2"/>
    <row r="842" s="2" customFormat="1" ht="13.5" customHeight="1" x14ac:dyDescent="0.2"/>
    <row r="843" s="2" customFormat="1" ht="13.5" customHeight="1" x14ac:dyDescent="0.2"/>
    <row r="844" s="2" customFormat="1" ht="13.5" customHeight="1" x14ac:dyDescent="0.2"/>
    <row r="845" s="2" customFormat="1" ht="13.5" customHeight="1" x14ac:dyDescent="0.2"/>
    <row r="846" s="2" customFormat="1" ht="13.5" customHeight="1" x14ac:dyDescent="0.2"/>
    <row r="847" s="2" customFormat="1" ht="13.5" customHeight="1" x14ac:dyDescent="0.2"/>
    <row r="848" s="2" customFormat="1" ht="13.5" customHeight="1" x14ac:dyDescent="0.2"/>
    <row r="849" s="2" customFormat="1" ht="13.5" customHeight="1" x14ac:dyDescent="0.2"/>
    <row r="850" s="2" customFormat="1" ht="13.5" customHeight="1" x14ac:dyDescent="0.2"/>
    <row r="851" s="2" customFormat="1" ht="13.5" customHeight="1" x14ac:dyDescent="0.2"/>
    <row r="852" s="2" customFormat="1" ht="13.5" customHeight="1" x14ac:dyDescent="0.2"/>
    <row r="853" s="2" customFormat="1" ht="13.5" customHeight="1" x14ac:dyDescent="0.2"/>
    <row r="854" s="2" customFormat="1" ht="13.5" customHeight="1" x14ac:dyDescent="0.2"/>
    <row r="855" s="2" customFormat="1" ht="13.5" customHeight="1" x14ac:dyDescent="0.2"/>
    <row r="856" s="2" customFormat="1" ht="13.5" customHeight="1" x14ac:dyDescent="0.2"/>
    <row r="857" s="2" customFormat="1" ht="13.5" customHeight="1" x14ac:dyDescent="0.2"/>
    <row r="858" s="2" customFormat="1" ht="13.5" customHeight="1" x14ac:dyDescent="0.2"/>
    <row r="859" s="2" customFormat="1" ht="13.5" customHeight="1" x14ac:dyDescent="0.2"/>
    <row r="860" s="2" customFormat="1" ht="13.5" customHeight="1" x14ac:dyDescent="0.2"/>
    <row r="861" s="2" customFormat="1" ht="13.5" customHeight="1" x14ac:dyDescent="0.2"/>
    <row r="862" s="2" customFormat="1" ht="13.5" customHeight="1" x14ac:dyDescent="0.2"/>
    <row r="863" s="2" customFormat="1" ht="13.5" customHeight="1" x14ac:dyDescent="0.2"/>
    <row r="864" s="2" customFormat="1" ht="13.5" customHeight="1" x14ac:dyDescent="0.2"/>
    <row r="865" s="2" customFormat="1" ht="13.5" customHeight="1" x14ac:dyDescent="0.2"/>
    <row r="866" s="2" customFormat="1" ht="13.5" customHeight="1" x14ac:dyDescent="0.2"/>
    <row r="867" s="2" customFormat="1" ht="13.5" customHeight="1" x14ac:dyDescent="0.2"/>
    <row r="868" s="2" customFormat="1" ht="13.5" customHeight="1" x14ac:dyDescent="0.2"/>
    <row r="869" s="2" customFormat="1" ht="13.5" customHeight="1" x14ac:dyDescent="0.2"/>
    <row r="870" s="2" customFormat="1" ht="13.5" customHeight="1" x14ac:dyDescent="0.2"/>
    <row r="871" s="2" customFormat="1" ht="13.5" customHeight="1" x14ac:dyDescent="0.2"/>
    <row r="872" s="2" customFormat="1" ht="13.5" customHeight="1" x14ac:dyDescent="0.2"/>
    <row r="873" s="2" customFormat="1" ht="13.5" customHeight="1" x14ac:dyDescent="0.2"/>
    <row r="874" s="2" customFormat="1" ht="13.5" customHeight="1" x14ac:dyDescent="0.2"/>
    <row r="875" s="2" customFormat="1" ht="13.5" customHeight="1" x14ac:dyDescent="0.2"/>
    <row r="876" s="2" customFormat="1" ht="13.5" customHeight="1" x14ac:dyDescent="0.2"/>
    <row r="877" s="2" customFormat="1" ht="13.5" customHeight="1" x14ac:dyDescent="0.2"/>
    <row r="878" s="2" customFormat="1" ht="13.5" customHeight="1" x14ac:dyDescent="0.2"/>
    <row r="879" s="2" customFormat="1" ht="13.5" customHeight="1" x14ac:dyDescent="0.2"/>
    <row r="880" s="2" customFormat="1" ht="13.5" customHeight="1" x14ac:dyDescent="0.2"/>
    <row r="881" s="2" customFormat="1" ht="13.5" customHeight="1" x14ac:dyDescent="0.2"/>
    <row r="882" s="2" customFormat="1" ht="13.5" customHeight="1" x14ac:dyDescent="0.2"/>
    <row r="883" s="2" customFormat="1" ht="13.5" customHeight="1" x14ac:dyDescent="0.2"/>
    <row r="884" s="2" customFormat="1" ht="13.5" customHeight="1" x14ac:dyDescent="0.2"/>
    <row r="885" s="2" customFormat="1" ht="13.5" customHeight="1" x14ac:dyDescent="0.2"/>
    <row r="886" s="2" customFormat="1" ht="13.5" customHeight="1" x14ac:dyDescent="0.2"/>
    <row r="887" s="2" customFormat="1" ht="13.5" customHeight="1" x14ac:dyDescent="0.2"/>
    <row r="888" s="2" customFormat="1" ht="13.5" customHeight="1" x14ac:dyDescent="0.2"/>
    <row r="889" s="2" customFormat="1" ht="13.5" customHeight="1" x14ac:dyDescent="0.2"/>
    <row r="890" s="2" customFormat="1" ht="13.5" customHeight="1" x14ac:dyDescent="0.2"/>
    <row r="891" s="2" customFormat="1" ht="13.5" customHeight="1" x14ac:dyDescent="0.2"/>
    <row r="892" s="2" customFormat="1" ht="13.5" customHeight="1" x14ac:dyDescent="0.2"/>
    <row r="893" s="2" customFormat="1" ht="13.5" customHeight="1" x14ac:dyDescent="0.2"/>
    <row r="894" s="2" customFormat="1" ht="13.5" customHeight="1" x14ac:dyDescent="0.2"/>
    <row r="895" s="2" customFormat="1" ht="13.5" customHeight="1" x14ac:dyDescent="0.2"/>
    <row r="896" s="2" customFormat="1" ht="13.5" customHeight="1" x14ac:dyDescent="0.2"/>
    <row r="897" s="2" customFormat="1" ht="13.5" customHeight="1" x14ac:dyDescent="0.2"/>
    <row r="898" s="2" customFormat="1" ht="13.5" customHeight="1" x14ac:dyDescent="0.2"/>
    <row r="899" s="2" customFormat="1" ht="13.5" customHeight="1" x14ac:dyDescent="0.2"/>
    <row r="900" s="2" customFormat="1" ht="13.5" customHeight="1" x14ac:dyDescent="0.2"/>
    <row r="901" s="2" customFormat="1" ht="13.5" customHeight="1" x14ac:dyDescent="0.2"/>
    <row r="902" s="2" customFormat="1" ht="13.5" customHeight="1" x14ac:dyDescent="0.2"/>
    <row r="903" s="2" customFormat="1" ht="13.5" customHeight="1" x14ac:dyDescent="0.2"/>
    <row r="904" s="2" customFormat="1" ht="13.5" customHeight="1" x14ac:dyDescent="0.2"/>
    <row r="905" s="2" customFormat="1" ht="13.5" customHeight="1" x14ac:dyDescent="0.2"/>
    <row r="906" s="2" customFormat="1" ht="13.5" customHeight="1" x14ac:dyDescent="0.2"/>
    <row r="907" s="2" customFormat="1" ht="13.5" customHeight="1" x14ac:dyDescent="0.2"/>
    <row r="908" s="2" customFormat="1" ht="13.5" customHeight="1" x14ac:dyDescent="0.2"/>
    <row r="909" s="2" customFormat="1" ht="13.5" customHeight="1" x14ac:dyDescent="0.2"/>
    <row r="910" s="2" customFormat="1" ht="13.5" customHeight="1" x14ac:dyDescent="0.2"/>
    <row r="911" s="2" customFormat="1" ht="13.5" customHeight="1" x14ac:dyDescent="0.2"/>
    <row r="912" s="2" customFormat="1" ht="13.5" customHeight="1" x14ac:dyDescent="0.2"/>
    <row r="913" s="2" customFormat="1" ht="13.5" customHeight="1" x14ac:dyDescent="0.2"/>
    <row r="914" s="2" customFormat="1" ht="13.5" customHeight="1" x14ac:dyDescent="0.2"/>
    <row r="915" s="2" customFormat="1" ht="13.5" customHeight="1" x14ac:dyDescent="0.2"/>
    <row r="916" s="2" customFormat="1" ht="13.5" customHeight="1" x14ac:dyDescent="0.2"/>
    <row r="917" s="2" customFormat="1" ht="13.5" customHeight="1" x14ac:dyDescent="0.2"/>
    <row r="918" s="2" customFormat="1" ht="13.5" customHeight="1" x14ac:dyDescent="0.2"/>
    <row r="919" s="2" customFormat="1" ht="13.5" customHeight="1" x14ac:dyDescent="0.2"/>
    <row r="920" s="2" customFormat="1" ht="13.5" customHeight="1" x14ac:dyDescent="0.2"/>
    <row r="921" s="2" customFormat="1" ht="13.5" customHeight="1" x14ac:dyDescent="0.2"/>
    <row r="922" s="2" customFormat="1" ht="13.5" customHeight="1" x14ac:dyDescent="0.2"/>
    <row r="923" s="2" customFormat="1" ht="13.5" customHeight="1" x14ac:dyDescent="0.2"/>
    <row r="924" s="2" customFormat="1" ht="13.5" customHeight="1" x14ac:dyDescent="0.2"/>
    <row r="925" s="2" customFormat="1" ht="13.5" customHeight="1" x14ac:dyDescent="0.2"/>
    <row r="926" s="2" customFormat="1" ht="13.5" customHeight="1" x14ac:dyDescent="0.2"/>
    <row r="927" s="2" customFormat="1" ht="13.5" customHeight="1" x14ac:dyDescent="0.2"/>
    <row r="928" s="2" customFormat="1" ht="13.5" customHeight="1" x14ac:dyDescent="0.2"/>
    <row r="929" s="2" customFormat="1" ht="13.5" customHeight="1" x14ac:dyDescent="0.2"/>
    <row r="930" s="2" customFormat="1" ht="13.5" customHeight="1" x14ac:dyDescent="0.2"/>
    <row r="931" s="2" customFormat="1" ht="13.5" customHeight="1" x14ac:dyDescent="0.2"/>
    <row r="932" s="2" customFormat="1" ht="13.5" customHeight="1" x14ac:dyDescent="0.2"/>
    <row r="933" s="2" customFormat="1" ht="13.5" customHeight="1" x14ac:dyDescent="0.2"/>
    <row r="934" s="2" customFormat="1" ht="13.5" customHeight="1" x14ac:dyDescent="0.2"/>
    <row r="935" s="2" customFormat="1" ht="13.5" customHeight="1" x14ac:dyDescent="0.2"/>
    <row r="936" s="2" customFormat="1" ht="13.5" customHeight="1" x14ac:dyDescent="0.2"/>
    <row r="937" s="2" customFormat="1" ht="13.5" customHeight="1" x14ac:dyDescent="0.2"/>
    <row r="938" s="2" customFormat="1" ht="13.5" customHeight="1" x14ac:dyDescent="0.2"/>
    <row r="939" s="2" customFormat="1" ht="13.5" customHeight="1" x14ac:dyDescent="0.2"/>
    <row r="940" s="2" customFormat="1" ht="13.5" customHeight="1" x14ac:dyDescent="0.2"/>
    <row r="941" s="2" customFormat="1" ht="13.5" customHeight="1" x14ac:dyDescent="0.2"/>
    <row r="942" s="2" customFormat="1" ht="13.5" customHeight="1" x14ac:dyDescent="0.2"/>
    <row r="943" s="2" customFormat="1" ht="13.5" customHeight="1" x14ac:dyDescent="0.2"/>
    <row r="944" s="2" customFormat="1" ht="13.5" customHeight="1" x14ac:dyDescent="0.2"/>
    <row r="945" s="2" customFormat="1" ht="13.5" customHeight="1" x14ac:dyDescent="0.2"/>
    <row r="946" s="2" customFormat="1" ht="13.5" customHeight="1" x14ac:dyDescent="0.2"/>
    <row r="947" s="2" customFormat="1" ht="13.5" customHeight="1" x14ac:dyDescent="0.2"/>
    <row r="948" s="2" customFormat="1" ht="13.5" customHeight="1" x14ac:dyDescent="0.2"/>
    <row r="949" s="2" customFormat="1" ht="13.5" customHeight="1" x14ac:dyDescent="0.2"/>
    <row r="950" s="2" customFormat="1" ht="13.5" customHeight="1" x14ac:dyDescent="0.2"/>
    <row r="951" s="2" customFormat="1" ht="13.5" customHeight="1" x14ac:dyDescent="0.2"/>
    <row r="952" s="2" customFormat="1" ht="13.5" customHeight="1" x14ac:dyDescent="0.2"/>
    <row r="953" s="2" customFormat="1" ht="13.5" customHeight="1" x14ac:dyDescent="0.2"/>
    <row r="954" s="2" customFormat="1" ht="13.5" customHeight="1" x14ac:dyDescent="0.2"/>
    <row r="955" s="2" customFormat="1" ht="13.5" customHeight="1" x14ac:dyDescent="0.2"/>
    <row r="956" s="2" customFormat="1" ht="13.5" customHeight="1" x14ac:dyDescent="0.2"/>
    <row r="957" s="2" customFormat="1" ht="13.5" customHeight="1" x14ac:dyDescent="0.2"/>
    <row r="958" s="2" customFormat="1" ht="13.5" customHeight="1" x14ac:dyDescent="0.2"/>
    <row r="959" s="2" customFormat="1" ht="13.5" customHeight="1" x14ac:dyDescent="0.2"/>
    <row r="960" s="2" customFormat="1" ht="13.5" customHeight="1" x14ac:dyDescent="0.2"/>
    <row r="961" s="2" customFormat="1" ht="13.5" customHeight="1" x14ac:dyDescent="0.2"/>
    <row r="962" s="2" customFormat="1" ht="13.5" customHeight="1" x14ac:dyDescent="0.2"/>
    <row r="963" s="2" customFormat="1" ht="13.5" customHeight="1" x14ac:dyDescent="0.2"/>
    <row r="964" s="2" customFormat="1" ht="13.5" customHeight="1" x14ac:dyDescent="0.2"/>
    <row r="965" s="2" customFormat="1" ht="13.5" customHeight="1" x14ac:dyDescent="0.2"/>
    <row r="966" s="2" customFormat="1" ht="13.5" customHeight="1" x14ac:dyDescent="0.2"/>
    <row r="967" s="2" customFormat="1" ht="13.5" customHeight="1" x14ac:dyDescent="0.2"/>
    <row r="968" s="2" customFormat="1" ht="13.5" customHeight="1" x14ac:dyDescent="0.2"/>
    <row r="969" s="2" customFormat="1" ht="13.5" customHeight="1" x14ac:dyDescent="0.2"/>
    <row r="970" s="2" customFormat="1" ht="13.5" customHeight="1" x14ac:dyDescent="0.2"/>
    <row r="971" s="2" customFormat="1" ht="13.5" customHeight="1" x14ac:dyDescent="0.2"/>
    <row r="972" s="2" customFormat="1" ht="13.5" customHeight="1" x14ac:dyDescent="0.2"/>
    <row r="973" s="2" customFormat="1" ht="13.5" customHeight="1" x14ac:dyDescent="0.2"/>
    <row r="974" s="2" customFormat="1" ht="13.5" customHeight="1" x14ac:dyDescent="0.2"/>
    <row r="975" s="2" customFormat="1" ht="13.5" customHeight="1" x14ac:dyDescent="0.2"/>
    <row r="976" s="2" customFormat="1" ht="13.5" customHeight="1" x14ac:dyDescent="0.2"/>
    <row r="977" s="2" customFormat="1" ht="13.5" customHeight="1" x14ac:dyDescent="0.2"/>
    <row r="978" s="2" customFormat="1" ht="13.5" customHeight="1" x14ac:dyDescent="0.2"/>
    <row r="979" s="2" customFormat="1" ht="13.5" customHeight="1" x14ac:dyDescent="0.2"/>
    <row r="980" s="2" customFormat="1" ht="13.5" customHeight="1" x14ac:dyDescent="0.2"/>
    <row r="981" s="2" customFormat="1" ht="13.5" customHeight="1" x14ac:dyDescent="0.2"/>
    <row r="982" s="2" customFormat="1" ht="13.5" customHeight="1" x14ac:dyDescent="0.2"/>
  </sheetData>
  <mergeCells count="9">
    <mergeCell ref="A65:A66"/>
    <mergeCell ref="B65:D65"/>
    <mergeCell ref="E65:G65"/>
    <mergeCell ref="H65:J65"/>
    <mergeCell ref="A5:A6"/>
    <mergeCell ref="B5:D5"/>
    <mergeCell ref="E5:G5"/>
    <mergeCell ref="H5:J5"/>
    <mergeCell ref="A64:F64"/>
  </mergeCells>
  <conditionalFormatting sqref="A2:A4">
    <cfRule type="containsText" dxfId="6" priority="1" operator="containsText" text="C.86  PERÚ: PRECIO DE VENTA MINORISTA DE FERTILIZANTES NITROGENADOS POR DEPARTAMENTO Y PROVINCIA, ">
      <formula>NOT(ISERROR(SEARCH(("C.86  PERÚ: PRECIO DE VENTA MINORISTA DE FERTILIZANTES NITROGENADOS POR DEPARTAMENTO Y PROVINCIA, "),(A2))))</formula>
    </cfRule>
  </conditionalFormatting>
  <pageMargins left="0.27559055118110237" right="0.27559055118110237" top="0.39370078740157483" bottom="0.39370078740157483" header="0" footer="0"/>
  <pageSetup paperSize="9" orientation="portrait" r:id="rId1"/>
  <ignoredErrors>
    <ignoredError sqref="A21:J106 A109:J116 A107:C108 E107:J10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982"/>
  <sheetViews>
    <sheetView showGridLines="0" zoomScaleNormal="100" workbookViewId="0">
      <pane xSplit="1" ySplit="7" topLeftCell="B52" activePane="bottomRight" state="frozen"/>
      <selection activeCell="L27" sqref="L27"/>
      <selection pane="topRight" activeCell="L27" sqref="L27"/>
      <selection pane="bottomLeft" activeCell="L27" sqref="L27"/>
      <selection pane="bottomRight" activeCell="L27" sqref="L27"/>
    </sheetView>
  </sheetViews>
  <sheetFormatPr baseColWidth="10" defaultColWidth="12.7109375" defaultRowHeight="15" customHeight="1" x14ac:dyDescent="0.2"/>
  <cols>
    <col min="1" max="1" width="19" style="2" customWidth="1"/>
    <col min="2" max="3" width="8.7109375" style="566" customWidth="1"/>
    <col min="4" max="4" width="6.7109375" style="566" customWidth="1"/>
    <col min="5" max="6" width="8.7109375" style="566" customWidth="1"/>
    <col min="7" max="7" width="6.7109375" style="566" customWidth="1"/>
    <col min="8" max="9" width="8.7109375" style="566" customWidth="1"/>
    <col min="10" max="10" width="6.7109375" style="566" customWidth="1"/>
    <col min="11" max="16384" width="12.7109375" style="2"/>
  </cols>
  <sheetData>
    <row r="1" spans="1:10" ht="18" customHeight="1" x14ac:dyDescent="0.25">
      <c r="A1" s="324" t="s">
        <v>409</v>
      </c>
      <c r="B1" s="573"/>
      <c r="C1" s="573"/>
      <c r="D1" s="573"/>
      <c r="E1" s="573"/>
      <c r="F1" s="573"/>
      <c r="G1" s="573"/>
      <c r="H1" s="573"/>
      <c r="I1" s="573"/>
      <c r="J1" s="573"/>
    </row>
    <row r="2" spans="1:10" ht="12" customHeight="1" x14ac:dyDescent="0.25">
      <c r="A2" s="327" t="s">
        <v>579</v>
      </c>
      <c r="B2" s="573"/>
      <c r="C2" s="573"/>
      <c r="D2" s="573"/>
      <c r="E2" s="573"/>
      <c r="F2" s="573"/>
      <c r="G2" s="573"/>
      <c r="H2" s="573"/>
      <c r="I2" s="573"/>
      <c r="J2" s="573"/>
    </row>
    <row r="3" spans="1:10" ht="12" customHeight="1" x14ac:dyDescent="0.25">
      <c r="A3" s="368" t="s">
        <v>385</v>
      </c>
      <c r="B3" s="573"/>
      <c r="C3" s="573"/>
      <c r="D3" s="572"/>
      <c r="E3" s="572"/>
      <c r="F3" s="572"/>
      <c r="G3" s="572"/>
      <c r="H3" s="572"/>
      <c r="I3" s="572"/>
      <c r="J3" s="572"/>
    </row>
    <row r="4" spans="1:10" ht="4.9000000000000004" customHeight="1" x14ac:dyDescent="0.2">
      <c r="A4" s="326"/>
      <c r="B4" s="572"/>
      <c r="C4" s="572"/>
      <c r="D4" s="572"/>
      <c r="E4" s="572"/>
      <c r="F4" s="572"/>
      <c r="G4" s="572"/>
      <c r="H4" s="572"/>
      <c r="I4" s="572"/>
      <c r="J4" s="572"/>
    </row>
    <row r="5" spans="1:10" ht="14.1" customHeight="1" x14ac:dyDescent="0.2">
      <c r="A5" s="704" t="s">
        <v>0</v>
      </c>
      <c r="B5" s="706" t="s">
        <v>46</v>
      </c>
      <c r="C5" s="707"/>
      <c r="D5" s="708"/>
      <c r="E5" s="706" t="s">
        <v>407</v>
      </c>
      <c r="F5" s="712"/>
      <c r="G5" s="713"/>
      <c r="H5" s="706" t="s">
        <v>408</v>
      </c>
      <c r="I5" s="712"/>
      <c r="J5" s="713"/>
    </row>
    <row r="6" spans="1:10" ht="14.1" customHeight="1" x14ac:dyDescent="0.2">
      <c r="A6" s="705"/>
      <c r="B6" s="329">
        <v>2024</v>
      </c>
      <c r="C6" s="329">
        <v>2025</v>
      </c>
      <c r="D6" s="569" t="s">
        <v>1</v>
      </c>
      <c r="E6" s="329">
        <v>2024</v>
      </c>
      <c r="F6" s="329">
        <v>2025</v>
      </c>
      <c r="G6" s="569" t="s">
        <v>1</v>
      </c>
      <c r="H6" s="329">
        <v>2024</v>
      </c>
      <c r="I6" s="329">
        <v>2025</v>
      </c>
      <c r="J6" s="569" t="s">
        <v>1</v>
      </c>
    </row>
    <row r="7" spans="1:10" ht="3.75" customHeight="1" x14ac:dyDescent="0.25">
      <c r="A7" s="633"/>
      <c r="B7" s="331"/>
      <c r="C7" s="331"/>
      <c r="D7" s="331"/>
      <c r="E7" s="331"/>
      <c r="F7" s="331"/>
      <c r="G7" s="369" t="s">
        <v>390</v>
      </c>
      <c r="H7" s="331"/>
      <c r="I7" s="331"/>
      <c r="J7" s="331"/>
    </row>
    <row r="8" spans="1:10" s="544" customFormat="1" ht="11.1" customHeight="1" x14ac:dyDescent="0.25">
      <c r="A8" s="597" t="s">
        <v>466</v>
      </c>
      <c r="B8" s="356" t="s">
        <v>403</v>
      </c>
      <c r="C8" s="370">
        <f>AVERAGE(C9:C9)</f>
        <v>2880</v>
      </c>
      <c r="D8" s="334" t="s">
        <v>390</v>
      </c>
      <c r="E8" s="356" t="s">
        <v>403</v>
      </c>
      <c r="F8" s="356" t="s">
        <v>403</v>
      </c>
      <c r="G8" s="480" t="s">
        <v>3</v>
      </c>
      <c r="H8" s="370">
        <f>AVERAGE(H9:H9)</f>
        <v>920</v>
      </c>
      <c r="I8" s="370">
        <f>AVERAGE(I9:I9)</f>
        <v>870</v>
      </c>
      <c r="J8" s="334">
        <f>((I8/H8) -      1)*100</f>
        <v>-5.4347826086956541</v>
      </c>
    </row>
    <row r="9" spans="1:10" ht="11.1" customHeight="1" x14ac:dyDescent="0.2">
      <c r="A9" s="335" t="s">
        <v>469</v>
      </c>
      <c r="B9" s="356" t="s">
        <v>403</v>
      </c>
      <c r="C9" s="453">
        <v>2880</v>
      </c>
      <c r="D9" s="1" t="s">
        <v>390</v>
      </c>
      <c r="E9" s="356" t="s">
        <v>403</v>
      </c>
      <c r="F9" s="356" t="s">
        <v>403</v>
      </c>
      <c r="G9" s="480" t="s">
        <v>3</v>
      </c>
      <c r="H9" s="453">
        <v>920</v>
      </c>
      <c r="I9" s="453">
        <v>870</v>
      </c>
      <c r="J9" s="1">
        <f>((I9/H9) -      1)*100</f>
        <v>-5.4347826086956541</v>
      </c>
    </row>
    <row r="10" spans="1:10" ht="11.1" customHeight="1" x14ac:dyDescent="0.2">
      <c r="A10" s="373" t="s">
        <v>419</v>
      </c>
      <c r="B10" s="356" t="s">
        <v>403</v>
      </c>
      <c r="C10" s="370">
        <f>AVERAGE(C11:C14)</f>
        <v>3330</v>
      </c>
      <c r="D10" s="334" t="s">
        <v>390</v>
      </c>
      <c r="E10" s="356" t="s">
        <v>403</v>
      </c>
      <c r="F10" s="370">
        <f>AVERAGE(F11:F14)</f>
        <v>2980</v>
      </c>
      <c r="G10" s="480" t="s">
        <v>3</v>
      </c>
      <c r="H10" s="356" t="s">
        <v>403</v>
      </c>
      <c r="I10" s="356" t="s">
        <v>403</v>
      </c>
      <c r="J10" s="334" t="s">
        <v>390</v>
      </c>
    </row>
    <row r="11" spans="1:10" ht="11.1" customHeight="1" x14ac:dyDescent="0.2">
      <c r="A11" s="335" t="s">
        <v>420</v>
      </c>
      <c r="B11" s="356" t="s">
        <v>403</v>
      </c>
      <c r="C11" s="453">
        <v>3500</v>
      </c>
      <c r="D11" s="1" t="s">
        <v>390</v>
      </c>
      <c r="E11" s="356" t="s">
        <v>403</v>
      </c>
      <c r="F11" s="356" t="s">
        <v>403</v>
      </c>
      <c r="G11" s="480" t="s">
        <v>3</v>
      </c>
      <c r="H11" s="356" t="s">
        <v>403</v>
      </c>
      <c r="I11" s="356" t="s">
        <v>403</v>
      </c>
      <c r="J11" s="1" t="s">
        <v>390</v>
      </c>
    </row>
    <row r="12" spans="1:10" ht="11.1" customHeight="1" x14ac:dyDescent="0.2">
      <c r="A12" s="335" t="s">
        <v>492</v>
      </c>
      <c r="B12" s="356" t="s">
        <v>403</v>
      </c>
      <c r="C12" s="453">
        <v>3260</v>
      </c>
      <c r="D12" s="1" t="s">
        <v>390</v>
      </c>
      <c r="E12" s="356" t="s">
        <v>403</v>
      </c>
      <c r="F12" s="356" t="s">
        <v>403</v>
      </c>
      <c r="G12" s="480" t="s">
        <v>3</v>
      </c>
      <c r="H12" s="356" t="s">
        <v>403</v>
      </c>
      <c r="I12" s="356" t="s">
        <v>403</v>
      </c>
      <c r="J12" s="1" t="s">
        <v>390</v>
      </c>
    </row>
    <row r="13" spans="1:10" ht="11.1" customHeight="1" x14ac:dyDescent="0.2">
      <c r="A13" s="335" t="s">
        <v>421</v>
      </c>
      <c r="B13" s="356" t="s">
        <v>403</v>
      </c>
      <c r="C13" s="453">
        <v>3300</v>
      </c>
      <c r="D13" s="1" t="s">
        <v>390</v>
      </c>
      <c r="E13" s="356" t="s">
        <v>403</v>
      </c>
      <c r="F13" s="356" t="s">
        <v>403</v>
      </c>
      <c r="G13" s="480" t="s">
        <v>3</v>
      </c>
      <c r="H13" s="356" t="s">
        <v>403</v>
      </c>
      <c r="I13" s="356" t="s">
        <v>403</v>
      </c>
      <c r="J13" s="1" t="s">
        <v>390</v>
      </c>
    </row>
    <row r="14" spans="1:10" ht="11.1" customHeight="1" x14ac:dyDescent="0.2">
      <c r="A14" s="335" t="s">
        <v>444</v>
      </c>
      <c r="B14" s="356" t="s">
        <v>403</v>
      </c>
      <c r="C14" s="453">
        <v>3260</v>
      </c>
      <c r="D14" s="1" t="s">
        <v>390</v>
      </c>
      <c r="E14" s="356" t="s">
        <v>403</v>
      </c>
      <c r="F14" s="453">
        <v>2980</v>
      </c>
      <c r="G14" s="480" t="s">
        <v>3</v>
      </c>
      <c r="H14" s="356" t="s">
        <v>403</v>
      </c>
      <c r="I14" s="356" t="s">
        <v>403</v>
      </c>
      <c r="J14" s="1" t="s">
        <v>390</v>
      </c>
    </row>
    <row r="15" spans="1:10" ht="11.1" customHeight="1" x14ac:dyDescent="0.2">
      <c r="A15" s="597" t="s">
        <v>75</v>
      </c>
      <c r="B15" s="356" t="s">
        <v>403</v>
      </c>
      <c r="C15" s="370">
        <f>AVERAGE(C16:C20)</f>
        <v>3794.2</v>
      </c>
      <c r="D15" s="334" t="s">
        <v>390</v>
      </c>
      <c r="E15" s="356" t="s">
        <v>403</v>
      </c>
      <c r="F15" s="370">
        <f>AVERAGE(F16:F20)</f>
        <v>3613.1600000000008</v>
      </c>
      <c r="G15" s="480" t="s">
        <v>3</v>
      </c>
      <c r="H15" s="356" t="s">
        <v>403</v>
      </c>
      <c r="I15" s="370">
        <f>AVERAGE(I16:I20)</f>
        <v>1233.4000000000001</v>
      </c>
      <c r="J15" s="334" t="s">
        <v>390</v>
      </c>
    </row>
    <row r="16" spans="1:10" ht="11.1" customHeight="1" x14ac:dyDescent="0.2">
      <c r="A16" s="335" t="s">
        <v>151</v>
      </c>
      <c r="B16" s="356" t="s">
        <v>403</v>
      </c>
      <c r="C16" s="453">
        <v>3363.4</v>
      </c>
      <c r="D16" s="1" t="s">
        <v>390</v>
      </c>
      <c r="E16" s="356" t="s">
        <v>403</v>
      </c>
      <c r="F16" s="453">
        <v>2613.4</v>
      </c>
      <c r="G16" s="480" t="s">
        <v>3</v>
      </c>
      <c r="H16" s="356" t="s">
        <v>403</v>
      </c>
      <c r="I16" s="453">
        <v>1233.4000000000001</v>
      </c>
      <c r="J16" s="1" t="s">
        <v>390</v>
      </c>
    </row>
    <row r="17" spans="1:18" ht="11.1" customHeight="1" x14ac:dyDescent="0.2">
      <c r="A17" s="335" t="s">
        <v>488</v>
      </c>
      <c r="B17" s="356" t="s">
        <v>403</v>
      </c>
      <c r="C17" s="356" t="s">
        <v>403</v>
      </c>
      <c r="D17" s="1" t="s">
        <v>390</v>
      </c>
      <c r="E17" s="356" t="s">
        <v>403</v>
      </c>
      <c r="F17" s="453">
        <v>3705.8</v>
      </c>
      <c r="G17" s="480" t="s">
        <v>3</v>
      </c>
      <c r="H17" s="356" t="s">
        <v>403</v>
      </c>
      <c r="I17" s="356" t="s">
        <v>403</v>
      </c>
      <c r="J17" s="1" t="s">
        <v>390</v>
      </c>
    </row>
    <row r="18" spans="1:18" ht="11.1" customHeight="1" x14ac:dyDescent="0.2">
      <c r="A18" s="335" t="s">
        <v>152</v>
      </c>
      <c r="B18" s="356" t="s">
        <v>403</v>
      </c>
      <c r="C18" s="356" t="s">
        <v>403</v>
      </c>
      <c r="D18" s="1" t="s">
        <v>390</v>
      </c>
      <c r="E18" s="356" t="s">
        <v>403</v>
      </c>
      <c r="F18" s="453">
        <v>3780</v>
      </c>
      <c r="G18" s="480" t="s">
        <v>3</v>
      </c>
      <c r="H18" s="356" t="s">
        <v>403</v>
      </c>
      <c r="I18" s="356" t="s">
        <v>403</v>
      </c>
      <c r="J18" s="1" t="s">
        <v>390</v>
      </c>
    </row>
    <row r="19" spans="1:18" ht="11.1" customHeight="1" x14ac:dyDescent="0.2">
      <c r="A19" s="335" t="s">
        <v>391</v>
      </c>
      <c r="B19" s="356" t="s">
        <v>403</v>
      </c>
      <c r="C19" s="453">
        <v>4225</v>
      </c>
      <c r="D19" s="1" t="s">
        <v>390</v>
      </c>
      <c r="E19" s="356" t="s">
        <v>403</v>
      </c>
      <c r="F19" s="453">
        <v>4186.6000000000004</v>
      </c>
      <c r="G19" s="480" t="s">
        <v>3</v>
      </c>
      <c r="H19" s="356" t="s">
        <v>403</v>
      </c>
      <c r="I19" s="356" t="s">
        <v>403</v>
      </c>
      <c r="J19" s="1" t="s">
        <v>390</v>
      </c>
    </row>
    <row r="20" spans="1:18" ht="11.1" customHeight="1" x14ac:dyDescent="0.2">
      <c r="A20" s="335" t="s">
        <v>157</v>
      </c>
      <c r="B20" s="356" t="s">
        <v>403</v>
      </c>
      <c r="C20" s="356" t="s">
        <v>403</v>
      </c>
      <c r="D20" s="1" t="s">
        <v>390</v>
      </c>
      <c r="E20" s="356" t="s">
        <v>403</v>
      </c>
      <c r="F20" s="453">
        <v>3780</v>
      </c>
      <c r="G20" s="480" t="s">
        <v>3</v>
      </c>
      <c r="H20" s="356" t="s">
        <v>403</v>
      </c>
      <c r="I20" s="356" t="s">
        <v>403</v>
      </c>
      <c r="J20" s="1" t="s">
        <v>390</v>
      </c>
    </row>
    <row r="21" spans="1:18" ht="11.1" customHeight="1" x14ac:dyDescent="0.2">
      <c r="A21" s="601" t="s">
        <v>2</v>
      </c>
      <c r="B21" s="370">
        <f>AVERAGE(B22:B25)</f>
        <v>2743.75</v>
      </c>
      <c r="C21" s="370">
        <f>AVERAGE(C22:C25)</f>
        <v>3075.75</v>
      </c>
      <c r="D21" s="341">
        <f t="shared" ref="D21:D30" si="0">((C21/B21) -      1)*100</f>
        <v>12.100227790432804</v>
      </c>
      <c r="E21" s="356" t="s">
        <v>403</v>
      </c>
      <c r="F21" s="356" t="s">
        <v>403</v>
      </c>
      <c r="G21" s="480" t="s">
        <v>3</v>
      </c>
      <c r="H21" s="356" t="s">
        <v>403</v>
      </c>
      <c r="I21" s="356" t="s">
        <v>403</v>
      </c>
      <c r="J21" s="334" t="s">
        <v>390</v>
      </c>
    </row>
    <row r="22" spans="1:18" ht="11.1" customHeight="1" x14ac:dyDescent="0.2">
      <c r="A22" s="335" t="s">
        <v>76</v>
      </c>
      <c r="B22" s="453">
        <v>2775</v>
      </c>
      <c r="C22" s="453">
        <v>3260</v>
      </c>
      <c r="D22" s="338">
        <f t="shared" si="0"/>
        <v>17.477477477477478</v>
      </c>
      <c r="E22" s="356" t="s">
        <v>403</v>
      </c>
      <c r="F22" s="356" t="s">
        <v>403</v>
      </c>
      <c r="G22" s="480" t="s">
        <v>3</v>
      </c>
      <c r="H22" s="356" t="s">
        <v>403</v>
      </c>
      <c r="I22" s="356" t="s">
        <v>403</v>
      </c>
      <c r="J22" s="1" t="s">
        <v>390</v>
      </c>
    </row>
    <row r="23" spans="1:18" ht="11.1" customHeight="1" x14ac:dyDescent="0.2">
      <c r="A23" s="335" t="s">
        <v>59</v>
      </c>
      <c r="B23" s="453">
        <v>2940</v>
      </c>
      <c r="C23" s="453">
        <v>3283</v>
      </c>
      <c r="D23" s="371">
        <f t="shared" si="0"/>
        <v>11.66666666666667</v>
      </c>
      <c r="E23" s="356" t="s">
        <v>403</v>
      </c>
      <c r="F23" s="356" t="s">
        <v>403</v>
      </c>
      <c r="G23" s="480" t="s">
        <v>3</v>
      </c>
      <c r="H23" s="356" t="s">
        <v>403</v>
      </c>
      <c r="I23" s="356" t="s">
        <v>403</v>
      </c>
      <c r="J23" s="1" t="s">
        <v>390</v>
      </c>
    </row>
    <row r="24" spans="1:18" ht="11.1" customHeight="1" x14ac:dyDescent="0.2">
      <c r="A24" s="335" t="s">
        <v>511</v>
      </c>
      <c r="B24" s="453">
        <v>2600</v>
      </c>
      <c r="C24" s="453">
        <v>2800</v>
      </c>
      <c r="D24" s="371">
        <f t="shared" si="0"/>
        <v>7.6923076923076872</v>
      </c>
      <c r="E24" s="356" t="s">
        <v>403</v>
      </c>
      <c r="F24" s="356" t="s">
        <v>403</v>
      </c>
      <c r="G24" s="480" t="s">
        <v>3</v>
      </c>
      <c r="H24" s="356" t="s">
        <v>403</v>
      </c>
      <c r="I24" s="356" t="s">
        <v>403</v>
      </c>
      <c r="J24" s="1" t="s">
        <v>390</v>
      </c>
    </row>
    <row r="25" spans="1:18" ht="11.1" customHeight="1" x14ac:dyDescent="0.2">
      <c r="A25" s="335" t="s">
        <v>186</v>
      </c>
      <c r="B25" s="453">
        <v>2660</v>
      </c>
      <c r="C25" s="453">
        <v>2960</v>
      </c>
      <c r="D25" s="371">
        <f t="shared" si="0"/>
        <v>11.278195488721799</v>
      </c>
      <c r="E25" s="356" t="s">
        <v>403</v>
      </c>
      <c r="F25" s="356" t="s">
        <v>403</v>
      </c>
      <c r="G25" s="480" t="s">
        <v>3</v>
      </c>
      <c r="H25" s="356" t="s">
        <v>403</v>
      </c>
      <c r="I25" s="356" t="s">
        <v>403</v>
      </c>
      <c r="J25" s="1" t="s">
        <v>390</v>
      </c>
    </row>
    <row r="26" spans="1:18" ht="11.1" customHeight="1" x14ac:dyDescent="0.2">
      <c r="A26" s="601" t="s">
        <v>6</v>
      </c>
      <c r="B26" s="370">
        <f>AVERAGE(B27:B28)</f>
        <v>3093.4</v>
      </c>
      <c r="C26" s="370">
        <f>AVERAGE(C27:C28)</f>
        <v>3449.7</v>
      </c>
      <c r="D26" s="607">
        <f t="shared" si="0"/>
        <v>11.518070731234232</v>
      </c>
      <c r="E26" s="370">
        <f>AVERAGE(E27:E28)</f>
        <v>3246.6</v>
      </c>
      <c r="F26" s="356" t="s">
        <v>403</v>
      </c>
      <c r="G26" s="338" t="s">
        <v>390</v>
      </c>
      <c r="H26" s="370">
        <f>AVERAGE(H27:H28)</f>
        <v>1180</v>
      </c>
      <c r="I26" s="370">
        <f>AVERAGE(I27:I28)</f>
        <v>1000</v>
      </c>
      <c r="J26" s="341">
        <f>((I26/H26) -      1)*100</f>
        <v>-15.254237288135597</v>
      </c>
    </row>
    <row r="27" spans="1:18" ht="11.1" customHeight="1" x14ac:dyDescent="0.2">
      <c r="A27" s="335" t="s">
        <v>8</v>
      </c>
      <c r="B27" s="453">
        <v>2953.4</v>
      </c>
      <c r="C27" s="453">
        <v>3366</v>
      </c>
      <c r="D27" s="371">
        <f t="shared" si="0"/>
        <v>13.970339269993893</v>
      </c>
      <c r="E27" s="453">
        <v>3246.6</v>
      </c>
      <c r="F27" s="356" t="s">
        <v>403</v>
      </c>
      <c r="G27" s="338" t="s">
        <v>390</v>
      </c>
      <c r="H27" s="453">
        <v>1180</v>
      </c>
      <c r="I27" s="453">
        <v>1000</v>
      </c>
      <c r="J27" s="1">
        <f>((I27/H27) -      1)*100</f>
        <v>-15.254237288135597</v>
      </c>
      <c r="K27" s="711"/>
      <c r="L27" s="711"/>
      <c r="M27" s="710"/>
      <c r="N27" s="711"/>
      <c r="O27" s="711"/>
      <c r="P27" s="710"/>
      <c r="Q27" s="711"/>
      <c r="R27" s="711"/>
    </row>
    <row r="28" spans="1:18" ht="11.1" customHeight="1" x14ac:dyDescent="0.2">
      <c r="A28" s="335" t="s">
        <v>392</v>
      </c>
      <c r="B28" s="453">
        <v>3233.4</v>
      </c>
      <c r="C28" s="453">
        <v>3533.4</v>
      </c>
      <c r="D28" s="338">
        <f t="shared" si="0"/>
        <v>9.2781592132120885</v>
      </c>
      <c r="E28" s="336" t="s">
        <v>402</v>
      </c>
      <c r="F28" s="356" t="s">
        <v>403</v>
      </c>
      <c r="G28" s="338" t="s">
        <v>390</v>
      </c>
      <c r="H28" s="336" t="s">
        <v>402</v>
      </c>
      <c r="I28" s="336" t="s">
        <v>402</v>
      </c>
      <c r="J28" s="1" t="s">
        <v>390</v>
      </c>
    </row>
    <row r="29" spans="1:18" ht="11.1" customHeight="1" x14ac:dyDescent="0.2">
      <c r="A29" s="373" t="s">
        <v>13</v>
      </c>
      <c r="B29" s="370">
        <f>AVERAGE(B30:B32)</f>
        <v>3063</v>
      </c>
      <c r="C29" s="370">
        <f>AVERAGE(C30:C32)</f>
        <v>3161</v>
      </c>
      <c r="D29" s="593">
        <f t="shared" si="0"/>
        <v>3.1994776363042821</v>
      </c>
      <c r="E29" s="370">
        <f>AVERAGE(E30:E32)</f>
        <v>3314</v>
      </c>
      <c r="F29" s="370">
        <f>AVERAGE(F30:F32)</f>
        <v>3478</v>
      </c>
      <c r="G29" s="341">
        <f>((F29/E29) -      1)*100</f>
        <v>4.9487024743512409</v>
      </c>
      <c r="H29" s="370">
        <f>AVERAGE(H30:H32)</f>
        <v>1617</v>
      </c>
      <c r="I29" s="370">
        <f>AVERAGE(I30:I32)</f>
        <v>1422.3333333333333</v>
      </c>
      <c r="J29" s="334">
        <f>((I29/H29) -      1)*100</f>
        <v>-12.038754895897764</v>
      </c>
    </row>
    <row r="30" spans="1:18" ht="11.1" customHeight="1" x14ac:dyDescent="0.2">
      <c r="A30" s="335" t="s">
        <v>187</v>
      </c>
      <c r="B30" s="453">
        <v>3063</v>
      </c>
      <c r="C30" s="453">
        <v>3063</v>
      </c>
      <c r="D30" s="362">
        <f t="shared" si="0"/>
        <v>0</v>
      </c>
      <c r="E30" s="453">
        <v>3314</v>
      </c>
      <c r="F30" s="453">
        <v>3314</v>
      </c>
      <c r="G30" s="338">
        <f>((F30/E30) -      1)*100</f>
        <v>0</v>
      </c>
      <c r="H30" s="453">
        <v>1617</v>
      </c>
      <c r="I30" s="453">
        <v>1617</v>
      </c>
      <c r="J30" s="1">
        <f>((I30/H30) -      1)*100</f>
        <v>0</v>
      </c>
    </row>
    <row r="31" spans="1:18" ht="11.1" customHeight="1" x14ac:dyDescent="0.2">
      <c r="A31" s="335" t="s">
        <v>68</v>
      </c>
      <c r="B31" s="356" t="s">
        <v>403</v>
      </c>
      <c r="C31" s="453">
        <v>2420</v>
      </c>
      <c r="D31" s="1" t="s">
        <v>390</v>
      </c>
      <c r="E31" s="356" t="s">
        <v>403</v>
      </c>
      <c r="F31" s="453">
        <v>3320</v>
      </c>
      <c r="G31" s="338" t="s">
        <v>390</v>
      </c>
      <c r="H31" s="356" t="s">
        <v>403</v>
      </c>
      <c r="I31" s="453">
        <v>940</v>
      </c>
      <c r="J31" s="1" t="s">
        <v>390</v>
      </c>
    </row>
    <row r="32" spans="1:18" ht="11.1" customHeight="1" x14ac:dyDescent="0.2">
      <c r="A32" s="374" t="s">
        <v>67</v>
      </c>
      <c r="B32" s="356" t="s">
        <v>403</v>
      </c>
      <c r="C32" s="453">
        <v>4000</v>
      </c>
      <c r="D32" s="1" t="s">
        <v>390</v>
      </c>
      <c r="E32" s="356" t="s">
        <v>403</v>
      </c>
      <c r="F32" s="453">
        <v>3800</v>
      </c>
      <c r="G32" s="338" t="s">
        <v>390</v>
      </c>
      <c r="H32" s="356" t="s">
        <v>403</v>
      </c>
      <c r="I32" s="453">
        <v>1710</v>
      </c>
      <c r="J32" s="1" t="s">
        <v>390</v>
      </c>
    </row>
    <row r="33" spans="1:10" ht="11.1" customHeight="1" x14ac:dyDescent="0.2">
      <c r="A33" s="601" t="s">
        <v>14</v>
      </c>
      <c r="B33" s="370">
        <f>AVERAGE(B34:B38)</f>
        <v>3131.32</v>
      </c>
      <c r="C33" s="370">
        <f>AVERAGE(C34:C38)</f>
        <v>2899.32</v>
      </c>
      <c r="D33" s="341">
        <f t="shared" ref="D33:D41" si="1">((C33/B33) -      1)*100</f>
        <v>-7.4090160060294004</v>
      </c>
      <c r="E33" s="356" t="s">
        <v>403</v>
      </c>
      <c r="F33" s="370">
        <f>AVERAGE(F34:F38)</f>
        <v>3000</v>
      </c>
      <c r="G33" s="341" t="s">
        <v>390</v>
      </c>
      <c r="H33" s="356" t="s">
        <v>403</v>
      </c>
      <c r="I33" s="356" t="s">
        <v>403</v>
      </c>
      <c r="J33" s="606" t="s">
        <v>390</v>
      </c>
    </row>
    <row r="34" spans="1:10" ht="11.1" customHeight="1" x14ac:dyDescent="0.2">
      <c r="A34" s="335" t="s">
        <v>482</v>
      </c>
      <c r="B34" s="453">
        <v>3066.6</v>
      </c>
      <c r="C34" s="453">
        <v>3066.6</v>
      </c>
      <c r="D34" s="362">
        <f t="shared" si="1"/>
        <v>0</v>
      </c>
      <c r="E34" s="356" t="s">
        <v>403</v>
      </c>
      <c r="F34" s="356" t="s">
        <v>403</v>
      </c>
      <c r="G34" s="338" t="s">
        <v>390</v>
      </c>
      <c r="H34" s="356" t="s">
        <v>403</v>
      </c>
      <c r="I34" s="356" t="s">
        <v>403</v>
      </c>
      <c r="J34" s="1" t="s">
        <v>390</v>
      </c>
    </row>
    <row r="35" spans="1:10" ht="11.1" customHeight="1" x14ac:dyDescent="0.2">
      <c r="A35" s="335" t="s">
        <v>571</v>
      </c>
      <c r="B35" s="453">
        <v>2900</v>
      </c>
      <c r="C35" s="453">
        <v>2800</v>
      </c>
      <c r="D35" s="338">
        <f t="shared" si="1"/>
        <v>-3.4482758620689613</v>
      </c>
      <c r="E35" s="356" t="s">
        <v>403</v>
      </c>
      <c r="F35" s="453">
        <v>3000</v>
      </c>
      <c r="G35" s="338" t="s">
        <v>390</v>
      </c>
      <c r="H35" s="356" t="s">
        <v>403</v>
      </c>
      <c r="I35" s="356" t="s">
        <v>403</v>
      </c>
      <c r="J35" s="1" t="s">
        <v>390</v>
      </c>
    </row>
    <row r="36" spans="1:10" ht="11.1" customHeight="1" x14ac:dyDescent="0.2">
      <c r="A36" s="335" t="s">
        <v>470</v>
      </c>
      <c r="B36" s="453">
        <v>3450</v>
      </c>
      <c r="C36" s="453">
        <v>3180</v>
      </c>
      <c r="D36" s="362">
        <f t="shared" si="1"/>
        <v>-7.8260869565217384</v>
      </c>
      <c r="E36" s="356" t="s">
        <v>403</v>
      </c>
      <c r="F36" s="356" t="s">
        <v>403</v>
      </c>
      <c r="G36" s="338" t="s">
        <v>390</v>
      </c>
      <c r="H36" s="356" t="s">
        <v>403</v>
      </c>
      <c r="I36" s="356" t="s">
        <v>403</v>
      </c>
      <c r="J36" s="1" t="s">
        <v>390</v>
      </c>
    </row>
    <row r="37" spans="1:10" ht="11.1" customHeight="1" x14ac:dyDescent="0.2">
      <c r="A37" s="335" t="s">
        <v>15</v>
      </c>
      <c r="B37" s="453">
        <v>3390</v>
      </c>
      <c r="C37" s="453">
        <v>2600</v>
      </c>
      <c r="D37" s="338">
        <f t="shared" si="1"/>
        <v>-23.303834808259584</v>
      </c>
      <c r="E37" s="356" t="s">
        <v>403</v>
      </c>
      <c r="F37" s="356" t="s">
        <v>403</v>
      </c>
      <c r="G37" s="338" t="s">
        <v>390</v>
      </c>
      <c r="H37" s="356" t="s">
        <v>403</v>
      </c>
      <c r="I37" s="356" t="s">
        <v>403</v>
      </c>
      <c r="J37" s="1" t="s">
        <v>390</v>
      </c>
    </row>
    <row r="38" spans="1:10" ht="11.1" customHeight="1" x14ac:dyDescent="0.2">
      <c r="A38" s="335" t="s">
        <v>188</v>
      </c>
      <c r="B38" s="453">
        <v>2850</v>
      </c>
      <c r="C38" s="453">
        <v>2850</v>
      </c>
      <c r="D38" s="362">
        <f t="shared" si="1"/>
        <v>0</v>
      </c>
      <c r="E38" s="356" t="s">
        <v>403</v>
      </c>
      <c r="F38" s="356" t="s">
        <v>403</v>
      </c>
      <c r="G38" s="338" t="s">
        <v>390</v>
      </c>
      <c r="H38" s="356" t="s">
        <v>403</v>
      </c>
      <c r="I38" s="356" t="s">
        <v>403</v>
      </c>
      <c r="J38" s="1" t="s">
        <v>390</v>
      </c>
    </row>
    <row r="39" spans="1:10" ht="11.1" customHeight="1" x14ac:dyDescent="0.2">
      <c r="A39" s="601" t="s">
        <v>16</v>
      </c>
      <c r="B39" s="370">
        <f>AVERAGE(B40:B48)</f>
        <v>3056</v>
      </c>
      <c r="C39" s="370">
        <f>AVERAGE(C40:C48)</f>
        <v>3197.6666666666665</v>
      </c>
      <c r="D39" s="341">
        <f t="shared" si="1"/>
        <v>4.6356893542757405</v>
      </c>
      <c r="E39" s="370">
        <f>AVERAGE(E40:E48)</f>
        <v>2990.68</v>
      </c>
      <c r="F39" s="370">
        <f>AVERAGE(F40:F48)</f>
        <v>3074</v>
      </c>
      <c r="G39" s="341">
        <f>((F39/E39) -      1)*100</f>
        <v>2.7859884708494542</v>
      </c>
      <c r="H39" s="370">
        <f>AVERAGE(H40:H48)</f>
        <v>1018.8666666666667</v>
      </c>
      <c r="I39" s="370">
        <f>AVERAGE(I40:I48)</f>
        <v>1015.5333333333333</v>
      </c>
      <c r="J39" s="334">
        <f>((I39/H39) -      1)*100</f>
        <v>-0.32716089772950596</v>
      </c>
    </row>
    <row r="40" spans="1:10" ht="11.1" customHeight="1" x14ac:dyDescent="0.2">
      <c r="A40" s="335" t="s">
        <v>17</v>
      </c>
      <c r="B40" s="453">
        <v>2910</v>
      </c>
      <c r="C40" s="453">
        <v>3380</v>
      </c>
      <c r="D40" s="362">
        <f t="shared" si="1"/>
        <v>16.151202749140904</v>
      </c>
      <c r="E40" s="453">
        <v>3135</v>
      </c>
      <c r="F40" s="453">
        <v>3180</v>
      </c>
      <c r="G40" s="338">
        <f>((F40/E40) -      1)*100</f>
        <v>1.4354066985645897</v>
      </c>
      <c r="H40" s="356" t="s">
        <v>403</v>
      </c>
      <c r="I40" s="356" t="s">
        <v>403</v>
      </c>
      <c r="J40" s="1" t="s">
        <v>390</v>
      </c>
    </row>
    <row r="41" spans="1:10" ht="11.1" customHeight="1" x14ac:dyDescent="0.2">
      <c r="A41" s="335" t="s">
        <v>19</v>
      </c>
      <c r="B41" s="453">
        <v>2895</v>
      </c>
      <c r="C41" s="453">
        <v>2826</v>
      </c>
      <c r="D41" s="338">
        <f t="shared" si="1"/>
        <v>-2.3834196891191706</v>
      </c>
      <c r="E41" s="453">
        <v>3365</v>
      </c>
      <c r="F41" s="453">
        <v>3300</v>
      </c>
      <c r="G41" s="338">
        <f>((F41/E41) -      1)*100</f>
        <v>-1.9316493313521588</v>
      </c>
      <c r="H41" s="453">
        <v>1190</v>
      </c>
      <c r="I41" s="453">
        <v>1180</v>
      </c>
      <c r="J41" s="1">
        <f>((I41/H41) -      1)*100</f>
        <v>-0.84033613445377853</v>
      </c>
    </row>
    <row r="42" spans="1:10" ht="11.1" customHeight="1" x14ac:dyDescent="0.2">
      <c r="A42" s="335" t="s">
        <v>399</v>
      </c>
      <c r="B42" s="453">
        <v>3400</v>
      </c>
      <c r="C42" s="356" t="s">
        <v>403</v>
      </c>
      <c r="D42" s="338" t="s">
        <v>390</v>
      </c>
      <c r="E42" s="453">
        <v>3200</v>
      </c>
      <c r="F42" s="453">
        <v>3700</v>
      </c>
      <c r="G42" s="338">
        <f>((F42/E42) -      1)*100</f>
        <v>15.625</v>
      </c>
      <c r="H42" s="356" t="s">
        <v>403</v>
      </c>
      <c r="I42" s="356" t="s">
        <v>403</v>
      </c>
      <c r="J42" s="1" t="s">
        <v>390</v>
      </c>
    </row>
    <row r="43" spans="1:10" ht="11.1" customHeight="1" x14ac:dyDescent="0.2">
      <c r="A43" s="335" t="s">
        <v>570</v>
      </c>
      <c r="B43" s="453">
        <v>3175</v>
      </c>
      <c r="C43" s="453">
        <v>3460</v>
      </c>
      <c r="D43" s="338">
        <f>((C43/B43) -      1)*100</f>
        <v>8.9763779527558984</v>
      </c>
      <c r="E43" s="356" t="s">
        <v>403</v>
      </c>
      <c r="F43" s="356" t="s">
        <v>403</v>
      </c>
      <c r="G43" s="338" t="s">
        <v>390</v>
      </c>
      <c r="H43" s="356" t="s">
        <v>403</v>
      </c>
      <c r="I43" s="356" t="s">
        <v>403</v>
      </c>
      <c r="J43" s="1" t="s">
        <v>390</v>
      </c>
    </row>
    <row r="44" spans="1:10" ht="11.1" customHeight="1" x14ac:dyDescent="0.2">
      <c r="A44" s="335" t="s">
        <v>20</v>
      </c>
      <c r="B44" s="453">
        <v>2473</v>
      </c>
      <c r="C44" s="453">
        <v>2460</v>
      </c>
      <c r="D44" s="362">
        <f>((C44/B44) -      1)*100</f>
        <v>-0.52567731500202663</v>
      </c>
      <c r="E44" s="453">
        <v>2453.4</v>
      </c>
      <c r="F44" s="453">
        <v>2420</v>
      </c>
      <c r="G44" s="338">
        <f>((F44/E44) -      1)*100</f>
        <v>-1.3613760495638783</v>
      </c>
      <c r="H44" s="453">
        <v>826.6</v>
      </c>
      <c r="I44" s="453">
        <v>826.6</v>
      </c>
      <c r="J44" s="1">
        <f>((I44/H44) -      1)*100</f>
        <v>0</v>
      </c>
    </row>
    <row r="45" spans="1:10" ht="11.1" customHeight="1" x14ac:dyDescent="0.2">
      <c r="A45" s="335" t="s">
        <v>21</v>
      </c>
      <c r="B45" s="453">
        <v>3500</v>
      </c>
      <c r="C45" s="453">
        <v>3600</v>
      </c>
      <c r="D45" s="362">
        <f>((C45/B45) -      1)*100</f>
        <v>2.857142857142847</v>
      </c>
      <c r="E45" s="356" t="s">
        <v>403</v>
      </c>
      <c r="F45" s="356" t="s">
        <v>403</v>
      </c>
      <c r="G45" s="338" t="s">
        <v>390</v>
      </c>
      <c r="H45" s="356" t="s">
        <v>403</v>
      </c>
      <c r="I45" s="356" t="s">
        <v>403</v>
      </c>
      <c r="J45" s="1" t="s">
        <v>390</v>
      </c>
    </row>
    <row r="46" spans="1:10" ht="11.1" customHeight="1" x14ac:dyDescent="0.2">
      <c r="A46" s="335" t="s">
        <v>22</v>
      </c>
      <c r="B46" s="453">
        <v>2895</v>
      </c>
      <c r="C46" s="356" t="s">
        <v>403</v>
      </c>
      <c r="D46" s="338" t="s">
        <v>390</v>
      </c>
      <c r="E46" s="453">
        <v>2800</v>
      </c>
      <c r="F46" s="453">
        <v>2770</v>
      </c>
      <c r="G46" s="338">
        <f>((F46/E46) -      1)*100</f>
        <v>-1.0714285714285676</v>
      </c>
      <c r="H46" s="356" t="s">
        <v>403</v>
      </c>
      <c r="I46" s="356" t="s">
        <v>403</v>
      </c>
      <c r="J46" s="1" t="s">
        <v>390</v>
      </c>
    </row>
    <row r="47" spans="1:10" ht="11.1" customHeight="1" x14ac:dyDescent="0.2">
      <c r="A47" s="335" t="s">
        <v>123</v>
      </c>
      <c r="B47" s="356" t="s">
        <v>403</v>
      </c>
      <c r="C47" s="356" t="s">
        <v>403</v>
      </c>
      <c r="D47" s="338" t="s">
        <v>390</v>
      </c>
      <c r="E47" s="336" t="s">
        <v>402</v>
      </c>
      <c r="F47" s="356" t="s">
        <v>403</v>
      </c>
      <c r="G47" s="338" t="s">
        <v>390</v>
      </c>
      <c r="H47" s="453">
        <v>1040</v>
      </c>
      <c r="I47" s="453">
        <v>1040</v>
      </c>
      <c r="J47" s="1">
        <f>((I47/H47) -      1)*100</f>
        <v>0</v>
      </c>
    </row>
    <row r="48" spans="1:10" ht="11.1" customHeight="1" x14ac:dyDescent="0.2">
      <c r="A48" s="335" t="s">
        <v>61</v>
      </c>
      <c r="B48" s="453">
        <v>3200</v>
      </c>
      <c r="C48" s="453">
        <v>3460</v>
      </c>
      <c r="D48" s="338">
        <f t="shared" ref="D48:D53" si="2">((C48/B48) -      1)*100</f>
        <v>8.1250000000000036</v>
      </c>
      <c r="E48" s="356" t="s">
        <v>403</v>
      </c>
      <c r="F48" s="356" t="s">
        <v>403</v>
      </c>
      <c r="G48" s="338" t="s">
        <v>390</v>
      </c>
      <c r="H48" s="356" t="s">
        <v>403</v>
      </c>
      <c r="I48" s="356" t="s">
        <v>403</v>
      </c>
      <c r="J48" s="1" t="s">
        <v>390</v>
      </c>
    </row>
    <row r="49" spans="1:10" ht="11.1" customHeight="1" x14ac:dyDescent="0.2">
      <c r="A49" s="601" t="s">
        <v>23</v>
      </c>
      <c r="B49" s="370">
        <f>AVERAGE(B50:B54)</f>
        <v>3194.85</v>
      </c>
      <c r="C49" s="370">
        <f>AVERAGE(C50:C54)</f>
        <v>3357.3199999999997</v>
      </c>
      <c r="D49" s="593">
        <f t="shared" si="2"/>
        <v>5.0853717701926371</v>
      </c>
      <c r="E49" s="356" t="s">
        <v>403</v>
      </c>
      <c r="F49" s="370">
        <f>AVERAGE(F50:F54)</f>
        <v>2880</v>
      </c>
      <c r="G49" s="341" t="s">
        <v>390</v>
      </c>
      <c r="H49" s="356" t="s">
        <v>403</v>
      </c>
      <c r="I49" s="370">
        <f>AVERAGE(I50:I54)</f>
        <v>2400</v>
      </c>
      <c r="J49" s="593" t="s">
        <v>390</v>
      </c>
    </row>
    <row r="50" spans="1:10" ht="11.1" customHeight="1" x14ac:dyDescent="0.2">
      <c r="A50" s="335" t="s">
        <v>520</v>
      </c>
      <c r="B50" s="453">
        <v>3020</v>
      </c>
      <c r="C50" s="453">
        <v>3500</v>
      </c>
      <c r="D50" s="362">
        <f t="shared" si="2"/>
        <v>15.89403973509933</v>
      </c>
      <c r="E50" s="356" t="s">
        <v>403</v>
      </c>
      <c r="F50" s="356" t="s">
        <v>403</v>
      </c>
      <c r="G50" s="338" t="s">
        <v>390</v>
      </c>
      <c r="H50" s="356" t="s">
        <v>403</v>
      </c>
      <c r="I50" s="356" t="s">
        <v>403</v>
      </c>
      <c r="J50" s="1" t="s">
        <v>390</v>
      </c>
    </row>
    <row r="51" spans="1:10" ht="11.1" customHeight="1" x14ac:dyDescent="0.2">
      <c r="A51" s="335" t="s">
        <v>51</v>
      </c>
      <c r="B51" s="453">
        <v>3676</v>
      </c>
      <c r="C51" s="453">
        <v>3360</v>
      </c>
      <c r="D51" s="338">
        <f t="shared" si="2"/>
        <v>-8.596300326441785</v>
      </c>
      <c r="E51" s="356" t="s">
        <v>403</v>
      </c>
      <c r="F51" s="356" t="s">
        <v>403</v>
      </c>
      <c r="G51" s="338" t="s">
        <v>390</v>
      </c>
      <c r="H51" s="356" t="s">
        <v>403</v>
      </c>
      <c r="I51" s="356" t="s">
        <v>403</v>
      </c>
      <c r="J51" s="1" t="s">
        <v>390</v>
      </c>
    </row>
    <row r="52" spans="1:10" ht="11.1" customHeight="1" x14ac:dyDescent="0.2">
      <c r="A52" s="335" t="s">
        <v>521</v>
      </c>
      <c r="B52" s="453">
        <v>3130</v>
      </c>
      <c r="C52" s="453">
        <v>3606.6</v>
      </c>
      <c r="D52" s="338">
        <f t="shared" si="2"/>
        <v>15.22683706070287</v>
      </c>
      <c r="E52" s="356" t="s">
        <v>403</v>
      </c>
      <c r="F52" s="356" t="s">
        <v>403</v>
      </c>
      <c r="G52" s="338" t="s">
        <v>390</v>
      </c>
      <c r="H52" s="356" t="s">
        <v>403</v>
      </c>
      <c r="I52" s="356" t="s">
        <v>403</v>
      </c>
      <c r="J52" s="1" t="s">
        <v>390</v>
      </c>
    </row>
    <row r="53" spans="1:10" ht="11.1" customHeight="1" x14ac:dyDescent="0.2">
      <c r="A53" s="335" t="s">
        <v>522</v>
      </c>
      <c r="B53" s="453">
        <v>2953.4</v>
      </c>
      <c r="C53" s="453">
        <v>3380</v>
      </c>
      <c r="D53" s="338">
        <f t="shared" si="2"/>
        <v>14.44436920159815</v>
      </c>
      <c r="E53" s="356" t="s">
        <v>403</v>
      </c>
      <c r="F53" s="453">
        <v>2880</v>
      </c>
      <c r="G53" s="338" t="s">
        <v>390</v>
      </c>
      <c r="H53" s="356" t="s">
        <v>403</v>
      </c>
      <c r="I53" s="453">
        <v>2400</v>
      </c>
      <c r="J53" s="1" t="s">
        <v>390</v>
      </c>
    </row>
    <row r="54" spans="1:10" ht="11.1" customHeight="1" x14ac:dyDescent="0.2">
      <c r="A54" s="335" t="s">
        <v>56</v>
      </c>
      <c r="B54" s="356" t="s">
        <v>403</v>
      </c>
      <c r="C54" s="453">
        <v>2940</v>
      </c>
      <c r="D54" s="338" t="s">
        <v>390</v>
      </c>
      <c r="E54" s="356" t="s">
        <v>403</v>
      </c>
      <c r="F54" s="336" t="s">
        <v>402</v>
      </c>
      <c r="G54" s="338" t="s">
        <v>390</v>
      </c>
      <c r="H54" s="356" t="s">
        <v>403</v>
      </c>
      <c r="I54" s="356" t="s">
        <v>403</v>
      </c>
      <c r="J54" s="1" t="s">
        <v>390</v>
      </c>
    </row>
    <row r="55" spans="1:10" ht="13.9" customHeight="1" x14ac:dyDescent="0.2">
      <c r="A55" s="357"/>
      <c r="B55" s="571"/>
      <c r="C55" s="358"/>
      <c r="D55" s="358"/>
      <c r="E55" s="358"/>
      <c r="F55" s="358"/>
      <c r="G55" s="358"/>
      <c r="H55" s="358"/>
      <c r="I55" s="358"/>
      <c r="J55" s="359" t="s">
        <v>24</v>
      </c>
    </row>
    <row r="56" spans="1:10" ht="13.9" customHeight="1" x14ac:dyDescent="0.25">
      <c r="A56" s="714" t="s">
        <v>471</v>
      </c>
      <c r="B56" s="714"/>
      <c r="C56" s="714"/>
      <c r="D56" s="714"/>
      <c r="E56" s="714"/>
      <c r="F56" s="714"/>
      <c r="G56" s="360"/>
      <c r="H56" s="360"/>
      <c r="I56" s="570"/>
      <c r="J56" s="570"/>
    </row>
    <row r="57" spans="1:10" ht="14.1" customHeight="1" x14ac:dyDescent="0.2">
      <c r="A57" s="704" t="s">
        <v>0</v>
      </c>
      <c r="B57" s="706" t="s">
        <v>46</v>
      </c>
      <c r="C57" s="716"/>
      <c r="D57" s="717"/>
      <c r="E57" s="718" t="s">
        <v>407</v>
      </c>
      <c r="F57" s="719"/>
      <c r="G57" s="720"/>
      <c r="H57" s="718" t="s">
        <v>408</v>
      </c>
      <c r="I57" s="719"/>
      <c r="J57" s="720"/>
    </row>
    <row r="58" spans="1:10" ht="14.1" customHeight="1" x14ac:dyDescent="0.2">
      <c r="A58" s="715"/>
      <c r="B58" s="329">
        <v>2024</v>
      </c>
      <c r="C58" s="329">
        <v>2025</v>
      </c>
      <c r="D58" s="569" t="s">
        <v>1</v>
      </c>
      <c r="E58" s="329">
        <v>2024</v>
      </c>
      <c r="F58" s="329">
        <v>2025</v>
      </c>
      <c r="G58" s="569" t="s">
        <v>1</v>
      </c>
      <c r="H58" s="329">
        <v>2024</v>
      </c>
      <c r="I58" s="329">
        <v>2025</v>
      </c>
      <c r="J58" s="569" t="s">
        <v>1</v>
      </c>
    </row>
    <row r="59" spans="1:10" ht="3" customHeight="1" x14ac:dyDescent="0.2">
      <c r="A59" s="335"/>
      <c r="B59" s="453"/>
      <c r="C59" s="453"/>
      <c r="D59" s="362"/>
      <c r="E59" s="568"/>
      <c r="F59" s="568"/>
      <c r="G59" s="338"/>
      <c r="H59" s="568"/>
      <c r="I59" s="568"/>
      <c r="J59" s="1"/>
    </row>
    <row r="60" spans="1:10" ht="11.1" customHeight="1" x14ac:dyDescent="0.2">
      <c r="A60" s="601" t="s">
        <v>78</v>
      </c>
      <c r="B60" s="370">
        <f>AVERAGE(B61:B65)</f>
        <v>3053.08</v>
      </c>
      <c r="C60" s="370">
        <f>AVERAGE(C61:C65)</f>
        <v>3416</v>
      </c>
      <c r="D60" s="341">
        <f t="shared" ref="D60:D65" si="3">((C60/B60) -      1)*100</f>
        <v>11.887012459549041</v>
      </c>
      <c r="E60" s="370">
        <f>AVERAGE(E61:E65)</f>
        <v>3500</v>
      </c>
      <c r="F60" s="356" t="s">
        <v>403</v>
      </c>
      <c r="G60" s="341" t="s">
        <v>390</v>
      </c>
      <c r="H60" s="370">
        <f>AVERAGE(H61:H65)</f>
        <v>906.66666666666663</v>
      </c>
      <c r="I60" s="370">
        <f>AVERAGE(I61:I65)</f>
        <v>900</v>
      </c>
      <c r="J60" s="593">
        <f>((I60/H60) -      1)*100</f>
        <v>-0.73529411764705621</v>
      </c>
    </row>
    <row r="61" spans="1:10" ht="11.1" customHeight="1" x14ac:dyDescent="0.2">
      <c r="A61" s="335" t="s">
        <v>569</v>
      </c>
      <c r="B61" s="453">
        <v>3053.4</v>
      </c>
      <c r="C61" s="453">
        <v>3700</v>
      </c>
      <c r="D61" s="338">
        <f t="shared" si="3"/>
        <v>21.176393528525583</v>
      </c>
      <c r="E61" s="336" t="s">
        <v>402</v>
      </c>
      <c r="F61" s="356" t="s">
        <v>403</v>
      </c>
      <c r="G61" s="338" t="s">
        <v>390</v>
      </c>
      <c r="H61" s="453">
        <v>800</v>
      </c>
      <c r="I61" s="453">
        <v>900</v>
      </c>
      <c r="J61" s="1">
        <f>((I61/H61) -      1)*100</f>
        <v>12.5</v>
      </c>
    </row>
    <row r="62" spans="1:10" ht="11.1" customHeight="1" x14ac:dyDescent="0.2">
      <c r="A62" s="335" t="s">
        <v>393</v>
      </c>
      <c r="B62" s="453">
        <v>3000</v>
      </c>
      <c r="C62" s="453">
        <v>3450</v>
      </c>
      <c r="D62" s="338">
        <f t="shared" si="3"/>
        <v>14.999999999999991</v>
      </c>
      <c r="E62" s="453">
        <v>3500</v>
      </c>
      <c r="F62" s="356" t="s">
        <v>403</v>
      </c>
      <c r="G62" s="338" t="s">
        <v>390</v>
      </c>
      <c r="H62" s="453">
        <v>1000</v>
      </c>
      <c r="I62" s="356" t="s">
        <v>403</v>
      </c>
      <c r="J62" s="1" t="s">
        <v>390</v>
      </c>
    </row>
    <row r="63" spans="1:10" ht="11.1" customHeight="1" x14ac:dyDescent="0.2">
      <c r="A63" s="335" t="s">
        <v>25</v>
      </c>
      <c r="B63" s="453">
        <v>3112</v>
      </c>
      <c r="C63" s="453">
        <v>3380</v>
      </c>
      <c r="D63" s="362">
        <f t="shared" si="3"/>
        <v>8.6118251928020584</v>
      </c>
      <c r="E63" s="356" t="s">
        <v>403</v>
      </c>
      <c r="F63" s="356" t="s">
        <v>403</v>
      </c>
      <c r="G63" s="338" t="s">
        <v>390</v>
      </c>
      <c r="H63" s="356" t="s">
        <v>403</v>
      </c>
      <c r="I63" s="356" t="s">
        <v>403</v>
      </c>
      <c r="J63" s="1" t="s">
        <v>390</v>
      </c>
    </row>
    <row r="64" spans="1:10" ht="11.1" customHeight="1" x14ac:dyDescent="0.2">
      <c r="A64" s="335" t="s">
        <v>513</v>
      </c>
      <c r="B64" s="453">
        <v>3200</v>
      </c>
      <c r="C64" s="453">
        <v>3600</v>
      </c>
      <c r="D64" s="362">
        <f t="shared" si="3"/>
        <v>12.5</v>
      </c>
      <c r="E64" s="356" t="s">
        <v>403</v>
      </c>
      <c r="F64" s="356" t="s">
        <v>403</v>
      </c>
      <c r="G64" s="338" t="s">
        <v>390</v>
      </c>
      <c r="H64" s="453">
        <v>920</v>
      </c>
      <c r="I64" s="453">
        <v>900</v>
      </c>
      <c r="J64" s="1">
        <f>((I64/H64) -      1)*100</f>
        <v>-2.1739130434782594</v>
      </c>
    </row>
    <row r="65" spans="1:11" ht="11.1" customHeight="1" x14ac:dyDescent="0.2">
      <c r="A65" s="335" t="s">
        <v>514</v>
      </c>
      <c r="B65" s="453">
        <v>2900</v>
      </c>
      <c r="C65" s="453">
        <v>2950</v>
      </c>
      <c r="D65" s="338">
        <f t="shared" si="3"/>
        <v>1.7241379310344751</v>
      </c>
      <c r="E65" s="356" t="s">
        <v>403</v>
      </c>
      <c r="F65" s="356" t="s">
        <v>403</v>
      </c>
      <c r="G65" s="338" t="s">
        <v>390</v>
      </c>
      <c r="H65" s="356" t="s">
        <v>403</v>
      </c>
      <c r="I65" s="356" t="s">
        <v>403</v>
      </c>
      <c r="J65" s="1" t="s">
        <v>390</v>
      </c>
    </row>
    <row r="66" spans="1:11" ht="11.1" customHeight="1" x14ac:dyDescent="0.2">
      <c r="A66" s="601" t="s">
        <v>394</v>
      </c>
      <c r="B66" s="370">
        <f>AVERAGE(B67:B78)</f>
        <v>2955.181818181818</v>
      </c>
      <c r="C66" s="370">
        <f>AVERAGE(C67:C78)</f>
        <v>3399.7166666666667</v>
      </c>
      <c r="D66" s="341">
        <f t="shared" ref="D66:D72" si="4">((C66/B66)  -           1)*100</f>
        <v>15.042554936885399</v>
      </c>
      <c r="E66" s="370">
        <f>AVERAGE(E67:E78)</f>
        <v>2800</v>
      </c>
      <c r="F66" s="370">
        <f>AVERAGE(F67:F78)</f>
        <v>3325</v>
      </c>
      <c r="G66" s="341">
        <f>((F66/E66)  -           1)*100</f>
        <v>18.75</v>
      </c>
      <c r="H66" s="370">
        <f>AVERAGE(H67:H78)</f>
        <v>1200</v>
      </c>
      <c r="I66" s="370">
        <f>AVERAGE(I67:I78)</f>
        <v>1300</v>
      </c>
      <c r="J66" s="334">
        <f>((I66/H66)  -           1)*100</f>
        <v>8.333333333333325</v>
      </c>
    </row>
    <row r="67" spans="1:11" ht="11.1" customHeight="1" x14ac:dyDescent="0.2">
      <c r="A67" s="335" t="s">
        <v>26</v>
      </c>
      <c r="B67" s="453">
        <v>2860</v>
      </c>
      <c r="C67" s="453">
        <v>3320</v>
      </c>
      <c r="D67" s="338">
        <f t="shared" si="4"/>
        <v>16.083916083916083</v>
      </c>
      <c r="E67" s="356" t="s">
        <v>403</v>
      </c>
      <c r="F67" s="453">
        <v>3200</v>
      </c>
      <c r="G67" s="338" t="s">
        <v>47</v>
      </c>
      <c r="H67" s="356" t="s">
        <v>403</v>
      </c>
      <c r="I67" s="356" t="s">
        <v>403</v>
      </c>
      <c r="J67" s="338" t="s">
        <v>47</v>
      </c>
    </row>
    <row r="68" spans="1:11" ht="11.1" customHeight="1" x14ac:dyDescent="0.2">
      <c r="A68" s="335" t="s">
        <v>442</v>
      </c>
      <c r="B68" s="453">
        <v>3200</v>
      </c>
      <c r="C68" s="453">
        <v>3493.4</v>
      </c>
      <c r="D68" s="338">
        <f t="shared" si="4"/>
        <v>9.1687499999999922</v>
      </c>
      <c r="E68" s="356" t="s">
        <v>403</v>
      </c>
      <c r="F68" s="356" t="s">
        <v>403</v>
      </c>
      <c r="G68" s="338" t="s">
        <v>47</v>
      </c>
      <c r="H68" s="356" t="s">
        <v>403</v>
      </c>
      <c r="I68" s="356" t="s">
        <v>403</v>
      </c>
      <c r="J68" s="338" t="s">
        <v>47</v>
      </c>
    </row>
    <row r="69" spans="1:11" ht="11.1" customHeight="1" x14ac:dyDescent="0.2">
      <c r="A69" s="335" t="s">
        <v>27</v>
      </c>
      <c r="B69" s="453">
        <v>2810</v>
      </c>
      <c r="C69" s="453">
        <v>3293.4</v>
      </c>
      <c r="D69" s="338">
        <f t="shared" si="4"/>
        <v>17.202846975088981</v>
      </c>
      <c r="E69" s="356" t="s">
        <v>403</v>
      </c>
      <c r="F69" s="356" t="s">
        <v>403</v>
      </c>
      <c r="G69" s="338" t="s">
        <v>47</v>
      </c>
      <c r="H69" s="356" t="s">
        <v>403</v>
      </c>
      <c r="I69" s="356" t="s">
        <v>403</v>
      </c>
      <c r="J69" s="338" t="s">
        <v>47</v>
      </c>
    </row>
    <row r="70" spans="1:11" ht="11.1" customHeight="1" x14ac:dyDescent="0.2">
      <c r="A70" s="335" t="s">
        <v>28</v>
      </c>
      <c r="B70" s="453">
        <v>3240</v>
      </c>
      <c r="C70" s="453">
        <v>3525</v>
      </c>
      <c r="D70" s="338">
        <f t="shared" si="4"/>
        <v>8.7962962962963012</v>
      </c>
      <c r="E70" s="453">
        <v>2800</v>
      </c>
      <c r="F70" s="356" t="s">
        <v>403</v>
      </c>
      <c r="G70" s="338" t="s">
        <v>47</v>
      </c>
      <c r="H70" s="356" t="s">
        <v>403</v>
      </c>
      <c r="I70" s="356" t="s">
        <v>403</v>
      </c>
      <c r="J70" s="338" t="s">
        <v>47</v>
      </c>
    </row>
    <row r="71" spans="1:11" ht="11.1" customHeight="1" x14ac:dyDescent="0.2">
      <c r="A71" s="335" t="s">
        <v>62</v>
      </c>
      <c r="B71" s="453">
        <v>2950</v>
      </c>
      <c r="C71" s="453">
        <v>3300</v>
      </c>
      <c r="D71" s="338">
        <f t="shared" si="4"/>
        <v>11.864406779661007</v>
      </c>
      <c r="E71" s="356" t="s">
        <v>403</v>
      </c>
      <c r="F71" s="356" t="s">
        <v>403</v>
      </c>
      <c r="G71" s="338" t="s">
        <v>47</v>
      </c>
      <c r="H71" s="356" t="s">
        <v>403</v>
      </c>
      <c r="I71" s="356" t="s">
        <v>403</v>
      </c>
      <c r="J71" s="338" t="s">
        <v>47</v>
      </c>
    </row>
    <row r="72" spans="1:11" ht="11.1" customHeight="1" x14ac:dyDescent="0.2">
      <c r="A72" s="335" t="s">
        <v>29</v>
      </c>
      <c r="B72" s="453">
        <v>2840</v>
      </c>
      <c r="C72" s="453">
        <v>3326.6</v>
      </c>
      <c r="D72" s="338">
        <f t="shared" si="4"/>
        <v>17.133802816901401</v>
      </c>
      <c r="E72" s="356" t="s">
        <v>403</v>
      </c>
      <c r="F72" s="356" t="s">
        <v>403</v>
      </c>
      <c r="G72" s="338" t="s">
        <v>47</v>
      </c>
      <c r="H72" s="356" t="s">
        <v>403</v>
      </c>
      <c r="I72" s="356" t="s">
        <v>403</v>
      </c>
      <c r="J72" s="338" t="s">
        <v>47</v>
      </c>
    </row>
    <row r="73" spans="1:11" ht="11.1" customHeight="1" x14ac:dyDescent="0.2">
      <c r="A73" s="335" t="s">
        <v>52</v>
      </c>
      <c r="B73" s="356" t="s">
        <v>403</v>
      </c>
      <c r="C73" s="453">
        <v>3226.6</v>
      </c>
      <c r="D73" s="338" t="s">
        <v>47</v>
      </c>
      <c r="E73" s="356" t="s">
        <v>403</v>
      </c>
      <c r="F73" s="356" t="s">
        <v>403</v>
      </c>
      <c r="G73" s="338" t="s">
        <v>47</v>
      </c>
      <c r="H73" s="356" t="s">
        <v>403</v>
      </c>
      <c r="I73" s="356" t="s">
        <v>403</v>
      </c>
      <c r="J73" s="338" t="s">
        <v>47</v>
      </c>
    </row>
    <row r="74" spans="1:11" ht="11.1" customHeight="1" x14ac:dyDescent="0.2">
      <c r="A74" s="335" t="s">
        <v>424</v>
      </c>
      <c r="B74" s="453">
        <v>3000</v>
      </c>
      <c r="C74" s="453">
        <v>3750</v>
      </c>
      <c r="D74" s="605">
        <f>((C74/B74)  -           1)*100</f>
        <v>25</v>
      </c>
      <c r="E74" s="356" t="s">
        <v>403</v>
      </c>
      <c r="F74" s="453">
        <v>3450</v>
      </c>
      <c r="G74" s="338" t="s">
        <v>47</v>
      </c>
      <c r="H74" s="356" t="s">
        <v>403</v>
      </c>
      <c r="I74" s="356" t="s">
        <v>403</v>
      </c>
      <c r="J74" s="338" t="s">
        <v>47</v>
      </c>
    </row>
    <row r="75" spans="1:11" ht="11.1" customHeight="1" x14ac:dyDescent="0.2">
      <c r="A75" s="335" t="s">
        <v>30</v>
      </c>
      <c r="B75" s="453">
        <v>2805</v>
      </c>
      <c r="C75" s="453">
        <v>3330</v>
      </c>
      <c r="D75" s="605">
        <f>((C75/B75)  -           1)*100</f>
        <v>18.716577540106961</v>
      </c>
      <c r="E75" s="356" t="s">
        <v>403</v>
      </c>
      <c r="F75" s="356" t="s">
        <v>403</v>
      </c>
      <c r="G75" s="338" t="s">
        <v>47</v>
      </c>
      <c r="H75" s="356" t="s">
        <v>403</v>
      </c>
      <c r="I75" s="356" t="s">
        <v>403</v>
      </c>
      <c r="J75" s="338" t="s">
        <v>47</v>
      </c>
    </row>
    <row r="76" spans="1:11" ht="11.1" customHeight="1" x14ac:dyDescent="0.2">
      <c r="A76" s="335" t="s">
        <v>31</v>
      </c>
      <c r="B76" s="453">
        <v>3050</v>
      </c>
      <c r="C76" s="453">
        <v>3366.6</v>
      </c>
      <c r="D76" s="605">
        <f>((C76/B76)  -           1)*100</f>
        <v>10.380327868852458</v>
      </c>
      <c r="E76" s="356" t="s">
        <v>403</v>
      </c>
      <c r="F76" s="356" t="s">
        <v>403</v>
      </c>
      <c r="G76" s="338" t="s">
        <v>47</v>
      </c>
      <c r="H76" s="356" t="s">
        <v>403</v>
      </c>
      <c r="I76" s="356" t="s">
        <v>403</v>
      </c>
      <c r="J76" s="338" t="s">
        <v>47</v>
      </c>
    </row>
    <row r="77" spans="1:11" ht="11.1" customHeight="1" x14ac:dyDescent="0.2">
      <c r="A77" s="335" t="s">
        <v>32</v>
      </c>
      <c r="B77" s="453">
        <v>2852</v>
      </c>
      <c r="C77" s="453">
        <v>3365</v>
      </c>
      <c r="D77" s="605">
        <f>((C77/B77)  -           1)*100</f>
        <v>17.987377279102379</v>
      </c>
      <c r="E77" s="356" t="s">
        <v>403</v>
      </c>
      <c r="F77" s="356" t="s">
        <v>403</v>
      </c>
      <c r="G77" s="338" t="s">
        <v>47</v>
      </c>
      <c r="H77" s="453">
        <v>1200</v>
      </c>
      <c r="I77" s="453">
        <v>1300</v>
      </c>
      <c r="J77" s="362">
        <f>((I77/H77)  -           1)*100</f>
        <v>8.333333333333325</v>
      </c>
    </row>
    <row r="78" spans="1:11" ht="11.1" customHeight="1" x14ac:dyDescent="0.2">
      <c r="A78" s="335" t="s">
        <v>587</v>
      </c>
      <c r="B78" s="453">
        <v>2900</v>
      </c>
      <c r="C78" s="453">
        <v>3500</v>
      </c>
      <c r="D78" s="605">
        <f>((C78/B78)  -           1)*100</f>
        <v>20.68965517241379</v>
      </c>
      <c r="E78" s="356" t="s">
        <v>403</v>
      </c>
      <c r="F78" s="356" t="s">
        <v>403</v>
      </c>
      <c r="G78" s="338" t="s">
        <v>47</v>
      </c>
      <c r="H78" s="356" t="s">
        <v>403</v>
      </c>
      <c r="I78" s="356" t="s">
        <v>403</v>
      </c>
      <c r="J78" s="338" t="s">
        <v>47</v>
      </c>
      <c r="K78" s="338" t="s">
        <v>47</v>
      </c>
    </row>
    <row r="79" spans="1:11" ht="11.1" customHeight="1" x14ac:dyDescent="0.2">
      <c r="A79" s="604" t="s">
        <v>33</v>
      </c>
      <c r="B79" s="370">
        <f>AVERAGE(B80:B82)</f>
        <v>3086.6666666666665</v>
      </c>
      <c r="C79" s="370">
        <f>AVERAGE(C80:C82)</f>
        <v>3453.3333333333335</v>
      </c>
      <c r="D79" s="593">
        <f>((C79/B79) -     1)*100</f>
        <v>11.879049676025932</v>
      </c>
      <c r="E79" s="370">
        <f>AVERAGE(E80:E82)</f>
        <v>3120</v>
      </c>
      <c r="F79" s="370">
        <f>AVERAGE(F80:F82)</f>
        <v>3095</v>
      </c>
      <c r="G79" s="341">
        <f>((F79/E79) -     1)*100</f>
        <v>-0.80128205128204844</v>
      </c>
      <c r="H79" s="356" t="s">
        <v>403</v>
      </c>
      <c r="I79" s="356" t="s">
        <v>403</v>
      </c>
      <c r="J79" s="338" t="s">
        <v>47</v>
      </c>
      <c r="K79" s="338" t="s">
        <v>47</v>
      </c>
    </row>
    <row r="80" spans="1:11" ht="11.1" customHeight="1" x14ac:dyDescent="0.2">
      <c r="A80" s="335" t="s">
        <v>34</v>
      </c>
      <c r="B80" s="453">
        <v>2965</v>
      </c>
      <c r="C80" s="453">
        <v>3390</v>
      </c>
      <c r="D80" s="362">
        <f>((C80/B80) -     1)*100</f>
        <v>14.333895446880263</v>
      </c>
      <c r="E80" s="453">
        <v>3005</v>
      </c>
      <c r="F80" s="453">
        <v>3050</v>
      </c>
      <c r="G80" s="338">
        <f>((F80/E80) -     1)*100</f>
        <v>1.4975041597337757</v>
      </c>
      <c r="H80" s="356" t="s">
        <v>403</v>
      </c>
      <c r="I80" s="356" t="s">
        <v>403</v>
      </c>
      <c r="J80" s="338" t="s">
        <v>47</v>
      </c>
      <c r="K80" s="338" t="s">
        <v>47</v>
      </c>
    </row>
    <row r="81" spans="1:12" ht="11.1" customHeight="1" x14ac:dyDescent="0.2">
      <c r="A81" s="335" t="s">
        <v>35</v>
      </c>
      <c r="B81" s="453">
        <v>3215</v>
      </c>
      <c r="C81" s="453">
        <v>3530</v>
      </c>
      <c r="D81" s="362">
        <f>((C81/B81) -     1)*100</f>
        <v>9.7978227060653289</v>
      </c>
      <c r="E81" s="453">
        <v>3245</v>
      </c>
      <c r="F81" s="453">
        <v>3165</v>
      </c>
      <c r="G81" s="338">
        <f>((F81/E81) -     1)*100</f>
        <v>-2.4653312788906034</v>
      </c>
      <c r="H81" s="356" t="s">
        <v>403</v>
      </c>
      <c r="I81" s="356" t="s">
        <v>403</v>
      </c>
      <c r="J81" s="338" t="s">
        <v>47</v>
      </c>
      <c r="K81" s="338" t="s">
        <v>47</v>
      </c>
    </row>
    <row r="82" spans="1:12" ht="11.1" customHeight="1" x14ac:dyDescent="0.2">
      <c r="A82" s="335" t="s">
        <v>36</v>
      </c>
      <c r="B82" s="453">
        <v>3080</v>
      </c>
      <c r="C82" s="453">
        <v>3440</v>
      </c>
      <c r="D82" s="362">
        <f>((C82/B82) -     1)*100</f>
        <v>11.688311688311682</v>
      </c>
      <c r="E82" s="453">
        <v>3110</v>
      </c>
      <c r="F82" s="453">
        <v>3070</v>
      </c>
      <c r="G82" s="338">
        <f>((F82/E82) -     1)*100</f>
        <v>-1.2861736334405127</v>
      </c>
      <c r="H82" s="356" t="s">
        <v>403</v>
      </c>
      <c r="I82" s="356" t="s">
        <v>403</v>
      </c>
      <c r="J82" s="338" t="s">
        <v>47</v>
      </c>
      <c r="K82" s="338" t="s">
        <v>47</v>
      </c>
    </row>
    <row r="83" spans="1:12" ht="11.1" customHeight="1" x14ac:dyDescent="0.2">
      <c r="A83" s="604" t="s">
        <v>190</v>
      </c>
      <c r="B83" s="370">
        <f>AVERAGE(B84:B85)</f>
        <v>3573.3</v>
      </c>
      <c r="C83" s="370">
        <f>AVERAGE(C84:C85)</f>
        <v>3550</v>
      </c>
      <c r="D83" s="341">
        <f t="shared" ref="D83:D90" si="5">((C83/B83)  -           1)*100</f>
        <v>-0.65205832143957476</v>
      </c>
      <c r="E83" s="370">
        <f>AVERAGE(E84:E85)</f>
        <v>2480</v>
      </c>
      <c r="F83" s="370">
        <f>AVERAGE(F84:F85)</f>
        <v>2500</v>
      </c>
      <c r="G83" s="341">
        <f>((F83/E83)  -           1)*100</f>
        <v>0.80645161290322509</v>
      </c>
      <c r="H83" s="356" t="s">
        <v>403</v>
      </c>
      <c r="I83" s="370">
        <f>AVERAGE(I84:I85)</f>
        <v>967</v>
      </c>
      <c r="J83" s="338" t="s">
        <v>47</v>
      </c>
      <c r="K83" s="338" t="s">
        <v>47</v>
      </c>
      <c r="L83" s="542"/>
    </row>
    <row r="84" spans="1:12" ht="11.1" customHeight="1" x14ac:dyDescent="0.2">
      <c r="A84" s="335" t="s">
        <v>192</v>
      </c>
      <c r="B84" s="453">
        <v>4100</v>
      </c>
      <c r="C84" s="453">
        <v>3500</v>
      </c>
      <c r="D84" s="338">
        <f t="shared" si="5"/>
        <v>-14.634146341463417</v>
      </c>
      <c r="E84" s="356" t="s">
        <v>403</v>
      </c>
      <c r="F84" s="356" t="s">
        <v>403</v>
      </c>
      <c r="G84" s="338" t="s">
        <v>47</v>
      </c>
      <c r="H84" s="356" t="s">
        <v>403</v>
      </c>
      <c r="I84" s="356" t="s">
        <v>403</v>
      </c>
      <c r="J84" s="338" t="s">
        <v>47</v>
      </c>
      <c r="K84" s="338" t="s">
        <v>47</v>
      </c>
      <c r="L84" s="542"/>
    </row>
    <row r="85" spans="1:12" ht="11.1" customHeight="1" x14ac:dyDescent="0.2">
      <c r="A85" s="335" t="s">
        <v>193</v>
      </c>
      <c r="B85" s="453">
        <v>3046.6</v>
      </c>
      <c r="C85" s="453">
        <v>3600</v>
      </c>
      <c r="D85" s="338">
        <f t="shared" si="5"/>
        <v>18.164511258452045</v>
      </c>
      <c r="E85" s="453">
        <v>2480</v>
      </c>
      <c r="F85" s="453">
        <v>2500</v>
      </c>
      <c r="G85" s="338">
        <f>((F85/E85)  -           1)*100</f>
        <v>0.80645161290322509</v>
      </c>
      <c r="H85" s="356" t="s">
        <v>403</v>
      </c>
      <c r="I85" s="453">
        <v>967</v>
      </c>
      <c r="J85" s="338" t="s">
        <v>47</v>
      </c>
      <c r="K85" s="338" t="s">
        <v>47</v>
      </c>
      <c r="L85" s="542"/>
    </row>
    <row r="86" spans="1:12" ht="11.1" customHeight="1" x14ac:dyDescent="0.2">
      <c r="A86" s="604" t="s">
        <v>37</v>
      </c>
      <c r="B86" s="370">
        <f>AVERAGE(B87:B89)</f>
        <v>3443.3333333333335</v>
      </c>
      <c r="C86" s="370">
        <f>AVERAGE(C87:C89)</f>
        <v>3337.3333333333335</v>
      </c>
      <c r="D86" s="593">
        <f t="shared" si="5"/>
        <v>-3.0784123910938987</v>
      </c>
      <c r="E86" s="370">
        <f>AVERAGE(E87:E89)</f>
        <v>2991.7</v>
      </c>
      <c r="F86" s="370">
        <f>AVERAGE(F87:F89)</f>
        <v>2892</v>
      </c>
      <c r="G86" s="341">
        <f>((F86/E86)  -           1)*100</f>
        <v>-3.3325533977337285</v>
      </c>
      <c r="H86" s="370">
        <f>AVERAGE(H87:H89)</f>
        <v>900</v>
      </c>
      <c r="I86" s="370">
        <f>AVERAGE(I87:I89)</f>
        <v>867</v>
      </c>
      <c r="J86" s="603">
        <f>((I86/H86)  -           1)*100</f>
        <v>-3.6666666666666625</v>
      </c>
      <c r="K86" s="542"/>
      <c r="L86" s="542"/>
    </row>
    <row r="87" spans="1:12" ht="11.1" customHeight="1" x14ac:dyDescent="0.2">
      <c r="A87" s="335" t="s">
        <v>38</v>
      </c>
      <c r="B87" s="453">
        <v>3805</v>
      </c>
      <c r="C87" s="453">
        <v>3225</v>
      </c>
      <c r="D87" s="362">
        <f t="shared" si="5"/>
        <v>-15.243101182654407</v>
      </c>
      <c r="E87" s="453">
        <v>2973.4</v>
      </c>
      <c r="F87" s="453">
        <v>2667</v>
      </c>
      <c r="G87" s="338">
        <f>((F87/E87)  -           1)*100</f>
        <v>-10.304701688302952</v>
      </c>
      <c r="H87" s="453">
        <v>900</v>
      </c>
      <c r="I87" s="453">
        <v>867</v>
      </c>
      <c r="J87" s="362">
        <f>((I87/H87)  -           1)*100</f>
        <v>-3.6666666666666625</v>
      </c>
      <c r="K87" s="542"/>
      <c r="L87" s="542"/>
    </row>
    <row r="88" spans="1:12" ht="11.1" customHeight="1" x14ac:dyDescent="0.2">
      <c r="A88" s="335" t="s">
        <v>395</v>
      </c>
      <c r="B88" s="453">
        <v>3200</v>
      </c>
      <c r="C88" s="453">
        <v>3200</v>
      </c>
      <c r="D88" s="362">
        <f t="shared" si="5"/>
        <v>0</v>
      </c>
      <c r="E88" s="356" t="s">
        <v>403</v>
      </c>
      <c r="F88" s="453">
        <v>2700</v>
      </c>
      <c r="G88" s="362" t="s">
        <v>390</v>
      </c>
      <c r="H88" s="356" t="s">
        <v>403</v>
      </c>
      <c r="I88" s="356" t="s">
        <v>403</v>
      </c>
      <c r="J88" s="338" t="s">
        <v>47</v>
      </c>
      <c r="K88" s="542"/>
      <c r="L88" s="542"/>
    </row>
    <row r="89" spans="1:12" ht="11.1" customHeight="1" x14ac:dyDescent="0.2">
      <c r="A89" s="335" t="s">
        <v>39</v>
      </c>
      <c r="B89" s="453">
        <v>3325</v>
      </c>
      <c r="C89" s="453">
        <v>3587</v>
      </c>
      <c r="D89" s="362">
        <f t="shared" si="5"/>
        <v>7.8796992481203088</v>
      </c>
      <c r="E89" s="453">
        <v>3010</v>
      </c>
      <c r="F89" s="453">
        <v>3309</v>
      </c>
      <c r="G89" s="338">
        <f>((F89/E89)  -           1)*100</f>
        <v>9.9335548172757591</v>
      </c>
      <c r="H89" s="356" t="s">
        <v>403</v>
      </c>
      <c r="I89" s="356" t="s">
        <v>403</v>
      </c>
      <c r="J89" s="338" t="s">
        <v>47</v>
      </c>
    </row>
    <row r="90" spans="1:12" ht="11.1" customHeight="1" x14ac:dyDescent="0.2">
      <c r="A90" s="601" t="s">
        <v>40</v>
      </c>
      <c r="B90" s="370">
        <f>AVERAGE(B91:B91)</f>
        <v>2900</v>
      </c>
      <c r="C90" s="370">
        <f>AVERAGE(C91:C91)</f>
        <v>3440</v>
      </c>
      <c r="D90" s="593">
        <f t="shared" si="5"/>
        <v>18.620689655172406</v>
      </c>
      <c r="E90" s="370">
        <f>AVERAGE(E91:E91)</f>
        <v>3000</v>
      </c>
      <c r="F90" s="356" t="s">
        <v>403</v>
      </c>
      <c r="G90" s="338" t="s">
        <v>47</v>
      </c>
      <c r="H90" s="356" t="s">
        <v>403</v>
      </c>
      <c r="I90" s="356" t="s">
        <v>403</v>
      </c>
      <c r="J90" s="338" t="s">
        <v>47</v>
      </c>
    </row>
    <row r="91" spans="1:12" ht="11.1" customHeight="1" x14ac:dyDescent="0.2">
      <c r="A91" s="335" t="s">
        <v>406</v>
      </c>
      <c r="B91" s="453">
        <v>2900</v>
      </c>
      <c r="C91" s="453">
        <v>3440</v>
      </c>
      <c r="D91" s="362">
        <f>((C91/B91)  -           1)*100</f>
        <v>18.620689655172406</v>
      </c>
      <c r="E91" s="453">
        <v>3000</v>
      </c>
      <c r="F91" s="356" t="s">
        <v>403</v>
      </c>
      <c r="G91" s="338" t="s">
        <v>47</v>
      </c>
      <c r="H91" s="356" t="s">
        <v>403</v>
      </c>
      <c r="I91" s="356" t="s">
        <v>403</v>
      </c>
      <c r="J91" s="338" t="s">
        <v>47</v>
      </c>
    </row>
    <row r="92" spans="1:12" s="534" customFormat="1" ht="11.1" customHeight="1" x14ac:dyDescent="0.25">
      <c r="A92" s="383" t="s">
        <v>194</v>
      </c>
      <c r="B92" s="356" t="s">
        <v>403</v>
      </c>
      <c r="C92" s="370">
        <f>AVERAGE(C93:C98)</f>
        <v>3476.6666666666665</v>
      </c>
      <c r="D92" s="600" t="s">
        <v>47</v>
      </c>
      <c r="E92" s="356" t="s">
        <v>403</v>
      </c>
      <c r="F92" s="370">
        <f>AVERAGE(F93:F98)</f>
        <v>3053.3333333333335</v>
      </c>
      <c r="G92" s="600" t="s">
        <v>47</v>
      </c>
      <c r="H92" s="356" t="s">
        <v>403</v>
      </c>
      <c r="I92" s="602">
        <f>AVERAGE(I93:I98)</f>
        <v>1348.3333333333333</v>
      </c>
      <c r="J92" s="338" t="s">
        <v>47</v>
      </c>
    </row>
    <row r="93" spans="1:12" s="534" customFormat="1" ht="11.1" customHeight="1" x14ac:dyDescent="0.25">
      <c r="A93" s="335" t="s">
        <v>198</v>
      </c>
      <c r="B93" s="356" t="s">
        <v>403</v>
      </c>
      <c r="C93" s="453">
        <v>3300</v>
      </c>
      <c r="D93" s="598" t="s">
        <v>47</v>
      </c>
      <c r="E93" s="356" t="s">
        <v>403</v>
      </c>
      <c r="F93" s="356" t="s">
        <v>403</v>
      </c>
      <c r="G93" s="598" t="s">
        <v>47</v>
      </c>
      <c r="H93" s="356" t="s">
        <v>403</v>
      </c>
      <c r="I93" s="356" t="s">
        <v>403</v>
      </c>
      <c r="J93" s="338" t="s">
        <v>47</v>
      </c>
    </row>
    <row r="94" spans="1:12" s="534" customFormat="1" ht="11.1" customHeight="1" x14ac:dyDescent="0.25">
      <c r="A94" s="335" t="s">
        <v>196</v>
      </c>
      <c r="B94" s="356" t="s">
        <v>403</v>
      </c>
      <c r="C94" s="453">
        <v>4800</v>
      </c>
      <c r="D94" s="598" t="s">
        <v>47</v>
      </c>
      <c r="E94" s="356" t="s">
        <v>403</v>
      </c>
      <c r="F94" s="453">
        <v>2800</v>
      </c>
      <c r="G94" s="598" t="s">
        <v>47</v>
      </c>
      <c r="H94" s="356" t="s">
        <v>403</v>
      </c>
      <c r="I94" s="356" t="s">
        <v>403</v>
      </c>
      <c r="J94" s="338" t="s">
        <v>47</v>
      </c>
    </row>
    <row r="95" spans="1:12" s="534" customFormat="1" ht="11.1" customHeight="1" x14ac:dyDescent="0.25">
      <c r="A95" s="335" t="s">
        <v>63</v>
      </c>
      <c r="B95" s="356" t="s">
        <v>403</v>
      </c>
      <c r="C95" s="453">
        <v>2600</v>
      </c>
      <c r="D95" s="598" t="s">
        <v>47</v>
      </c>
      <c r="E95" s="356" t="s">
        <v>403</v>
      </c>
      <c r="F95" s="356" t="s">
        <v>403</v>
      </c>
      <c r="G95" s="598" t="s">
        <v>47</v>
      </c>
      <c r="H95" s="356" t="s">
        <v>403</v>
      </c>
      <c r="I95" s="453">
        <v>1260</v>
      </c>
      <c r="J95" s="338" t="s">
        <v>47</v>
      </c>
    </row>
    <row r="96" spans="1:12" s="534" customFormat="1" ht="11.1" customHeight="1" x14ac:dyDescent="0.25">
      <c r="A96" s="335" t="s">
        <v>515</v>
      </c>
      <c r="B96" s="356" t="s">
        <v>403</v>
      </c>
      <c r="C96" s="453">
        <v>3500</v>
      </c>
      <c r="D96" s="598" t="s">
        <v>47</v>
      </c>
      <c r="E96" s="356" t="s">
        <v>403</v>
      </c>
      <c r="F96" s="453">
        <v>2800</v>
      </c>
      <c r="G96" s="598" t="s">
        <v>47</v>
      </c>
      <c r="H96" s="356" t="s">
        <v>403</v>
      </c>
      <c r="I96" s="453">
        <v>1460</v>
      </c>
      <c r="J96" s="338" t="s">
        <v>47</v>
      </c>
    </row>
    <row r="97" spans="1:11" s="388" customFormat="1" ht="11.1" customHeight="1" x14ac:dyDescent="0.2">
      <c r="A97" s="335" t="s">
        <v>197</v>
      </c>
      <c r="B97" s="356" t="s">
        <v>403</v>
      </c>
      <c r="C97" s="453">
        <v>3060</v>
      </c>
      <c r="D97" s="598" t="s">
        <v>47</v>
      </c>
      <c r="E97" s="356" t="s">
        <v>403</v>
      </c>
      <c r="F97" s="356" t="s">
        <v>403</v>
      </c>
      <c r="G97" s="598" t="s">
        <v>47</v>
      </c>
      <c r="H97" s="356" t="s">
        <v>403</v>
      </c>
      <c r="I97" s="453">
        <v>1325</v>
      </c>
      <c r="J97" s="338" t="s">
        <v>47</v>
      </c>
    </row>
    <row r="98" spans="1:11" s="534" customFormat="1" ht="11.1" customHeight="1" x14ac:dyDescent="0.25">
      <c r="A98" s="335" t="s">
        <v>195</v>
      </c>
      <c r="B98" s="356" t="s">
        <v>403</v>
      </c>
      <c r="C98" s="453">
        <v>3600</v>
      </c>
      <c r="D98" s="598" t="s">
        <v>47</v>
      </c>
      <c r="E98" s="356" t="s">
        <v>403</v>
      </c>
      <c r="F98" s="453">
        <v>3560</v>
      </c>
      <c r="G98" s="598" t="s">
        <v>47</v>
      </c>
      <c r="H98" s="356" t="s">
        <v>403</v>
      </c>
      <c r="I98" s="608" t="s">
        <v>402</v>
      </c>
      <c r="J98" s="338" t="s">
        <v>47</v>
      </c>
    </row>
    <row r="99" spans="1:11" ht="11.1" customHeight="1" x14ac:dyDescent="0.2">
      <c r="A99" s="601" t="s">
        <v>584</v>
      </c>
      <c r="B99" s="370">
        <f>AVERAGE(B100:B101)</f>
        <v>2975</v>
      </c>
      <c r="C99" s="370">
        <f>AVERAGE(C100:C101)</f>
        <v>3430</v>
      </c>
      <c r="D99" s="665">
        <f>((C99/B99)  -           1)*100</f>
        <v>15.294117647058814</v>
      </c>
      <c r="E99" s="356" t="s">
        <v>403</v>
      </c>
      <c r="F99" s="356" t="s">
        <v>403</v>
      </c>
      <c r="G99" s="338" t="s">
        <v>47</v>
      </c>
      <c r="H99" s="370">
        <f>AVERAGE(H100:H101)</f>
        <v>850</v>
      </c>
      <c r="I99" s="370">
        <f>AVERAGE(I100:I101)</f>
        <v>1060</v>
      </c>
      <c r="J99" s="593">
        <f>((I99/H99)  -           1)*100</f>
        <v>24.705882352941178</v>
      </c>
    </row>
    <row r="100" spans="1:11" ht="11.1" customHeight="1" x14ac:dyDescent="0.2">
      <c r="A100" s="335" t="s">
        <v>516</v>
      </c>
      <c r="B100" s="453">
        <v>2900</v>
      </c>
      <c r="C100" s="356" t="s">
        <v>403</v>
      </c>
      <c r="D100" s="598" t="s">
        <v>47</v>
      </c>
      <c r="E100" s="356" t="s">
        <v>403</v>
      </c>
      <c r="F100" s="356" t="s">
        <v>403</v>
      </c>
      <c r="G100" s="338" t="s">
        <v>47</v>
      </c>
      <c r="H100" s="599">
        <v>850</v>
      </c>
      <c r="I100" s="453">
        <v>1060</v>
      </c>
      <c r="J100" s="362">
        <f>((I100/H100)  -           1)*100</f>
        <v>24.705882352941178</v>
      </c>
    </row>
    <row r="101" spans="1:11" ht="11.1" customHeight="1" x14ac:dyDescent="0.2">
      <c r="A101" s="335" t="s">
        <v>58</v>
      </c>
      <c r="B101" s="453">
        <v>3050</v>
      </c>
      <c r="C101" s="453">
        <v>3430</v>
      </c>
      <c r="D101" s="666">
        <f>((C101/B101)  -           1)*100</f>
        <v>12.459016393442624</v>
      </c>
      <c r="E101" s="356" t="s">
        <v>403</v>
      </c>
      <c r="F101" s="356" t="s">
        <v>403</v>
      </c>
      <c r="G101" s="338" t="s">
        <v>47</v>
      </c>
      <c r="H101" s="356" t="s">
        <v>403</v>
      </c>
      <c r="I101" s="356" t="s">
        <v>403</v>
      </c>
      <c r="J101" s="338" t="s">
        <v>47</v>
      </c>
    </row>
    <row r="102" spans="1:11" ht="11.1" customHeight="1" x14ac:dyDescent="0.2">
      <c r="A102" s="597" t="s">
        <v>86</v>
      </c>
      <c r="B102" s="356" t="s">
        <v>403</v>
      </c>
      <c r="C102" s="370">
        <f>AVERAGE(C103:C103)</f>
        <v>3120</v>
      </c>
      <c r="D102" s="593" t="s">
        <v>390</v>
      </c>
      <c r="E102" s="356" t="s">
        <v>403</v>
      </c>
      <c r="F102" s="356" t="s">
        <v>403</v>
      </c>
      <c r="G102" s="600" t="s">
        <v>47</v>
      </c>
      <c r="H102" s="356" t="s">
        <v>403</v>
      </c>
      <c r="I102" s="356" t="s">
        <v>403</v>
      </c>
      <c r="J102" s="338" t="s">
        <v>47</v>
      </c>
      <c r="K102" s="624"/>
    </row>
    <row r="103" spans="1:11" ht="11.1" customHeight="1" x14ac:dyDescent="0.2">
      <c r="A103" s="335" t="s">
        <v>445</v>
      </c>
      <c r="B103" s="356" t="s">
        <v>403</v>
      </c>
      <c r="C103" s="453">
        <v>3120</v>
      </c>
      <c r="D103" s="362" t="s">
        <v>390</v>
      </c>
      <c r="E103" s="356" t="s">
        <v>403</v>
      </c>
      <c r="F103" s="356" t="s">
        <v>403</v>
      </c>
      <c r="G103" s="362" t="s">
        <v>390</v>
      </c>
      <c r="H103" s="356" t="s">
        <v>403</v>
      </c>
      <c r="I103" s="356" t="s">
        <v>403</v>
      </c>
      <c r="J103" s="338" t="s">
        <v>47</v>
      </c>
    </row>
    <row r="104" spans="1:11" ht="11.1" customHeight="1" x14ac:dyDescent="0.2">
      <c r="A104" s="597" t="s">
        <v>69</v>
      </c>
      <c r="B104" s="370">
        <f>AVERAGE(B105:B107)</f>
        <v>3110</v>
      </c>
      <c r="C104" s="370">
        <f>AVERAGE(C105:C107)</f>
        <v>3346.6666666666665</v>
      </c>
      <c r="D104" s="603">
        <f t="shared" ref="D104:D109" si="6">((C104/B104)  -           1)*100</f>
        <v>7.6098606645230493</v>
      </c>
      <c r="E104" s="370">
        <f>AVERAGE(E105:E107)</f>
        <v>3040</v>
      </c>
      <c r="F104" s="370">
        <f>AVERAGE(F105:F107)</f>
        <v>3200</v>
      </c>
      <c r="G104" s="341">
        <f>((F104/E104)  -           1)*100</f>
        <v>5.2631578947368363</v>
      </c>
      <c r="H104" s="370">
        <f>AVERAGE(H105:H107)</f>
        <v>2200</v>
      </c>
      <c r="I104" s="356" t="s">
        <v>403</v>
      </c>
      <c r="J104" s="338" t="s">
        <v>47</v>
      </c>
    </row>
    <row r="105" spans="1:11" ht="11.1" customHeight="1" x14ac:dyDescent="0.2">
      <c r="A105" s="335" t="s">
        <v>447</v>
      </c>
      <c r="B105" s="453">
        <v>3280</v>
      </c>
      <c r="C105" s="453">
        <v>3060</v>
      </c>
      <c r="D105" s="480">
        <f t="shared" si="6"/>
        <v>-6.7073170731707261</v>
      </c>
      <c r="E105" s="356" t="s">
        <v>403</v>
      </c>
      <c r="F105" s="356" t="s">
        <v>403</v>
      </c>
      <c r="G105" s="362" t="s">
        <v>390</v>
      </c>
      <c r="H105" s="356" t="s">
        <v>403</v>
      </c>
      <c r="I105" s="356" t="s">
        <v>403</v>
      </c>
      <c r="J105" s="338" t="s">
        <v>47</v>
      </c>
    </row>
    <row r="106" spans="1:11" ht="11.1" customHeight="1" x14ac:dyDescent="0.2">
      <c r="A106" s="335" t="s">
        <v>70</v>
      </c>
      <c r="B106" s="453">
        <v>2950</v>
      </c>
      <c r="C106" s="453">
        <v>3380</v>
      </c>
      <c r="D106" s="480">
        <f t="shared" si="6"/>
        <v>14.576271186440671</v>
      </c>
      <c r="E106" s="453">
        <v>3040</v>
      </c>
      <c r="F106" s="356" t="s">
        <v>403</v>
      </c>
      <c r="G106" s="362" t="s">
        <v>390</v>
      </c>
      <c r="H106" s="453">
        <v>2200</v>
      </c>
      <c r="I106" s="356" t="s">
        <v>403</v>
      </c>
      <c r="J106" s="338" t="s">
        <v>47</v>
      </c>
    </row>
    <row r="107" spans="1:11" ht="11.1" customHeight="1" x14ac:dyDescent="0.2">
      <c r="A107" s="335" t="s">
        <v>71</v>
      </c>
      <c r="B107" s="453">
        <v>3100</v>
      </c>
      <c r="C107" s="453">
        <v>3600</v>
      </c>
      <c r="D107" s="480">
        <f t="shared" si="6"/>
        <v>16.129032258064523</v>
      </c>
      <c r="E107" s="356" t="s">
        <v>403</v>
      </c>
      <c r="F107" s="453">
        <v>3200</v>
      </c>
      <c r="G107" s="362" t="s">
        <v>390</v>
      </c>
      <c r="H107" s="356" t="s">
        <v>403</v>
      </c>
      <c r="I107" s="356" t="s">
        <v>403</v>
      </c>
      <c r="J107" s="338" t="s">
        <v>47</v>
      </c>
    </row>
    <row r="108" spans="1:11" ht="11.1" customHeight="1" x14ac:dyDescent="0.2">
      <c r="A108" s="597" t="s">
        <v>44</v>
      </c>
      <c r="B108" s="370">
        <f>AVERAGE(B109:B109)</f>
        <v>2990</v>
      </c>
      <c r="C108" s="370">
        <f>AVERAGE(C109:C109)</f>
        <v>3353.4</v>
      </c>
      <c r="D108" s="333">
        <f t="shared" si="6"/>
        <v>12.15384615384616</v>
      </c>
      <c r="E108" s="370">
        <f>AVERAGE(E109:E109)</f>
        <v>2130</v>
      </c>
      <c r="F108" s="370">
        <f>AVERAGE(F109:F109)</f>
        <v>3200</v>
      </c>
      <c r="G108" s="341">
        <f>((F108/E108)  -           1)*100</f>
        <v>50.234741784037553</v>
      </c>
      <c r="H108" s="370">
        <f>AVERAGE(H109:H109)</f>
        <v>800</v>
      </c>
      <c r="I108" s="370">
        <f>AVERAGE(I109:I109)</f>
        <v>725</v>
      </c>
      <c r="J108" s="593">
        <f>((I108/H108)  -           1)*100</f>
        <v>-9.375</v>
      </c>
    </row>
    <row r="109" spans="1:11" ht="11.1" customHeight="1" x14ac:dyDescent="0.2">
      <c r="A109" s="335" t="s">
        <v>45</v>
      </c>
      <c r="B109" s="453">
        <v>2990</v>
      </c>
      <c r="C109" s="453">
        <v>3353.4</v>
      </c>
      <c r="D109" s="667">
        <f t="shared" si="6"/>
        <v>12.15384615384616</v>
      </c>
      <c r="E109" s="596">
        <v>2130</v>
      </c>
      <c r="F109" s="453">
        <v>3200</v>
      </c>
      <c r="G109" s="338">
        <f>((F109/E109)  -           1)*100</f>
        <v>50.234741784037553</v>
      </c>
      <c r="H109" s="596">
        <v>800</v>
      </c>
      <c r="I109" s="453">
        <v>725</v>
      </c>
      <c r="J109" s="362">
        <f>((I109/H109)  -           1)*100</f>
        <v>-9.375</v>
      </c>
    </row>
    <row r="110" spans="1:11" ht="9" customHeight="1" x14ac:dyDescent="0.2">
      <c r="A110" s="595" t="s">
        <v>84</v>
      </c>
      <c r="B110" s="567"/>
      <c r="C110" s="567"/>
      <c r="F110" s="567"/>
      <c r="G110" s="567"/>
      <c r="I110" s="567"/>
      <c r="J110" s="567"/>
    </row>
    <row r="111" spans="1:11" ht="9" customHeight="1" x14ac:dyDescent="0.2">
      <c r="A111" s="575" t="s">
        <v>489</v>
      </c>
    </row>
    <row r="112" spans="1:11" ht="9" customHeight="1" x14ac:dyDescent="0.2">
      <c r="A112" s="575" t="s">
        <v>66</v>
      </c>
    </row>
    <row r="113" ht="12" customHeight="1" x14ac:dyDescent="0.2"/>
    <row r="114" ht="10.15" customHeight="1" x14ac:dyDescent="0.2"/>
    <row r="115" ht="10.1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</sheetData>
  <mergeCells count="12">
    <mergeCell ref="A56:F56"/>
    <mergeCell ref="A57:A58"/>
    <mergeCell ref="B57:D57"/>
    <mergeCell ref="E57:G57"/>
    <mergeCell ref="H57:J57"/>
    <mergeCell ref="M27:O27"/>
    <mergeCell ref="P27:R27"/>
    <mergeCell ref="A5:A6"/>
    <mergeCell ref="B5:D5"/>
    <mergeCell ref="E5:G5"/>
    <mergeCell ref="H5:J5"/>
    <mergeCell ref="K27:L27"/>
  </mergeCells>
  <pageMargins left="0.27559055118110237" right="0.27559055118110237" top="0.39370078740157483" bottom="0.39370078740157483" header="0" footer="0"/>
  <pageSetup paperSize="9" orientation="portrait" r:id="rId1"/>
  <ignoredErrors>
    <ignoredError sqref="A29:O30 A90:E91 A26:E28 G26:O28 A31:A32 C31:D32 A44:O44 A42:B42 D42:G42 A48:D53 A46:B46 D46:G46 A47 A54 C54:D54 A66:O66 F49:G49 F53:G54 G50:G52 D47:E47 G47:O47 G48 A45:D45 G45 A43:D43 G43 A39:O39 A33:D38 G36:G38 F31:G33 J33:O38 I31:O32 A41:O41 A40:G40 J40:O40 J42:O43 J45:O46 I49:O49 J54:O54 I53:O53 J50:O52 J48:O48 F35:G35 G34 A73 C73:D73 A99:D99 A92:A98 C92:D98 A104:H104 A102:A103 C102:D103 A101:D101 A100:B100 D100 A70:E70 A67:D69 F67:G67 A74:D78 F74:G74 A71:D72 G68:G73 G77:O77 A86:O87 A84:D84 G84 A89:G89 A88:D88 F88:G88 F94:G94 F92:G92 G99:O100 F96:G96 G95 G90:G91 G93 F98:G98 G97 A106:E106 A105:D105 G105 A108:O197 A107:D107 F107:G107 G106:H106 K101:O107 G101:G103 I92 I95:I98 A79:G83 G78 I83 A85:G85 I85 J67:O67 G75:G76 K68:O76 L78:O85 K88:O98 A55:O5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77"/>
  <sheetViews>
    <sheetView showGridLines="0" zoomScaleNormal="100" workbookViewId="0">
      <pane xSplit="1" ySplit="6" topLeftCell="B7" activePane="bottomRight" state="frozen"/>
      <selection activeCell="L27" sqref="L27"/>
      <selection pane="topRight" activeCell="L27" sqref="L27"/>
      <selection pane="bottomLeft" activeCell="L27" sqref="L27"/>
      <selection pane="bottomRight" activeCell="L27" sqref="L27"/>
    </sheetView>
  </sheetViews>
  <sheetFormatPr baseColWidth="10" defaultColWidth="12.7109375" defaultRowHeight="15" customHeight="1" x14ac:dyDescent="0.2"/>
  <cols>
    <col min="1" max="1" width="17.7109375" style="2" customWidth="1"/>
    <col min="2" max="3" width="8.7109375" style="2" customWidth="1"/>
    <col min="4" max="4" width="6.7109375" style="2" customWidth="1"/>
    <col min="5" max="6" width="8.7109375" style="2" customWidth="1"/>
    <col min="7" max="7" width="6.7109375" style="2" customWidth="1"/>
    <col min="8" max="9" width="8.7109375" style="2" customWidth="1"/>
    <col min="10" max="10" width="6.7109375" style="2" customWidth="1"/>
    <col min="11" max="16384" width="12.7109375" style="2"/>
  </cols>
  <sheetData>
    <row r="1" spans="1:10" ht="21.75" customHeight="1" x14ac:dyDescent="0.25">
      <c r="A1" s="345" t="s">
        <v>400</v>
      </c>
      <c r="B1" s="346"/>
      <c r="C1" s="346"/>
      <c r="D1" s="326"/>
      <c r="E1" s="347"/>
      <c r="F1" s="326"/>
      <c r="G1" s="326"/>
      <c r="H1" s="326"/>
      <c r="I1" s="326"/>
      <c r="J1" s="326"/>
    </row>
    <row r="2" spans="1:10" ht="12" customHeight="1" x14ac:dyDescent="0.25">
      <c r="A2" s="348" t="s">
        <v>555</v>
      </c>
      <c r="B2" s="346"/>
      <c r="C2" s="346"/>
      <c r="D2" s="326"/>
      <c r="E2" s="347"/>
      <c r="F2" s="326"/>
      <c r="G2" s="326"/>
      <c r="H2" s="326"/>
      <c r="I2" s="326"/>
      <c r="J2" s="326"/>
    </row>
    <row r="3" spans="1:10" ht="12" customHeight="1" x14ac:dyDescent="0.25">
      <c r="A3" s="348" t="s">
        <v>385</v>
      </c>
      <c r="B3" s="346"/>
      <c r="C3" s="346"/>
      <c r="D3" s="326"/>
      <c r="E3" s="347"/>
      <c r="F3" s="326"/>
      <c r="G3" s="326"/>
      <c r="H3" s="326"/>
      <c r="I3" s="326"/>
      <c r="J3" s="326"/>
    </row>
    <row r="4" spans="1:10" ht="4.9000000000000004" customHeight="1" x14ac:dyDescent="0.2">
      <c r="A4" s="326"/>
      <c r="B4" s="326"/>
      <c r="C4" s="326"/>
      <c r="D4" s="326"/>
      <c r="E4" s="347"/>
      <c r="F4" s="326"/>
      <c r="G4" s="326"/>
      <c r="H4" s="326"/>
      <c r="I4" s="326"/>
      <c r="J4" s="326"/>
    </row>
    <row r="5" spans="1:10" ht="14.1" customHeight="1" x14ac:dyDescent="0.2">
      <c r="A5" s="704" t="s">
        <v>0</v>
      </c>
      <c r="B5" s="706" t="s">
        <v>48</v>
      </c>
      <c r="C5" s="707"/>
      <c r="D5" s="708"/>
      <c r="E5" s="706" t="s">
        <v>49</v>
      </c>
      <c r="F5" s="707"/>
      <c r="G5" s="708"/>
      <c r="H5" s="706" t="s">
        <v>401</v>
      </c>
      <c r="I5" s="707"/>
      <c r="J5" s="708"/>
    </row>
    <row r="6" spans="1:10" ht="14.1" customHeight="1" x14ac:dyDescent="0.2">
      <c r="A6" s="705"/>
      <c r="B6" s="329">
        <v>2024</v>
      </c>
      <c r="C6" s="329">
        <v>2025</v>
      </c>
      <c r="D6" s="329" t="s">
        <v>1</v>
      </c>
      <c r="E6" s="329">
        <v>2024</v>
      </c>
      <c r="F6" s="329">
        <v>2025</v>
      </c>
      <c r="G6" s="329" t="s">
        <v>1</v>
      </c>
      <c r="H6" s="329">
        <v>2024</v>
      </c>
      <c r="I6" s="329">
        <v>2025</v>
      </c>
      <c r="J6" s="329" t="s">
        <v>1</v>
      </c>
    </row>
    <row r="7" spans="1:10" s="544" customFormat="1" ht="12" customHeight="1" x14ac:dyDescent="0.25">
      <c r="A7" s="597" t="s">
        <v>466</v>
      </c>
      <c r="B7" s="349">
        <f>AVERAGE(B8:B8)</f>
        <v>2310</v>
      </c>
      <c r="C7" s="349">
        <f>AVERAGE(C8:C8)</f>
        <v>2080</v>
      </c>
      <c r="D7" s="341">
        <f>((C7/B7) -      1)*100</f>
        <v>-9.9567099567099522</v>
      </c>
      <c r="E7" s="349" t="s">
        <v>403</v>
      </c>
      <c r="F7" s="351">
        <f>AVERAGE(F8:F8)</f>
        <v>3260</v>
      </c>
      <c r="G7" s="341" t="s">
        <v>390</v>
      </c>
      <c r="H7" s="352" t="s">
        <v>397</v>
      </c>
      <c r="I7" s="351">
        <f>AVERAGE(I8:I8)</f>
        <v>2700</v>
      </c>
      <c r="J7" s="1" t="s">
        <v>390</v>
      </c>
    </row>
    <row r="8" spans="1:10" ht="12" customHeight="1" x14ac:dyDescent="0.2">
      <c r="A8" s="343" t="s">
        <v>469</v>
      </c>
      <c r="B8" s="616">
        <v>2310</v>
      </c>
      <c r="C8" s="616">
        <v>2080</v>
      </c>
      <c r="D8" s="338">
        <f>((C8/B8) -      1)*100</f>
        <v>-9.9567099567099522</v>
      </c>
      <c r="E8" s="616" t="s">
        <v>403</v>
      </c>
      <c r="F8" s="350">
        <v>3260</v>
      </c>
      <c r="G8" s="338" t="s">
        <v>390</v>
      </c>
      <c r="H8" s="350" t="s">
        <v>403</v>
      </c>
      <c r="I8" s="350">
        <v>2700</v>
      </c>
      <c r="J8" s="1" t="s">
        <v>390</v>
      </c>
    </row>
    <row r="9" spans="1:10" ht="12" customHeight="1" x14ac:dyDescent="0.2">
      <c r="A9" s="373" t="s">
        <v>419</v>
      </c>
      <c r="B9" s="364" t="s">
        <v>403</v>
      </c>
      <c r="C9" s="349">
        <f>AVERAGE(C10:C11)</f>
        <v>2180</v>
      </c>
      <c r="D9" s="341" t="s">
        <v>390</v>
      </c>
      <c r="E9" s="364" t="s">
        <v>403</v>
      </c>
      <c r="F9" s="351">
        <f>AVERAGE(F10:F11)</f>
        <v>3350</v>
      </c>
      <c r="G9" s="341" t="s">
        <v>390</v>
      </c>
      <c r="H9" s="364" t="s">
        <v>403</v>
      </c>
      <c r="I9" s="380" t="s">
        <v>397</v>
      </c>
      <c r="J9" s="334" t="s">
        <v>390</v>
      </c>
    </row>
    <row r="10" spans="1:10" ht="12" customHeight="1" x14ac:dyDescent="0.2">
      <c r="A10" s="335" t="s">
        <v>421</v>
      </c>
      <c r="B10" s="363" t="s">
        <v>403</v>
      </c>
      <c r="C10" s="363">
        <v>2160</v>
      </c>
      <c r="D10" s="371" t="s">
        <v>3</v>
      </c>
      <c r="E10" s="363" t="s">
        <v>403</v>
      </c>
      <c r="F10" s="616" t="s">
        <v>403</v>
      </c>
      <c r="G10" s="338" t="s">
        <v>390</v>
      </c>
      <c r="H10" s="363" t="s">
        <v>403</v>
      </c>
      <c r="I10" s="352" t="s">
        <v>397</v>
      </c>
      <c r="J10" s="1" t="s">
        <v>390</v>
      </c>
    </row>
    <row r="11" spans="1:10" ht="12" customHeight="1" x14ac:dyDescent="0.2">
      <c r="A11" s="335" t="s">
        <v>444</v>
      </c>
      <c r="B11" s="363" t="s">
        <v>403</v>
      </c>
      <c r="C11" s="363">
        <v>2200</v>
      </c>
      <c r="D11" s="371" t="s">
        <v>3</v>
      </c>
      <c r="E11" s="363" t="s">
        <v>403</v>
      </c>
      <c r="F11" s="350">
        <v>3350</v>
      </c>
      <c r="G11" s="338" t="s">
        <v>390</v>
      </c>
      <c r="H11" s="363" t="s">
        <v>403</v>
      </c>
      <c r="I11" s="352" t="s">
        <v>397</v>
      </c>
      <c r="J11" s="1" t="s">
        <v>390</v>
      </c>
    </row>
    <row r="12" spans="1:10" ht="12" customHeight="1" x14ac:dyDescent="0.2">
      <c r="A12" s="591" t="s">
        <v>586</v>
      </c>
      <c r="B12" s="349" t="s">
        <v>403</v>
      </c>
      <c r="C12" s="349">
        <f>AVERAGE(C13:C14)</f>
        <v>3005</v>
      </c>
      <c r="D12" s="341" t="s">
        <v>390</v>
      </c>
      <c r="E12" s="349" t="s">
        <v>403</v>
      </c>
      <c r="F12" s="351">
        <f>AVERAGE(F13:F14)</f>
        <v>4493.3999999999996</v>
      </c>
      <c r="G12" s="341" t="s">
        <v>390</v>
      </c>
      <c r="H12" s="351" t="s">
        <v>403</v>
      </c>
      <c r="I12" s="351">
        <f>AVERAGE(I13:I14)</f>
        <v>3806.6</v>
      </c>
      <c r="J12" s="334" t="s">
        <v>390</v>
      </c>
    </row>
    <row r="13" spans="1:10" ht="12" customHeight="1" x14ac:dyDescent="0.2">
      <c r="A13" s="343" t="s">
        <v>151</v>
      </c>
      <c r="B13" s="616" t="s">
        <v>403</v>
      </c>
      <c r="C13" s="616">
        <v>3310</v>
      </c>
      <c r="D13" s="338" t="s">
        <v>390</v>
      </c>
      <c r="E13" s="616" t="s">
        <v>403</v>
      </c>
      <c r="F13" s="350">
        <v>4493.3999999999996</v>
      </c>
      <c r="G13" s="338" t="s">
        <v>390</v>
      </c>
      <c r="H13" s="350" t="s">
        <v>403</v>
      </c>
      <c r="I13" s="350">
        <v>3806.6</v>
      </c>
      <c r="J13" s="1" t="s">
        <v>390</v>
      </c>
    </row>
    <row r="14" spans="1:10" ht="12" customHeight="1" x14ac:dyDescent="0.2">
      <c r="A14" s="343" t="s">
        <v>391</v>
      </c>
      <c r="B14" s="616" t="s">
        <v>403</v>
      </c>
      <c r="C14" s="616">
        <v>2700</v>
      </c>
      <c r="D14" s="338" t="s">
        <v>390</v>
      </c>
      <c r="E14" s="616" t="s">
        <v>403</v>
      </c>
      <c r="F14" s="616" t="s">
        <v>403</v>
      </c>
      <c r="G14" s="338" t="s">
        <v>390</v>
      </c>
      <c r="H14" s="350" t="s">
        <v>403</v>
      </c>
      <c r="I14" s="350" t="s">
        <v>403</v>
      </c>
      <c r="J14" s="1" t="s">
        <v>390</v>
      </c>
    </row>
    <row r="15" spans="1:10" ht="12" customHeight="1" x14ac:dyDescent="0.2">
      <c r="A15" s="591" t="s">
        <v>2</v>
      </c>
      <c r="B15" s="349">
        <f>AVERAGE(B16:B19)</f>
        <v>2513.15</v>
      </c>
      <c r="C15" s="349">
        <f>AVERAGE(C16:C19)</f>
        <v>2109.5</v>
      </c>
      <c r="D15" s="353">
        <f t="shared" ref="D15:D22" si="0">((C15/B15) -      1)*100</f>
        <v>-16.06151642361181</v>
      </c>
      <c r="E15" s="351">
        <f>AVERAGE(E16:E19)</f>
        <v>3200</v>
      </c>
      <c r="F15" s="351">
        <f>AVERAGE(F16:F19)</f>
        <v>2940</v>
      </c>
      <c r="G15" s="341">
        <f>((F15/E15) -      1)*100</f>
        <v>-8.1250000000000036</v>
      </c>
      <c r="H15" s="351" t="s">
        <v>403</v>
      </c>
      <c r="I15" s="351">
        <f>AVERAGE(I16:I19)</f>
        <v>2500</v>
      </c>
      <c r="J15" s="334" t="s">
        <v>390</v>
      </c>
    </row>
    <row r="16" spans="1:10" ht="12" customHeight="1" x14ac:dyDescent="0.2">
      <c r="A16" s="343" t="s">
        <v>76</v>
      </c>
      <c r="B16" s="616">
        <v>2425</v>
      </c>
      <c r="C16" s="616">
        <v>1735</v>
      </c>
      <c r="D16" s="355">
        <f t="shared" si="0"/>
        <v>-28.453608247422679</v>
      </c>
      <c r="E16" s="350">
        <v>3200</v>
      </c>
      <c r="F16" s="350">
        <v>2940</v>
      </c>
      <c r="G16" s="338">
        <f>((F16/E16) -      1)*100</f>
        <v>-8.1250000000000036</v>
      </c>
      <c r="H16" s="350" t="s">
        <v>403</v>
      </c>
      <c r="I16" s="350" t="s">
        <v>403</v>
      </c>
      <c r="J16" s="1" t="s">
        <v>390</v>
      </c>
    </row>
    <row r="17" spans="1:10" ht="12" customHeight="1" x14ac:dyDescent="0.2">
      <c r="A17" s="343" t="s">
        <v>59</v>
      </c>
      <c r="B17" s="616">
        <v>2327.6</v>
      </c>
      <c r="C17" s="616">
        <v>2223</v>
      </c>
      <c r="D17" s="338">
        <f t="shared" si="0"/>
        <v>-4.4938992954115742</v>
      </c>
      <c r="E17" s="616" t="s">
        <v>403</v>
      </c>
      <c r="F17" s="616" t="s">
        <v>403</v>
      </c>
      <c r="G17" s="338" t="s">
        <v>3</v>
      </c>
      <c r="H17" s="350" t="s">
        <v>403</v>
      </c>
      <c r="I17" s="350" t="s">
        <v>403</v>
      </c>
      <c r="J17" s="1" t="s">
        <v>390</v>
      </c>
    </row>
    <row r="18" spans="1:10" ht="12" customHeight="1" x14ac:dyDescent="0.2">
      <c r="A18" s="343" t="s">
        <v>511</v>
      </c>
      <c r="B18" s="616">
        <v>2600</v>
      </c>
      <c r="C18" s="363">
        <v>2600</v>
      </c>
      <c r="D18" s="338">
        <f t="shared" si="0"/>
        <v>0</v>
      </c>
      <c r="E18" s="616" t="s">
        <v>403</v>
      </c>
      <c r="F18" s="616" t="s">
        <v>403</v>
      </c>
      <c r="G18" s="338" t="s">
        <v>390</v>
      </c>
      <c r="H18" s="350" t="s">
        <v>403</v>
      </c>
      <c r="I18" s="350" t="s">
        <v>403</v>
      </c>
      <c r="J18" s="1" t="s">
        <v>390</v>
      </c>
    </row>
    <row r="19" spans="1:10" ht="12" customHeight="1" x14ac:dyDescent="0.2">
      <c r="A19" s="343" t="s">
        <v>186</v>
      </c>
      <c r="B19" s="616">
        <v>2700</v>
      </c>
      <c r="C19" s="616">
        <v>1880</v>
      </c>
      <c r="D19" s="355">
        <f t="shared" si="0"/>
        <v>-30.37037037037037</v>
      </c>
      <c r="E19" s="616" t="s">
        <v>403</v>
      </c>
      <c r="F19" s="616" t="s">
        <v>403</v>
      </c>
      <c r="G19" s="341" t="s">
        <v>3</v>
      </c>
      <c r="H19" s="350" t="s">
        <v>403</v>
      </c>
      <c r="I19" s="350">
        <v>2500</v>
      </c>
      <c r="J19" s="1" t="s">
        <v>390</v>
      </c>
    </row>
    <row r="20" spans="1:10" ht="12" customHeight="1" x14ac:dyDescent="0.2">
      <c r="A20" s="591" t="s">
        <v>6</v>
      </c>
      <c r="B20" s="354">
        <f>AVERAGE(B21:B22)</f>
        <v>2326.6999999999998</v>
      </c>
      <c r="C20" s="354">
        <f>AVERAGE(C21:C22)</f>
        <v>2425</v>
      </c>
      <c r="D20" s="353">
        <f t="shared" si="0"/>
        <v>4.224867838569657</v>
      </c>
      <c r="E20" s="349" t="s">
        <v>403</v>
      </c>
      <c r="F20" s="351">
        <f>AVERAGE(F21:F22)</f>
        <v>3600</v>
      </c>
      <c r="G20" s="341" t="s">
        <v>390</v>
      </c>
      <c r="H20" s="380" t="s">
        <v>397</v>
      </c>
      <c r="I20" s="364" t="s">
        <v>403</v>
      </c>
      <c r="J20" s="586" t="s">
        <v>3</v>
      </c>
    </row>
    <row r="21" spans="1:10" ht="12" customHeight="1" x14ac:dyDescent="0.2">
      <c r="A21" s="343" t="s">
        <v>8</v>
      </c>
      <c r="B21" s="616">
        <v>2120</v>
      </c>
      <c r="C21" s="363">
        <v>2250</v>
      </c>
      <c r="D21" s="355">
        <f t="shared" si="0"/>
        <v>6.1320754716981174</v>
      </c>
      <c r="E21" s="616" t="s">
        <v>403</v>
      </c>
      <c r="F21" s="350">
        <v>3600</v>
      </c>
      <c r="G21" s="338" t="s">
        <v>390</v>
      </c>
      <c r="H21" s="352" t="s">
        <v>397</v>
      </c>
      <c r="I21" s="363" t="s">
        <v>403</v>
      </c>
      <c r="J21" s="371" t="s">
        <v>3</v>
      </c>
    </row>
    <row r="22" spans="1:10" ht="12" customHeight="1" x14ac:dyDescent="0.2">
      <c r="A22" s="343" t="s">
        <v>392</v>
      </c>
      <c r="B22" s="616">
        <v>2533.4</v>
      </c>
      <c r="C22" s="363">
        <v>2600</v>
      </c>
      <c r="D22" s="355">
        <f t="shared" si="0"/>
        <v>2.628878187416106</v>
      </c>
      <c r="E22" s="350" t="s">
        <v>403</v>
      </c>
      <c r="F22" s="350" t="s">
        <v>403</v>
      </c>
      <c r="G22" s="338" t="s">
        <v>390</v>
      </c>
      <c r="H22" s="350" t="s">
        <v>397</v>
      </c>
      <c r="I22" s="350" t="s">
        <v>397</v>
      </c>
      <c r="J22" s="1" t="s">
        <v>390</v>
      </c>
    </row>
    <row r="23" spans="1:10" ht="12" customHeight="1" x14ac:dyDescent="0.2">
      <c r="A23" s="580" t="s">
        <v>13</v>
      </c>
      <c r="B23" s="351" t="s">
        <v>402</v>
      </c>
      <c r="C23" s="364">
        <f>AVERAGE(C24:C26)</f>
        <v>2935</v>
      </c>
      <c r="D23" s="627" t="s">
        <v>3</v>
      </c>
      <c r="E23" s="351">
        <f>AVERAGE(E24:E26)</f>
        <v>3375</v>
      </c>
      <c r="F23" s="351">
        <f>AVERAGE(F24:F26)</f>
        <v>3600</v>
      </c>
      <c r="G23" s="574">
        <f>((F23/E23) -      1)*100</f>
        <v>6.6666666666666652</v>
      </c>
      <c r="H23" s="618" t="s">
        <v>403</v>
      </c>
      <c r="I23" s="349" t="s">
        <v>403</v>
      </c>
      <c r="J23" s="353" t="s">
        <v>390</v>
      </c>
    </row>
    <row r="24" spans="1:10" ht="12" customHeight="1" x14ac:dyDescent="0.2">
      <c r="A24" s="343" t="s">
        <v>187</v>
      </c>
      <c r="B24" s="350" t="s">
        <v>402</v>
      </c>
      <c r="C24" s="350" t="s">
        <v>402</v>
      </c>
      <c r="D24" s="620" t="s">
        <v>3</v>
      </c>
      <c r="E24" s="350">
        <v>3375</v>
      </c>
      <c r="F24" s="350">
        <v>3500</v>
      </c>
      <c r="G24" s="338">
        <f>((F24/E24) -      1)*100</f>
        <v>3.7037037037036979</v>
      </c>
      <c r="H24" s="592" t="s">
        <v>403</v>
      </c>
      <c r="I24" s="592" t="s">
        <v>403</v>
      </c>
      <c r="J24" s="619" t="s">
        <v>390</v>
      </c>
    </row>
    <row r="25" spans="1:10" ht="12" customHeight="1" x14ac:dyDescent="0.2">
      <c r="A25" s="335" t="s">
        <v>68</v>
      </c>
      <c r="B25" s="350" t="s">
        <v>402</v>
      </c>
      <c r="C25" s="616">
        <v>2510</v>
      </c>
      <c r="D25" s="620" t="s">
        <v>3</v>
      </c>
      <c r="E25" s="356" t="s">
        <v>403</v>
      </c>
      <c r="F25" s="350">
        <v>3700</v>
      </c>
      <c r="G25" s="620" t="s">
        <v>3</v>
      </c>
      <c r="H25" s="592" t="s">
        <v>403</v>
      </c>
      <c r="I25" s="592" t="s">
        <v>403</v>
      </c>
      <c r="J25" s="619" t="s">
        <v>390</v>
      </c>
    </row>
    <row r="26" spans="1:10" ht="12" customHeight="1" x14ac:dyDescent="0.2">
      <c r="A26" s="374" t="s">
        <v>67</v>
      </c>
      <c r="B26" s="350" t="s">
        <v>402</v>
      </c>
      <c r="C26" s="616">
        <v>3360</v>
      </c>
      <c r="D26" s="620" t="s">
        <v>3</v>
      </c>
      <c r="E26" s="356" t="s">
        <v>403</v>
      </c>
      <c r="F26" s="356" t="s">
        <v>403</v>
      </c>
      <c r="G26" s="620" t="s">
        <v>3</v>
      </c>
      <c r="H26" s="592" t="s">
        <v>403</v>
      </c>
      <c r="I26" s="592" t="s">
        <v>403</v>
      </c>
      <c r="J26" s="619" t="s">
        <v>390</v>
      </c>
    </row>
    <row r="27" spans="1:10" ht="12" customHeight="1" x14ac:dyDescent="0.2">
      <c r="A27" s="591" t="s">
        <v>14</v>
      </c>
      <c r="B27" s="349">
        <f>AVERAGE(B28:B32)</f>
        <v>2649</v>
      </c>
      <c r="C27" s="354">
        <f>AVERAGE(C28:C32)</f>
        <v>2483.3200000000002</v>
      </c>
      <c r="D27" s="353">
        <f t="shared" ref="D27:D34" si="1">((C27/B27) -      1)*100</f>
        <v>-6.2544356360890845</v>
      </c>
      <c r="E27" s="349" t="s">
        <v>403</v>
      </c>
      <c r="F27" s="349" t="s">
        <v>403</v>
      </c>
      <c r="G27" s="341" t="s">
        <v>390</v>
      </c>
      <c r="H27" s="351" t="s">
        <v>397</v>
      </c>
      <c r="I27" s="618" t="s">
        <v>403</v>
      </c>
      <c r="J27" s="617" t="s">
        <v>390</v>
      </c>
    </row>
    <row r="28" spans="1:10" ht="12" customHeight="1" x14ac:dyDescent="0.2">
      <c r="A28" s="343" t="s">
        <v>482</v>
      </c>
      <c r="B28" s="616">
        <v>2366.6</v>
      </c>
      <c r="C28" s="616">
        <v>2366.6</v>
      </c>
      <c r="D28" s="355">
        <f t="shared" si="1"/>
        <v>0</v>
      </c>
      <c r="E28" s="616" t="s">
        <v>403</v>
      </c>
      <c r="F28" s="616" t="s">
        <v>403</v>
      </c>
      <c r="G28" s="338" t="s">
        <v>390</v>
      </c>
      <c r="H28" s="350" t="s">
        <v>397</v>
      </c>
      <c r="I28" s="350" t="s">
        <v>397</v>
      </c>
      <c r="J28" s="1" t="s">
        <v>390</v>
      </c>
    </row>
    <row r="29" spans="1:10" ht="12" customHeight="1" x14ac:dyDescent="0.2">
      <c r="A29" s="343" t="s">
        <v>571</v>
      </c>
      <c r="B29" s="616">
        <v>2533.4</v>
      </c>
      <c r="C29" s="616">
        <v>2600</v>
      </c>
      <c r="D29" s="355">
        <f t="shared" si="1"/>
        <v>2.628878187416106</v>
      </c>
      <c r="E29" s="616" t="s">
        <v>403</v>
      </c>
      <c r="F29" s="616" t="s">
        <v>403</v>
      </c>
      <c r="G29" s="338" t="s">
        <v>390</v>
      </c>
      <c r="H29" s="350" t="s">
        <v>397</v>
      </c>
      <c r="I29" s="350" t="s">
        <v>397</v>
      </c>
      <c r="J29" s="1" t="s">
        <v>390</v>
      </c>
    </row>
    <row r="30" spans="1:10" ht="12" customHeight="1" x14ac:dyDescent="0.2">
      <c r="A30" s="343" t="s">
        <v>470</v>
      </c>
      <c r="B30" s="616">
        <v>2870</v>
      </c>
      <c r="C30" s="616">
        <v>2780</v>
      </c>
      <c r="D30" s="355">
        <f t="shared" si="1"/>
        <v>-3.1358885017421567</v>
      </c>
      <c r="E30" s="616" t="s">
        <v>403</v>
      </c>
      <c r="F30" s="616" t="s">
        <v>403</v>
      </c>
      <c r="G30" s="338" t="s">
        <v>390</v>
      </c>
      <c r="H30" s="350" t="s">
        <v>397</v>
      </c>
      <c r="I30" s="350" t="s">
        <v>397</v>
      </c>
      <c r="J30" s="1" t="s">
        <v>390</v>
      </c>
    </row>
    <row r="31" spans="1:10" ht="12" customHeight="1" x14ac:dyDescent="0.2">
      <c r="A31" s="343" t="s">
        <v>15</v>
      </c>
      <c r="B31" s="616">
        <v>3225</v>
      </c>
      <c r="C31" s="616">
        <v>2420</v>
      </c>
      <c r="D31" s="355">
        <f t="shared" si="1"/>
        <v>-24.961240310077514</v>
      </c>
      <c r="E31" s="616" t="s">
        <v>403</v>
      </c>
      <c r="F31" s="616" t="s">
        <v>403</v>
      </c>
      <c r="G31" s="338" t="s">
        <v>390</v>
      </c>
      <c r="H31" s="350" t="s">
        <v>397</v>
      </c>
      <c r="I31" s="350" t="s">
        <v>397</v>
      </c>
      <c r="J31" s="1" t="s">
        <v>390</v>
      </c>
    </row>
    <row r="32" spans="1:10" ht="12" customHeight="1" x14ac:dyDescent="0.2">
      <c r="A32" s="343" t="s">
        <v>188</v>
      </c>
      <c r="B32" s="616">
        <v>2250</v>
      </c>
      <c r="C32" s="616">
        <v>2250</v>
      </c>
      <c r="D32" s="355">
        <f t="shared" si="1"/>
        <v>0</v>
      </c>
      <c r="E32" s="616" t="s">
        <v>403</v>
      </c>
      <c r="F32" s="616" t="s">
        <v>403</v>
      </c>
      <c r="G32" s="338" t="s">
        <v>390</v>
      </c>
      <c r="H32" s="350" t="s">
        <v>397</v>
      </c>
      <c r="I32" s="350" t="s">
        <v>397</v>
      </c>
      <c r="J32" s="1" t="s">
        <v>390</v>
      </c>
    </row>
    <row r="33" spans="1:10" ht="12" customHeight="1" x14ac:dyDescent="0.2">
      <c r="A33" s="583" t="s">
        <v>16</v>
      </c>
      <c r="B33" s="349">
        <f>AVERAGE(B34:B40)</f>
        <v>2372.5</v>
      </c>
      <c r="C33" s="354">
        <f>AVERAGE(C34:C40)</f>
        <v>2493.2571428571428</v>
      </c>
      <c r="D33" s="353">
        <f t="shared" si="1"/>
        <v>5.0898690350745124</v>
      </c>
      <c r="E33" s="351">
        <f>AVERAGE(E34:E40)</f>
        <v>3228.25</v>
      </c>
      <c r="F33" s="351">
        <f>AVERAGE(F34:F40)</f>
        <v>3082.2666666666664</v>
      </c>
      <c r="G33" s="353">
        <f>((F33/E33) -      1)*100</f>
        <v>-4.522057874493413</v>
      </c>
      <c r="H33" s="351">
        <f>AVERAGE(H34:H40)</f>
        <v>3001.65</v>
      </c>
      <c r="I33" s="351">
        <f>AVERAGE(I34:I40)</f>
        <v>3114.7</v>
      </c>
      <c r="J33" s="353">
        <f>((I33/H33) -      1)*100</f>
        <v>3.766261889294209</v>
      </c>
    </row>
    <row r="34" spans="1:10" ht="12" customHeight="1" x14ac:dyDescent="0.2">
      <c r="A34" s="343" t="s">
        <v>17</v>
      </c>
      <c r="B34" s="616">
        <v>2165</v>
      </c>
      <c r="C34" s="616">
        <v>2000</v>
      </c>
      <c r="D34" s="355">
        <f t="shared" si="1"/>
        <v>-7.6212471131639763</v>
      </c>
      <c r="E34" s="616" t="s">
        <v>403</v>
      </c>
      <c r="F34" s="616" t="s">
        <v>403</v>
      </c>
      <c r="G34" s="338" t="s">
        <v>390</v>
      </c>
      <c r="H34" s="350">
        <v>3100</v>
      </c>
      <c r="I34" s="350">
        <v>3166</v>
      </c>
      <c r="J34" s="1">
        <f>((I34/H34) -      1)*100</f>
        <v>2.1290322580645116</v>
      </c>
    </row>
    <row r="35" spans="1:10" ht="12" customHeight="1" x14ac:dyDescent="0.2">
      <c r="A35" s="343" t="s">
        <v>399</v>
      </c>
      <c r="B35" s="616">
        <v>2100</v>
      </c>
      <c r="C35" s="616">
        <v>2400</v>
      </c>
      <c r="D35" s="355">
        <f>((C35/B35) -      1)*100</f>
        <v>14.285714285714279</v>
      </c>
      <c r="E35" s="616" t="s">
        <v>403</v>
      </c>
      <c r="F35" s="616" t="s">
        <v>403</v>
      </c>
      <c r="G35" s="338" t="s">
        <v>390</v>
      </c>
      <c r="H35" s="350" t="s">
        <v>403</v>
      </c>
      <c r="I35" s="350" t="s">
        <v>403</v>
      </c>
      <c r="J35" s="1" t="s">
        <v>390</v>
      </c>
    </row>
    <row r="36" spans="1:10" ht="12" customHeight="1" x14ac:dyDescent="0.2">
      <c r="A36" s="343" t="s">
        <v>570</v>
      </c>
      <c r="B36" s="616">
        <v>2666.6</v>
      </c>
      <c r="C36" s="616">
        <v>2533.4</v>
      </c>
      <c r="D36" s="355">
        <f>((C36/B36) -      1)*100</f>
        <v>-4.9951248781219482</v>
      </c>
      <c r="E36" s="616" t="s">
        <v>403</v>
      </c>
      <c r="F36" s="616" t="s">
        <v>403</v>
      </c>
      <c r="G36" s="338" t="s">
        <v>390</v>
      </c>
      <c r="H36" s="350">
        <v>3150</v>
      </c>
      <c r="I36" s="350">
        <v>3566</v>
      </c>
      <c r="J36" s="1">
        <f>((I36/H36) -      1)*100</f>
        <v>13.206349206349199</v>
      </c>
    </row>
    <row r="37" spans="1:10" ht="12" customHeight="1" x14ac:dyDescent="0.2">
      <c r="A37" s="343" t="s">
        <v>19</v>
      </c>
      <c r="B37" s="616">
        <v>2150</v>
      </c>
      <c r="C37" s="616">
        <v>2066</v>
      </c>
      <c r="D37" s="355">
        <f>((C37/B37) -      1)*100</f>
        <v>-3.9069767441860415</v>
      </c>
      <c r="E37" s="350">
        <v>3313</v>
      </c>
      <c r="F37" s="350">
        <v>3113.4</v>
      </c>
      <c r="G37" s="338">
        <f>((F37/E37) -      1)*100</f>
        <v>-6.0247509809839954</v>
      </c>
      <c r="H37" s="350">
        <v>3130</v>
      </c>
      <c r="I37" s="350">
        <v>3073.4</v>
      </c>
      <c r="J37" s="1">
        <f>((I37/H37) -      1)*100</f>
        <v>-1.8083067092651728</v>
      </c>
    </row>
    <row r="38" spans="1:10" ht="12" customHeight="1" x14ac:dyDescent="0.2">
      <c r="A38" s="343" t="s">
        <v>20</v>
      </c>
      <c r="B38" s="616">
        <v>2653.4</v>
      </c>
      <c r="C38" s="616">
        <v>2653.4</v>
      </c>
      <c r="D38" s="355">
        <f>((C38/B38) -      1)*100</f>
        <v>0</v>
      </c>
      <c r="E38" s="350">
        <v>3600</v>
      </c>
      <c r="F38" s="350">
        <v>3693.4</v>
      </c>
      <c r="G38" s="338">
        <f>((F38/E38) -      1)*100</f>
        <v>2.5944444444444548</v>
      </c>
      <c r="H38" s="350">
        <v>2626.6</v>
      </c>
      <c r="I38" s="350">
        <v>2653.4</v>
      </c>
      <c r="J38" s="1">
        <f>((I38/H38) -      1)*100</f>
        <v>1.0203304652402378</v>
      </c>
    </row>
    <row r="39" spans="1:10" ht="12" customHeight="1" x14ac:dyDescent="0.2">
      <c r="A39" s="343" t="s">
        <v>21</v>
      </c>
      <c r="B39" s="616" t="s">
        <v>403</v>
      </c>
      <c r="C39" s="616">
        <v>3200</v>
      </c>
      <c r="D39" s="338" t="s">
        <v>390</v>
      </c>
      <c r="E39" s="350">
        <v>3600</v>
      </c>
      <c r="F39" s="616" t="s">
        <v>403</v>
      </c>
      <c r="G39" s="338" t="s">
        <v>390</v>
      </c>
      <c r="H39" s="350" t="s">
        <v>403</v>
      </c>
      <c r="I39" s="350" t="s">
        <v>403</v>
      </c>
      <c r="J39" s="1" t="s">
        <v>390</v>
      </c>
    </row>
    <row r="40" spans="1:10" ht="12" customHeight="1" x14ac:dyDescent="0.2">
      <c r="A40" s="343" t="s">
        <v>61</v>
      </c>
      <c r="B40" s="616">
        <v>2500</v>
      </c>
      <c r="C40" s="616">
        <v>2600</v>
      </c>
      <c r="D40" s="355">
        <f t="shared" ref="D40:D49" si="2">((C40/B40) -      1)*100</f>
        <v>4.0000000000000036</v>
      </c>
      <c r="E40" s="350">
        <v>2400</v>
      </c>
      <c r="F40" s="350">
        <v>2440</v>
      </c>
      <c r="G40" s="338">
        <f t="shared" ref="G40:G49" si="3">((F40/E40) -      1)*100</f>
        <v>1.6666666666666607</v>
      </c>
      <c r="H40" s="616" t="s">
        <v>403</v>
      </c>
      <c r="I40" s="616" t="s">
        <v>403</v>
      </c>
      <c r="J40" s="338" t="s">
        <v>390</v>
      </c>
    </row>
    <row r="41" spans="1:10" ht="12" customHeight="1" x14ac:dyDescent="0.2">
      <c r="A41" s="591" t="s">
        <v>23</v>
      </c>
      <c r="B41" s="349">
        <f>AVERAGE(B42:B46)</f>
        <v>2677.92</v>
      </c>
      <c r="C41" s="354">
        <f>AVERAGE(C42:C46)</f>
        <v>2328.2799999999997</v>
      </c>
      <c r="D41" s="353">
        <f t="shared" si="2"/>
        <v>-13.056401983629096</v>
      </c>
      <c r="E41" s="351">
        <f>AVERAGE(E42:E46)</f>
        <v>3899.3199999999997</v>
      </c>
      <c r="F41" s="351">
        <f>AVERAGE(F42:F46)</f>
        <v>3534.3599999999997</v>
      </c>
      <c r="G41" s="579">
        <f t="shared" si="3"/>
        <v>-9.3595806448303787</v>
      </c>
      <c r="H41" s="351">
        <f>AVERAGE(H42:H46)</f>
        <v>3069.6</v>
      </c>
      <c r="I41" s="351">
        <f>AVERAGE(I42:I46)</f>
        <v>2879.2799999999997</v>
      </c>
      <c r="J41" s="342">
        <f>((I41/H41) -      1)*100</f>
        <v>-6.2001563721657549</v>
      </c>
    </row>
    <row r="42" spans="1:10" ht="12" customHeight="1" x14ac:dyDescent="0.2">
      <c r="A42" s="343" t="s">
        <v>520</v>
      </c>
      <c r="B42" s="616">
        <v>2386.6</v>
      </c>
      <c r="C42" s="356">
        <v>2040</v>
      </c>
      <c r="D42" s="340">
        <f t="shared" si="2"/>
        <v>-14.522752032179664</v>
      </c>
      <c r="E42" s="350">
        <v>3500</v>
      </c>
      <c r="F42" s="350">
        <v>3400</v>
      </c>
      <c r="G42" s="339">
        <f t="shared" si="3"/>
        <v>-2.8571428571428581</v>
      </c>
      <c r="H42" s="350">
        <v>2693.4</v>
      </c>
      <c r="I42" s="350">
        <v>2800</v>
      </c>
      <c r="J42" s="340">
        <f>((I42/H42) -      1)*100</f>
        <v>3.9578228261676562</v>
      </c>
    </row>
    <row r="43" spans="1:10" ht="12" customHeight="1" x14ac:dyDescent="0.2">
      <c r="A43" s="343" t="s">
        <v>51</v>
      </c>
      <c r="B43" s="616">
        <v>3263</v>
      </c>
      <c r="C43" s="356">
        <v>2878</v>
      </c>
      <c r="D43" s="340">
        <f t="shared" si="2"/>
        <v>-11.79895801409746</v>
      </c>
      <c r="E43" s="350">
        <v>4550</v>
      </c>
      <c r="F43" s="350">
        <v>4085</v>
      </c>
      <c r="G43" s="339">
        <f t="shared" si="3"/>
        <v>-10.219780219780217</v>
      </c>
      <c r="H43" s="350">
        <v>3270</v>
      </c>
      <c r="I43" s="350">
        <v>3243</v>
      </c>
      <c r="J43" s="340">
        <f>((I43/H43) -      1)*100</f>
        <v>-0.82568807339449268</v>
      </c>
    </row>
    <row r="44" spans="1:10" ht="12" customHeight="1" x14ac:dyDescent="0.2">
      <c r="A44" s="343" t="s">
        <v>521</v>
      </c>
      <c r="B44" s="616">
        <v>2486.6</v>
      </c>
      <c r="C44" s="356">
        <v>2010</v>
      </c>
      <c r="D44" s="340">
        <f t="shared" si="2"/>
        <v>-19.166733692592295</v>
      </c>
      <c r="E44" s="350">
        <v>3593.4</v>
      </c>
      <c r="F44" s="350">
        <v>3473.4</v>
      </c>
      <c r="G44" s="339">
        <f t="shared" si="3"/>
        <v>-3.3394556687259991</v>
      </c>
      <c r="H44" s="350">
        <v>2715</v>
      </c>
      <c r="I44" s="350">
        <v>2813.4</v>
      </c>
      <c r="J44" s="340">
        <f>((I44/H44) -      1)*100</f>
        <v>3.6243093922651903</v>
      </c>
    </row>
    <row r="45" spans="1:10" ht="12" customHeight="1" x14ac:dyDescent="0.2">
      <c r="A45" s="343" t="s">
        <v>522</v>
      </c>
      <c r="B45" s="616">
        <v>2353.4</v>
      </c>
      <c r="C45" s="356">
        <v>2153.4</v>
      </c>
      <c r="D45" s="340">
        <f t="shared" si="2"/>
        <v>-8.4983428231494855</v>
      </c>
      <c r="E45" s="350">
        <v>3666.6</v>
      </c>
      <c r="F45" s="350">
        <v>3353.4</v>
      </c>
      <c r="G45" s="339">
        <f t="shared" si="3"/>
        <v>-8.5419734904270896</v>
      </c>
      <c r="H45" s="350" t="s">
        <v>403</v>
      </c>
      <c r="I45" s="350">
        <v>2600</v>
      </c>
      <c r="J45" s="355" t="s">
        <v>390</v>
      </c>
    </row>
    <row r="46" spans="1:10" ht="12" customHeight="1" x14ac:dyDescent="0.2">
      <c r="A46" s="343" t="s">
        <v>56</v>
      </c>
      <c r="B46" s="616">
        <v>2900</v>
      </c>
      <c r="C46" s="356">
        <v>2560</v>
      </c>
      <c r="D46" s="340">
        <f t="shared" si="2"/>
        <v>-11.724137931034484</v>
      </c>
      <c r="E46" s="350">
        <v>4186.6000000000004</v>
      </c>
      <c r="F46" s="350">
        <v>3360</v>
      </c>
      <c r="G46" s="339">
        <f t="shared" si="3"/>
        <v>-19.743944967276562</v>
      </c>
      <c r="H46" s="350">
        <v>3600</v>
      </c>
      <c r="I46" s="350">
        <v>2940</v>
      </c>
      <c r="J46" s="340">
        <f>((I46/H46) -      1)*100</f>
        <v>-18.333333333333336</v>
      </c>
    </row>
    <row r="47" spans="1:10" ht="12" customHeight="1" x14ac:dyDescent="0.2">
      <c r="A47" s="583" t="s">
        <v>78</v>
      </c>
      <c r="B47" s="349">
        <f>AVERAGE(B48:B51)</f>
        <v>2205</v>
      </c>
      <c r="C47" s="354">
        <f>AVERAGE(C48:C51)</f>
        <v>2161.25</v>
      </c>
      <c r="D47" s="353">
        <f t="shared" si="2"/>
        <v>-1.9841269841269882</v>
      </c>
      <c r="E47" s="351">
        <f>AVERAGE(E48:E51)</f>
        <v>3573.3333333333335</v>
      </c>
      <c r="F47" s="351">
        <f>AVERAGE(F48:F51)</f>
        <v>3466.6666666666665</v>
      </c>
      <c r="G47" s="353">
        <f t="shared" si="3"/>
        <v>-2.9850746268656803</v>
      </c>
      <c r="H47" s="351" t="s">
        <v>403</v>
      </c>
      <c r="I47" s="351">
        <f>AVERAGE(I48:I51)</f>
        <v>2950</v>
      </c>
      <c r="J47" s="353" t="s">
        <v>390</v>
      </c>
    </row>
    <row r="48" spans="1:10" ht="12" customHeight="1" x14ac:dyDescent="0.2">
      <c r="A48" s="343" t="s">
        <v>569</v>
      </c>
      <c r="B48" s="616">
        <v>2200</v>
      </c>
      <c r="C48" s="356">
        <v>2300</v>
      </c>
      <c r="D48" s="338">
        <f t="shared" si="2"/>
        <v>4.5454545454545414</v>
      </c>
      <c r="E48" s="608">
        <v>3500</v>
      </c>
      <c r="F48" s="608">
        <v>3600</v>
      </c>
      <c r="G48" s="355">
        <f t="shared" si="3"/>
        <v>2.857142857142847</v>
      </c>
      <c r="H48" s="350" t="s">
        <v>403</v>
      </c>
      <c r="I48" s="350" t="s">
        <v>403</v>
      </c>
      <c r="J48" s="355" t="s">
        <v>390</v>
      </c>
    </row>
    <row r="49" spans="1:10" ht="12" customHeight="1" x14ac:dyDescent="0.2">
      <c r="A49" s="343" t="s">
        <v>393</v>
      </c>
      <c r="B49" s="616">
        <v>2220</v>
      </c>
      <c r="C49" s="356">
        <v>2015</v>
      </c>
      <c r="D49" s="355">
        <f t="shared" si="2"/>
        <v>-9.2342342342342292</v>
      </c>
      <c r="E49" s="350">
        <v>3700</v>
      </c>
      <c r="F49" s="350">
        <v>3300</v>
      </c>
      <c r="G49" s="355">
        <f t="shared" si="3"/>
        <v>-10.810810810810811</v>
      </c>
      <c r="H49" s="350" t="s">
        <v>403</v>
      </c>
      <c r="I49" s="350" t="s">
        <v>403</v>
      </c>
      <c r="J49" s="355" t="s">
        <v>390</v>
      </c>
    </row>
    <row r="50" spans="1:10" ht="12" customHeight="1" x14ac:dyDescent="0.2">
      <c r="A50" s="343" t="s">
        <v>513</v>
      </c>
      <c r="B50" s="616">
        <v>2300</v>
      </c>
      <c r="C50" s="356">
        <v>2350</v>
      </c>
      <c r="D50" s="355">
        <f>((C50/B50) -      1)*100</f>
        <v>2.1739130434782705</v>
      </c>
      <c r="E50" s="350">
        <v>3520</v>
      </c>
      <c r="F50" s="350">
        <v>3500</v>
      </c>
      <c r="G50" s="355">
        <f>((F50/E50) -      1)*100</f>
        <v>-0.56818181818182323</v>
      </c>
      <c r="H50" s="350" t="s">
        <v>403</v>
      </c>
      <c r="I50" s="350">
        <v>2950</v>
      </c>
      <c r="J50" s="355" t="s">
        <v>390</v>
      </c>
    </row>
    <row r="51" spans="1:10" ht="12" customHeight="1" x14ac:dyDescent="0.2">
      <c r="A51" s="343" t="s">
        <v>514</v>
      </c>
      <c r="B51" s="626">
        <v>2100</v>
      </c>
      <c r="C51" s="625">
        <v>1980</v>
      </c>
      <c r="D51" s="355">
        <f>((C51/B51) -      1)*100</f>
        <v>-5.7142857142857162</v>
      </c>
      <c r="E51" s="350" t="s">
        <v>403</v>
      </c>
      <c r="F51" s="350" t="s">
        <v>403</v>
      </c>
      <c r="G51" s="355" t="s">
        <v>390</v>
      </c>
      <c r="H51" s="350" t="s">
        <v>403</v>
      </c>
      <c r="I51" s="350" t="s">
        <v>403</v>
      </c>
      <c r="J51" s="355" t="s">
        <v>390</v>
      </c>
    </row>
    <row r="52" spans="1:10" ht="14.1" customHeight="1" x14ac:dyDescent="0.2">
      <c r="A52" s="357"/>
      <c r="B52" s="311"/>
      <c r="C52" s="358"/>
      <c r="D52" s="358"/>
      <c r="E52" s="358" t="s">
        <v>397</v>
      </c>
      <c r="F52" s="358"/>
      <c r="G52" s="358"/>
      <c r="H52" s="358"/>
      <c r="I52" s="358"/>
      <c r="J52" s="359" t="s">
        <v>24</v>
      </c>
    </row>
    <row r="53" spans="1:10" ht="14.1" customHeight="1" x14ac:dyDescent="0.25">
      <c r="A53" s="714" t="s">
        <v>404</v>
      </c>
      <c r="B53" s="714"/>
      <c r="C53" s="714"/>
      <c r="D53" s="714"/>
      <c r="E53" s="714"/>
      <c r="F53" s="714"/>
      <c r="G53" s="360"/>
      <c r="H53" s="360"/>
      <c r="I53" s="361"/>
      <c r="J53" s="361"/>
    </row>
    <row r="54" spans="1:10" ht="14.1" customHeight="1" x14ac:dyDescent="0.2">
      <c r="A54" s="704" t="s">
        <v>0</v>
      </c>
      <c r="B54" s="706" t="s">
        <v>48</v>
      </c>
      <c r="C54" s="707"/>
      <c r="D54" s="708"/>
      <c r="E54" s="706" t="s">
        <v>49</v>
      </c>
      <c r="F54" s="707"/>
      <c r="G54" s="708"/>
      <c r="H54" s="706" t="s">
        <v>401</v>
      </c>
      <c r="I54" s="707"/>
      <c r="J54" s="708"/>
    </row>
    <row r="55" spans="1:10" ht="14.1" customHeight="1" x14ac:dyDescent="0.2">
      <c r="A55" s="705"/>
      <c r="B55" s="329">
        <v>2024</v>
      </c>
      <c r="C55" s="329">
        <v>2025</v>
      </c>
      <c r="D55" s="329" t="s">
        <v>1</v>
      </c>
      <c r="E55" s="329">
        <v>2024</v>
      </c>
      <c r="F55" s="329">
        <v>2025</v>
      </c>
      <c r="G55" s="329" t="s">
        <v>1</v>
      </c>
      <c r="H55" s="329">
        <v>2024</v>
      </c>
      <c r="I55" s="329">
        <v>2025</v>
      </c>
      <c r="J55" s="329" t="s">
        <v>1</v>
      </c>
    </row>
    <row r="56" spans="1:10" ht="5.0999999999999996" customHeight="1" x14ac:dyDescent="0.2">
      <c r="A56" s="343"/>
      <c r="B56" s="350"/>
      <c r="C56" s="350"/>
      <c r="D56" s="355"/>
      <c r="E56" s="350"/>
      <c r="F56" s="350"/>
      <c r="G56" s="355"/>
      <c r="H56" s="350"/>
      <c r="I56" s="350"/>
      <c r="J56" s="355"/>
    </row>
    <row r="57" spans="1:10" ht="12" customHeight="1" x14ac:dyDescent="0.2">
      <c r="A57" s="583" t="s">
        <v>394</v>
      </c>
      <c r="B57" s="349">
        <f>AVERAGE(B58:B69)</f>
        <v>2254.5454545454545</v>
      </c>
      <c r="C57" s="351">
        <f>AVERAGE(C58:C69)</f>
        <v>2061.1166666666668</v>
      </c>
      <c r="D57" s="353">
        <f t="shared" ref="D57:D63" si="4">((C57/B57) -      1)*100</f>
        <v>-8.5795026881720364</v>
      </c>
      <c r="E57" s="351">
        <f>AVERAGE(E58:E69)</f>
        <v>3506.1333333333332</v>
      </c>
      <c r="F57" s="351">
        <f>AVERAGE(F58:F69)</f>
        <v>3344.4333333333329</v>
      </c>
      <c r="G57" s="353">
        <f>((F57/E57) -      1)*100</f>
        <v>-4.6119181624581724</v>
      </c>
      <c r="H57" s="351">
        <f>AVERAGE(H58:H69)</f>
        <v>2513.3333333333335</v>
      </c>
      <c r="I57" s="351">
        <f>AVERAGE(I58:I69)</f>
        <v>2765</v>
      </c>
      <c r="J57" s="353">
        <f>((I57/H57) -      1)*100</f>
        <v>10.013262599469485</v>
      </c>
    </row>
    <row r="58" spans="1:10" ht="12" customHeight="1" x14ac:dyDescent="0.2">
      <c r="A58" s="343" t="s">
        <v>26</v>
      </c>
      <c r="B58" s="616">
        <v>1990</v>
      </c>
      <c r="C58" s="350">
        <v>1900</v>
      </c>
      <c r="D58" s="355">
        <f t="shared" si="4"/>
        <v>-4.522613065326631</v>
      </c>
      <c r="E58" s="350">
        <v>3720</v>
      </c>
      <c r="F58" s="350" t="s">
        <v>403</v>
      </c>
      <c r="G58" s="355" t="s">
        <v>390</v>
      </c>
      <c r="H58" s="350">
        <v>2440</v>
      </c>
      <c r="I58" s="350">
        <v>2730</v>
      </c>
      <c r="J58" s="355">
        <f>((I58/H58) -      1)*100</f>
        <v>11.885245901639351</v>
      </c>
    </row>
    <row r="59" spans="1:10" ht="12" customHeight="1" x14ac:dyDescent="0.25">
      <c r="A59" s="343" t="s">
        <v>442</v>
      </c>
      <c r="B59" s="616">
        <v>2700</v>
      </c>
      <c r="C59" s="350">
        <v>2400</v>
      </c>
      <c r="D59" s="355">
        <f t="shared" si="4"/>
        <v>-11.111111111111116</v>
      </c>
      <c r="E59" s="350" t="s">
        <v>403</v>
      </c>
      <c r="F59" s="350" t="s">
        <v>403</v>
      </c>
      <c r="G59" s="355" t="s">
        <v>390</v>
      </c>
      <c r="H59" s="609" t="s">
        <v>403</v>
      </c>
      <c r="I59" s="609" t="s">
        <v>403</v>
      </c>
      <c r="J59" s="396" t="s">
        <v>390</v>
      </c>
    </row>
    <row r="60" spans="1:10" ht="12" customHeight="1" x14ac:dyDescent="0.2">
      <c r="A60" s="343" t="s">
        <v>27</v>
      </c>
      <c r="B60" s="616">
        <v>1970</v>
      </c>
      <c r="C60" s="350">
        <v>1820</v>
      </c>
      <c r="D60" s="355">
        <f t="shared" si="4"/>
        <v>-7.6142131979695442</v>
      </c>
      <c r="E60" s="350">
        <v>3260</v>
      </c>
      <c r="F60" s="350">
        <v>3193.4</v>
      </c>
      <c r="G60" s="355">
        <f>((F60/E60) -      1)*100</f>
        <v>-2.0429447852760685</v>
      </c>
      <c r="H60" s="350">
        <v>2315</v>
      </c>
      <c r="I60" s="350">
        <v>2600</v>
      </c>
      <c r="J60" s="355">
        <f>((I60/H60) -      1)*100</f>
        <v>12.311015118790491</v>
      </c>
    </row>
    <row r="61" spans="1:10" ht="12" customHeight="1" x14ac:dyDescent="0.2">
      <c r="A61" s="343" t="s">
        <v>28</v>
      </c>
      <c r="B61" s="616">
        <v>2473.4</v>
      </c>
      <c r="C61" s="350">
        <v>2225</v>
      </c>
      <c r="D61" s="355">
        <f t="shared" si="4"/>
        <v>-10.042855987709231</v>
      </c>
      <c r="E61" s="350">
        <v>3953.4</v>
      </c>
      <c r="F61" s="350">
        <v>3700</v>
      </c>
      <c r="G61" s="355">
        <f>((F61/E61) -      1)*100</f>
        <v>-6.4096726868012377</v>
      </c>
      <c r="H61" s="350">
        <v>2925</v>
      </c>
      <c r="I61" s="350">
        <v>2800</v>
      </c>
      <c r="J61" s="355">
        <f>((I61/H61) -      1)*100</f>
        <v>-4.273504273504269</v>
      </c>
    </row>
    <row r="62" spans="1:10" ht="12" customHeight="1" x14ac:dyDescent="0.25">
      <c r="A62" s="343" t="s">
        <v>62</v>
      </c>
      <c r="B62" s="616">
        <v>2100</v>
      </c>
      <c r="C62" s="350">
        <v>1880</v>
      </c>
      <c r="D62" s="355">
        <f t="shared" si="4"/>
        <v>-10.476190476190473</v>
      </c>
      <c r="E62" s="350" t="s">
        <v>403</v>
      </c>
      <c r="F62" s="350">
        <v>3160</v>
      </c>
      <c r="G62" s="355" t="s">
        <v>390</v>
      </c>
      <c r="H62" s="609" t="s">
        <v>403</v>
      </c>
      <c r="I62" s="609" t="s">
        <v>403</v>
      </c>
      <c r="J62" s="396" t="s">
        <v>390</v>
      </c>
    </row>
    <row r="63" spans="1:10" ht="12" customHeight="1" x14ac:dyDescent="0.25">
      <c r="A63" s="343" t="s">
        <v>29</v>
      </c>
      <c r="B63" s="616">
        <v>2060</v>
      </c>
      <c r="C63" s="350">
        <v>1933.4</v>
      </c>
      <c r="D63" s="355">
        <f t="shared" si="4"/>
        <v>-6.1456310679611654</v>
      </c>
      <c r="E63" s="350" t="s">
        <v>403</v>
      </c>
      <c r="F63" s="350" t="s">
        <v>403</v>
      </c>
      <c r="G63" s="355" t="s">
        <v>390</v>
      </c>
      <c r="H63" s="609" t="s">
        <v>403</v>
      </c>
      <c r="I63" s="609" t="s">
        <v>403</v>
      </c>
      <c r="J63" s="396" t="s">
        <v>390</v>
      </c>
    </row>
    <row r="64" spans="1:10" ht="12" customHeight="1" x14ac:dyDescent="0.2">
      <c r="A64" s="343" t="s">
        <v>52</v>
      </c>
      <c r="B64" s="350" t="s">
        <v>403</v>
      </c>
      <c r="C64" s="350">
        <v>1960</v>
      </c>
      <c r="D64" s="355" t="s">
        <v>390</v>
      </c>
      <c r="E64" s="350">
        <v>3293.4</v>
      </c>
      <c r="F64" s="350">
        <v>3186.6</v>
      </c>
      <c r="G64" s="355">
        <f>((F64/E64) -      1)*100</f>
        <v>-3.242849335033704</v>
      </c>
      <c r="H64" s="350">
        <v>2400</v>
      </c>
      <c r="I64" s="350">
        <v>2620</v>
      </c>
      <c r="J64" s="355">
        <f>((I64/H64) -      1)*100</f>
        <v>9.1666666666666572</v>
      </c>
    </row>
    <row r="65" spans="1:11" ht="12" customHeight="1" x14ac:dyDescent="0.2">
      <c r="A65" s="343" t="s">
        <v>424</v>
      </c>
      <c r="B65" s="616">
        <v>2800</v>
      </c>
      <c r="C65" s="350">
        <v>2600</v>
      </c>
      <c r="D65" s="355">
        <f>((C65/B65) -      1)*100</f>
        <v>-7.1428571428571397</v>
      </c>
      <c r="E65" s="350" t="s">
        <v>403</v>
      </c>
      <c r="F65" s="350" t="s">
        <v>403</v>
      </c>
      <c r="G65" s="355" t="s">
        <v>390</v>
      </c>
      <c r="H65" s="350">
        <v>2400</v>
      </c>
      <c r="I65" s="350">
        <v>3200</v>
      </c>
      <c r="J65" s="355">
        <f>((I65/H65) -      1)*100</f>
        <v>33.333333333333329</v>
      </c>
    </row>
    <row r="66" spans="1:11" ht="12" customHeight="1" x14ac:dyDescent="0.25">
      <c r="A66" s="343" t="s">
        <v>30</v>
      </c>
      <c r="B66" s="616">
        <v>2220</v>
      </c>
      <c r="C66" s="350">
        <v>1960</v>
      </c>
      <c r="D66" s="355">
        <f>((C66/B66) -      1)*100</f>
        <v>-11.711711711711715</v>
      </c>
      <c r="E66" s="350" t="s">
        <v>403</v>
      </c>
      <c r="F66" s="350" t="s">
        <v>403</v>
      </c>
      <c r="G66" s="355" t="s">
        <v>390</v>
      </c>
      <c r="H66" s="609" t="s">
        <v>403</v>
      </c>
      <c r="I66" s="609" t="s">
        <v>403</v>
      </c>
      <c r="J66" s="396" t="s">
        <v>390</v>
      </c>
    </row>
    <row r="67" spans="1:11" ht="12" customHeight="1" x14ac:dyDescent="0.25">
      <c r="A67" s="343" t="s">
        <v>31</v>
      </c>
      <c r="B67" s="616">
        <v>2200</v>
      </c>
      <c r="C67" s="350">
        <v>2200</v>
      </c>
      <c r="D67" s="355">
        <f>((C67/B67) -      1)*100</f>
        <v>0</v>
      </c>
      <c r="E67" s="350" t="s">
        <v>403</v>
      </c>
      <c r="F67" s="350" t="s">
        <v>403</v>
      </c>
      <c r="G67" s="355" t="s">
        <v>390</v>
      </c>
      <c r="H67" s="609" t="s">
        <v>403</v>
      </c>
      <c r="I67" s="609" t="s">
        <v>403</v>
      </c>
      <c r="J67" s="396" t="s">
        <v>390</v>
      </c>
    </row>
    <row r="68" spans="1:11" ht="12" customHeight="1" x14ac:dyDescent="0.2">
      <c r="A68" s="343" t="s">
        <v>32</v>
      </c>
      <c r="B68" s="616">
        <v>2006.6</v>
      </c>
      <c r="C68" s="350">
        <v>1875</v>
      </c>
      <c r="D68" s="355">
        <f>((C68/B68) -      1)*100</f>
        <v>-6.5583574205123067</v>
      </c>
      <c r="E68" s="350">
        <v>3360</v>
      </c>
      <c r="F68" s="350">
        <v>3426.6</v>
      </c>
      <c r="G68" s="355">
        <f>((F68/E68) -      1)*100</f>
        <v>1.9821428571428434</v>
      </c>
      <c r="H68" s="350">
        <v>2600</v>
      </c>
      <c r="I68" s="350">
        <v>2640</v>
      </c>
      <c r="J68" s="355">
        <f>((I68/H68) -      1)*100</f>
        <v>1.538461538461533</v>
      </c>
    </row>
    <row r="69" spans="1:11" ht="12" customHeight="1" x14ac:dyDescent="0.25">
      <c r="A69" s="343" t="s">
        <v>64</v>
      </c>
      <c r="B69" s="616">
        <v>2280</v>
      </c>
      <c r="C69" s="350">
        <v>1980</v>
      </c>
      <c r="D69" s="355">
        <f>((C69/B69) -      1)*100</f>
        <v>-13.157894736842103</v>
      </c>
      <c r="E69" s="350">
        <v>3450</v>
      </c>
      <c r="F69" s="350">
        <v>3400</v>
      </c>
      <c r="G69" s="355">
        <f>((F69/E69) -      1)*100</f>
        <v>-1.4492753623188359</v>
      </c>
      <c r="H69" s="609" t="s">
        <v>403</v>
      </c>
      <c r="I69" s="609" t="s">
        <v>403</v>
      </c>
      <c r="J69" s="396" t="s">
        <v>390</v>
      </c>
    </row>
    <row r="70" spans="1:11" ht="12" customHeight="1" x14ac:dyDescent="0.2">
      <c r="A70" s="583" t="s">
        <v>33</v>
      </c>
      <c r="B70" s="349">
        <f>AVERAGE(B71:B73)</f>
        <v>2158.3333333333335</v>
      </c>
      <c r="C70" s="351">
        <f>AVERAGE(C71:C73)</f>
        <v>2260</v>
      </c>
      <c r="D70" s="353">
        <f t="shared" ref="D70:D75" si="5">((C70/B70)-    1)*100</f>
        <v>4.7104247104247099</v>
      </c>
      <c r="E70" s="351">
        <f>AVERAGE(E71:E73)</f>
        <v>3386.6666666666665</v>
      </c>
      <c r="F70" s="351">
        <f>AVERAGE(F71:F73)</f>
        <v>3255</v>
      </c>
      <c r="G70" s="353">
        <f t="shared" ref="G70:G75" si="6">((F70/E70)-    1)*100</f>
        <v>-3.8877952755905443</v>
      </c>
      <c r="H70" s="351">
        <f>AVERAGE(H71:H73)</f>
        <v>2756.6666666666665</v>
      </c>
      <c r="I70" s="351">
        <f>AVERAGE(I71:I73)</f>
        <v>2760</v>
      </c>
      <c r="J70" s="353">
        <f>((I70/H70)-    1)*100</f>
        <v>0.12091898428052694</v>
      </c>
    </row>
    <row r="71" spans="1:11" ht="12" customHeight="1" x14ac:dyDescent="0.2">
      <c r="A71" s="343" t="s">
        <v>34</v>
      </c>
      <c r="B71" s="616">
        <v>2070</v>
      </c>
      <c r="C71" s="350">
        <v>2170</v>
      </c>
      <c r="D71" s="355">
        <f t="shared" si="5"/>
        <v>4.8309178743961345</v>
      </c>
      <c r="E71" s="350">
        <v>3345</v>
      </c>
      <c r="F71" s="350">
        <v>3205</v>
      </c>
      <c r="G71" s="355">
        <f t="shared" si="6"/>
        <v>-4.1853512705530616</v>
      </c>
      <c r="H71" s="350">
        <v>2695</v>
      </c>
      <c r="I71" s="350">
        <v>2710</v>
      </c>
      <c r="J71" s="355">
        <f>((I71/H71)-    1)*100</f>
        <v>0.55658627087198376</v>
      </c>
    </row>
    <row r="72" spans="1:11" ht="12" customHeight="1" x14ac:dyDescent="0.2">
      <c r="A72" s="343" t="s">
        <v>35</v>
      </c>
      <c r="B72" s="616">
        <v>2265</v>
      </c>
      <c r="C72" s="350">
        <v>2355</v>
      </c>
      <c r="D72" s="355">
        <f t="shared" si="5"/>
        <v>3.9735099337748325</v>
      </c>
      <c r="E72" s="350">
        <v>3460</v>
      </c>
      <c r="F72" s="350">
        <v>3330</v>
      </c>
      <c r="G72" s="355">
        <f t="shared" si="6"/>
        <v>-3.7572254335260125</v>
      </c>
      <c r="H72" s="350">
        <v>2830</v>
      </c>
      <c r="I72" s="350">
        <v>2835</v>
      </c>
      <c r="J72" s="355">
        <f>((I72/H72)-    1)*100</f>
        <v>0.17667844522968323</v>
      </c>
    </row>
    <row r="73" spans="1:11" ht="12" customHeight="1" x14ac:dyDescent="0.2">
      <c r="A73" s="343" t="s">
        <v>36</v>
      </c>
      <c r="B73" s="616">
        <v>2140</v>
      </c>
      <c r="C73" s="350">
        <v>2255</v>
      </c>
      <c r="D73" s="355">
        <f t="shared" si="5"/>
        <v>5.3738317757009435</v>
      </c>
      <c r="E73" s="350">
        <v>3355</v>
      </c>
      <c r="F73" s="350">
        <v>3230</v>
      </c>
      <c r="G73" s="355">
        <f t="shared" si="6"/>
        <v>-3.7257824143069995</v>
      </c>
      <c r="H73" s="350">
        <v>2745</v>
      </c>
      <c r="I73" s="350">
        <v>2735</v>
      </c>
      <c r="J73" s="355">
        <f>((I73/H73)-    1)*100</f>
        <v>-0.36429872495445936</v>
      </c>
    </row>
    <row r="74" spans="1:11" ht="12" customHeight="1" x14ac:dyDescent="0.25">
      <c r="A74" s="604" t="s">
        <v>190</v>
      </c>
      <c r="B74" s="349">
        <f>AVERAGE(B75:B75)</f>
        <v>2433</v>
      </c>
      <c r="C74" s="610">
        <f>AVERAGE(C75:C75)</f>
        <v>2200</v>
      </c>
      <c r="D74" s="353">
        <f t="shared" si="5"/>
        <v>-9.5766543362104439</v>
      </c>
      <c r="E74" s="351">
        <f>AVERAGE(E75:E75)</f>
        <v>3767</v>
      </c>
      <c r="F74" s="351">
        <f>AVERAGE(F75:F75)</f>
        <v>3500</v>
      </c>
      <c r="G74" s="353">
        <f t="shared" si="6"/>
        <v>-7.0878683302362582</v>
      </c>
      <c r="H74" s="615" t="s">
        <v>403</v>
      </c>
      <c r="I74" s="615">
        <f>AVERAGE(I75:I75)</f>
        <v>2900</v>
      </c>
      <c r="J74" s="365" t="s">
        <v>390</v>
      </c>
      <c r="K74" s="542"/>
    </row>
    <row r="75" spans="1:11" ht="12" customHeight="1" x14ac:dyDescent="0.25">
      <c r="A75" s="343" t="s">
        <v>193</v>
      </c>
      <c r="B75" s="616">
        <v>2433</v>
      </c>
      <c r="C75" s="350">
        <v>2200</v>
      </c>
      <c r="D75" s="355">
        <f t="shared" si="5"/>
        <v>-9.5766543362104439</v>
      </c>
      <c r="E75" s="350">
        <v>3767</v>
      </c>
      <c r="F75" s="350">
        <v>3500</v>
      </c>
      <c r="G75" s="355">
        <f t="shared" si="6"/>
        <v>-7.0878683302362582</v>
      </c>
      <c r="H75" s="609" t="s">
        <v>403</v>
      </c>
      <c r="I75" s="609">
        <v>2900</v>
      </c>
      <c r="J75" s="396" t="s">
        <v>390</v>
      </c>
      <c r="K75" s="542"/>
    </row>
    <row r="76" spans="1:11" ht="12" customHeight="1" x14ac:dyDescent="0.2">
      <c r="A76" s="583" t="s">
        <v>37</v>
      </c>
      <c r="B76" s="349">
        <f>AVERAGE(B77:B79)</f>
        <v>2831.6666666666665</v>
      </c>
      <c r="C76" s="351">
        <f>AVERAGE(C77:C79)</f>
        <v>2465</v>
      </c>
      <c r="D76" s="353">
        <f>((C76/B76) -      1)*100</f>
        <v>-12.948793407886983</v>
      </c>
      <c r="E76" s="351">
        <f>AVERAGE(E77:E79)</f>
        <v>3395</v>
      </c>
      <c r="F76" s="351">
        <f>AVERAGE(F77:F79)</f>
        <v>3441.25</v>
      </c>
      <c r="G76" s="353">
        <f>((F76/E76) -      1)*100</f>
        <v>1.36229749631811</v>
      </c>
      <c r="H76" s="351">
        <f>AVERAGE(H77:H79)</f>
        <v>3402.5</v>
      </c>
      <c r="I76" s="351">
        <f>AVERAGE(I77:I79)</f>
        <v>2901</v>
      </c>
      <c r="J76" s="353">
        <f>((I76/H76) -      1)*100</f>
        <v>-14.739162380602499</v>
      </c>
      <c r="K76" s="542"/>
    </row>
    <row r="77" spans="1:11" ht="12" customHeight="1" x14ac:dyDescent="0.2">
      <c r="A77" s="343" t="s">
        <v>38</v>
      </c>
      <c r="B77" s="616">
        <v>2855</v>
      </c>
      <c r="C77" s="350">
        <v>2362</v>
      </c>
      <c r="D77" s="355">
        <f>((C77/B77) -      1)*100</f>
        <v>-17.267950963222411</v>
      </c>
      <c r="E77" s="350">
        <v>3440</v>
      </c>
      <c r="F77" s="350">
        <v>3502.5</v>
      </c>
      <c r="G77" s="355">
        <f>((F77/E77) -      1)*100</f>
        <v>1.8168604651162878</v>
      </c>
      <c r="H77" s="350">
        <v>3785</v>
      </c>
      <c r="I77" s="350">
        <v>3002</v>
      </c>
      <c r="J77" s="355">
        <f>((I77/H77) -      1)*100</f>
        <v>-20.686922060766179</v>
      </c>
    </row>
    <row r="78" spans="1:11" ht="12" customHeight="1" x14ac:dyDescent="0.25">
      <c r="A78" s="343" t="s">
        <v>395</v>
      </c>
      <c r="B78" s="616">
        <v>2800</v>
      </c>
      <c r="C78" s="608">
        <v>2700</v>
      </c>
      <c r="D78" s="355">
        <f>((C78/B78) -      1)*100</f>
        <v>-3.5714285714285698</v>
      </c>
      <c r="E78" s="350" t="s">
        <v>403</v>
      </c>
      <c r="F78" s="350" t="s">
        <v>403</v>
      </c>
      <c r="G78" s="614" t="s">
        <v>405</v>
      </c>
      <c r="H78" s="609" t="s">
        <v>403</v>
      </c>
      <c r="I78" s="609" t="s">
        <v>403</v>
      </c>
      <c r="J78" s="396" t="s">
        <v>390</v>
      </c>
    </row>
    <row r="79" spans="1:11" ht="12" customHeight="1" x14ac:dyDescent="0.2">
      <c r="A79" s="343" t="s">
        <v>39</v>
      </c>
      <c r="B79" s="616">
        <v>2840</v>
      </c>
      <c r="C79" s="350">
        <v>2333</v>
      </c>
      <c r="D79" s="355">
        <f>((C79/B79) -      1)*100</f>
        <v>-17.852112676056343</v>
      </c>
      <c r="E79" s="350">
        <v>3350</v>
      </c>
      <c r="F79" s="350">
        <v>3380</v>
      </c>
      <c r="G79" s="355">
        <f>((F79/E79) -      1)*100</f>
        <v>0.89552238805969964</v>
      </c>
      <c r="H79" s="350">
        <v>3020</v>
      </c>
      <c r="I79" s="350">
        <v>2800</v>
      </c>
      <c r="J79" s="355">
        <f>((I79/H79) -      1)*100</f>
        <v>-7.2847682119205341</v>
      </c>
    </row>
    <row r="80" spans="1:11" ht="12" customHeight="1" x14ac:dyDescent="0.2">
      <c r="A80" s="583" t="s">
        <v>40</v>
      </c>
      <c r="B80" s="349">
        <f>AVERAGE(B81:B81)</f>
        <v>2733.4</v>
      </c>
      <c r="C80" s="351" t="s">
        <v>403</v>
      </c>
      <c r="D80" s="353" t="s">
        <v>390</v>
      </c>
      <c r="E80" s="351">
        <f>AVERAGE(E81:E81)</f>
        <v>3200</v>
      </c>
      <c r="F80" s="351">
        <f>AVERAGE(F81:F81)</f>
        <v>3270</v>
      </c>
      <c r="G80" s="353">
        <f>((F80/E80) -      1)*100</f>
        <v>2.1875000000000089</v>
      </c>
      <c r="H80" s="351">
        <f>AVERAGE(H81:H81)</f>
        <v>2333.4</v>
      </c>
      <c r="I80" s="351">
        <f>AVERAGE(I81:I81)</f>
        <v>3120</v>
      </c>
      <c r="J80" s="353">
        <f>((I80/H80) -      1)*100</f>
        <v>33.710465415273852</v>
      </c>
    </row>
    <row r="81" spans="1:10" ht="12" customHeight="1" x14ac:dyDescent="0.2">
      <c r="A81" s="343" t="s">
        <v>406</v>
      </c>
      <c r="B81" s="616">
        <v>2733.4</v>
      </c>
      <c r="C81" s="350" t="s">
        <v>403</v>
      </c>
      <c r="D81" s="355" t="s">
        <v>390</v>
      </c>
      <c r="E81" s="350">
        <v>3200</v>
      </c>
      <c r="F81" s="350">
        <v>3270</v>
      </c>
      <c r="G81" s="355">
        <f>((F81/E81) -      1)*100</f>
        <v>2.1875000000000089</v>
      </c>
      <c r="H81" s="350">
        <v>2333.4</v>
      </c>
      <c r="I81" s="350">
        <v>3120</v>
      </c>
      <c r="J81" s="355">
        <f>((I81/H81) -      1)*100</f>
        <v>33.710465415273852</v>
      </c>
    </row>
    <row r="82" spans="1:10" s="534" customFormat="1" ht="12" customHeight="1" x14ac:dyDescent="0.25">
      <c r="A82" s="383" t="s">
        <v>194</v>
      </c>
      <c r="B82" s="380" t="s">
        <v>402</v>
      </c>
      <c r="C82" s="351">
        <f>AVERAGE(C83:C87)</f>
        <v>2631.5</v>
      </c>
      <c r="D82" s="342" t="s">
        <v>390</v>
      </c>
      <c r="E82" s="351" t="s">
        <v>403</v>
      </c>
      <c r="F82" s="351" t="s">
        <v>403</v>
      </c>
      <c r="G82" s="600" t="s">
        <v>390</v>
      </c>
      <c r="H82" s="613" t="s">
        <v>446</v>
      </c>
      <c r="I82" s="613" t="s">
        <v>446</v>
      </c>
      <c r="J82" s="365" t="s">
        <v>390</v>
      </c>
    </row>
    <row r="83" spans="1:10" s="534" customFormat="1" ht="12" customHeight="1" x14ac:dyDescent="0.25">
      <c r="A83" s="343" t="s">
        <v>196</v>
      </c>
      <c r="B83" s="352" t="s">
        <v>402</v>
      </c>
      <c r="C83" s="350" t="s">
        <v>403</v>
      </c>
      <c r="D83" s="355" t="s">
        <v>390</v>
      </c>
      <c r="E83" s="350" t="s">
        <v>403</v>
      </c>
      <c r="F83" s="350" t="s">
        <v>403</v>
      </c>
      <c r="G83" s="598" t="s">
        <v>390</v>
      </c>
      <c r="H83" s="612" t="s">
        <v>446</v>
      </c>
      <c r="I83" s="612" t="s">
        <v>446</v>
      </c>
      <c r="J83" s="396" t="s">
        <v>390</v>
      </c>
    </row>
    <row r="84" spans="1:10" s="534" customFormat="1" ht="12" customHeight="1" x14ac:dyDescent="0.25">
      <c r="A84" s="343" t="s">
        <v>515</v>
      </c>
      <c r="B84" s="352" t="s">
        <v>402</v>
      </c>
      <c r="C84" s="350">
        <v>2400</v>
      </c>
      <c r="D84" s="355" t="s">
        <v>390</v>
      </c>
      <c r="E84" s="350" t="s">
        <v>403</v>
      </c>
      <c r="F84" s="350" t="s">
        <v>403</v>
      </c>
      <c r="G84" s="598" t="s">
        <v>390</v>
      </c>
      <c r="H84" s="612" t="s">
        <v>446</v>
      </c>
      <c r="I84" s="612" t="s">
        <v>446</v>
      </c>
      <c r="J84" s="396" t="s">
        <v>390</v>
      </c>
    </row>
    <row r="85" spans="1:10" s="534" customFormat="1" ht="12" customHeight="1" x14ac:dyDescent="0.25">
      <c r="A85" s="343" t="s">
        <v>63</v>
      </c>
      <c r="B85" s="352" t="s">
        <v>402</v>
      </c>
      <c r="C85" s="350">
        <v>2800</v>
      </c>
      <c r="D85" s="355" t="s">
        <v>390</v>
      </c>
      <c r="E85" s="350" t="s">
        <v>403</v>
      </c>
      <c r="F85" s="350" t="s">
        <v>403</v>
      </c>
      <c r="G85" s="598" t="s">
        <v>390</v>
      </c>
      <c r="H85" s="612" t="s">
        <v>446</v>
      </c>
      <c r="I85" s="612" t="s">
        <v>446</v>
      </c>
      <c r="J85" s="396" t="s">
        <v>390</v>
      </c>
    </row>
    <row r="86" spans="1:10" s="534" customFormat="1" ht="12" customHeight="1" x14ac:dyDescent="0.25">
      <c r="A86" s="343" t="s">
        <v>195</v>
      </c>
      <c r="B86" s="352" t="s">
        <v>402</v>
      </c>
      <c r="C86" s="350">
        <v>2266</v>
      </c>
      <c r="D86" s="355" t="s">
        <v>390</v>
      </c>
      <c r="E86" s="350" t="s">
        <v>403</v>
      </c>
      <c r="F86" s="350" t="s">
        <v>403</v>
      </c>
      <c r="G86" s="598" t="s">
        <v>390</v>
      </c>
      <c r="H86" s="612" t="s">
        <v>446</v>
      </c>
      <c r="I86" s="612" t="s">
        <v>446</v>
      </c>
      <c r="J86" s="396" t="s">
        <v>390</v>
      </c>
    </row>
    <row r="87" spans="1:10" s="534" customFormat="1" ht="12" customHeight="1" x14ac:dyDescent="0.25">
      <c r="A87" s="343" t="s">
        <v>197</v>
      </c>
      <c r="B87" s="352" t="s">
        <v>402</v>
      </c>
      <c r="C87" s="350">
        <v>3060</v>
      </c>
      <c r="D87" s="355" t="s">
        <v>390</v>
      </c>
      <c r="E87" s="350" t="s">
        <v>403</v>
      </c>
      <c r="F87" s="350" t="s">
        <v>403</v>
      </c>
      <c r="G87" s="598" t="s">
        <v>390</v>
      </c>
      <c r="H87" s="612" t="s">
        <v>446</v>
      </c>
      <c r="I87" s="612" t="s">
        <v>446</v>
      </c>
      <c r="J87" s="396" t="s">
        <v>390</v>
      </c>
    </row>
    <row r="88" spans="1:10" ht="12" customHeight="1" x14ac:dyDescent="0.25">
      <c r="A88" s="611" t="s">
        <v>81</v>
      </c>
      <c r="B88" s="349">
        <f>AVERAGE(B89:B90)</f>
        <v>2402.5</v>
      </c>
      <c r="C88" s="351">
        <f>AVERAGE(C89:C90)</f>
        <v>2341.6999999999998</v>
      </c>
      <c r="D88" s="342">
        <f>((C88/B88) -      1)*100</f>
        <v>-2.5306971904266451</v>
      </c>
      <c r="E88" s="351">
        <f>AVERAGE(E89:E90)</f>
        <v>3416.7</v>
      </c>
      <c r="F88" s="351">
        <f>AVERAGE(F89:F90)</f>
        <v>3400</v>
      </c>
      <c r="G88" s="342">
        <f>((F88/E88) -      1)*100</f>
        <v>-0.48877571926126961</v>
      </c>
      <c r="H88" s="351">
        <f>AVERAGE(H89:H90)</f>
        <v>3037.5</v>
      </c>
      <c r="I88" s="351">
        <f>AVERAGE(I89:I90)</f>
        <v>3360</v>
      </c>
      <c r="J88" s="342">
        <f>((I88/H88) -      1)*100</f>
        <v>10.617283950617274</v>
      </c>
    </row>
    <row r="89" spans="1:10" ht="12" customHeight="1" x14ac:dyDescent="0.25">
      <c r="A89" s="343" t="s">
        <v>516</v>
      </c>
      <c r="B89" s="616">
        <v>2550</v>
      </c>
      <c r="C89" s="350">
        <v>2633.4</v>
      </c>
      <c r="D89" s="340">
        <f>((C89/B89) -      1)*100</f>
        <v>3.270588235294114</v>
      </c>
      <c r="E89" s="350">
        <v>3333.4</v>
      </c>
      <c r="F89" s="350">
        <v>3400</v>
      </c>
      <c r="G89" s="340">
        <f>((F89/E89) -      1)*100</f>
        <v>1.9979600407991738</v>
      </c>
      <c r="H89" s="609">
        <v>3200</v>
      </c>
      <c r="I89" s="350">
        <v>3800</v>
      </c>
      <c r="J89" s="340">
        <f>((I89/H89) -      1)*100</f>
        <v>18.75</v>
      </c>
    </row>
    <row r="90" spans="1:10" ht="12" customHeight="1" x14ac:dyDescent="0.25">
      <c r="A90" s="343" t="s">
        <v>58</v>
      </c>
      <c r="B90" s="616">
        <v>2255</v>
      </c>
      <c r="C90" s="350">
        <v>2050</v>
      </c>
      <c r="D90" s="340">
        <f>((C90/B90) -      1)*100</f>
        <v>-9.0909090909090935</v>
      </c>
      <c r="E90" s="609">
        <v>3500</v>
      </c>
      <c r="F90" s="350" t="s">
        <v>403</v>
      </c>
      <c r="G90" s="340" t="s">
        <v>390</v>
      </c>
      <c r="H90" s="609">
        <v>2875</v>
      </c>
      <c r="I90" s="350">
        <v>2920</v>
      </c>
      <c r="J90" s="340">
        <f>((I90/H90) -      1)*100</f>
        <v>1.5652173913043521</v>
      </c>
    </row>
    <row r="91" spans="1:10" ht="12" customHeight="1" x14ac:dyDescent="0.2">
      <c r="A91" s="583" t="s">
        <v>69</v>
      </c>
      <c r="B91" s="349">
        <f>AVERAGE(B93:B94)</f>
        <v>2286.6999999999998</v>
      </c>
      <c r="C91" s="351">
        <f>AVERAGE(C93:C94)</f>
        <v>2293.3000000000002</v>
      </c>
      <c r="D91" s="353">
        <f>((C91/B91) -      1)*100</f>
        <v>0.28862553024009419</v>
      </c>
      <c r="E91" s="351">
        <f>AVERAGE(E92:E94)</f>
        <v>3456.7</v>
      </c>
      <c r="F91" s="351">
        <f>AVERAGE(F92:F94)</f>
        <v>3420</v>
      </c>
      <c r="G91" s="353">
        <f>((F91/E91) -      1)*100</f>
        <v>-1.0617062516272702</v>
      </c>
      <c r="H91" s="351">
        <f>AVERAGE(H92:H94)</f>
        <v>2978.3333333333335</v>
      </c>
      <c r="I91" s="351">
        <f>AVERAGE(I92:I94)</f>
        <v>2768.8666666666668</v>
      </c>
      <c r="J91" s="353">
        <f t="shared" ref="J91:J96" si="7">((I91/H91) -      1)*100</f>
        <v>-7.0330162283156135</v>
      </c>
    </row>
    <row r="92" spans="1:10" ht="12" customHeight="1" x14ac:dyDescent="0.2">
      <c r="A92" s="343" t="s">
        <v>447</v>
      </c>
      <c r="B92" s="350" t="s">
        <v>403</v>
      </c>
      <c r="C92" s="350" t="s">
        <v>403</v>
      </c>
      <c r="D92" s="340" t="s">
        <v>390</v>
      </c>
      <c r="E92" s="350" t="s">
        <v>403</v>
      </c>
      <c r="F92" s="350" t="s">
        <v>403</v>
      </c>
      <c r="G92" s="355" t="s">
        <v>390</v>
      </c>
      <c r="H92" s="350">
        <v>2900</v>
      </c>
      <c r="I92" s="350">
        <v>2840</v>
      </c>
      <c r="J92" s="355">
        <f t="shared" si="7"/>
        <v>-2.0689655172413834</v>
      </c>
    </row>
    <row r="93" spans="1:10" ht="12" customHeight="1" x14ac:dyDescent="0.2">
      <c r="A93" s="343" t="s">
        <v>70</v>
      </c>
      <c r="B93" s="616">
        <v>2173.4</v>
      </c>
      <c r="C93" s="350">
        <v>2086.6</v>
      </c>
      <c r="D93" s="355">
        <f>((C93/B93) -      1)*100</f>
        <v>-3.9937425232354884</v>
      </c>
      <c r="E93" s="608">
        <v>3313.4</v>
      </c>
      <c r="F93" s="608">
        <v>3340</v>
      </c>
      <c r="G93" s="355">
        <f>((F93/E93) -      1)*100</f>
        <v>0.80280074847587368</v>
      </c>
      <c r="H93" s="350">
        <v>2660</v>
      </c>
      <c r="I93" s="350">
        <v>2666.6</v>
      </c>
      <c r="J93" s="355">
        <f t="shared" si="7"/>
        <v>0.24812030075187508</v>
      </c>
    </row>
    <row r="94" spans="1:10" ht="12" customHeight="1" x14ac:dyDescent="0.2">
      <c r="A94" s="343" t="s">
        <v>71</v>
      </c>
      <c r="B94" s="616">
        <v>2400</v>
      </c>
      <c r="C94" s="350">
        <v>2500</v>
      </c>
      <c r="D94" s="355">
        <f>((C94/B94) -      1)*100</f>
        <v>4.1666666666666741</v>
      </c>
      <c r="E94" s="350">
        <v>3600</v>
      </c>
      <c r="F94" s="350">
        <v>3500</v>
      </c>
      <c r="G94" s="355">
        <f>((F94/E94) -      1)*100</f>
        <v>-2.777777777777779</v>
      </c>
      <c r="H94" s="350">
        <v>3375</v>
      </c>
      <c r="I94" s="350">
        <v>2800</v>
      </c>
      <c r="J94" s="355">
        <f t="shared" si="7"/>
        <v>-17.037037037037038</v>
      </c>
    </row>
    <row r="95" spans="1:10" ht="12" customHeight="1" x14ac:dyDescent="0.2">
      <c r="A95" s="583" t="s">
        <v>44</v>
      </c>
      <c r="B95" s="349">
        <f>AVERAGE(B96:B96)</f>
        <v>2170</v>
      </c>
      <c r="C95" s="351">
        <f>AVERAGE(C96:C96)</f>
        <v>2066</v>
      </c>
      <c r="D95" s="353">
        <f>((C95/B95) -      1)*100</f>
        <v>-4.7926267281105943</v>
      </c>
      <c r="E95" s="351">
        <f>AVERAGE(E96:E96)</f>
        <v>3700</v>
      </c>
      <c r="F95" s="351">
        <f>AVERAGE(F96:F96)</f>
        <v>3330</v>
      </c>
      <c r="G95" s="353">
        <f>((F95/E95) -      1)*100</f>
        <v>-9.9999999999999982</v>
      </c>
      <c r="H95" s="351">
        <f>AVERAGE(H96:H96)</f>
        <v>2880</v>
      </c>
      <c r="I95" s="351">
        <f>AVERAGE(I96:I96)</f>
        <v>2800</v>
      </c>
      <c r="J95" s="353">
        <f t="shared" si="7"/>
        <v>-2.777777777777779</v>
      </c>
    </row>
    <row r="96" spans="1:10" ht="12" customHeight="1" x14ac:dyDescent="0.2">
      <c r="A96" s="343" t="s">
        <v>45</v>
      </c>
      <c r="B96" s="616">
        <v>2170</v>
      </c>
      <c r="C96" s="350">
        <v>2066</v>
      </c>
      <c r="D96" s="355">
        <f>((C96/B96) -      1)*100</f>
        <v>-4.7926267281105943</v>
      </c>
      <c r="E96" s="350">
        <v>3700</v>
      </c>
      <c r="F96" s="350">
        <v>3330</v>
      </c>
      <c r="G96" s="355">
        <f>((F96/E96) -      1)*100</f>
        <v>-9.9999999999999982</v>
      </c>
      <c r="H96" s="350">
        <v>2880</v>
      </c>
      <c r="I96" s="350">
        <v>2800</v>
      </c>
      <c r="J96" s="340">
        <f t="shared" si="7"/>
        <v>-2.777777777777779</v>
      </c>
    </row>
    <row r="97" spans="1:10" ht="9" customHeight="1" x14ac:dyDescent="0.2">
      <c r="A97" s="595" t="s">
        <v>84</v>
      </c>
      <c r="B97" s="4"/>
      <c r="C97" s="4"/>
      <c r="D97" s="4"/>
      <c r="E97" s="454"/>
      <c r="F97" s="454"/>
      <c r="G97" s="4"/>
      <c r="H97" s="454"/>
      <c r="I97" s="454"/>
      <c r="J97" s="4"/>
    </row>
    <row r="98" spans="1:10" ht="9" customHeight="1" x14ac:dyDescent="0.2">
      <c r="A98" s="575" t="s">
        <v>489</v>
      </c>
      <c r="E98" s="367"/>
      <c r="F98" s="367"/>
      <c r="H98" s="367"/>
      <c r="I98" s="367"/>
    </row>
    <row r="99" spans="1:10" ht="10.5" customHeight="1" x14ac:dyDescent="0.2">
      <c r="A99" s="575" t="s">
        <v>66</v>
      </c>
      <c r="E99" s="367"/>
      <c r="F99" s="367"/>
      <c r="H99" s="367"/>
      <c r="I99" s="367"/>
    </row>
    <row r="100" spans="1:10" ht="10.5" customHeight="1" x14ac:dyDescent="0.2">
      <c r="E100" s="367"/>
      <c r="F100" s="367"/>
      <c r="H100" s="367"/>
      <c r="I100" s="367"/>
    </row>
    <row r="101" spans="1:10" ht="10.5" customHeight="1" x14ac:dyDescent="0.2">
      <c r="E101" s="367"/>
      <c r="F101" s="367"/>
      <c r="H101" s="367"/>
      <c r="I101" s="367"/>
    </row>
    <row r="102" spans="1:10" ht="10.5" customHeight="1" x14ac:dyDescent="0.2">
      <c r="E102" s="367"/>
      <c r="F102" s="367"/>
      <c r="H102" s="367"/>
      <c r="I102" s="367"/>
    </row>
    <row r="103" spans="1:10" ht="10.5" customHeight="1" x14ac:dyDescent="0.2">
      <c r="E103" s="367"/>
      <c r="F103" s="367"/>
      <c r="H103" s="367"/>
      <c r="I103" s="367"/>
    </row>
    <row r="104" spans="1:10" ht="10.5" customHeight="1" x14ac:dyDescent="0.2">
      <c r="E104" s="367"/>
      <c r="F104" s="367"/>
      <c r="H104" s="367"/>
      <c r="I104" s="367"/>
    </row>
    <row r="105" spans="1:10" ht="10.5" customHeight="1" x14ac:dyDescent="0.2">
      <c r="E105" s="367"/>
      <c r="F105" s="367"/>
      <c r="H105" s="367"/>
      <c r="I105" s="367"/>
    </row>
    <row r="106" spans="1:10" ht="10.5" customHeight="1" x14ac:dyDescent="0.2">
      <c r="E106" s="367"/>
      <c r="F106" s="367"/>
      <c r="H106" s="367"/>
      <c r="I106" s="367"/>
    </row>
    <row r="107" spans="1:10" ht="10.5" customHeight="1" x14ac:dyDescent="0.2">
      <c r="E107" s="367"/>
      <c r="F107" s="367"/>
      <c r="H107" s="367"/>
      <c r="I107" s="367"/>
    </row>
    <row r="108" spans="1:10" ht="10.5" customHeight="1" x14ac:dyDescent="0.2">
      <c r="E108" s="367"/>
      <c r="F108" s="367"/>
      <c r="H108" s="367"/>
      <c r="I108" s="367"/>
    </row>
    <row r="109" spans="1:10" ht="10.5" customHeight="1" x14ac:dyDescent="0.2">
      <c r="E109" s="367"/>
      <c r="F109" s="367"/>
      <c r="H109" s="367"/>
      <c r="I109" s="367"/>
    </row>
    <row r="110" spans="1:10" ht="10.5" customHeight="1" x14ac:dyDescent="0.2">
      <c r="E110" s="367"/>
      <c r="F110" s="367"/>
      <c r="H110" s="367"/>
      <c r="I110" s="367"/>
    </row>
    <row r="111" spans="1:10" ht="10.5" customHeight="1" x14ac:dyDescent="0.2">
      <c r="E111" s="367"/>
      <c r="F111" s="367"/>
      <c r="H111" s="367"/>
      <c r="I111" s="367"/>
    </row>
    <row r="112" spans="1:10" ht="10.5" customHeight="1" x14ac:dyDescent="0.2">
      <c r="E112" s="367"/>
      <c r="F112" s="367"/>
      <c r="H112" s="367"/>
      <c r="I112" s="367"/>
    </row>
    <row r="113" spans="5:9" ht="10.5" customHeight="1" x14ac:dyDescent="0.2">
      <c r="E113" s="367"/>
      <c r="F113" s="367"/>
      <c r="H113" s="367"/>
      <c r="I113" s="367"/>
    </row>
    <row r="114" spans="5:9" ht="10.5" customHeight="1" x14ac:dyDescent="0.2">
      <c r="E114" s="367"/>
      <c r="F114" s="367"/>
      <c r="H114" s="367"/>
      <c r="I114" s="367"/>
    </row>
    <row r="115" spans="5:9" ht="10.5" customHeight="1" x14ac:dyDescent="0.2">
      <c r="E115" s="367"/>
      <c r="F115" s="367"/>
      <c r="H115" s="367"/>
      <c r="I115" s="367"/>
    </row>
    <row r="116" spans="5:9" ht="10.5" customHeight="1" x14ac:dyDescent="0.2">
      <c r="E116" s="367"/>
      <c r="F116" s="367"/>
      <c r="H116" s="367"/>
      <c r="I116" s="367"/>
    </row>
    <row r="117" spans="5:9" ht="10.5" customHeight="1" x14ac:dyDescent="0.2">
      <c r="E117" s="367"/>
      <c r="F117" s="367"/>
      <c r="H117" s="367"/>
      <c r="I117" s="367"/>
    </row>
    <row r="118" spans="5:9" ht="10.5" customHeight="1" x14ac:dyDescent="0.2">
      <c r="H118" s="367"/>
      <c r="I118" s="367"/>
    </row>
    <row r="119" spans="5:9" ht="10.5" customHeight="1" x14ac:dyDescent="0.2">
      <c r="H119" s="367"/>
      <c r="I119" s="367"/>
    </row>
    <row r="120" spans="5:9" ht="10.5" customHeight="1" x14ac:dyDescent="0.2">
      <c r="H120" s="367"/>
      <c r="I120" s="367"/>
    </row>
    <row r="121" spans="5:9" ht="10.5" customHeight="1" x14ac:dyDescent="0.2">
      <c r="H121" s="367"/>
      <c r="I121" s="367"/>
    </row>
    <row r="122" spans="5:9" ht="10.5" customHeight="1" x14ac:dyDescent="0.2">
      <c r="H122" s="367"/>
      <c r="I122" s="367"/>
    </row>
    <row r="123" spans="5:9" ht="10.5" customHeight="1" x14ac:dyDescent="0.2">
      <c r="H123" s="367"/>
      <c r="I123" s="367"/>
    </row>
    <row r="124" spans="5:9" ht="10.5" customHeight="1" x14ac:dyDescent="0.2">
      <c r="H124" s="367"/>
      <c r="I124" s="367"/>
    </row>
    <row r="125" spans="5:9" ht="10.5" customHeight="1" x14ac:dyDescent="0.2">
      <c r="H125" s="367"/>
      <c r="I125" s="367"/>
    </row>
    <row r="126" spans="5:9" ht="12.75" customHeight="1" x14ac:dyDescent="0.2">
      <c r="H126" s="367"/>
      <c r="I126" s="367"/>
    </row>
    <row r="127" spans="5:9" ht="12.75" customHeight="1" x14ac:dyDescent="0.2">
      <c r="H127" s="367"/>
      <c r="I127" s="367"/>
    </row>
    <row r="128" spans="5:9" ht="12.75" customHeight="1" x14ac:dyDescent="0.2">
      <c r="H128" s="367"/>
      <c r="I128" s="367"/>
    </row>
    <row r="129" spans="8:9" ht="10.5" customHeight="1" x14ac:dyDescent="0.2">
      <c r="H129" s="367"/>
      <c r="I129" s="367"/>
    </row>
    <row r="130" spans="8:9" ht="10.5" customHeight="1" x14ac:dyDescent="0.2">
      <c r="H130" s="367"/>
      <c r="I130" s="367"/>
    </row>
    <row r="131" spans="8:9" ht="10.5" customHeight="1" x14ac:dyDescent="0.2">
      <c r="H131" s="367"/>
      <c r="I131" s="367"/>
    </row>
    <row r="132" spans="8:9" ht="10.5" customHeight="1" x14ac:dyDescent="0.2">
      <c r="H132" s="367"/>
      <c r="I132" s="367"/>
    </row>
    <row r="133" spans="8:9" ht="10.5" customHeight="1" x14ac:dyDescent="0.2">
      <c r="H133" s="367"/>
      <c r="I133" s="367"/>
    </row>
    <row r="134" spans="8:9" ht="10.5" customHeight="1" x14ac:dyDescent="0.2">
      <c r="H134" s="367"/>
      <c r="I134" s="367"/>
    </row>
    <row r="135" spans="8:9" ht="10.5" customHeight="1" x14ac:dyDescent="0.2">
      <c r="H135" s="367"/>
      <c r="I135" s="367"/>
    </row>
    <row r="136" spans="8:9" ht="10.5" customHeight="1" x14ac:dyDescent="0.2">
      <c r="H136" s="367"/>
      <c r="I136" s="367"/>
    </row>
    <row r="137" spans="8:9" ht="10.5" customHeight="1" x14ac:dyDescent="0.2">
      <c r="H137" s="367"/>
      <c r="I137" s="367"/>
    </row>
    <row r="138" spans="8:9" ht="10.5" customHeight="1" x14ac:dyDescent="0.2">
      <c r="H138" s="367"/>
      <c r="I138" s="367"/>
    </row>
    <row r="139" spans="8:9" ht="10.5" customHeight="1" x14ac:dyDescent="0.2">
      <c r="H139" s="367"/>
      <c r="I139" s="367"/>
    </row>
    <row r="140" spans="8:9" ht="10.5" customHeight="1" x14ac:dyDescent="0.2">
      <c r="H140" s="367"/>
      <c r="I140" s="367"/>
    </row>
    <row r="141" spans="8:9" ht="10.5" customHeight="1" x14ac:dyDescent="0.2">
      <c r="H141" s="367"/>
      <c r="I141" s="367"/>
    </row>
    <row r="142" spans="8:9" ht="10.5" customHeight="1" x14ac:dyDescent="0.2">
      <c r="H142" s="367"/>
      <c r="I142" s="367"/>
    </row>
    <row r="143" spans="8:9" ht="10.5" customHeight="1" x14ac:dyDescent="0.2">
      <c r="H143" s="367"/>
      <c r="I143" s="367"/>
    </row>
    <row r="144" spans="8:9" ht="10.5" customHeight="1" x14ac:dyDescent="0.2">
      <c r="H144" s="367"/>
      <c r="I144" s="367"/>
    </row>
    <row r="145" spans="8:9" ht="10.5" customHeight="1" x14ac:dyDescent="0.2">
      <c r="H145" s="367"/>
      <c r="I145" s="367"/>
    </row>
    <row r="146" spans="8:9" ht="10.5" customHeight="1" x14ac:dyDescent="0.2">
      <c r="H146" s="367"/>
      <c r="I146" s="367"/>
    </row>
    <row r="147" spans="8:9" ht="10.5" customHeight="1" x14ac:dyDescent="0.2">
      <c r="H147" s="367"/>
      <c r="I147" s="367"/>
    </row>
    <row r="148" spans="8:9" ht="10.5" customHeight="1" x14ac:dyDescent="0.2">
      <c r="H148" s="367"/>
      <c r="I148" s="367"/>
    </row>
    <row r="149" spans="8:9" ht="10.5" customHeight="1" x14ac:dyDescent="0.2">
      <c r="H149" s="367"/>
      <c r="I149" s="367"/>
    </row>
    <row r="150" spans="8:9" ht="10.5" customHeight="1" x14ac:dyDescent="0.2">
      <c r="H150" s="367"/>
      <c r="I150" s="367"/>
    </row>
    <row r="151" spans="8:9" ht="10.5" customHeight="1" x14ac:dyDescent="0.2">
      <c r="H151" s="367"/>
      <c r="I151" s="367"/>
    </row>
    <row r="152" spans="8:9" ht="10.5" customHeight="1" x14ac:dyDescent="0.2">
      <c r="H152" s="367"/>
      <c r="I152" s="367"/>
    </row>
    <row r="153" spans="8:9" ht="10.5" customHeight="1" x14ac:dyDescent="0.2">
      <c r="H153" s="367"/>
      <c r="I153" s="367"/>
    </row>
    <row r="154" spans="8:9" ht="10.5" customHeight="1" x14ac:dyDescent="0.2">
      <c r="H154" s="367"/>
      <c r="I154" s="367"/>
    </row>
    <row r="155" spans="8:9" ht="10.5" customHeight="1" x14ac:dyDescent="0.2">
      <c r="H155" s="367"/>
      <c r="I155" s="367"/>
    </row>
    <row r="156" spans="8:9" ht="10.5" customHeight="1" x14ac:dyDescent="0.2">
      <c r="H156" s="367"/>
      <c r="I156" s="367"/>
    </row>
    <row r="157" spans="8:9" ht="10.5" customHeight="1" x14ac:dyDescent="0.2">
      <c r="H157" s="367"/>
      <c r="I157" s="367"/>
    </row>
    <row r="158" spans="8:9" ht="12.75" customHeight="1" x14ac:dyDescent="0.2">
      <c r="H158" s="367"/>
      <c r="I158" s="367"/>
    </row>
    <row r="159" spans="8:9" ht="12.75" customHeight="1" x14ac:dyDescent="0.2">
      <c r="H159" s="367"/>
      <c r="I159" s="367"/>
    </row>
    <row r="160" spans="8:9" ht="12.75" customHeight="1" x14ac:dyDescent="0.2">
      <c r="H160" s="367"/>
      <c r="I160" s="367"/>
    </row>
    <row r="161" spans="8:9" ht="12.75" customHeight="1" x14ac:dyDescent="0.2">
      <c r="H161" s="367"/>
      <c r="I161" s="367"/>
    </row>
    <row r="162" spans="8:9" ht="12.75" customHeight="1" x14ac:dyDescent="0.2">
      <c r="H162" s="367"/>
      <c r="I162" s="367"/>
    </row>
    <row r="163" spans="8:9" ht="12.75" customHeight="1" x14ac:dyDescent="0.2">
      <c r="H163" s="367"/>
      <c r="I163" s="367"/>
    </row>
    <row r="164" spans="8:9" ht="12.75" customHeight="1" x14ac:dyDescent="0.2">
      <c r="H164" s="367"/>
      <c r="I164" s="367"/>
    </row>
    <row r="165" spans="8:9" ht="12.75" customHeight="1" x14ac:dyDescent="0.2">
      <c r="H165" s="367"/>
      <c r="I165" s="367"/>
    </row>
    <row r="166" spans="8:9" ht="12.75" customHeight="1" x14ac:dyDescent="0.2">
      <c r="H166" s="367"/>
      <c r="I166" s="367"/>
    </row>
    <row r="167" spans="8:9" ht="12.75" customHeight="1" x14ac:dyDescent="0.2">
      <c r="H167" s="367"/>
      <c r="I167" s="367"/>
    </row>
    <row r="168" spans="8:9" ht="12.75" customHeight="1" x14ac:dyDescent="0.2">
      <c r="H168" s="367"/>
      <c r="I168" s="367"/>
    </row>
    <row r="169" spans="8:9" ht="12.75" customHeight="1" x14ac:dyDescent="0.2">
      <c r="H169" s="367"/>
      <c r="I169" s="367"/>
    </row>
    <row r="170" spans="8:9" ht="12.75" customHeight="1" x14ac:dyDescent="0.2">
      <c r="H170" s="367"/>
      <c r="I170" s="367"/>
    </row>
    <row r="171" spans="8:9" ht="12.75" customHeight="1" x14ac:dyDescent="0.2">
      <c r="H171" s="367"/>
      <c r="I171" s="367"/>
    </row>
    <row r="172" spans="8:9" ht="12.75" customHeight="1" x14ac:dyDescent="0.2">
      <c r="H172" s="367"/>
      <c r="I172" s="367"/>
    </row>
    <row r="173" spans="8:9" ht="12.75" customHeight="1" x14ac:dyDescent="0.2">
      <c r="H173" s="367"/>
      <c r="I173" s="367"/>
    </row>
    <row r="174" spans="8:9" ht="12.75" customHeight="1" x14ac:dyDescent="0.2">
      <c r="H174" s="367"/>
      <c r="I174" s="367"/>
    </row>
    <row r="175" spans="8:9" ht="12.75" customHeight="1" x14ac:dyDescent="0.2">
      <c r="H175" s="367"/>
      <c r="I175" s="367"/>
    </row>
    <row r="176" spans="8:9" ht="12.75" customHeight="1" x14ac:dyDescent="0.2">
      <c r="H176" s="367"/>
      <c r="I176" s="367"/>
    </row>
    <row r="177" spans="8:9" ht="12.75" customHeight="1" x14ac:dyDescent="0.2">
      <c r="H177" s="367"/>
      <c r="I177" s="367"/>
    </row>
    <row r="178" spans="8:9" ht="12.75" customHeight="1" x14ac:dyDescent="0.2">
      <c r="H178" s="367"/>
      <c r="I178" s="367"/>
    </row>
    <row r="179" spans="8:9" ht="12.75" customHeight="1" x14ac:dyDescent="0.2">
      <c r="H179" s="367"/>
      <c r="I179" s="367"/>
    </row>
    <row r="180" spans="8:9" ht="12.75" customHeight="1" x14ac:dyDescent="0.2">
      <c r="H180" s="367"/>
      <c r="I180" s="367"/>
    </row>
    <row r="181" spans="8:9" ht="12.75" customHeight="1" x14ac:dyDescent="0.2">
      <c r="H181" s="367"/>
      <c r="I181" s="367"/>
    </row>
    <row r="182" spans="8:9" ht="12.75" customHeight="1" x14ac:dyDescent="0.2">
      <c r="H182" s="367"/>
      <c r="I182" s="367"/>
    </row>
    <row r="183" spans="8:9" ht="12.75" customHeight="1" x14ac:dyDescent="0.2">
      <c r="H183" s="367"/>
      <c r="I183" s="367"/>
    </row>
    <row r="184" spans="8:9" ht="12.75" customHeight="1" x14ac:dyDescent="0.2">
      <c r="H184" s="367"/>
      <c r="I184" s="367"/>
    </row>
    <row r="185" spans="8:9" ht="12.75" customHeight="1" x14ac:dyDescent="0.2">
      <c r="H185" s="367"/>
      <c r="I185" s="367"/>
    </row>
    <row r="186" spans="8:9" ht="12.75" customHeight="1" x14ac:dyDescent="0.2">
      <c r="H186" s="367"/>
      <c r="I186" s="367"/>
    </row>
    <row r="187" spans="8:9" ht="12.75" customHeight="1" x14ac:dyDescent="0.2">
      <c r="H187" s="367"/>
      <c r="I187" s="367"/>
    </row>
    <row r="188" spans="8:9" ht="12.75" customHeight="1" x14ac:dyDescent="0.2">
      <c r="H188" s="367"/>
      <c r="I188" s="367"/>
    </row>
    <row r="189" spans="8:9" ht="12.75" customHeight="1" x14ac:dyDescent="0.2">
      <c r="H189" s="367"/>
      <c r="I189" s="367"/>
    </row>
    <row r="190" spans="8:9" ht="12.75" customHeight="1" x14ac:dyDescent="0.2">
      <c r="H190" s="367"/>
      <c r="I190" s="367"/>
    </row>
    <row r="191" spans="8:9" ht="12.75" customHeight="1" x14ac:dyDescent="0.2">
      <c r="H191" s="367"/>
      <c r="I191" s="367"/>
    </row>
    <row r="192" spans="8:9" ht="12.75" customHeight="1" x14ac:dyDescent="0.2">
      <c r="H192" s="367"/>
      <c r="I192" s="367"/>
    </row>
    <row r="193" spans="8:9" ht="12.75" customHeight="1" x14ac:dyDescent="0.2">
      <c r="H193" s="367"/>
      <c r="I193" s="367"/>
    </row>
    <row r="194" spans="8:9" ht="12.75" customHeight="1" x14ac:dyDescent="0.2">
      <c r="H194" s="367"/>
      <c r="I194" s="367"/>
    </row>
    <row r="195" spans="8:9" ht="12.75" customHeight="1" x14ac:dyDescent="0.2">
      <c r="H195" s="367"/>
      <c r="I195" s="367"/>
    </row>
    <row r="196" spans="8:9" ht="12.75" customHeight="1" x14ac:dyDescent="0.2">
      <c r="H196" s="367"/>
      <c r="I196" s="367"/>
    </row>
    <row r="197" spans="8:9" ht="12.75" customHeight="1" x14ac:dyDescent="0.2">
      <c r="H197" s="367"/>
      <c r="I197" s="367"/>
    </row>
    <row r="198" spans="8:9" ht="12.75" customHeight="1" x14ac:dyDescent="0.2">
      <c r="H198" s="367"/>
      <c r="I198" s="367"/>
    </row>
    <row r="199" spans="8:9" ht="12.75" customHeight="1" x14ac:dyDescent="0.2">
      <c r="H199" s="367"/>
      <c r="I199" s="367"/>
    </row>
    <row r="200" spans="8:9" ht="12.75" customHeight="1" x14ac:dyDescent="0.2">
      <c r="H200" s="367"/>
      <c r="I200" s="367"/>
    </row>
    <row r="201" spans="8:9" ht="12.75" customHeight="1" x14ac:dyDescent="0.2">
      <c r="H201" s="367"/>
      <c r="I201" s="367"/>
    </row>
    <row r="202" spans="8:9" ht="12.75" customHeight="1" x14ac:dyDescent="0.2">
      <c r="H202" s="367"/>
      <c r="I202" s="367"/>
    </row>
    <row r="203" spans="8:9" ht="12.75" customHeight="1" x14ac:dyDescent="0.2">
      <c r="H203" s="367"/>
      <c r="I203" s="367"/>
    </row>
    <row r="204" spans="8:9" ht="12.75" customHeight="1" x14ac:dyDescent="0.2">
      <c r="H204" s="367"/>
      <c r="I204" s="367"/>
    </row>
    <row r="205" spans="8:9" ht="12.75" customHeight="1" x14ac:dyDescent="0.2">
      <c r="H205" s="367"/>
      <c r="I205" s="367"/>
    </row>
    <row r="206" spans="8:9" ht="12.75" customHeight="1" x14ac:dyDescent="0.2">
      <c r="H206" s="367"/>
      <c r="I206" s="367"/>
    </row>
    <row r="207" spans="8:9" ht="12.75" customHeight="1" x14ac:dyDescent="0.2">
      <c r="H207" s="367"/>
      <c r="I207" s="367"/>
    </row>
    <row r="208" spans="8:9" ht="12.75" customHeight="1" x14ac:dyDescent="0.2">
      <c r="H208" s="367"/>
      <c r="I208" s="367"/>
    </row>
    <row r="209" spans="8:9" ht="12.75" customHeight="1" x14ac:dyDescent="0.2">
      <c r="H209" s="367"/>
      <c r="I209" s="367"/>
    </row>
    <row r="210" spans="8:9" ht="12.75" customHeight="1" x14ac:dyDescent="0.2">
      <c r="H210" s="367"/>
      <c r="I210" s="367"/>
    </row>
    <row r="211" spans="8:9" ht="12.75" customHeight="1" x14ac:dyDescent="0.2">
      <c r="H211" s="367"/>
      <c r="I211" s="367"/>
    </row>
    <row r="212" spans="8:9" ht="12.75" customHeight="1" x14ac:dyDescent="0.2">
      <c r="H212" s="367"/>
      <c r="I212" s="367"/>
    </row>
    <row r="213" spans="8:9" ht="12.75" customHeight="1" x14ac:dyDescent="0.2">
      <c r="H213" s="367"/>
      <c r="I213" s="367"/>
    </row>
    <row r="214" spans="8:9" ht="12.75" customHeight="1" x14ac:dyDescent="0.2">
      <c r="H214" s="367"/>
      <c r="I214" s="367"/>
    </row>
    <row r="215" spans="8:9" ht="12.75" customHeight="1" x14ac:dyDescent="0.2">
      <c r="H215" s="367"/>
      <c r="I215" s="367"/>
    </row>
    <row r="216" spans="8:9" ht="12.75" customHeight="1" x14ac:dyDescent="0.2">
      <c r="H216" s="367"/>
      <c r="I216" s="367"/>
    </row>
    <row r="217" spans="8:9" ht="12.75" customHeight="1" x14ac:dyDescent="0.2">
      <c r="H217" s="367"/>
      <c r="I217" s="367"/>
    </row>
    <row r="218" spans="8:9" ht="12.75" customHeight="1" x14ac:dyDescent="0.2">
      <c r="H218" s="367"/>
      <c r="I218" s="367"/>
    </row>
    <row r="219" spans="8:9" ht="12.75" customHeight="1" x14ac:dyDescent="0.2">
      <c r="H219" s="367"/>
      <c r="I219" s="367"/>
    </row>
    <row r="220" spans="8:9" ht="12.75" customHeight="1" x14ac:dyDescent="0.2">
      <c r="H220" s="367"/>
      <c r="I220" s="367"/>
    </row>
    <row r="221" spans="8:9" ht="12.75" customHeight="1" x14ac:dyDescent="0.2">
      <c r="H221" s="367"/>
      <c r="I221" s="367"/>
    </row>
    <row r="222" spans="8:9" ht="12.75" customHeight="1" x14ac:dyDescent="0.2">
      <c r="H222" s="367"/>
      <c r="I222" s="367"/>
    </row>
    <row r="223" spans="8:9" ht="12.75" customHeight="1" x14ac:dyDescent="0.2">
      <c r="H223" s="367"/>
      <c r="I223" s="367"/>
    </row>
    <row r="224" spans="8:9" ht="12.75" customHeight="1" x14ac:dyDescent="0.2">
      <c r="H224" s="367"/>
      <c r="I224" s="367"/>
    </row>
    <row r="225" spans="8:9" ht="12.75" customHeight="1" x14ac:dyDescent="0.2">
      <c r="H225" s="367"/>
      <c r="I225" s="367"/>
    </row>
    <row r="226" spans="8:9" ht="12.75" customHeight="1" x14ac:dyDescent="0.2">
      <c r="H226" s="367"/>
      <c r="I226" s="367"/>
    </row>
    <row r="227" spans="8:9" ht="12.75" customHeight="1" x14ac:dyDescent="0.2">
      <c r="H227" s="367"/>
      <c r="I227" s="367"/>
    </row>
    <row r="228" spans="8:9" ht="12.75" customHeight="1" x14ac:dyDescent="0.2">
      <c r="H228" s="367"/>
      <c r="I228" s="367"/>
    </row>
    <row r="229" spans="8:9" ht="12.75" customHeight="1" x14ac:dyDescent="0.2">
      <c r="H229" s="367"/>
      <c r="I229" s="367"/>
    </row>
    <row r="230" spans="8:9" ht="12.75" customHeight="1" x14ac:dyDescent="0.2">
      <c r="H230" s="367"/>
      <c r="I230" s="367"/>
    </row>
    <row r="231" spans="8:9" ht="12.75" customHeight="1" x14ac:dyDescent="0.2">
      <c r="H231" s="367"/>
      <c r="I231" s="367"/>
    </row>
    <row r="232" spans="8:9" ht="12.75" customHeight="1" x14ac:dyDescent="0.2">
      <c r="H232" s="367"/>
      <c r="I232" s="367"/>
    </row>
    <row r="233" spans="8:9" ht="12.75" customHeight="1" x14ac:dyDescent="0.2">
      <c r="H233" s="367"/>
      <c r="I233" s="367"/>
    </row>
    <row r="234" spans="8:9" ht="12.75" customHeight="1" x14ac:dyDescent="0.2">
      <c r="H234" s="367"/>
      <c r="I234" s="367"/>
    </row>
    <row r="235" spans="8:9" ht="12.75" customHeight="1" x14ac:dyDescent="0.2">
      <c r="H235" s="367"/>
      <c r="I235" s="367"/>
    </row>
    <row r="236" spans="8:9" ht="12.75" customHeight="1" x14ac:dyDescent="0.2">
      <c r="H236" s="367"/>
      <c r="I236" s="367"/>
    </row>
    <row r="237" spans="8:9" ht="12.75" customHeight="1" x14ac:dyDescent="0.2">
      <c r="H237" s="367"/>
      <c r="I237" s="367"/>
    </row>
    <row r="238" spans="8:9" ht="12.75" customHeight="1" x14ac:dyDescent="0.2">
      <c r="H238" s="367"/>
      <c r="I238" s="367"/>
    </row>
    <row r="239" spans="8:9" ht="12.75" customHeight="1" x14ac:dyDescent="0.2">
      <c r="H239" s="367"/>
      <c r="I239" s="367"/>
    </row>
    <row r="240" spans="8:9" ht="12.75" customHeight="1" x14ac:dyDescent="0.2">
      <c r="H240" s="367"/>
      <c r="I240" s="367"/>
    </row>
    <row r="241" spans="8:9" ht="12.75" customHeight="1" x14ac:dyDescent="0.2">
      <c r="H241" s="367"/>
      <c r="I241" s="367"/>
    </row>
    <row r="242" spans="8:9" ht="12.75" customHeight="1" x14ac:dyDescent="0.2">
      <c r="H242" s="367"/>
      <c r="I242" s="367"/>
    </row>
    <row r="243" spans="8:9" ht="12.75" customHeight="1" x14ac:dyDescent="0.2">
      <c r="H243" s="367"/>
      <c r="I243" s="367"/>
    </row>
    <row r="244" spans="8:9" ht="12.75" customHeight="1" x14ac:dyDescent="0.2">
      <c r="H244" s="367"/>
      <c r="I244" s="367"/>
    </row>
    <row r="245" spans="8:9" ht="12.75" customHeight="1" x14ac:dyDescent="0.2">
      <c r="H245" s="367"/>
      <c r="I245" s="367"/>
    </row>
    <row r="246" spans="8:9" ht="12.75" customHeight="1" x14ac:dyDescent="0.2">
      <c r="H246" s="367"/>
      <c r="I246" s="367"/>
    </row>
    <row r="247" spans="8:9" ht="12.75" customHeight="1" x14ac:dyDescent="0.2">
      <c r="H247" s="367"/>
      <c r="I247" s="367"/>
    </row>
    <row r="248" spans="8:9" ht="12.75" customHeight="1" x14ac:dyDescent="0.2">
      <c r="H248" s="367"/>
      <c r="I248" s="367"/>
    </row>
    <row r="249" spans="8:9" ht="12.75" customHeight="1" x14ac:dyDescent="0.2">
      <c r="H249" s="367"/>
      <c r="I249" s="367"/>
    </row>
    <row r="250" spans="8:9" ht="12.75" customHeight="1" x14ac:dyDescent="0.2">
      <c r="H250" s="367"/>
      <c r="I250" s="367"/>
    </row>
    <row r="251" spans="8:9" ht="12.75" customHeight="1" x14ac:dyDescent="0.2">
      <c r="H251" s="367"/>
      <c r="I251" s="367"/>
    </row>
    <row r="252" spans="8:9" ht="12.75" customHeight="1" x14ac:dyDescent="0.2">
      <c r="H252" s="367"/>
      <c r="I252" s="367"/>
    </row>
    <row r="253" spans="8:9" ht="12.75" customHeight="1" x14ac:dyDescent="0.2">
      <c r="H253" s="367"/>
      <c r="I253" s="367"/>
    </row>
    <row r="254" spans="8:9" ht="12.75" customHeight="1" x14ac:dyDescent="0.2">
      <c r="H254" s="367"/>
      <c r="I254" s="367"/>
    </row>
    <row r="255" spans="8:9" ht="12.75" customHeight="1" x14ac:dyDescent="0.2">
      <c r="H255" s="367"/>
      <c r="I255" s="367"/>
    </row>
    <row r="256" spans="8:9" ht="12.75" customHeight="1" x14ac:dyDescent="0.2">
      <c r="H256" s="367"/>
      <c r="I256" s="367"/>
    </row>
    <row r="257" spans="8:9" ht="12.75" customHeight="1" x14ac:dyDescent="0.2">
      <c r="H257" s="367"/>
      <c r="I257" s="367"/>
    </row>
    <row r="258" spans="8:9" ht="12.75" customHeight="1" x14ac:dyDescent="0.2">
      <c r="H258" s="367"/>
      <c r="I258" s="367"/>
    </row>
    <row r="259" spans="8:9" ht="12.75" customHeight="1" x14ac:dyDescent="0.2">
      <c r="H259" s="367"/>
      <c r="I259" s="367"/>
    </row>
    <row r="260" spans="8:9" ht="12.75" customHeight="1" x14ac:dyDescent="0.2">
      <c r="H260" s="367"/>
      <c r="I260" s="367"/>
    </row>
    <row r="261" spans="8:9" ht="12.75" customHeight="1" x14ac:dyDescent="0.2">
      <c r="H261" s="367"/>
      <c r="I261" s="367"/>
    </row>
    <row r="262" spans="8:9" ht="12.75" customHeight="1" x14ac:dyDescent="0.2">
      <c r="H262" s="367"/>
      <c r="I262" s="367"/>
    </row>
    <row r="263" spans="8:9" ht="12.75" customHeight="1" x14ac:dyDescent="0.2">
      <c r="H263" s="367"/>
      <c r="I263" s="367"/>
    </row>
    <row r="264" spans="8:9" ht="12.75" customHeight="1" x14ac:dyDescent="0.2">
      <c r="H264" s="367"/>
      <c r="I264" s="367"/>
    </row>
    <row r="265" spans="8:9" ht="12.75" customHeight="1" x14ac:dyDescent="0.2">
      <c r="H265" s="367"/>
      <c r="I265" s="367"/>
    </row>
    <row r="266" spans="8:9" ht="12.75" customHeight="1" x14ac:dyDescent="0.2">
      <c r="H266" s="367"/>
      <c r="I266" s="367"/>
    </row>
    <row r="267" spans="8:9" ht="12.75" customHeight="1" x14ac:dyDescent="0.2">
      <c r="H267" s="367"/>
      <c r="I267" s="367"/>
    </row>
    <row r="268" spans="8:9" ht="12.75" customHeight="1" x14ac:dyDescent="0.2">
      <c r="H268" s="367"/>
      <c r="I268" s="367"/>
    </row>
    <row r="269" spans="8:9" ht="12.75" customHeight="1" x14ac:dyDescent="0.2">
      <c r="H269" s="367"/>
      <c r="I269" s="367"/>
    </row>
    <row r="270" spans="8:9" ht="12.75" customHeight="1" x14ac:dyDescent="0.2">
      <c r="H270" s="367"/>
      <c r="I270" s="367"/>
    </row>
    <row r="271" spans="8:9" ht="12.75" customHeight="1" x14ac:dyDescent="0.2">
      <c r="H271" s="367"/>
      <c r="I271" s="367"/>
    </row>
    <row r="272" spans="8:9" ht="12.75" customHeight="1" x14ac:dyDescent="0.2"/>
    <row r="273" s="2" customFormat="1" ht="12.75" customHeight="1" x14ac:dyDescent="0.2"/>
    <row r="274" s="2" customFormat="1" ht="12.75" customHeight="1" x14ac:dyDescent="0.2"/>
    <row r="275" s="2" customFormat="1" ht="12.75" customHeight="1" x14ac:dyDescent="0.2"/>
    <row r="276" s="2" customFormat="1" ht="12.75" customHeight="1" x14ac:dyDescent="0.2"/>
    <row r="277" s="2" customFormat="1" ht="12.75" customHeight="1" x14ac:dyDescent="0.2"/>
    <row r="278" s="2" customFormat="1" ht="12.75" customHeight="1" x14ac:dyDescent="0.2"/>
    <row r="279" s="2" customFormat="1" ht="12.75" customHeight="1" x14ac:dyDescent="0.2"/>
    <row r="280" s="2" customFormat="1" ht="12.75" customHeight="1" x14ac:dyDescent="0.2"/>
    <row r="281" s="2" customFormat="1" ht="12.75" customHeight="1" x14ac:dyDescent="0.2"/>
    <row r="282" s="2" customFormat="1" ht="12.75" customHeight="1" x14ac:dyDescent="0.2"/>
    <row r="283" s="2" customFormat="1" ht="12.75" customHeight="1" x14ac:dyDescent="0.2"/>
    <row r="284" s="2" customFormat="1" ht="12.75" customHeight="1" x14ac:dyDescent="0.2"/>
    <row r="285" s="2" customFormat="1" ht="12.75" customHeight="1" x14ac:dyDescent="0.2"/>
    <row r="286" s="2" customFormat="1" ht="12.75" customHeight="1" x14ac:dyDescent="0.2"/>
    <row r="287" s="2" customFormat="1" ht="12.75" customHeight="1" x14ac:dyDescent="0.2"/>
    <row r="288" s="2" customFormat="1" ht="12.75" customHeight="1" x14ac:dyDescent="0.2"/>
    <row r="289" s="2" customFormat="1" ht="12.75" customHeight="1" x14ac:dyDescent="0.2"/>
    <row r="290" s="2" customFormat="1" ht="12.75" customHeight="1" x14ac:dyDescent="0.2"/>
    <row r="291" s="2" customFormat="1" ht="12.75" customHeight="1" x14ac:dyDescent="0.2"/>
    <row r="292" s="2" customFormat="1" ht="12.75" customHeight="1" x14ac:dyDescent="0.2"/>
    <row r="293" s="2" customFormat="1" ht="12.75" customHeight="1" x14ac:dyDescent="0.2"/>
    <row r="294" s="2" customFormat="1" ht="12.75" customHeight="1" x14ac:dyDescent="0.2"/>
    <row r="295" s="2" customFormat="1" ht="12.75" customHeight="1" x14ac:dyDescent="0.2"/>
    <row r="296" s="2" customFormat="1" ht="12.75" customHeight="1" x14ac:dyDescent="0.2"/>
    <row r="297" s="2" customFormat="1" ht="12.75" customHeight="1" x14ac:dyDescent="0.2"/>
    <row r="298" s="2" customFormat="1" ht="12.75" customHeight="1" x14ac:dyDescent="0.2"/>
    <row r="299" s="2" customFormat="1" ht="12.75" customHeight="1" x14ac:dyDescent="0.2"/>
    <row r="300" s="2" customFormat="1" ht="12.75" customHeight="1" x14ac:dyDescent="0.2"/>
    <row r="301" s="2" customFormat="1" ht="12.75" customHeight="1" x14ac:dyDescent="0.2"/>
    <row r="302" s="2" customFormat="1" ht="12.75" customHeight="1" x14ac:dyDescent="0.2"/>
    <row r="303" s="2" customFormat="1" ht="12.75" customHeight="1" x14ac:dyDescent="0.2"/>
    <row r="304" s="2" customFormat="1" ht="12.75" customHeight="1" x14ac:dyDescent="0.2"/>
    <row r="305" s="2" customFormat="1" ht="12.75" customHeight="1" x14ac:dyDescent="0.2"/>
    <row r="306" s="2" customFormat="1" ht="12.75" customHeight="1" x14ac:dyDescent="0.2"/>
    <row r="307" s="2" customFormat="1" ht="12.75" customHeight="1" x14ac:dyDescent="0.2"/>
    <row r="308" s="2" customFormat="1" ht="12.75" customHeight="1" x14ac:dyDescent="0.2"/>
    <row r="309" s="2" customFormat="1" ht="12.75" customHeight="1" x14ac:dyDescent="0.2"/>
    <row r="310" s="2" customFormat="1" ht="12.75" customHeight="1" x14ac:dyDescent="0.2"/>
    <row r="311" s="2" customFormat="1" ht="12.75" customHeight="1" x14ac:dyDescent="0.2"/>
    <row r="312" s="2" customFormat="1" ht="12.75" customHeight="1" x14ac:dyDescent="0.2"/>
    <row r="313" s="2" customFormat="1" ht="12.75" customHeight="1" x14ac:dyDescent="0.2"/>
    <row r="314" s="2" customFormat="1" ht="12.75" customHeight="1" x14ac:dyDescent="0.2"/>
    <row r="315" s="2" customFormat="1" ht="12.75" customHeight="1" x14ac:dyDescent="0.2"/>
    <row r="316" s="2" customFormat="1" ht="12.75" customHeight="1" x14ac:dyDescent="0.2"/>
    <row r="317" s="2" customFormat="1" ht="12.75" customHeight="1" x14ac:dyDescent="0.2"/>
    <row r="318" s="2" customFormat="1" ht="12.75" customHeight="1" x14ac:dyDescent="0.2"/>
    <row r="319" s="2" customFormat="1" ht="12.75" customHeight="1" x14ac:dyDescent="0.2"/>
    <row r="320" s="2" customFormat="1" ht="12.75" customHeight="1" x14ac:dyDescent="0.2"/>
    <row r="321" s="2" customFormat="1" ht="12.75" customHeight="1" x14ac:dyDescent="0.2"/>
    <row r="322" s="2" customFormat="1" ht="12.75" customHeight="1" x14ac:dyDescent="0.2"/>
    <row r="323" s="2" customFormat="1" ht="12.75" customHeight="1" x14ac:dyDescent="0.2"/>
    <row r="324" s="2" customFormat="1" ht="12.75" customHeight="1" x14ac:dyDescent="0.2"/>
    <row r="325" s="2" customFormat="1" ht="12.75" customHeight="1" x14ac:dyDescent="0.2"/>
    <row r="326" s="2" customFormat="1" ht="12.75" customHeight="1" x14ac:dyDescent="0.2"/>
    <row r="327" s="2" customFormat="1" ht="12.75" customHeight="1" x14ac:dyDescent="0.2"/>
    <row r="328" s="2" customFormat="1" ht="12.75" customHeight="1" x14ac:dyDescent="0.2"/>
    <row r="329" s="2" customFormat="1" ht="12.75" customHeight="1" x14ac:dyDescent="0.2"/>
    <row r="330" s="2" customFormat="1" ht="12.75" customHeight="1" x14ac:dyDescent="0.2"/>
    <row r="331" s="2" customFormat="1" ht="12.75" customHeight="1" x14ac:dyDescent="0.2"/>
    <row r="332" s="2" customFormat="1" ht="12.75" customHeight="1" x14ac:dyDescent="0.2"/>
    <row r="333" s="2" customFormat="1" ht="12.75" customHeight="1" x14ac:dyDescent="0.2"/>
    <row r="334" s="2" customFormat="1" ht="12.75" customHeight="1" x14ac:dyDescent="0.2"/>
    <row r="335" s="2" customFormat="1" ht="12.75" customHeight="1" x14ac:dyDescent="0.2"/>
    <row r="336" s="2" customFormat="1" ht="12.75" customHeight="1" x14ac:dyDescent="0.2"/>
    <row r="337" s="2" customFormat="1" ht="12.75" customHeight="1" x14ac:dyDescent="0.2"/>
    <row r="338" s="2" customFormat="1" ht="12.75" customHeight="1" x14ac:dyDescent="0.2"/>
    <row r="339" s="2" customFormat="1" ht="12.75" customHeight="1" x14ac:dyDescent="0.2"/>
    <row r="340" s="2" customFormat="1" ht="12.75" customHeight="1" x14ac:dyDescent="0.2"/>
    <row r="341" s="2" customFormat="1" ht="12.75" customHeight="1" x14ac:dyDescent="0.2"/>
    <row r="342" s="2" customFormat="1" ht="12.75" customHeight="1" x14ac:dyDescent="0.2"/>
    <row r="343" s="2" customFormat="1" ht="12.75" customHeight="1" x14ac:dyDescent="0.2"/>
    <row r="344" s="2" customFormat="1" ht="12.75" customHeight="1" x14ac:dyDescent="0.2"/>
    <row r="345" s="2" customFormat="1" ht="12.75" customHeight="1" x14ac:dyDescent="0.2"/>
    <row r="346" s="2" customFormat="1" ht="12.75" customHeight="1" x14ac:dyDescent="0.2"/>
    <row r="347" s="2" customFormat="1" ht="12.75" customHeight="1" x14ac:dyDescent="0.2"/>
    <row r="348" s="2" customFormat="1" ht="12.75" customHeight="1" x14ac:dyDescent="0.2"/>
    <row r="349" s="2" customFormat="1" ht="12.75" customHeight="1" x14ac:dyDescent="0.2"/>
    <row r="350" s="2" customFormat="1" ht="12.75" customHeight="1" x14ac:dyDescent="0.2"/>
    <row r="351" s="2" customFormat="1" ht="12.75" customHeight="1" x14ac:dyDescent="0.2"/>
    <row r="352" s="2" customFormat="1" ht="12.75" customHeight="1" x14ac:dyDescent="0.2"/>
    <row r="353" s="2" customFormat="1" ht="12.75" customHeight="1" x14ac:dyDescent="0.2"/>
    <row r="354" s="2" customFormat="1" ht="12.75" customHeight="1" x14ac:dyDescent="0.2"/>
    <row r="355" s="2" customFormat="1" ht="12.75" customHeight="1" x14ac:dyDescent="0.2"/>
    <row r="356" s="2" customFormat="1" ht="12.75" customHeight="1" x14ac:dyDescent="0.2"/>
    <row r="357" s="2" customFormat="1" ht="12.75" customHeight="1" x14ac:dyDescent="0.2"/>
    <row r="358" s="2" customFormat="1" ht="12.75" customHeight="1" x14ac:dyDescent="0.2"/>
    <row r="359" s="2" customFormat="1" ht="12.75" customHeight="1" x14ac:dyDescent="0.2"/>
    <row r="360" s="2" customFormat="1" ht="12.75" customHeight="1" x14ac:dyDescent="0.2"/>
    <row r="361" s="2" customFormat="1" ht="12.75" customHeight="1" x14ac:dyDescent="0.2"/>
    <row r="362" s="2" customFormat="1" ht="12.75" customHeight="1" x14ac:dyDescent="0.2"/>
    <row r="363" s="2" customFormat="1" ht="12.75" customHeight="1" x14ac:dyDescent="0.2"/>
    <row r="364" s="2" customFormat="1" ht="12.75" customHeight="1" x14ac:dyDescent="0.2"/>
    <row r="365" s="2" customFormat="1" ht="12.75" customHeight="1" x14ac:dyDescent="0.2"/>
    <row r="366" s="2" customFormat="1" ht="12.75" customHeight="1" x14ac:dyDescent="0.2"/>
    <row r="367" s="2" customFormat="1" ht="12.75" customHeight="1" x14ac:dyDescent="0.2"/>
    <row r="368" s="2" customFormat="1" ht="12.75" customHeight="1" x14ac:dyDescent="0.2"/>
    <row r="369" s="2" customFormat="1" ht="12.75" customHeight="1" x14ac:dyDescent="0.2"/>
    <row r="370" s="2" customFormat="1" ht="12.75" customHeight="1" x14ac:dyDescent="0.2"/>
    <row r="371" s="2" customFormat="1" ht="12.75" customHeight="1" x14ac:dyDescent="0.2"/>
    <row r="372" s="2" customFormat="1" ht="12.75" customHeight="1" x14ac:dyDescent="0.2"/>
    <row r="373" s="2" customFormat="1" ht="12.75" customHeight="1" x14ac:dyDescent="0.2"/>
    <row r="374" s="2" customFormat="1" ht="12.75" customHeight="1" x14ac:dyDescent="0.2"/>
    <row r="375" s="2" customFormat="1" ht="12.75" customHeight="1" x14ac:dyDescent="0.2"/>
    <row r="376" s="2" customFormat="1" ht="12.75" customHeight="1" x14ac:dyDescent="0.2"/>
    <row r="377" s="2" customFormat="1" ht="12.75" customHeight="1" x14ac:dyDescent="0.2"/>
    <row r="378" s="2" customFormat="1" ht="12.75" customHeight="1" x14ac:dyDescent="0.2"/>
    <row r="379" s="2" customFormat="1" ht="12.75" customHeight="1" x14ac:dyDescent="0.2"/>
    <row r="380" s="2" customFormat="1" ht="12.75" customHeight="1" x14ac:dyDescent="0.2"/>
    <row r="381" s="2" customFormat="1" ht="12.75" customHeight="1" x14ac:dyDescent="0.2"/>
    <row r="382" s="2" customFormat="1" ht="12.75" customHeight="1" x14ac:dyDescent="0.2"/>
    <row r="383" s="2" customFormat="1" ht="12.75" customHeight="1" x14ac:dyDescent="0.2"/>
    <row r="384" s="2" customFormat="1" ht="12.75" customHeight="1" x14ac:dyDescent="0.2"/>
    <row r="385" s="2" customFormat="1" ht="12.75" customHeight="1" x14ac:dyDescent="0.2"/>
    <row r="386" s="2" customFormat="1" ht="12.75" customHeight="1" x14ac:dyDescent="0.2"/>
    <row r="387" s="2" customFormat="1" ht="12.75" customHeight="1" x14ac:dyDescent="0.2"/>
    <row r="388" s="2" customFormat="1" ht="12.75" customHeight="1" x14ac:dyDescent="0.2"/>
    <row r="389" s="2" customFormat="1" ht="12.75" customHeight="1" x14ac:dyDescent="0.2"/>
    <row r="390" s="2" customFormat="1" ht="12.75" customHeight="1" x14ac:dyDescent="0.2"/>
    <row r="391" s="2" customFormat="1" ht="12.75" customHeight="1" x14ac:dyDescent="0.2"/>
    <row r="392" s="2" customFormat="1" ht="12.75" customHeight="1" x14ac:dyDescent="0.2"/>
    <row r="393" s="2" customFormat="1" ht="12.75" customHeight="1" x14ac:dyDescent="0.2"/>
    <row r="394" s="2" customFormat="1" ht="12.75" customHeight="1" x14ac:dyDescent="0.2"/>
    <row r="395" s="2" customFormat="1" ht="12.75" customHeight="1" x14ac:dyDescent="0.2"/>
    <row r="396" s="2" customFormat="1" ht="12.75" customHeight="1" x14ac:dyDescent="0.2"/>
    <row r="397" s="2" customFormat="1" ht="12.75" customHeight="1" x14ac:dyDescent="0.2"/>
    <row r="398" s="2" customFormat="1" ht="12.75" customHeight="1" x14ac:dyDescent="0.2"/>
    <row r="399" s="2" customFormat="1" ht="12.75" customHeight="1" x14ac:dyDescent="0.2"/>
    <row r="400" s="2" customFormat="1" ht="12.75" customHeight="1" x14ac:dyDescent="0.2"/>
    <row r="401" s="2" customFormat="1" ht="12.75" customHeight="1" x14ac:dyDescent="0.2"/>
    <row r="402" s="2" customFormat="1" ht="12.75" customHeight="1" x14ac:dyDescent="0.2"/>
    <row r="403" s="2" customFormat="1" ht="12.75" customHeight="1" x14ac:dyDescent="0.2"/>
    <row r="404" s="2" customFormat="1" ht="12.75" customHeight="1" x14ac:dyDescent="0.2"/>
    <row r="405" s="2" customFormat="1" ht="12.75" customHeight="1" x14ac:dyDescent="0.2"/>
    <row r="406" s="2" customFormat="1" ht="12.75" customHeight="1" x14ac:dyDescent="0.2"/>
    <row r="407" s="2" customFormat="1" ht="12.75" customHeight="1" x14ac:dyDescent="0.2"/>
    <row r="408" s="2" customFormat="1" ht="12.75" customHeight="1" x14ac:dyDescent="0.2"/>
    <row r="409" s="2" customFormat="1" ht="12.75" customHeight="1" x14ac:dyDescent="0.2"/>
    <row r="410" s="2" customFormat="1" ht="12.75" customHeight="1" x14ac:dyDescent="0.2"/>
    <row r="411" s="2" customFormat="1" ht="12.75" customHeight="1" x14ac:dyDescent="0.2"/>
    <row r="412" s="2" customFormat="1" ht="12.75" customHeight="1" x14ac:dyDescent="0.2"/>
    <row r="413" s="2" customFormat="1" ht="12.75" customHeight="1" x14ac:dyDescent="0.2"/>
    <row r="414" s="2" customFormat="1" ht="12.75" customHeight="1" x14ac:dyDescent="0.2"/>
    <row r="415" s="2" customFormat="1" ht="12.75" customHeight="1" x14ac:dyDescent="0.2"/>
    <row r="416" s="2" customFormat="1" ht="12.75" customHeight="1" x14ac:dyDescent="0.2"/>
    <row r="417" s="2" customFormat="1" ht="12.75" customHeight="1" x14ac:dyDescent="0.2"/>
    <row r="418" s="2" customFormat="1" ht="12.75" customHeight="1" x14ac:dyDescent="0.2"/>
    <row r="419" s="2" customFormat="1" ht="12.75" customHeight="1" x14ac:dyDescent="0.2"/>
    <row r="420" s="2" customFormat="1" ht="12.75" customHeight="1" x14ac:dyDescent="0.2"/>
    <row r="421" s="2" customFormat="1" ht="12.75" customHeight="1" x14ac:dyDescent="0.2"/>
    <row r="422" s="2" customFormat="1" ht="12.75" customHeight="1" x14ac:dyDescent="0.2"/>
    <row r="423" s="2" customFormat="1" ht="12.75" customHeight="1" x14ac:dyDescent="0.2"/>
    <row r="424" s="2" customFormat="1" ht="12.75" customHeight="1" x14ac:dyDescent="0.2"/>
    <row r="425" s="2" customFormat="1" ht="12.75" customHeight="1" x14ac:dyDescent="0.2"/>
    <row r="426" s="2" customFormat="1" ht="12.75" customHeight="1" x14ac:dyDescent="0.2"/>
    <row r="427" s="2" customFormat="1" ht="12.75" customHeight="1" x14ac:dyDescent="0.2"/>
    <row r="428" s="2" customFormat="1" ht="12.75" customHeight="1" x14ac:dyDescent="0.2"/>
    <row r="429" s="2" customFormat="1" ht="12.75" customHeight="1" x14ac:dyDescent="0.2"/>
    <row r="430" s="2" customFormat="1" ht="12.75" customHeight="1" x14ac:dyDescent="0.2"/>
    <row r="431" s="2" customFormat="1" ht="12.75" customHeight="1" x14ac:dyDescent="0.2"/>
    <row r="432" s="2" customFormat="1" ht="12.75" customHeight="1" x14ac:dyDescent="0.2"/>
    <row r="433" s="2" customFormat="1" ht="12.75" customHeight="1" x14ac:dyDescent="0.2"/>
    <row r="434" s="2" customFormat="1" ht="12.75" customHeight="1" x14ac:dyDescent="0.2"/>
    <row r="435" s="2" customFormat="1" ht="12.75" customHeight="1" x14ac:dyDescent="0.2"/>
    <row r="436" s="2" customFormat="1" ht="12.75" customHeight="1" x14ac:dyDescent="0.2"/>
    <row r="437" s="2" customFormat="1" ht="12.75" customHeight="1" x14ac:dyDescent="0.2"/>
    <row r="438" s="2" customFormat="1" ht="12.75" customHeight="1" x14ac:dyDescent="0.2"/>
    <row r="439" s="2" customFormat="1" ht="12.75" customHeight="1" x14ac:dyDescent="0.2"/>
    <row r="440" s="2" customFormat="1" ht="12.75" customHeight="1" x14ac:dyDescent="0.2"/>
    <row r="441" s="2" customFormat="1" ht="12.75" customHeight="1" x14ac:dyDescent="0.2"/>
    <row r="442" s="2" customFormat="1" ht="12.75" customHeight="1" x14ac:dyDescent="0.2"/>
    <row r="443" s="2" customFormat="1" ht="12.75" customHeight="1" x14ac:dyDescent="0.2"/>
    <row r="444" s="2" customFormat="1" ht="12.75" customHeight="1" x14ac:dyDescent="0.2"/>
    <row r="445" s="2" customFormat="1" ht="12.75" customHeight="1" x14ac:dyDescent="0.2"/>
    <row r="446" s="2" customFormat="1" ht="12.75" customHeight="1" x14ac:dyDescent="0.2"/>
    <row r="447" s="2" customFormat="1" ht="12.75" customHeight="1" x14ac:dyDescent="0.2"/>
    <row r="448" s="2" customFormat="1" ht="12.75" customHeight="1" x14ac:dyDescent="0.2"/>
    <row r="449" s="2" customFormat="1" ht="12.75" customHeight="1" x14ac:dyDescent="0.2"/>
    <row r="450" s="2" customFormat="1" ht="12.75" customHeight="1" x14ac:dyDescent="0.2"/>
    <row r="451" s="2" customFormat="1" ht="12.75" customHeight="1" x14ac:dyDescent="0.2"/>
    <row r="452" s="2" customFormat="1" ht="12.75" customHeight="1" x14ac:dyDescent="0.2"/>
    <row r="453" s="2" customFormat="1" ht="12.75" customHeight="1" x14ac:dyDescent="0.2"/>
    <row r="454" s="2" customFormat="1" ht="12.75" customHeight="1" x14ac:dyDescent="0.2"/>
    <row r="455" s="2" customFormat="1" ht="12.75" customHeight="1" x14ac:dyDescent="0.2"/>
    <row r="456" s="2" customFormat="1" ht="12.75" customHeight="1" x14ac:dyDescent="0.2"/>
    <row r="457" s="2" customFormat="1" ht="12.75" customHeight="1" x14ac:dyDescent="0.2"/>
    <row r="458" s="2" customFormat="1" ht="12.75" customHeight="1" x14ac:dyDescent="0.2"/>
    <row r="459" s="2" customFormat="1" ht="12.75" customHeight="1" x14ac:dyDescent="0.2"/>
    <row r="460" s="2" customFormat="1" ht="12.75" customHeight="1" x14ac:dyDescent="0.2"/>
    <row r="461" s="2" customFormat="1" ht="12.75" customHeight="1" x14ac:dyDescent="0.2"/>
    <row r="462" s="2" customFormat="1" ht="12.75" customHeight="1" x14ac:dyDescent="0.2"/>
    <row r="463" s="2" customFormat="1" ht="12.75" customHeight="1" x14ac:dyDescent="0.2"/>
    <row r="464" s="2" customFormat="1" ht="12.75" customHeight="1" x14ac:dyDescent="0.2"/>
    <row r="465" s="2" customFormat="1" ht="12.75" customHeight="1" x14ac:dyDescent="0.2"/>
    <row r="466" s="2" customFormat="1" ht="12.75" customHeight="1" x14ac:dyDescent="0.2"/>
    <row r="467" s="2" customFormat="1" ht="12.75" customHeight="1" x14ac:dyDescent="0.2"/>
    <row r="468" s="2" customFormat="1" ht="12.75" customHeight="1" x14ac:dyDescent="0.2"/>
    <row r="469" s="2" customFormat="1" ht="12.75" customHeight="1" x14ac:dyDescent="0.2"/>
    <row r="470" s="2" customFormat="1" ht="12.75" customHeight="1" x14ac:dyDescent="0.2"/>
    <row r="471" s="2" customFormat="1" ht="12.75" customHeight="1" x14ac:dyDescent="0.2"/>
    <row r="472" s="2" customFormat="1" ht="12.75" customHeight="1" x14ac:dyDescent="0.2"/>
    <row r="473" s="2" customFormat="1" ht="12.75" customHeight="1" x14ac:dyDescent="0.2"/>
    <row r="474" s="2" customFormat="1" ht="12.75" customHeight="1" x14ac:dyDescent="0.2"/>
    <row r="475" s="2" customFormat="1" ht="12.75" customHeight="1" x14ac:dyDescent="0.2"/>
    <row r="476" s="2" customFormat="1" ht="12.75" customHeight="1" x14ac:dyDescent="0.2"/>
    <row r="477" s="2" customFormat="1" ht="12.75" customHeight="1" x14ac:dyDescent="0.2"/>
    <row r="478" s="2" customFormat="1" ht="12.75" customHeight="1" x14ac:dyDescent="0.2"/>
    <row r="479" s="2" customFormat="1" ht="12.75" customHeight="1" x14ac:dyDescent="0.2"/>
    <row r="480" s="2" customFormat="1" ht="12.75" customHeight="1" x14ac:dyDescent="0.2"/>
    <row r="481" s="2" customFormat="1" ht="12.75" customHeight="1" x14ac:dyDescent="0.2"/>
    <row r="482" s="2" customFormat="1" ht="12.75" customHeight="1" x14ac:dyDescent="0.2"/>
    <row r="483" s="2" customFormat="1" ht="12.75" customHeight="1" x14ac:dyDescent="0.2"/>
    <row r="484" s="2" customFormat="1" ht="12.75" customHeight="1" x14ac:dyDescent="0.2"/>
    <row r="485" s="2" customFormat="1" ht="12.75" customHeight="1" x14ac:dyDescent="0.2"/>
    <row r="486" s="2" customFormat="1" ht="12.75" customHeight="1" x14ac:dyDescent="0.2"/>
    <row r="487" s="2" customFormat="1" ht="12.75" customHeight="1" x14ac:dyDescent="0.2"/>
    <row r="488" s="2" customFormat="1" ht="12.75" customHeight="1" x14ac:dyDescent="0.2"/>
    <row r="489" s="2" customFormat="1" ht="12.75" customHeight="1" x14ac:dyDescent="0.2"/>
    <row r="490" s="2" customFormat="1" ht="12.75" customHeight="1" x14ac:dyDescent="0.2"/>
    <row r="491" s="2" customFormat="1" ht="12.75" customHeight="1" x14ac:dyDescent="0.2"/>
    <row r="492" s="2" customFormat="1" ht="12.75" customHeight="1" x14ac:dyDescent="0.2"/>
    <row r="493" s="2" customFormat="1" ht="12.75" customHeight="1" x14ac:dyDescent="0.2"/>
    <row r="494" s="2" customFormat="1" ht="12.75" customHeight="1" x14ac:dyDescent="0.2"/>
    <row r="495" s="2" customFormat="1" ht="12.75" customHeight="1" x14ac:dyDescent="0.2"/>
    <row r="496" s="2" customFormat="1" ht="12.75" customHeight="1" x14ac:dyDescent="0.2"/>
    <row r="497" s="2" customFormat="1" ht="12.75" customHeight="1" x14ac:dyDescent="0.2"/>
    <row r="498" s="2" customFormat="1" ht="12.75" customHeight="1" x14ac:dyDescent="0.2"/>
    <row r="499" s="2" customFormat="1" ht="12.75" customHeight="1" x14ac:dyDescent="0.2"/>
    <row r="500" s="2" customFormat="1" ht="12.75" customHeight="1" x14ac:dyDescent="0.2"/>
    <row r="501" s="2" customFormat="1" ht="12.75" customHeight="1" x14ac:dyDescent="0.2"/>
    <row r="502" s="2" customFormat="1" ht="12.75" customHeight="1" x14ac:dyDescent="0.2"/>
    <row r="503" s="2" customFormat="1" ht="12.75" customHeight="1" x14ac:dyDescent="0.2"/>
    <row r="504" s="2" customFormat="1" ht="12.75" customHeight="1" x14ac:dyDescent="0.2"/>
    <row r="505" s="2" customFormat="1" ht="12.75" customHeight="1" x14ac:dyDescent="0.2"/>
    <row r="506" s="2" customFormat="1" ht="12.75" customHeight="1" x14ac:dyDescent="0.2"/>
    <row r="507" s="2" customFormat="1" ht="12.75" customHeight="1" x14ac:dyDescent="0.2"/>
    <row r="508" s="2" customFormat="1" ht="12.75" customHeight="1" x14ac:dyDescent="0.2"/>
    <row r="509" s="2" customFormat="1" ht="12.75" customHeight="1" x14ac:dyDescent="0.2"/>
    <row r="510" s="2" customFormat="1" ht="12.75" customHeight="1" x14ac:dyDescent="0.2"/>
    <row r="511" s="2" customFormat="1" ht="12.75" customHeight="1" x14ac:dyDescent="0.2"/>
    <row r="512" s="2" customFormat="1" ht="12.75" customHeight="1" x14ac:dyDescent="0.2"/>
    <row r="513" s="2" customFormat="1" ht="12.75" customHeight="1" x14ac:dyDescent="0.2"/>
    <row r="514" s="2" customFormat="1" ht="12.75" customHeight="1" x14ac:dyDescent="0.2"/>
    <row r="515" s="2" customFormat="1" ht="12.75" customHeight="1" x14ac:dyDescent="0.2"/>
    <row r="516" s="2" customFormat="1" ht="12.75" customHeight="1" x14ac:dyDescent="0.2"/>
    <row r="517" s="2" customFormat="1" ht="12.75" customHeight="1" x14ac:dyDescent="0.2"/>
    <row r="518" s="2" customFormat="1" ht="12.75" customHeight="1" x14ac:dyDescent="0.2"/>
    <row r="519" s="2" customFormat="1" ht="12.75" customHeight="1" x14ac:dyDescent="0.2"/>
    <row r="520" s="2" customFormat="1" ht="12.75" customHeight="1" x14ac:dyDescent="0.2"/>
    <row r="521" s="2" customFormat="1" ht="12.75" customHeight="1" x14ac:dyDescent="0.2"/>
    <row r="522" s="2" customFormat="1" ht="12.75" customHeight="1" x14ac:dyDescent="0.2"/>
    <row r="523" s="2" customFormat="1" ht="12.75" customHeight="1" x14ac:dyDescent="0.2"/>
    <row r="524" s="2" customFormat="1" ht="12.75" customHeight="1" x14ac:dyDescent="0.2"/>
    <row r="525" s="2" customFormat="1" ht="12.75" customHeight="1" x14ac:dyDescent="0.2"/>
    <row r="526" s="2" customFormat="1" ht="12.75" customHeight="1" x14ac:dyDescent="0.2"/>
    <row r="527" s="2" customFormat="1" ht="12.75" customHeight="1" x14ac:dyDescent="0.2"/>
    <row r="528" s="2" customFormat="1" ht="12.75" customHeight="1" x14ac:dyDescent="0.2"/>
    <row r="529" s="2" customFormat="1" ht="12.75" customHeight="1" x14ac:dyDescent="0.2"/>
    <row r="530" s="2" customFormat="1" ht="12.75" customHeight="1" x14ac:dyDescent="0.2"/>
    <row r="531" s="2" customFormat="1" ht="12.75" customHeight="1" x14ac:dyDescent="0.2"/>
    <row r="532" s="2" customFormat="1" ht="12.75" customHeight="1" x14ac:dyDescent="0.2"/>
    <row r="533" s="2" customFormat="1" ht="12.75" customHeight="1" x14ac:dyDescent="0.2"/>
    <row r="534" s="2" customFormat="1" ht="12.75" customHeight="1" x14ac:dyDescent="0.2"/>
    <row r="535" s="2" customFormat="1" ht="12.75" customHeight="1" x14ac:dyDescent="0.2"/>
    <row r="536" s="2" customFormat="1" ht="12.75" customHeight="1" x14ac:dyDescent="0.2"/>
    <row r="537" s="2" customFormat="1" ht="12.75" customHeight="1" x14ac:dyDescent="0.2"/>
    <row r="538" s="2" customFormat="1" ht="12.75" customHeight="1" x14ac:dyDescent="0.2"/>
    <row r="539" s="2" customFormat="1" ht="12.75" customHeight="1" x14ac:dyDescent="0.2"/>
    <row r="540" s="2" customFormat="1" ht="12.75" customHeight="1" x14ac:dyDescent="0.2"/>
    <row r="541" s="2" customFormat="1" ht="12.75" customHeight="1" x14ac:dyDescent="0.2"/>
    <row r="542" s="2" customFormat="1" ht="12.75" customHeight="1" x14ac:dyDescent="0.2"/>
    <row r="543" s="2" customFormat="1" ht="12.75" customHeight="1" x14ac:dyDescent="0.2"/>
    <row r="544" s="2" customFormat="1" ht="12.75" customHeight="1" x14ac:dyDescent="0.2"/>
    <row r="545" s="2" customFormat="1" ht="12.75" customHeight="1" x14ac:dyDescent="0.2"/>
    <row r="546" s="2" customFormat="1" ht="12.75" customHeight="1" x14ac:dyDescent="0.2"/>
    <row r="547" s="2" customFormat="1" ht="12.75" customHeight="1" x14ac:dyDescent="0.2"/>
    <row r="548" s="2" customFormat="1" ht="12.75" customHeight="1" x14ac:dyDescent="0.2"/>
    <row r="549" s="2" customFormat="1" ht="12.75" customHeight="1" x14ac:dyDescent="0.2"/>
    <row r="550" s="2" customFormat="1" ht="12.75" customHeight="1" x14ac:dyDescent="0.2"/>
    <row r="551" s="2" customFormat="1" ht="12.75" customHeight="1" x14ac:dyDescent="0.2"/>
    <row r="552" s="2" customFormat="1" ht="12.75" customHeight="1" x14ac:dyDescent="0.2"/>
    <row r="553" s="2" customFormat="1" ht="12.75" customHeight="1" x14ac:dyDescent="0.2"/>
    <row r="554" s="2" customFormat="1" ht="12.75" customHeight="1" x14ac:dyDescent="0.2"/>
    <row r="555" s="2" customFormat="1" ht="12.75" customHeight="1" x14ac:dyDescent="0.2"/>
    <row r="556" s="2" customFormat="1" ht="12.75" customHeight="1" x14ac:dyDescent="0.2"/>
    <row r="557" s="2" customFormat="1" ht="12.75" customHeight="1" x14ac:dyDescent="0.2"/>
    <row r="558" s="2" customFormat="1" ht="12.75" customHeight="1" x14ac:dyDescent="0.2"/>
    <row r="559" s="2" customFormat="1" ht="12.75" customHeight="1" x14ac:dyDescent="0.2"/>
    <row r="560" s="2" customFormat="1" ht="12.75" customHeight="1" x14ac:dyDescent="0.2"/>
    <row r="561" s="2" customFormat="1" ht="12.75" customHeight="1" x14ac:dyDescent="0.2"/>
    <row r="562" s="2" customFormat="1" ht="12.75" customHeight="1" x14ac:dyDescent="0.2"/>
    <row r="563" s="2" customFormat="1" ht="12.75" customHeight="1" x14ac:dyDescent="0.2"/>
    <row r="564" s="2" customFormat="1" ht="12.75" customHeight="1" x14ac:dyDescent="0.2"/>
    <row r="565" s="2" customFormat="1" ht="12.75" customHeight="1" x14ac:dyDescent="0.2"/>
    <row r="566" s="2" customFormat="1" ht="12.75" customHeight="1" x14ac:dyDescent="0.2"/>
    <row r="567" s="2" customFormat="1" ht="12.75" customHeight="1" x14ac:dyDescent="0.2"/>
    <row r="568" s="2" customFormat="1" ht="12.75" customHeight="1" x14ac:dyDescent="0.2"/>
    <row r="569" s="2" customFormat="1" ht="12.75" customHeight="1" x14ac:dyDescent="0.2"/>
    <row r="570" s="2" customFormat="1" ht="12.75" customHeight="1" x14ac:dyDescent="0.2"/>
    <row r="571" s="2" customFormat="1" ht="12.75" customHeight="1" x14ac:dyDescent="0.2"/>
    <row r="572" s="2" customFormat="1" ht="12.75" customHeight="1" x14ac:dyDescent="0.2"/>
    <row r="573" s="2" customFormat="1" ht="12.75" customHeight="1" x14ac:dyDescent="0.2"/>
    <row r="574" s="2" customFormat="1" ht="12.75" customHeight="1" x14ac:dyDescent="0.2"/>
    <row r="575" s="2" customFormat="1" ht="12.75" customHeight="1" x14ac:dyDescent="0.2"/>
    <row r="576" s="2" customFormat="1" ht="12.75" customHeight="1" x14ac:dyDescent="0.2"/>
    <row r="577" s="2" customFormat="1" ht="12.75" customHeight="1" x14ac:dyDescent="0.2"/>
    <row r="578" s="2" customFormat="1" ht="12.75" customHeight="1" x14ac:dyDescent="0.2"/>
    <row r="579" s="2" customFormat="1" ht="12.75" customHeight="1" x14ac:dyDescent="0.2"/>
    <row r="580" s="2" customFormat="1" ht="12.75" customHeight="1" x14ac:dyDescent="0.2"/>
    <row r="581" s="2" customFormat="1" ht="12.75" customHeight="1" x14ac:dyDescent="0.2"/>
    <row r="582" s="2" customFormat="1" ht="12.75" customHeight="1" x14ac:dyDescent="0.2"/>
    <row r="583" s="2" customFormat="1" ht="12.75" customHeight="1" x14ac:dyDescent="0.2"/>
    <row r="584" s="2" customFormat="1" ht="12.75" customHeight="1" x14ac:dyDescent="0.2"/>
    <row r="585" s="2" customFormat="1" ht="12.75" customHeight="1" x14ac:dyDescent="0.2"/>
    <row r="586" s="2" customFormat="1" ht="12.75" customHeight="1" x14ac:dyDescent="0.2"/>
    <row r="587" s="2" customFormat="1" ht="12.75" customHeight="1" x14ac:dyDescent="0.2"/>
    <row r="588" s="2" customFormat="1" ht="12.75" customHeight="1" x14ac:dyDescent="0.2"/>
    <row r="589" s="2" customFormat="1" ht="12.75" customHeight="1" x14ac:dyDescent="0.2"/>
    <row r="590" s="2" customFormat="1" ht="12.75" customHeight="1" x14ac:dyDescent="0.2"/>
    <row r="591" s="2" customFormat="1" ht="12.75" customHeight="1" x14ac:dyDescent="0.2"/>
    <row r="592" s="2" customFormat="1" ht="12.75" customHeight="1" x14ac:dyDescent="0.2"/>
    <row r="593" s="2" customFormat="1" ht="12.75" customHeight="1" x14ac:dyDescent="0.2"/>
    <row r="594" s="2" customFormat="1" ht="12.75" customHeight="1" x14ac:dyDescent="0.2"/>
    <row r="595" s="2" customFormat="1" ht="12.75" customHeight="1" x14ac:dyDescent="0.2"/>
    <row r="596" s="2" customFormat="1" ht="12.75" customHeight="1" x14ac:dyDescent="0.2"/>
    <row r="597" s="2" customFormat="1" ht="12.75" customHeight="1" x14ac:dyDescent="0.2"/>
    <row r="598" s="2" customFormat="1" ht="12.75" customHeight="1" x14ac:dyDescent="0.2"/>
    <row r="599" s="2" customFormat="1" ht="12.75" customHeight="1" x14ac:dyDescent="0.2"/>
    <row r="600" s="2" customFormat="1" ht="12.75" customHeight="1" x14ac:dyDescent="0.2"/>
    <row r="601" s="2" customFormat="1" ht="12.75" customHeight="1" x14ac:dyDescent="0.2"/>
    <row r="602" s="2" customFormat="1" ht="12.75" customHeight="1" x14ac:dyDescent="0.2"/>
    <row r="603" s="2" customFormat="1" ht="12.75" customHeight="1" x14ac:dyDescent="0.2"/>
    <row r="604" s="2" customFormat="1" ht="12.75" customHeight="1" x14ac:dyDescent="0.2"/>
    <row r="605" s="2" customFormat="1" ht="12.75" customHeight="1" x14ac:dyDescent="0.2"/>
    <row r="606" s="2" customFormat="1" ht="12.75" customHeight="1" x14ac:dyDescent="0.2"/>
    <row r="607" s="2" customFormat="1" ht="12.75" customHeight="1" x14ac:dyDescent="0.2"/>
    <row r="608" s="2" customFormat="1" ht="12.75" customHeight="1" x14ac:dyDescent="0.2"/>
    <row r="609" s="2" customFormat="1" ht="12.75" customHeight="1" x14ac:dyDescent="0.2"/>
    <row r="610" s="2" customFormat="1" ht="12.75" customHeight="1" x14ac:dyDescent="0.2"/>
    <row r="611" s="2" customFormat="1" ht="12.75" customHeight="1" x14ac:dyDescent="0.2"/>
    <row r="612" s="2" customFormat="1" ht="12.75" customHeight="1" x14ac:dyDescent="0.2"/>
    <row r="613" s="2" customFormat="1" ht="12.75" customHeight="1" x14ac:dyDescent="0.2"/>
    <row r="614" s="2" customFormat="1" ht="12.75" customHeight="1" x14ac:dyDescent="0.2"/>
    <row r="615" s="2" customFormat="1" ht="12.75" customHeight="1" x14ac:dyDescent="0.2"/>
    <row r="616" s="2" customFormat="1" ht="12.75" customHeight="1" x14ac:dyDescent="0.2"/>
    <row r="617" s="2" customFormat="1" ht="12.75" customHeight="1" x14ac:dyDescent="0.2"/>
    <row r="618" s="2" customFormat="1" ht="12.75" customHeight="1" x14ac:dyDescent="0.2"/>
    <row r="619" s="2" customFormat="1" ht="12.75" customHeight="1" x14ac:dyDescent="0.2"/>
    <row r="620" s="2" customFormat="1" ht="12.75" customHeight="1" x14ac:dyDescent="0.2"/>
    <row r="621" s="2" customFormat="1" ht="12.75" customHeight="1" x14ac:dyDescent="0.2"/>
    <row r="622" s="2" customFormat="1" ht="12.75" customHeight="1" x14ac:dyDescent="0.2"/>
    <row r="623" s="2" customFormat="1" ht="12.75" customHeight="1" x14ac:dyDescent="0.2"/>
    <row r="624" s="2" customFormat="1" ht="12.75" customHeight="1" x14ac:dyDescent="0.2"/>
    <row r="625" s="2" customFormat="1" ht="12.75" customHeight="1" x14ac:dyDescent="0.2"/>
    <row r="626" s="2" customFormat="1" ht="12.75" customHeight="1" x14ac:dyDescent="0.2"/>
    <row r="627" s="2" customFormat="1" ht="12.75" customHeight="1" x14ac:dyDescent="0.2"/>
    <row r="628" s="2" customFormat="1" ht="12.75" customHeight="1" x14ac:dyDescent="0.2"/>
    <row r="629" s="2" customFormat="1" ht="12.75" customHeight="1" x14ac:dyDescent="0.2"/>
    <row r="630" s="2" customFormat="1" ht="12.75" customHeight="1" x14ac:dyDescent="0.2"/>
    <row r="631" s="2" customFormat="1" ht="12.75" customHeight="1" x14ac:dyDescent="0.2"/>
    <row r="632" s="2" customFormat="1" ht="12.75" customHeight="1" x14ac:dyDescent="0.2"/>
    <row r="633" s="2" customFormat="1" ht="12.75" customHeight="1" x14ac:dyDescent="0.2"/>
    <row r="634" s="2" customFormat="1" ht="12.75" customHeight="1" x14ac:dyDescent="0.2"/>
    <row r="635" s="2" customFormat="1" ht="12.75" customHeight="1" x14ac:dyDescent="0.2"/>
    <row r="636" s="2" customFormat="1" ht="12.75" customHeight="1" x14ac:dyDescent="0.2"/>
    <row r="637" s="2" customFormat="1" ht="12.75" customHeight="1" x14ac:dyDescent="0.2"/>
    <row r="638" s="2" customFormat="1" ht="12.75" customHeight="1" x14ac:dyDescent="0.2"/>
    <row r="639" s="2" customFormat="1" ht="12.75" customHeight="1" x14ac:dyDescent="0.2"/>
    <row r="640" s="2" customFormat="1" ht="12.75" customHeight="1" x14ac:dyDescent="0.2"/>
    <row r="641" s="2" customFormat="1" ht="12.75" customHeight="1" x14ac:dyDescent="0.2"/>
    <row r="642" s="2" customFormat="1" ht="12.75" customHeight="1" x14ac:dyDescent="0.2"/>
    <row r="643" s="2" customFormat="1" ht="12.75" customHeight="1" x14ac:dyDescent="0.2"/>
    <row r="644" s="2" customFormat="1" ht="12.75" customHeight="1" x14ac:dyDescent="0.2"/>
    <row r="645" s="2" customFormat="1" ht="12.75" customHeight="1" x14ac:dyDescent="0.2"/>
    <row r="646" s="2" customFormat="1" ht="12.75" customHeight="1" x14ac:dyDescent="0.2"/>
    <row r="647" s="2" customFormat="1" ht="12.75" customHeight="1" x14ac:dyDescent="0.2"/>
    <row r="648" s="2" customFormat="1" ht="12.75" customHeight="1" x14ac:dyDescent="0.2"/>
    <row r="649" s="2" customFormat="1" ht="12.75" customHeight="1" x14ac:dyDescent="0.2"/>
    <row r="650" s="2" customFormat="1" ht="12.75" customHeight="1" x14ac:dyDescent="0.2"/>
    <row r="651" s="2" customFormat="1" ht="12.75" customHeight="1" x14ac:dyDescent="0.2"/>
    <row r="652" s="2" customFormat="1" ht="12.75" customHeight="1" x14ac:dyDescent="0.2"/>
    <row r="653" s="2" customFormat="1" ht="12.75" customHeight="1" x14ac:dyDescent="0.2"/>
    <row r="654" s="2" customFormat="1" ht="12.75" customHeight="1" x14ac:dyDescent="0.2"/>
    <row r="655" s="2" customFormat="1" ht="12.75" customHeight="1" x14ac:dyDescent="0.2"/>
    <row r="656" s="2" customFormat="1" ht="12.75" customHeight="1" x14ac:dyDescent="0.2"/>
    <row r="657" s="2" customFormat="1" ht="12.75" customHeight="1" x14ac:dyDescent="0.2"/>
    <row r="658" s="2" customFormat="1" ht="12.75" customHeight="1" x14ac:dyDescent="0.2"/>
    <row r="659" s="2" customFormat="1" ht="12.75" customHeight="1" x14ac:dyDescent="0.2"/>
    <row r="660" s="2" customFormat="1" ht="12.75" customHeight="1" x14ac:dyDescent="0.2"/>
    <row r="661" s="2" customFormat="1" ht="12.75" customHeight="1" x14ac:dyDescent="0.2"/>
    <row r="662" s="2" customFormat="1" ht="12.75" customHeight="1" x14ac:dyDescent="0.2"/>
    <row r="663" s="2" customFormat="1" ht="12.75" customHeight="1" x14ac:dyDescent="0.2"/>
    <row r="664" s="2" customFormat="1" ht="12.75" customHeight="1" x14ac:dyDescent="0.2"/>
    <row r="665" s="2" customFormat="1" ht="12.75" customHeight="1" x14ac:dyDescent="0.2"/>
    <row r="666" s="2" customFormat="1" ht="12.75" customHeight="1" x14ac:dyDescent="0.2"/>
    <row r="667" s="2" customFormat="1" ht="12.75" customHeight="1" x14ac:dyDescent="0.2"/>
    <row r="668" s="2" customFormat="1" ht="12.75" customHeight="1" x14ac:dyDescent="0.2"/>
    <row r="669" s="2" customFormat="1" ht="12.75" customHeight="1" x14ac:dyDescent="0.2"/>
    <row r="670" s="2" customFormat="1" ht="12.75" customHeight="1" x14ac:dyDescent="0.2"/>
    <row r="671" s="2" customFormat="1" ht="12.75" customHeight="1" x14ac:dyDescent="0.2"/>
    <row r="672" s="2" customFormat="1" ht="12.75" customHeight="1" x14ac:dyDescent="0.2"/>
    <row r="673" s="2" customFormat="1" ht="12.75" customHeight="1" x14ac:dyDescent="0.2"/>
    <row r="674" s="2" customFormat="1" ht="12.75" customHeight="1" x14ac:dyDescent="0.2"/>
    <row r="675" s="2" customFormat="1" ht="12.75" customHeight="1" x14ac:dyDescent="0.2"/>
    <row r="676" s="2" customFormat="1" ht="12.75" customHeight="1" x14ac:dyDescent="0.2"/>
    <row r="677" s="2" customFormat="1" ht="12.75" customHeight="1" x14ac:dyDescent="0.2"/>
    <row r="678" s="2" customFormat="1" ht="12.75" customHeight="1" x14ac:dyDescent="0.2"/>
    <row r="679" s="2" customFormat="1" ht="12.75" customHeight="1" x14ac:dyDescent="0.2"/>
    <row r="680" s="2" customFormat="1" ht="12.75" customHeight="1" x14ac:dyDescent="0.2"/>
    <row r="681" s="2" customFormat="1" ht="12.75" customHeight="1" x14ac:dyDescent="0.2"/>
    <row r="682" s="2" customFormat="1" ht="12.75" customHeight="1" x14ac:dyDescent="0.2"/>
    <row r="683" s="2" customFormat="1" ht="12.75" customHeight="1" x14ac:dyDescent="0.2"/>
    <row r="684" s="2" customFormat="1" ht="12.75" customHeight="1" x14ac:dyDescent="0.2"/>
    <row r="685" s="2" customFormat="1" ht="12.75" customHeight="1" x14ac:dyDescent="0.2"/>
    <row r="686" s="2" customFormat="1" ht="12.75" customHeight="1" x14ac:dyDescent="0.2"/>
    <row r="687" s="2" customFormat="1" ht="12.75" customHeight="1" x14ac:dyDescent="0.2"/>
    <row r="688" s="2" customFormat="1" ht="12.75" customHeight="1" x14ac:dyDescent="0.2"/>
    <row r="689" s="2" customFormat="1" ht="12.75" customHeight="1" x14ac:dyDescent="0.2"/>
    <row r="690" s="2" customFormat="1" ht="12.75" customHeight="1" x14ac:dyDescent="0.2"/>
    <row r="691" s="2" customFormat="1" ht="12.75" customHeight="1" x14ac:dyDescent="0.2"/>
    <row r="692" s="2" customFormat="1" ht="12.75" customHeight="1" x14ac:dyDescent="0.2"/>
    <row r="693" s="2" customFormat="1" ht="12.75" customHeight="1" x14ac:dyDescent="0.2"/>
    <row r="694" s="2" customFormat="1" ht="12.75" customHeight="1" x14ac:dyDescent="0.2"/>
    <row r="695" s="2" customFormat="1" ht="12.75" customHeight="1" x14ac:dyDescent="0.2"/>
    <row r="696" s="2" customFormat="1" ht="12.75" customHeight="1" x14ac:dyDescent="0.2"/>
    <row r="697" s="2" customFormat="1" ht="12.75" customHeight="1" x14ac:dyDescent="0.2"/>
    <row r="698" s="2" customFormat="1" ht="12.75" customHeight="1" x14ac:dyDescent="0.2"/>
    <row r="699" s="2" customFormat="1" ht="12.75" customHeight="1" x14ac:dyDescent="0.2"/>
    <row r="700" s="2" customFormat="1" ht="12.75" customHeight="1" x14ac:dyDescent="0.2"/>
    <row r="701" s="2" customFormat="1" ht="12.75" customHeight="1" x14ac:dyDescent="0.2"/>
    <row r="702" s="2" customFormat="1" ht="12.75" customHeight="1" x14ac:dyDescent="0.2"/>
    <row r="703" s="2" customFormat="1" ht="12.75" customHeight="1" x14ac:dyDescent="0.2"/>
    <row r="704" s="2" customFormat="1" ht="12.75" customHeight="1" x14ac:dyDescent="0.2"/>
    <row r="705" s="2" customFormat="1" ht="12.75" customHeight="1" x14ac:dyDescent="0.2"/>
    <row r="706" s="2" customFormat="1" ht="12.75" customHeight="1" x14ac:dyDescent="0.2"/>
    <row r="707" s="2" customFormat="1" ht="12.75" customHeight="1" x14ac:dyDescent="0.2"/>
    <row r="708" s="2" customFormat="1" ht="12.75" customHeight="1" x14ac:dyDescent="0.2"/>
    <row r="709" s="2" customFormat="1" ht="12.75" customHeight="1" x14ac:dyDescent="0.2"/>
    <row r="710" s="2" customFormat="1" ht="12.75" customHeight="1" x14ac:dyDescent="0.2"/>
    <row r="711" s="2" customFormat="1" ht="12.75" customHeight="1" x14ac:dyDescent="0.2"/>
    <row r="712" s="2" customFormat="1" ht="12.75" customHeight="1" x14ac:dyDescent="0.2"/>
    <row r="713" s="2" customFormat="1" ht="12.75" customHeight="1" x14ac:dyDescent="0.2"/>
    <row r="714" s="2" customFormat="1" ht="12.75" customHeight="1" x14ac:dyDescent="0.2"/>
    <row r="715" s="2" customFormat="1" ht="12.75" customHeight="1" x14ac:dyDescent="0.2"/>
    <row r="716" s="2" customFormat="1" ht="12.75" customHeight="1" x14ac:dyDescent="0.2"/>
    <row r="717" s="2" customFormat="1" ht="12.75" customHeight="1" x14ac:dyDescent="0.2"/>
    <row r="718" s="2" customFormat="1" ht="12.75" customHeight="1" x14ac:dyDescent="0.2"/>
    <row r="719" s="2" customFormat="1" ht="12.75" customHeight="1" x14ac:dyDescent="0.2"/>
    <row r="720" s="2" customFormat="1" ht="12.75" customHeight="1" x14ac:dyDescent="0.2"/>
    <row r="721" s="2" customFormat="1" ht="12.75" customHeight="1" x14ac:dyDescent="0.2"/>
    <row r="722" s="2" customFormat="1" ht="12.75" customHeight="1" x14ac:dyDescent="0.2"/>
    <row r="723" s="2" customFormat="1" ht="12.75" customHeight="1" x14ac:dyDescent="0.2"/>
    <row r="724" s="2" customFormat="1" ht="12.75" customHeight="1" x14ac:dyDescent="0.2"/>
    <row r="725" s="2" customFormat="1" ht="12.75" customHeight="1" x14ac:dyDescent="0.2"/>
    <row r="726" s="2" customFormat="1" ht="12.75" customHeight="1" x14ac:dyDescent="0.2"/>
    <row r="727" s="2" customFormat="1" ht="12.75" customHeight="1" x14ac:dyDescent="0.2"/>
    <row r="728" s="2" customFormat="1" ht="12.75" customHeight="1" x14ac:dyDescent="0.2"/>
    <row r="729" s="2" customFormat="1" ht="12.75" customHeight="1" x14ac:dyDescent="0.2"/>
    <row r="730" s="2" customFormat="1" ht="12.75" customHeight="1" x14ac:dyDescent="0.2"/>
    <row r="731" s="2" customFormat="1" ht="12.75" customHeight="1" x14ac:dyDescent="0.2"/>
    <row r="732" s="2" customFormat="1" ht="12.75" customHeight="1" x14ac:dyDescent="0.2"/>
    <row r="733" s="2" customFormat="1" ht="12.75" customHeight="1" x14ac:dyDescent="0.2"/>
    <row r="734" s="2" customFormat="1" ht="12.75" customHeight="1" x14ac:dyDescent="0.2"/>
    <row r="735" s="2" customFormat="1" ht="12.75" customHeight="1" x14ac:dyDescent="0.2"/>
    <row r="736" s="2" customFormat="1" ht="12.75" customHeight="1" x14ac:dyDescent="0.2"/>
    <row r="737" s="2" customFormat="1" ht="12.75" customHeight="1" x14ac:dyDescent="0.2"/>
    <row r="738" s="2" customFormat="1" ht="12.75" customHeight="1" x14ac:dyDescent="0.2"/>
    <row r="739" s="2" customFormat="1" ht="12.75" customHeight="1" x14ac:dyDescent="0.2"/>
    <row r="740" s="2" customFormat="1" ht="12.75" customHeight="1" x14ac:dyDescent="0.2"/>
    <row r="741" s="2" customFormat="1" ht="12.75" customHeight="1" x14ac:dyDescent="0.2"/>
    <row r="742" s="2" customFormat="1" ht="12.75" customHeight="1" x14ac:dyDescent="0.2"/>
    <row r="743" s="2" customFormat="1" ht="12.75" customHeight="1" x14ac:dyDescent="0.2"/>
    <row r="744" s="2" customFormat="1" ht="12.75" customHeight="1" x14ac:dyDescent="0.2"/>
    <row r="745" s="2" customFormat="1" ht="12.75" customHeight="1" x14ac:dyDescent="0.2"/>
    <row r="746" s="2" customFormat="1" ht="12.75" customHeight="1" x14ac:dyDescent="0.2"/>
    <row r="747" s="2" customFormat="1" ht="12.75" customHeight="1" x14ac:dyDescent="0.2"/>
    <row r="748" s="2" customFormat="1" ht="12.75" customHeight="1" x14ac:dyDescent="0.2"/>
    <row r="749" s="2" customFormat="1" ht="12.75" customHeight="1" x14ac:dyDescent="0.2"/>
    <row r="750" s="2" customFormat="1" ht="12.75" customHeight="1" x14ac:dyDescent="0.2"/>
    <row r="751" s="2" customFormat="1" ht="12.75" customHeight="1" x14ac:dyDescent="0.2"/>
    <row r="752" s="2" customFormat="1" ht="12.75" customHeight="1" x14ac:dyDescent="0.2"/>
    <row r="753" s="2" customFormat="1" ht="12.75" customHeight="1" x14ac:dyDescent="0.2"/>
    <row r="754" s="2" customFormat="1" ht="12.75" customHeight="1" x14ac:dyDescent="0.2"/>
    <row r="755" s="2" customFormat="1" ht="12.75" customHeight="1" x14ac:dyDescent="0.2"/>
    <row r="756" s="2" customFormat="1" ht="12.75" customHeight="1" x14ac:dyDescent="0.2"/>
    <row r="757" s="2" customFormat="1" ht="12.75" customHeight="1" x14ac:dyDescent="0.2"/>
    <row r="758" s="2" customFormat="1" ht="12.75" customHeight="1" x14ac:dyDescent="0.2"/>
    <row r="759" s="2" customFormat="1" ht="12.75" customHeight="1" x14ac:dyDescent="0.2"/>
    <row r="760" s="2" customFormat="1" ht="12.75" customHeight="1" x14ac:dyDescent="0.2"/>
    <row r="761" s="2" customFormat="1" ht="12.75" customHeight="1" x14ac:dyDescent="0.2"/>
    <row r="762" s="2" customFormat="1" ht="12.75" customHeight="1" x14ac:dyDescent="0.2"/>
    <row r="763" s="2" customFormat="1" ht="12.75" customHeight="1" x14ac:dyDescent="0.2"/>
    <row r="764" s="2" customFormat="1" ht="12.75" customHeight="1" x14ac:dyDescent="0.2"/>
    <row r="765" s="2" customFormat="1" ht="12.75" customHeight="1" x14ac:dyDescent="0.2"/>
    <row r="766" s="2" customFormat="1" ht="12.75" customHeight="1" x14ac:dyDescent="0.2"/>
    <row r="767" s="2" customFormat="1" ht="12.75" customHeight="1" x14ac:dyDescent="0.2"/>
    <row r="768" s="2" customFormat="1" ht="12.75" customHeight="1" x14ac:dyDescent="0.2"/>
    <row r="769" s="2" customFormat="1" ht="12.75" customHeight="1" x14ac:dyDescent="0.2"/>
    <row r="770" s="2" customFormat="1" ht="12.75" customHeight="1" x14ac:dyDescent="0.2"/>
    <row r="771" s="2" customFormat="1" ht="12.75" customHeight="1" x14ac:dyDescent="0.2"/>
    <row r="772" s="2" customFormat="1" ht="12.75" customHeight="1" x14ac:dyDescent="0.2"/>
    <row r="773" s="2" customFormat="1" ht="12.75" customHeight="1" x14ac:dyDescent="0.2"/>
    <row r="774" s="2" customFormat="1" ht="12.75" customHeight="1" x14ac:dyDescent="0.2"/>
    <row r="775" s="2" customFormat="1" ht="12.75" customHeight="1" x14ac:dyDescent="0.2"/>
    <row r="776" s="2" customFormat="1" ht="12.75" customHeight="1" x14ac:dyDescent="0.2"/>
    <row r="777" s="2" customFormat="1" ht="12.75" customHeight="1" x14ac:dyDescent="0.2"/>
    <row r="778" s="2" customFormat="1" ht="12.75" customHeight="1" x14ac:dyDescent="0.2"/>
    <row r="779" s="2" customFormat="1" ht="12.75" customHeight="1" x14ac:dyDescent="0.2"/>
    <row r="780" s="2" customFormat="1" ht="12.75" customHeight="1" x14ac:dyDescent="0.2"/>
    <row r="781" s="2" customFormat="1" ht="12.75" customHeight="1" x14ac:dyDescent="0.2"/>
    <row r="782" s="2" customFormat="1" ht="12.75" customHeight="1" x14ac:dyDescent="0.2"/>
    <row r="783" s="2" customFormat="1" ht="12.75" customHeight="1" x14ac:dyDescent="0.2"/>
    <row r="784" s="2" customFormat="1" ht="12.75" customHeight="1" x14ac:dyDescent="0.2"/>
    <row r="785" s="2" customFormat="1" ht="12.75" customHeight="1" x14ac:dyDescent="0.2"/>
    <row r="786" s="2" customFormat="1" ht="12.75" customHeight="1" x14ac:dyDescent="0.2"/>
    <row r="787" s="2" customFormat="1" ht="12.75" customHeight="1" x14ac:dyDescent="0.2"/>
    <row r="788" s="2" customFormat="1" ht="12.75" customHeight="1" x14ac:dyDescent="0.2"/>
    <row r="789" s="2" customFormat="1" ht="12.75" customHeight="1" x14ac:dyDescent="0.2"/>
    <row r="790" s="2" customFormat="1" ht="12.75" customHeight="1" x14ac:dyDescent="0.2"/>
    <row r="791" s="2" customFormat="1" ht="12.75" customHeight="1" x14ac:dyDescent="0.2"/>
    <row r="792" s="2" customFormat="1" ht="12.75" customHeight="1" x14ac:dyDescent="0.2"/>
    <row r="793" s="2" customFormat="1" ht="12.75" customHeight="1" x14ac:dyDescent="0.2"/>
    <row r="794" s="2" customFormat="1" ht="12.75" customHeight="1" x14ac:dyDescent="0.2"/>
    <row r="795" s="2" customFormat="1" ht="12.75" customHeight="1" x14ac:dyDescent="0.2"/>
    <row r="796" s="2" customFormat="1" ht="12.75" customHeight="1" x14ac:dyDescent="0.2"/>
    <row r="797" s="2" customFormat="1" ht="12.75" customHeight="1" x14ac:dyDescent="0.2"/>
    <row r="798" s="2" customFormat="1" ht="12.75" customHeight="1" x14ac:dyDescent="0.2"/>
    <row r="799" s="2" customFormat="1" ht="12.75" customHeight="1" x14ac:dyDescent="0.2"/>
    <row r="800" s="2" customFormat="1" ht="12.75" customHeight="1" x14ac:dyDescent="0.2"/>
    <row r="801" s="2" customFormat="1" ht="12.75" customHeight="1" x14ac:dyDescent="0.2"/>
    <row r="802" s="2" customFormat="1" ht="12.75" customHeight="1" x14ac:dyDescent="0.2"/>
    <row r="803" s="2" customFormat="1" ht="12.75" customHeight="1" x14ac:dyDescent="0.2"/>
    <row r="804" s="2" customFormat="1" ht="12.75" customHeight="1" x14ac:dyDescent="0.2"/>
    <row r="805" s="2" customFormat="1" ht="12.75" customHeight="1" x14ac:dyDescent="0.2"/>
    <row r="806" s="2" customFormat="1" ht="12.75" customHeight="1" x14ac:dyDescent="0.2"/>
    <row r="807" s="2" customFormat="1" ht="12.75" customHeight="1" x14ac:dyDescent="0.2"/>
    <row r="808" s="2" customFormat="1" ht="12.75" customHeight="1" x14ac:dyDescent="0.2"/>
    <row r="809" s="2" customFormat="1" ht="12.75" customHeight="1" x14ac:dyDescent="0.2"/>
    <row r="810" s="2" customFormat="1" ht="12.75" customHeight="1" x14ac:dyDescent="0.2"/>
    <row r="811" s="2" customFormat="1" ht="12.75" customHeight="1" x14ac:dyDescent="0.2"/>
    <row r="812" s="2" customFormat="1" ht="12.75" customHeight="1" x14ac:dyDescent="0.2"/>
    <row r="813" s="2" customFormat="1" ht="12.75" customHeight="1" x14ac:dyDescent="0.2"/>
    <row r="814" s="2" customFormat="1" ht="12.75" customHeight="1" x14ac:dyDescent="0.2"/>
    <row r="815" s="2" customFormat="1" ht="12.75" customHeight="1" x14ac:dyDescent="0.2"/>
    <row r="816" s="2" customFormat="1" ht="12.75" customHeight="1" x14ac:dyDescent="0.2"/>
    <row r="817" s="2" customFormat="1" ht="12.75" customHeight="1" x14ac:dyDescent="0.2"/>
    <row r="818" s="2" customFormat="1" ht="12.75" customHeight="1" x14ac:dyDescent="0.2"/>
    <row r="819" s="2" customFormat="1" ht="12.75" customHeight="1" x14ac:dyDescent="0.2"/>
    <row r="820" s="2" customFormat="1" ht="12.75" customHeight="1" x14ac:dyDescent="0.2"/>
    <row r="821" s="2" customFormat="1" ht="12.75" customHeight="1" x14ac:dyDescent="0.2"/>
    <row r="822" s="2" customFormat="1" ht="12.75" customHeight="1" x14ac:dyDescent="0.2"/>
    <row r="823" s="2" customFormat="1" ht="12.75" customHeight="1" x14ac:dyDescent="0.2"/>
    <row r="824" s="2" customFormat="1" ht="12.75" customHeight="1" x14ac:dyDescent="0.2"/>
    <row r="825" s="2" customFormat="1" ht="12.75" customHeight="1" x14ac:dyDescent="0.2"/>
    <row r="826" s="2" customFormat="1" ht="12.75" customHeight="1" x14ac:dyDescent="0.2"/>
    <row r="827" s="2" customFormat="1" ht="12.75" customHeight="1" x14ac:dyDescent="0.2"/>
    <row r="828" s="2" customFormat="1" ht="12.75" customHeight="1" x14ac:dyDescent="0.2"/>
    <row r="829" s="2" customFormat="1" ht="12.75" customHeight="1" x14ac:dyDescent="0.2"/>
    <row r="830" s="2" customFormat="1" ht="12.75" customHeight="1" x14ac:dyDescent="0.2"/>
    <row r="831" s="2" customFormat="1" ht="12.75" customHeight="1" x14ac:dyDescent="0.2"/>
    <row r="832" s="2" customFormat="1" ht="12.75" customHeight="1" x14ac:dyDescent="0.2"/>
    <row r="833" s="2" customFormat="1" ht="12.75" customHeight="1" x14ac:dyDescent="0.2"/>
    <row r="834" s="2" customFormat="1" ht="12.75" customHeight="1" x14ac:dyDescent="0.2"/>
    <row r="835" s="2" customFormat="1" ht="12.75" customHeight="1" x14ac:dyDescent="0.2"/>
    <row r="836" s="2" customFormat="1" ht="12.75" customHeight="1" x14ac:dyDescent="0.2"/>
    <row r="837" s="2" customFormat="1" ht="12.75" customHeight="1" x14ac:dyDescent="0.2"/>
    <row r="838" s="2" customFormat="1" ht="12.75" customHeight="1" x14ac:dyDescent="0.2"/>
    <row r="839" s="2" customFormat="1" ht="12.75" customHeight="1" x14ac:dyDescent="0.2"/>
    <row r="840" s="2" customFormat="1" ht="12.75" customHeight="1" x14ac:dyDescent="0.2"/>
    <row r="841" s="2" customFormat="1" ht="12.75" customHeight="1" x14ac:dyDescent="0.2"/>
    <row r="842" s="2" customFormat="1" ht="12.75" customHeight="1" x14ac:dyDescent="0.2"/>
    <row r="843" s="2" customFormat="1" ht="12.75" customHeight="1" x14ac:dyDescent="0.2"/>
    <row r="844" s="2" customFormat="1" ht="12.75" customHeight="1" x14ac:dyDescent="0.2"/>
    <row r="845" s="2" customFormat="1" ht="12.75" customHeight="1" x14ac:dyDescent="0.2"/>
    <row r="846" s="2" customFormat="1" ht="12.75" customHeight="1" x14ac:dyDescent="0.2"/>
    <row r="847" s="2" customFormat="1" ht="12.75" customHeight="1" x14ac:dyDescent="0.2"/>
    <row r="848" s="2" customFormat="1" ht="12.75" customHeight="1" x14ac:dyDescent="0.2"/>
    <row r="849" s="2" customFormat="1" ht="12.75" customHeight="1" x14ac:dyDescent="0.2"/>
    <row r="850" s="2" customFormat="1" ht="12.75" customHeight="1" x14ac:dyDescent="0.2"/>
    <row r="851" s="2" customFormat="1" ht="12.75" customHeight="1" x14ac:dyDescent="0.2"/>
    <row r="852" s="2" customFormat="1" ht="12.75" customHeight="1" x14ac:dyDescent="0.2"/>
    <row r="853" s="2" customFormat="1" ht="12.75" customHeight="1" x14ac:dyDescent="0.2"/>
    <row r="854" s="2" customFormat="1" ht="12.75" customHeight="1" x14ac:dyDescent="0.2"/>
    <row r="855" s="2" customFormat="1" ht="12.75" customHeight="1" x14ac:dyDescent="0.2"/>
    <row r="856" s="2" customFormat="1" ht="12.75" customHeight="1" x14ac:dyDescent="0.2"/>
    <row r="857" s="2" customFormat="1" ht="12.75" customHeight="1" x14ac:dyDescent="0.2"/>
    <row r="858" s="2" customFormat="1" ht="12.75" customHeight="1" x14ac:dyDescent="0.2"/>
    <row r="859" s="2" customFormat="1" ht="12.75" customHeight="1" x14ac:dyDescent="0.2"/>
    <row r="860" s="2" customFormat="1" ht="12.75" customHeight="1" x14ac:dyDescent="0.2"/>
    <row r="861" s="2" customFormat="1" ht="12.75" customHeight="1" x14ac:dyDescent="0.2"/>
    <row r="862" s="2" customFormat="1" ht="12.75" customHeight="1" x14ac:dyDescent="0.2"/>
    <row r="863" s="2" customFormat="1" ht="12.75" customHeight="1" x14ac:dyDescent="0.2"/>
    <row r="864" s="2" customFormat="1" ht="12.75" customHeight="1" x14ac:dyDescent="0.2"/>
    <row r="865" s="2" customFormat="1" ht="12.75" customHeight="1" x14ac:dyDescent="0.2"/>
    <row r="866" s="2" customFormat="1" ht="12.75" customHeight="1" x14ac:dyDescent="0.2"/>
    <row r="867" s="2" customFormat="1" ht="12.75" customHeight="1" x14ac:dyDescent="0.2"/>
    <row r="868" s="2" customFormat="1" ht="12.75" customHeight="1" x14ac:dyDescent="0.2"/>
    <row r="869" s="2" customFormat="1" ht="12.75" customHeight="1" x14ac:dyDescent="0.2"/>
    <row r="870" s="2" customFormat="1" ht="12.75" customHeight="1" x14ac:dyDescent="0.2"/>
    <row r="871" s="2" customFormat="1" ht="12.75" customHeight="1" x14ac:dyDescent="0.2"/>
    <row r="872" s="2" customFormat="1" ht="12.75" customHeight="1" x14ac:dyDescent="0.2"/>
    <row r="873" s="2" customFormat="1" ht="12.75" customHeight="1" x14ac:dyDescent="0.2"/>
    <row r="874" s="2" customFormat="1" ht="12.75" customHeight="1" x14ac:dyDescent="0.2"/>
    <row r="875" s="2" customFormat="1" ht="12.75" customHeight="1" x14ac:dyDescent="0.2"/>
    <row r="876" s="2" customFormat="1" ht="12.75" customHeight="1" x14ac:dyDescent="0.2"/>
    <row r="877" s="2" customFormat="1" ht="12.75" customHeight="1" x14ac:dyDescent="0.2"/>
    <row r="878" s="2" customFormat="1" ht="12.75" customHeight="1" x14ac:dyDescent="0.2"/>
    <row r="879" s="2" customFormat="1" ht="12.75" customHeight="1" x14ac:dyDescent="0.2"/>
    <row r="880" s="2" customFormat="1" ht="12.75" customHeight="1" x14ac:dyDescent="0.2"/>
    <row r="881" s="2" customFormat="1" ht="12.75" customHeight="1" x14ac:dyDescent="0.2"/>
    <row r="882" s="2" customFormat="1" ht="12.75" customHeight="1" x14ac:dyDescent="0.2"/>
    <row r="883" s="2" customFormat="1" ht="12.75" customHeight="1" x14ac:dyDescent="0.2"/>
    <row r="884" s="2" customFormat="1" ht="12.75" customHeight="1" x14ac:dyDescent="0.2"/>
    <row r="885" s="2" customFormat="1" ht="12.75" customHeight="1" x14ac:dyDescent="0.2"/>
    <row r="886" s="2" customFormat="1" ht="12.75" customHeight="1" x14ac:dyDescent="0.2"/>
    <row r="887" s="2" customFormat="1" ht="12.75" customHeight="1" x14ac:dyDescent="0.2"/>
    <row r="888" s="2" customFormat="1" ht="12.75" customHeight="1" x14ac:dyDescent="0.2"/>
    <row r="889" s="2" customFormat="1" ht="12.75" customHeight="1" x14ac:dyDescent="0.2"/>
    <row r="890" s="2" customFormat="1" ht="12.75" customHeight="1" x14ac:dyDescent="0.2"/>
    <row r="891" s="2" customFormat="1" ht="12.75" customHeight="1" x14ac:dyDescent="0.2"/>
    <row r="892" s="2" customFormat="1" ht="12.75" customHeight="1" x14ac:dyDescent="0.2"/>
    <row r="893" s="2" customFormat="1" ht="12.75" customHeight="1" x14ac:dyDescent="0.2"/>
    <row r="894" s="2" customFormat="1" ht="12.75" customHeight="1" x14ac:dyDescent="0.2"/>
    <row r="895" s="2" customFormat="1" ht="12.75" customHeight="1" x14ac:dyDescent="0.2"/>
    <row r="896" s="2" customFormat="1" ht="12.75" customHeight="1" x14ac:dyDescent="0.2"/>
    <row r="897" s="2" customFormat="1" ht="12.75" customHeight="1" x14ac:dyDescent="0.2"/>
    <row r="898" s="2" customFormat="1" ht="12.75" customHeight="1" x14ac:dyDescent="0.2"/>
    <row r="899" s="2" customFormat="1" ht="12.75" customHeight="1" x14ac:dyDescent="0.2"/>
    <row r="900" s="2" customFormat="1" ht="12.75" customHeight="1" x14ac:dyDescent="0.2"/>
    <row r="901" s="2" customFormat="1" ht="12.75" customHeight="1" x14ac:dyDescent="0.2"/>
    <row r="902" s="2" customFormat="1" ht="12.75" customHeight="1" x14ac:dyDescent="0.2"/>
    <row r="903" s="2" customFormat="1" ht="12.75" customHeight="1" x14ac:dyDescent="0.2"/>
    <row r="904" s="2" customFormat="1" ht="12.75" customHeight="1" x14ac:dyDescent="0.2"/>
    <row r="905" s="2" customFormat="1" ht="12.75" customHeight="1" x14ac:dyDescent="0.2"/>
    <row r="906" s="2" customFormat="1" ht="12.75" customHeight="1" x14ac:dyDescent="0.2"/>
    <row r="907" s="2" customFormat="1" ht="12.75" customHeight="1" x14ac:dyDescent="0.2"/>
    <row r="908" s="2" customFormat="1" ht="12.75" customHeight="1" x14ac:dyDescent="0.2"/>
    <row r="909" s="2" customFormat="1" ht="12.75" customHeight="1" x14ac:dyDescent="0.2"/>
    <row r="910" s="2" customFormat="1" ht="12.75" customHeight="1" x14ac:dyDescent="0.2"/>
    <row r="911" s="2" customFormat="1" ht="12.75" customHeight="1" x14ac:dyDescent="0.2"/>
    <row r="912" s="2" customFormat="1" ht="12.75" customHeight="1" x14ac:dyDescent="0.2"/>
    <row r="913" s="2" customFormat="1" ht="12.75" customHeight="1" x14ac:dyDescent="0.2"/>
    <row r="914" s="2" customFormat="1" ht="12.75" customHeight="1" x14ac:dyDescent="0.2"/>
    <row r="915" s="2" customFormat="1" ht="12.75" customHeight="1" x14ac:dyDescent="0.2"/>
    <row r="916" s="2" customFormat="1" ht="12.75" customHeight="1" x14ac:dyDescent="0.2"/>
    <row r="917" s="2" customFormat="1" ht="12.75" customHeight="1" x14ac:dyDescent="0.2"/>
    <row r="918" s="2" customFormat="1" ht="12.75" customHeight="1" x14ac:dyDescent="0.2"/>
    <row r="919" s="2" customFormat="1" ht="12.75" customHeight="1" x14ac:dyDescent="0.2"/>
    <row r="920" s="2" customFormat="1" ht="12.75" customHeight="1" x14ac:dyDescent="0.2"/>
    <row r="921" s="2" customFormat="1" ht="12.75" customHeight="1" x14ac:dyDescent="0.2"/>
    <row r="922" s="2" customFormat="1" ht="12.75" customHeight="1" x14ac:dyDescent="0.2"/>
    <row r="923" s="2" customFormat="1" ht="12.75" customHeight="1" x14ac:dyDescent="0.2"/>
    <row r="924" s="2" customFormat="1" ht="12.75" customHeight="1" x14ac:dyDescent="0.2"/>
    <row r="925" s="2" customFormat="1" ht="12.75" customHeight="1" x14ac:dyDescent="0.2"/>
    <row r="926" s="2" customFormat="1" ht="12.75" customHeight="1" x14ac:dyDescent="0.2"/>
    <row r="927" s="2" customFormat="1" ht="12.75" customHeight="1" x14ac:dyDescent="0.2"/>
    <row r="928" s="2" customFormat="1" ht="12.75" customHeight="1" x14ac:dyDescent="0.2"/>
    <row r="929" s="2" customFormat="1" ht="12.75" customHeight="1" x14ac:dyDescent="0.2"/>
    <row r="930" s="2" customFormat="1" ht="12.75" customHeight="1" x14ac:dyDescent="0.2"/>
    <row r="931" s="2" customFormat="1" ht="12.75" customHeight="1" x14ac:dyDescent="0.2"/>
    <row r="932" s="2" customFormat="1" ht="12.75" customHeight="1" x14ac:dyDescent="0.2"/>
    <row r="933" s="2" customFormat="1" ht="12.75" customHeight="1" x14ac:dyDescent="0.2"/>
    <row r="934" s="2" customFormat="1" ht="12.75" customHeight="1" x14ac:dyDescent="0.2"/>
    <row r="935" s="2" customFormat="1" ht="12.75" customHeight="1" x14ac:dyDescent="0.2"/>
    <row r="936" s="2" customFormat="1" ht="12.75" customHeight="1" x14ac:dyDescent="0.2"/>
    <row r="937" s="2" customFormat="1" ht="12.75" customHeight="1" x14ac:dyDescent="0.2"/>
    <row r="938" s="2" customFormat="1" ht="12.75" customHeight="1" x14ac:dyDescent="0.2"/>
    <row r="939" s="2" customFormat="1" ht="12.75" customHeight="1" x14ac:dyDescent="0.2"/>
    <row r="940" s="2" customFormat="1" ht="12.75" customHeight="1" x14ac:dyDescent="0.2"/>
    <row r="941" s="2" customFormat="1" ht="12.75" customHeight="1" x14ac:dyDescent="0.2"/>
    <row r="942" s="2" customFormat="1" ht="12.75" customHeight="1" x14ac:dyDescent="0.2"/>
    <row r="943" s="2" customFormat="1" ht="12.75" customHeight="1" x14ac:dyDescent="0.2"/>
    <row r="944" s="2" customFormat="1" ht="12.75" customHeight="1" x14ac:dyDescent="0.2"/>
    <row r="945" s="2" customFormat="1" ht="12.75" customHeight="1" x14ac:dyDescent="0.2"/>
    <row r="946" s="2" customFormat="1" ht="12.75" customHeight="1" x14ac:dyDescent="0.2"/>
    <row r="947" s="2" customFormat="1" ht="12.75" customHeight="1" x14ac:dyDescent="0.2"/>
    <row r="948" s="2" customFormat="1" ht="12.75" customHeight="1" x14ac:dyDescent="0.2"/>
    <row r="949" s="2" customFormat="1" ht="12.75" customHeight="1" x14ac:dyDescent="0.2"/>
    <row r="950" s="2" customFormat="1" ht="12.75" customHeight="1" x14ac:dyDescent="0.2"/>
    <row r="951" s="2" customFormat="1" ht="12.75" customHeight="1" x14ac:dyDescent="0.2"/>
    <row r="952" s="2" customFormat="1" ht="12.75" customHeight="1" x14ac:dyDescent="0.2"/>
    <row r="953" s="2" customFormat="1" ht="12.75" customHeight="1" x14ac:dyDescent="0.2"/>
    <row r="954" s="2" customFormat="1" ht="12.75" customHeight="1" x14ac:dyDescent="0.2"/>
    <row r="955" s="2" customFormat="1" ht="12.75" customHeight="1" x14ac:dyDescent="0.2"/>
    <row r="956" s="2" customFormat="1" ht="12.75" customHeight="1" x14ac:dyDescent="0.2"/>
    <row r="957" s="2" customFormat="1" ht="12.75" customHeight="1" x14ac:dyDescent="0.2"/>
    <row r="958" s="2" customFormat="1" ht="12.75" customHeight="1" x14ac:dyDescent="0.2"/>
    <row r="959" s="2" customFormat="1" ht="12.75" customHeight="1" x14ac:dyDescent="0.2"/>
    <row r="960" s="2" customFormat="1" ht="12.75" customHeight="1" x14ac:dyDescent="0.2"/>
    <row r="961" s="2" customFormat="1" ht="12.75" customHeight="1" x14ac:dyDescent="0.2"/>
    <row r="962" s="2" customFormat="1" ht="12.75" customHeight="1" x14ac:dyDescent="0.2"/>
    <row r="963" s="2" customFormat="1" ht="12.75" customHeight="1" x14ac:dyDescent="0.2"/>
    <row r="964" s="2" customFormat="1" ht="12.75" customHeight="1" x14ac:dyDescent="0.2"/>
    <row r="965" s="2" customFormat="1" ht="12.75" customHeight="1" x14ac:dyDescent="0.2"/>
    <row r="966" s="2" customFormat="1" ht="12.75" customHeight="1" x14ac:dyDescent="0.2"/>
    <row r="967" s="2" customFormat="1" ht="12.75" customHeight="1" x14ac:dyDescent="0.2"/>
    <row r="968" s="2" customFormat="1" ht="12.75" customHeight="1" x14ac:dyDescent="0.2"/>
    <row r="969" s="2" customFormat="1" ht="12.75" customHeight="1" x14ac:dyDescent="0.2"/>
    <row r="970" s="2" customFormat="1" ht="12.75" customHeight="1" x14ac:dyDescent="0.2"/>
    <row r="971" s="2" customFormat="1" ht="12.75" customHeight="1" x14ac:dyDescent="0.2"/>
    <row r="972" s="2" customFormat="1" ht="12.75" customHeight="1" x14ac:dyDescent="0.2"/>
    <row r="973" s="2" customFormat="1" ht="12.75" customHeight="1" x14ac:dyDescent="0.2"/>
    <row r="974" s="2" customFormat="1" ht="12.75" customHeight="1" x14ac:dyDescent="0.2"/>
    <row r="975" s="2" customFormat="1" ht="12.75" customHeight="1" x14ac:dyDescent="0.2"/>
    <row r="976" s="2" customFormat="1" ht="12.75" customHeight="1" x14ac:dyDescent="0.2"/>
    <row r="977" s="2" customFormat="1" ht="12.75" customHeight="1" x14ac:dyDescent="0.2"/>
  </sheetData>
  <mergeCells count="9">
    <mergeCell ref="A54:A55"/>
    <mergeCell ref="B54:D54"/>
    <mergeCell ref="E54:G54"/>
    <mergeCell ref="H54:J54"/>
    <mergeCell ref="A5:A6"/>
    <mergeCell ref="B5:D5"/>
    <mergeCell ref="E5:G5"/>
    <mergeCell ref="H5:J5"/>
    <mergeCell ref="A53:F53"/>
  </mergeCells>
  <pageMargins left="0.27559055118110237" right="0.27559055118110237" top="0.39370078740157483" bottom="0.39370078740157483" header="0" footer="0"/>
  <pageSetup paperSize="9" orientation="portrait"/>
  <ignoredErrors>
    <ignoredError sqref="A33:Q207 D15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50"/>
  <sheetViews>
    <sheetView showGridLines="0" zoomScaleNormal="100" zoomScaleSheetLayoutView="130" workbookViewId="0">
      <pane xSplit="1" ySplit="7" topLeftCell="B20" activePane="bottomRight" state="frozen"/>
      <selection activeCell="L27" sqref="L27"/>
      <selection pane="topRight" activeCell="L27" sqref="L27"/>
      <selection pane="bottomLeft" activeCell="L27" sqref="L27"/>
      <selection pane="bottomRight" activeCell="L27" sqref="L27"/>
    </sheetView>
  </sheetViews>
  <sheetFormatPr baseColWidth="10" defaultColWidth="12.7109375" defaultRowHeight="15" customHeight="1" x14ac:dyDescent="0.2"/>
  <cols>
    <col min="1" max="1" width="17.7109375" style="2" customWidth="1"/>
    <col min="2" max="10" width="7.7109375" style="2" customWidth="1"/>
    <col min="11" max="16384" width="12.7109375" style="2"/>
  </cols>
  <sheetData>
    <row r="1" spans="1:10" ht="19.5" customHeight="1" x14ac:dyDescent="0.25">
      <c r="A1" s="324" t="s">
        <v>578</v>
      </c>
      <c r="B1" s="325"/>
      <c r="C1" s="325"/>
      <c r="D1" s="326"/>
      <c r="E1" s="326"/>
      <c r="F1" s="326"/>
      <c r="G1" s="326"/>
      <c r="H1" s="326"/>
      <c r="I1" s="326"/>
      <c r="J1" s="326"/>
    </row>
    <row r="2" spans="1:10" ht="12" customHeight="1" x14ac:dyDescent="0.25">
      <c r="A2" s="327" t="s">
        <v>555</v>
      </c>
      <c r="B2" s="325"/>
      <c r="C2" s="325"/>
      <c r="D2" s="326"/>
      <c r="E2" s="326"/>
      <c r="F2" s="326"/>
      <c r="G2" s="326"/>
      <c r="H2" s="326"/>
      <c r="I2" s="326"/>
      <c r="J2" s="326"/>
    </row>
    <row r="3" spans="1:10" ht="12" customHeight="1" x14ac:dyDescent="0.25">
      <c r="A3" s="327" t="s">
        <v>385</v>
      </c>
      <c r="B3" s="325"/>
      <c r="C3" s="325"/>
      <c r="D3" s="326"/>
      <c r="E3" s="326"/>
      <c r="F3" s="326"/>
      <c r="G3" s="326"/>
      <c r="H3" s="326"/>
      <c r="I3" s="326"/>
      <c r="J3" s="326"/>
    </row>
    <row r="4" spans="1:10" ht="4.9000000000000004" customHeight="1" x14ac:dyDescent="0.2">
      <c r="A4" s="326"/>
      <c r="B4" s="328"/>
      <c r="C4" s="328"/>
      <c r="D4" s="326"/>
      <c r="E4" s="326"/>
      <c r="F4" s="326"/>
      <c r="G4" s="326"/>
      <c r="H4" s="326"/>
      <c r="I4" s="326"/>
      <c r="J4" s="326"/>
    </row>
    <row r="5" spans="1:10" ht="14.1" customHeight="1" x14ac:dyDescent="0.2">
      <c r="A5" s="704" t="s">
        <v>0</v>
      </c>
      <c r="B5" s="706" t="s">
        <v>386</v>
      </c>
      <c r="C5" s="722"/>
      <c r="D5" s="723"/>
      <c r="E5" s="706" t="s">
        <v>387</v>
      </c>
      <c r="F5" s="722"/>
      <c r="G5" s="723"/>
      <c r="H5" s="706" t="s">
        <v>388</v>
      </c>
      <c r="I5" s="722"/>
      <c r="J5" s="723"/>
    </row>
    <row r="6" spans="1:10" ht="14.1" customHeight="1" x14ac:dyDescent="0.2">
      <c r="A6" s="721"/>
      <c r="B6" s="329">
        <v>2024</v>
      </c>
      <c r="C6" s="329">
        <v>2025</v>
      </c>
      <c r="D6" s="329" t="s">
        <v>1</v>
      </c>
      <c r="E6" s="329">
        <v>2024</v>
      </c>
      <c r="F6" s="329">
        <v>2025</v>
      </c>
      <c r="G6" s="329" t="s">
        <v>1</v>
      </c>
      <c r="H6" s="329">
        <v>2024</v>
      </c>
      <c r="I6" s="329">
        <v>2025</v>
      </c>
      <c r="J6" s="329" t="s">
        <v>1</v>
      </c>
    </row>
    <row r="7" spans="1:10" s="544" customFormat="1" ht="4.9000000000000004" customHeight="1" x14ac:dyDescent="0.25">
      <c r="A7" s="633"/>
      <c r="B7" s="633"/>
      <c r="C7" s="633"/>
      <c r="D7" s="633"/>
      <c r="E7" s="633"/>
      <c r="F7" s="330"/>
      <c r="G7" s="633"/>
      <c r="H7" s="633"/>
      <c r="I7" s="633"/>
      <c r="J7" s="331"/>
    </row>
    <row r="8" spans="1:10" s="544" customFormat="1" ht="11.1" customHeight="1" x14ac:dyDescent="0.25">
      <c r="A8" s="555" t="s">
        <v>466</v>
      </c>
      <c r="B8" s="551">
        <f>AVERAGE(B9:B9)</f>
        <v>1050</v>
      </c>
      <c r="C8" s="551">
        <f>AVERAGE(C9:C9)</f>
        <v>1200</v>
      </c>
      <c r="D8" s="341">
        <f>((C8/B8) -      1)*100</f>
        <v>14.285714285714279</v>
      </c>
      <c r="E8" s="554" t="s">
        <v>448</v>
      </c>
      <c r="F8" s="551">
        <f>AVERAGE(F9:F9)</f>
        <v>1400</v>
      </c>
      <c r="G8" s="341" t="s">
        <v>390</v>
      </c>
      <c r="H8" s="554" t="s">
        <v>448</v>
      </c>
      <c r="I8" s="551">
        <f>AVERAGE(I9:I9)</f>
        <v>800</v>
      </c>
      <c r="J8" s="334" t="s">
        <v>390</v>
      </c>
    </row>
    <row r="9" spans="1:10" s="529" customFormat="1" ht="11.1" customHeight="1" x14ac:dyDescent="0.2">
      <c r="A9" s="531" t="s">
        <v>469</v>
      </c>
      <c r="B9" s="540">
        <v>1050</v>
      </c>
      <c r="C9" s="540">
        <v>1200</v>
      </c>
      <c r="D9" s="338">
        <f>((C9/B9) -      1)*100</f>
        <v>14.285714285714279</v>
      </c>
      <c r="E9" s="541" t="s">
        <v>448</v>
      </c>
      <c r="F9" s="540">
        <v>1400</v>
      </c>
      <c r="G9" s="1" t="s">
        <v>390</v>
      </c>
      <c r="H9" s="541" t="s">
        <v>448</v>
      </c>
      <c r="I9" s="337">
        <v>800</v>
      </c>
      <c r="J9" s="1" t="s">
        <v>390</v>
      </c>
    </row>
    <row r="10" spans="1:10" ht="11.1" customHeight="1" x14ac:dyDescent="0.2">
      <c r="A10" s="373" t="s">
        <v>419</v>
      </c>
      <c r="B10" s="538" t="s">
        <v>448</v>
      </c>
      <c r="C10" s="370">
        <f>AVERAGE(C12:C13)</f>
        <v>1200</v>
      </c>
      <c r="D10" s="341" t="s">
        <v>390</v>
      </c>
      <c r="E10" s="554" t="s">
        <v>448</v>
      </c>
      <c r="F10" s="370">
        <f>AVERAGE(F12:F13)</f>
        <v>755</v>
      </c>
      <c r="G10" s="341" t="s">
        <v>390</v>
      </c>
      <c r="H10" s="554" t="s">
        <v>448</v>
      </c>
      <c r="I10" s="332">
        <f>AVERAGE(I11:I13)</f>
        <v>880</v>
      </c>
      <c r="J10" s="334" t="s">
        <v>390</v>
      </c>
    </row>
    <row r="11" spans="1:10" ht="11.1" customHeight="1" x14ac:dyDescent="0.2">
      <c r="A11" s="335" t="s">
        <v>420</v>
      </c>
      <c r="B11" s="541" t="s">
        <v>448</v>
      </c>
      <c r="C11" s="541" t="s">
        <v>448</v>
      </c>
      <c r="D11" s="338" t="s">
        <v>390</v>
      </c>
      <c r="E11" s="541" t="s">
        <v>448</v>
      </c>
      <c r="F11" s="541" t="s">
        <v>448</v>
      </c>
      <c r="G11" s="338" t="s">
        <v>390</v>
      </c>
      <c r="H11" s="541" t="s">
        <v>448</v>
      </c>
      <c r="I11" s="337">
        <v>1000</v>
      </c>
      <c r="J11" s="1" t="s">
        <v>390</v>
      </c>
    </row>
    <row r="12" spans="1:10" ht="11.1" customHeight="1" x14ac:dyDescent="0.2">
      <c r="A12" s="335" t="s">
        <v>422</v>
      </c>
      <c r="B12" s="536" t="s">
        <v>448</v>
      </c>
      <c r="C12" s="337">
        <v>1200</v>
      </c>
      <c r="D12" s="338" t="s">
        <v>390</v>
      </c>
      <c r="E12" s="541" t="s">
        <v>448</v>
      </c>
      <c r="F12" s="337">
        <v>800</v>
      </c>
      <c r="G12" s="338" t="s">
        <v>390</v>
      </c>
      <c r="H12" s="541" t="s">
        <v>448</v>
      </c>
      <c r="I12" s="337">
        <v>600</v>
      </c>
      <c r="J12" s="1" t="s">
        <v>390</v>
      </c>
    </row>
    <row r="13" spans="1:10" ht="11.1" customHeight="1" x14ac:dyDescent="0.2">
      <c r="A13" s="335" t="s">
        <v>533</v>
      </c>
      <c r="B13" s="536" t="s">
        <v>448</v>
      </c>
      <c r="C13" s="337">
        <v>1200</v>
      </c>
      <c r="D13" s="338" t="s">
        <v>390</v>
      </c>
      <c r="E13" s="541" t="s">
        <v>448</v>
      </c>
      <c r="F13" s="337">
        <v>710</v>
      </c>
      <c r="G13" s="338" t="s">
        <v>390</v>
      </c>
      <c r="H13" s="541" t="s">
        <v>448</v>
      </c>
      <c r="I13" s="337">
        <v>1040</v>
      </c>
      <c r="J13" s="1" t="s">
        <v>390</v>
      </c>
    </row>
    <row r="14" spans="1:10" ht="11.1" customHeight="1" x14ac:dyDescent="0.2">
      <c r="A14" s="335" t="s">
        <v>573</v>
      </c>
      <c r="B14" s="541" t="s">
        <v>448</v>
      </c>
      <c r="C14" s="337">
        <v>1900</v>
      </c>
      <c r="D14" s="338" t="s">
        <v>390</v>
      </c>
      <c r="E14" s="541" t="s">
        <v>448</v>
      </c>
      <c r="F14" s="541" t="s">
        <v>448</v>
      </c>
      <c r="G14" s="338" t="s">
        <v>390</v>
      </c>
      <c r="H14" s="541" t="s">
        <v>448</v>
      </c>
      <c r="I14" s="541" t="s">
        <v>448</v>
      </c>
      <c r="J14" s="1" t="s">
        <v>390</v>
      </c>
    </row>
    <row r="15" spans="1:10" s="529" customFormat="1" ht="11.1" customHeight="1" x14ac:dyDescent="0.2">
      <c r="A15" s="555" t="s">
        <v>75</v>
      </c>
      <c r="B15" s="551">
        <f>AVERAGE(B17:B17)</f>
        <v>1650</v>
      </c>
      <c r="C15" s="551">
        <f>AVERAGE(C17:C17)</f>
        <v>1650</v>
      </c>
      <c r="D15" s="551">
        <f>((C15/B15) -      1)*100</f>
        <v>0</v>
      </c>
      <c r="E15" s="551">
        <f>AVERAGE(E17:E17)</f>
        <v>787</v>
      </c>
      <c r="F15" s="551">
        <f>AVERAGE(F17:F17)</f>
        <v>787</v>
      </c>
      <c r="G15" s="551">
        <f>((F15/E15) -      1)*100</f>
        <v>0</v>
      </c>
      <c r="H15" s="551">
        <f>AVERAGE(H17:H17)</f>
        <v>757.6</v>
      </c>
      <c r="I15" s="551">
        <f>AVERAGE(I17:I17)</f>
        <v>757.6</v>
      </c>
      <c r="J15" s="334">
        <f>((I15/H15) -      1)*100</f>
        <v>0</v>
      </c>
    </row>
    <row r="16" spans="1:10" s="529" customFormat="1" ht="11.1" customHeight="1" x14ac:dyDescent="0.2">
      <c r="A16" s="531" t="s">
        <v>151</v>
      </c>
      <c r="B16" s="541" t="s">
        <v>448</v>
      </c>
      <c r="C16" s="540">
        <v>1400</v>
      </c>
      <c r="D16" s="338" t="s">
        <v>390</v>
      </c>
      <c r="E16" s="541" t="s">
        <v>448</v>
      </c>
      <c r="F16" s="540">
        <v>1200</v>
      </c>
      <c r="G16" s="338" t="s">
        <v>390</v>
      </c>
      <c r="H16" s="541" t="s">
        <v>448</v>
      </c>
      <c r="I16" s="540">
        <v>626.79999999999995</v>
      </c>
      <c r="J16" s="1" t="s">
        <v>390</v>
      </c>
    </row>
    <row r="17" spans="1:10" s="529" customFormat="1" ht="11.1" customHeight="1" x14ac:dyDescent="0.2">
      <c r="A17" s="531" t="s">
        <v>488</v>
      </c>
      <c r="B17" s="540">
        <v>1650</v>
      </c>
      <c r="C17" s="540">
        <v>1650</v>
      </c>
      <c r="D17" s="338">
        <f>((C17/B17) -      1)*100</f>
        <v>0</v>
      </c>
      <c r="E17" s="540">
        <v>787</v>
      </c>
      <c r="F17" s="540">
        <v>787</v>
      </c>
      <c r="G17" s="338">
        <f>((F17/E17) -      1)*100</f>
        <v>0</v>
      </c>
      <c r="H17" s="540">
        <v>757.6</v>
      </c>
      <c r="I17" s="540">
        <v>757.6</v>
      </c>
      <c r="J17" s="1">
        <f>((I17/H17) -      1)*100</f>
        <v>0</v>
      </c>
    </row>
    <row r="18" spans="1:10" s="529" customFormat="1" ht="11.1" customHeight="1" x14ac:dyDescent="0.2">
      <c r="A18" s="531" t="s">
        <v>536</v>
      </c>
      <c r="B18" s="541" t="s">
        <v>448</v>
      </c>
      <c r="C18" s="540">
        <v>1500</v>
      </c>
      <c r="D18" s="338" t="s">
        <v>390</v>
      </c>
      <c r="E18" s="541" t="s">
        <v>448</v>
      </c>
      <c r="F18" s="541" t="s">
        <v>448</v>
      </c>
      <c r="G18" s="338" t="s">
        <v>390</v>
      </c>
      <c r="H18" s="541" t="s">
        <v>448</v>
      </c>
      <c r="I18" s="540">
        <v>693.4</v>
      </c>
      <c r="J18" s="1" t="s">
        <v>390</v>
      </c>
    </row>
    <row r="19" spans="1:10" s="529" customFormat="1" ht="11.1" customHeight="1" x14ac:dyDescent="0.2">
      <c r="A19" s="531" t="s">
        <v>391</v>
      </c>
      <c r="B19" s="541" t="s">
        <v>448</v>
      </c>
      <c r="C19" s="540">
        <v>1920</v>
      </c>
      <c r="D19" s="338" t="s">
        <v>390</v>
      </c>
      <c r="E19" s="541" t="s">
        <v>448</v>
      </c>
      <c r="F19" s="540">
        <v>1700</v>
      </c>
      <c r="G19" s="338" t="s">
        <v>390</v>
      </c>
      <c r="H19" s="541" t="s">
        <v>448</v>
      </c>
      <c r="I19" s="541" t="s">
        <v>448</v>
      </c>
      <c r="J19" s="1" t="s">
        <v>390</v>
      </c>
    </row>
    <row r="20" spans="1:10" s="529" customFormat="1" ht="11.1" customHeight="1" x14ac:dyDescent="0.2">
      <c r="A20" s="531" t="s">
        <v>157</v>
      </c>
      <c r="B20" s="541" t="s">
        <v>448</v>
      </c>
      <c r="C20" s="540">
        <v>1633.4</v>
      </c>
      <c r="D20" s="338" t="s">
        <v>390</v>
      </c>
      <c r="E20" s="541" t="s">
        <v>448</v>
      </c>
      <c r="F20" s="541" t="s">
        <v>448</v>
      </c>
      <c r="G20" s="338" t="s">
        <v>390</v>
      </c>
      <c r="H20" s="541" t="s">
        <v>448</v>
      </c>
      <c r="I20" s="541" t="s">
        <v>448</v>
      </c>
      <c r="J20" s="1" t="s">
        <v>390</v>
      </c>
    </row>
    <row r="21" spans="1:10" s="529" customFormat="1" ht="11.1" customHeight="1" x14ac:dyDescent="0.2">
      <c r="A21" s="555" t="s">
        <v>6</v>
      </c>
      <c r="B21" s="551">
        <f>AVERAGE(B22:B24)</f>
        <v>1540</v>
      </c>
      <c r="C21" s="551">
        <f>AVERAGE(C22:C24)</f>
        <v>1683.3333333333333</v>
      </c>
      <c r="D21" s="333">
        <f>((C21/B21) -      1)*100</f>
        <v>9.3073593073593095</v>
      </c>
      <c r="E21" s="551">
        <f>AVERAGE(E22:E24)</f>
        <v>786.66666666666663</v>
      </c>
      <c r="F21" s="551">
        <f>AVERAGE(F22:F24)</f>
        <v>960</v>
      </c>
      <c r="G21" s="333">
        <f>((F21/E21) -      1)*100</f>
        <v>22.033898305084755</v>
      </c>
      <c r="H21" s="551">
        <f>AVERAGE(H22:H24)</f>
        <v>900</v>
      </c>
      <c r="I21" s="541" t="s">
        <v>448</v>
      </c>
      <c r="J21" s="338" t="s">
        <v>390</v>
      </c>
    </row>
    <row r="22" spans="1:10" s="529" customFormat="1" ht="11.1" customHeight="1" x14ac:dyDescent="0.2">
      <c r="A22" s="531" t="s">
        <v>8</v>
      </c>
      <c r="B22" s="540">
        <v>1413.4</v>
      </c>
      <c r="C22" s="540">
        <v>1350</v>
      </c>
      <c r="D22" s="1">
        <f>((C22/B22) -      1)*100</f>
        <v>-4.48563746993067</v>
      </c>
      <c r="E22" s="540">
        <v>860</v>
      </c>
      <c r="F22" s="540">
        <v>960</v>
      </c>
      <c r="G22" s="1">
        <f>((F22/E22) -      1)*100</f>
        <v>11.627906976744185</v>
      </c>
      <c r="H22" s="541" t="s">
        <v>448</v>
      </c>
      <c r="I22" s="541" t="s">
        <v>448</v>
      </c>
      <c r="J22" s="338" t="s">
        <v>390</v>
      </c>
    </row>
    <row r="23" spans="1:10" s="529" customFormat="1" ht="11.1" customHeight="1" x14ac:dyDescent="0.2">
      <c r="A23" s="531" t="s">
        <v>11</v>
      </c>
      <c r="B23" s="540">
        <v>1900</v>
      </c>
      <c r="C23" s="540">
        <v>2400</v>
      </c>
      <c r="D23" s="1">
        <f>((C23/B23) -      1)*100</f>
        <v>26.315789473684205</v>
      </c>
      <c r="E23" s="540">
        <v>1100</v>
      </c>
      <c r="F23" s="541" t="s">
        <v>448</v>
      </c>
      <c r="G23" s="338" t="s">
        <v>390</v>
      </c>
      <c r="H23" s="540">
        <v>900</v>
      </c>
      <c r="I23" s="541" t="s">
        <v>448</v>
      </c>
      <c r="J23" s="1" t="s">
        <v>390</v>
      </c>
    </row>
    <row r="24" spans="1:10" s="529" customFormat="1" ht="11.1" customHeight="1" x14ac:dyDescent="0.2">
      <c r="A24" s="531" t="s">
        <v>392</v>
      </c>
      <c r="B24" s="540">
        <v>1306.5999999999999</v>
      </c>
      <c r="C24" s="540">
        <v>1300</v>
      </c>
      <c r="D24" s="338">
        <f>((C24/B24) -      1)*100</f>
        <v>-0.50512781264349105</v>
      </c>
      <c r="E24" s="540">
        <v>400</v>
      </c>
      <c r="F24" s="541" t="s">
        <v>448</v>
      </c>
      <c r="G24" s="1" t="s">
        <v>390</v>
      </c>
      <c r="H24" s="541" t="s">
        <v>448</v>
      </c>
      <c r="I24" s="541" t="s">
        <v>448</v>
      </c>
      <c r="J24" s="1" t="s">
        <v>390</v>
      </c>
    </row>
    <row r="25" spans="1:10" s="529" customFormat="1" ht="11.1" customHeight="1" x14ac:dyDescent="0.2">
      <c r="A25" s="561" t="s">
        <v>13</v>
      </c>
      <c r="B25" s="551">
        <f>AVERAGE(B26:B29)</f>
        <v>1365.6</v>
      </c>
      <c r="C25" s="551">
        <f>AVERAGE(C26:C29)</f>
        <v>1126.7</v>
      </c>
      <c r="D25" s="334">
        <f>((C25/B25 -1)*100)</f>
        <v>-17.494141769185699</v>
      </c>
      <c r="E25" s="554" t="s">
        <v>448</v>
      </c>
      <c r="F25" s="551">
        <f>AVERAGE(F26:F29)</f>
        <v>600</v>
      </c>
      <c r="G25" s="341" t="s">
        <v>390</v>
      </c>
      <c r="H25" s="551">
        <f>AVERAGE(H26:H29)</f>
        <v>600</v>
      </c>
      <c r="I25" s="551">
        <f>AVERAGE(I26:I29)</f>
        <v>600</v>
      </c>
      <c r="J25" s="334">
        <f>((I25/H25 -1)*100)</f>
        <v>0</v>
      </c>
    </row>
    <row r="26" spans="1:10" s="529" customFormat="1" ht="11.1" customHeight="1" x14ac:dyDescent="0.2">
      <c r="A26" s="531" t="s">
        <v>187</v>
      </c>
      <c r="B26" s="540">
        <v>1531.2</v>
      </c>
      <c r="C26" s="540">
        <v>1253.4000000000001</v>
      </c>
      <c r="D26" s="1">
        <f>((C26/B26 -1)*100)</f>
        <v>-18.142633228840122</v>
      </c>
      <c r="E26" s="541" t="s">
        <v>448</v>
      </c>
      <c r="F26" s="541" t="s">
        <v>448</v>
      </c>
      <c r="G26" s="565" t="s">
        <v>3</v>
      </c>
      <c r="H26" s="541" t="s">
        <v>448</v>
      </c>
      <c r="I26" s="541" t="s">
        <v>448</v>
      </c>
      <c r="J26" s="340" t="s">
        <v>390</v>
      </c>
    </row>
    <row r="27" spans="1:10" s="529" customFormat="1" ht="11.1" customHeight="1" x14ac:dyDescent="0.2">
      <c r="A27" s="531" t="s">
        <v>68</v>
      </c>
      <c r="B27" s="541" t="s">
        <v>448</v>
      </c>
      <c r="C27" s="541" t="s">
        <v>448</v>
      </c>
      <c r="D27" s="338" t="s">
        <v>390</v>
      </c>
      <c r="E27" s="541" t="s">
        <v>448</v>
      </c>
      <c r="F27" s="535">
        <v>600</v>
      </c>
      <c r="G27" s="338" t="s">
        <v>390</v>
      </c>
      <c r="H27" s="540">
        <v>600</v>
      </c>
      <c r="I27" s="535">
        <v>600</v>
      </c>
      <c r="J27" s="334">
        <f>((I27/H27 -1)*100)</f>
        <v>0</v>
      </c>
    </row>
    <row r="28" spans="1:10" s="529" customFormat="1" ht="11.1" customHeight="1" x14ac:dyDescent="0.2">
      <c r="A28" s="539" t="s">
        <v>67</v>
      </c>
      <c r="B28" s="541" t="s">
        <v>448</v>
      </c>
      <c r="C28" s="337">
        <v>1000</v>
      </c>
      <c r="D28" s="338" t="s">
        <v>390</v>
      </c>
      <c r="E28" s="541" t="s">
        <v>448</v>
      </c>
      <c r="F28" s="535">
        <v>600</v>
      </c>
      <c r="G28" s="338" t="s">
        <v>390</v>
      </c>
      <c r="H28" s="541" t="s">
        <v>448</v>
      </c>
      <c r="I28" s="541" t="s">
        <v>448</v>
      </c>
      <c r="J28" s="1" t="s">
        <v>390</v>
      </c>
    </row>
    <row r="29" spans="1:10" s="529" customFormat="1" ht="11.1" customHeight="1" x14ac:dyDescent="0.2">
      <c r="A29" s="531" t="s">
        <v>572</v>
      </c>
      <c r="B29" s="535">
        <v>1200</v>
      </c>
      <c r="C29" s="541" t="s">
        <v>448</v>
      </c>
      <c r="D29" s="338" t="s">
        <v>390</v>
      </c>
      <c r="E29" s="541" t="s">
        <v>448</v>
      </c>
      <c r="F29" s="541" t="s">
        <v>448</v>
      </c>
      <c r="G29" s="565" t="s">
        <v>3</v>
      </c>
      <c r="H29" s="541" t="s">
        <v>448</v>
      </c>
      <c r="I29" s="541" t="s">
        <v>448</v>
      </c>
      <c r="J29" s="340" t="s">
        <v>390</v>
      </c>
    </row>
    <row r="30" spans="1:10" s="529" customFormat="1" ht="11.1" customHeight="1" x14ac:dyDescent="0.2">
      <c r="A30" s="564" t="s">
        <v>14</v>
      </c>
      <c r="B30" s="551">
        <f>AVERAGE(B31:B33)</f>
        <v>1193.3333333333333</v>
      </c>
      <c r="C30" s="551">
        <f>AVERAGE(C31:C33)</f>
        <v>1103.3333333333333</v>
      </c>
      <c r="D30" s="333">
        <f>((C30/B30 -1)*100)</f>
        <v>-7.5418994413407825</v>
      </c>
      <c r="E30" s="554" t="s">
        <v>448</v>
      </c>
      <c r="F30" s="554" t="s">
        <v>448</v>
      </c>
      <c r="G30" s="334" t="s">
        <v>390</v>
      </c>
      <c r="H30" s="554" t="s">
        <v>448</v>
      </c>
      <c r="I30" s="554" t="s">
        <v>448</v>
      </c>
      <c r="J30" s="334" t="s">
        <v>390</v>
      </c>
    </row>
    <row r="31" spans="1:10" s="529" customFormat="1" ht="11.1" customHeight="1" x14ac:dyDescent="0.2">
      <c r="A31" s="531" t="s">
        <v>571</v>
      </c>
      <c r="B31" s="540">
        <v>1200</v>
      </c>
      <c r="C31" s="540">
        <v>1200</v>
      </c>
      <c r="D31" s="338">
        <f>((C31/B31 -1)*100)</f>
        <v>0</v>
      </c>
      <c r="E31" s="541" t="s">
        <v>448</v>
      </c>
      <c r="F31" s="541" t="s">
        <v>448</v>
      </c>
      <c r="G31" s="1" t="s">
        <v>390</v>
      </c>
      <c r="H31" s="541" t="s">
        <v>448</v>
      </c>
      <c r="I31" s="541" t="s">
        <v>448</v>
      </c>
      <c r="J31" s="1" t="s">
        <v>390</v>
      </c>
    </row>
    <row r="32" spans="1:10" s="529" customFormat="1" ht="11.1" customHeight="1" x14ac:dyDescent="0.2">
      <c r="A32" s="531" t="s">
        <v>470</v>
      </c>
      <c r="B32" s="540">
        <v>1180</v>
      </c>
      <c r="C32" s="540">
        <v>910</v>
      </c>
      <c r="D32" s="338">
        <f>((C32/B32 -1)*100)</f>
        <v>-22.881355932203384</v>
      </c>
      <c r="E32" s="541" t="s">
        <v>448</v>
      </c>
      <c r="F32" s="541" t="s">
        <v>448</v>
      </c>
      <c r="G32" s="1" t="s">
        <v>390</v>
      </c>
      <c r="H32" s="541" t="s">
        <v>448</v>
      </c>
      <c r="I32" s="541" t="s">
        <v>448</v>
      </c>
      <c r="J32" s="1" t="s">
        <v>390</v>
      </c>
    </row>
    <row r="33" spans="1:10" s="529" customFormat="1" ht="11.1" customHeight="1" x14ac:dyDescent="0.2">
      <c r="A33" s="531" t="s">
        <v>15</v>
      </c>
      <c r="B33" s="540">
        <v>1200</v>
      </c>
      <c r="C33" s="540">
        <v>1200</v>
      </c>
      <c r="D33" s="1">
        <f>((C33/B33 -1)*100)</f>
        <v>0</v>
      </c>
      <c r="E33" s="541" t="s">
        <v>448</v>
      </c>
      <c r="F33" s="541" t="s">
        <v>448</v>
      </c>
      <c r="G33" s="1" t="s">
        <v>390</v>
      </c>
      <c r="H33" s="541" t="s">
        <v>448</v>
      </c>
      <c r="I33" s="541" t="s">
        <v>448</v>
      </c>
      <c r="J33" s="1" t="s">
        <v>390</v>
      </c>
    </row>
    <row r="34" spans="1:10" s="529" customFormat="1" ht="11.1" customHeight="1" x14ac:dyDescent="0.2">
      <c r="A34" s="561" t="s">
        <v>16</v>
      </c>
      <c r="B34" s="552">
        <f>AVERAGE(B35:B38)</f>
        <v>1255</v>
      </c>
      <c r="C34" s="552">
        <f>AVERAGE(C35:C38)</f>
        <v>1300</v>
      </c>
      <c r="D34" s="333">
        <f>((C34/B34 -1)*100)</f>
        <v>3.5856573705179251</v>
      </c>
      <c r="E34" s="551">
        <f>AVERAGE(E35:E38)</f>
        <v>435</v>
      </c>
      <c r="F34" s="551">
        <f>AVERAGE(F35:F38)</f>
        <v>600</v>
      </c>
      <c r="G34" s="333">
        <f>((F34/E34 -1)*100)</f>
        <v>37.931034482758633</v>
      </c>
      <c r="H34" s="563">
        <f>AVERAGE(H35:H38)</f>
        <v>1013.4</v>
      </c>
      <c r="I34" s="563">
        <f>AVERAGE(I35:I38)</f>
        <v>1000</v>
      </c>
      <c r="J34" s="334">
        <f>((I34/H34 -1)*100)</f>
        <v>-1.3222814288533669</v>
      </c>
    </row>
    <row r="35" spans="1:10" s="529" customFormat="1" ht="11.1" customHeight="1" x14ac:dyDescent="0.2">
      <c r="A35" s="531" t="s">
        <v>60</v>
      </c>
      <c r="B35" s="541" t="s">
        <v>448</v>
      </c>
      <c r="C35" s="540">
        <v>1400</v>
      </c>
      <c r="D35" s="1" t="s">
        <v>390</v>
      </c>
      <c r="E35" s="541" t="s">
        <v>448</v>
      </c>
      <c r="F35" s="541" t="s">
        <v>448</v>
      </c>
      <c r="G35" s="1" t="s">
        <v>390</v>
      </c>
      <c r="H35" s="541" t="s">
        <v>448</v>
      </c>
      <c r="I35" s="541" t="s">
        <v>448</v>
      </c>
      <c r="J35" s="1" t="s">
        <v>390</v>
      </c>
    </row>
    <row r="36" spans="1:10" s="529" customFormat="1" ht="11.1" customHeight="1" x14ac:dyDescent="0.2">
      <c r="A36" s="531" t="s">
        <v>19</v>
      </c>
      <c r="B36" s="540">
        <v>1310</v>
      </c>
      <c r="C36" s="540">
        <v>1300</v>
      </c>
      <c r="D36" s="1">
        <f>((C36/B36 -1)*100)</f>
        <v>-0.76335877862595547</v>
      </c>
      <c r="E36" s="540">
        <v>435</v>
      </c>
      <c r="F36" s="540">
        <v>600</v>
      </c>
      <c r="G36" s="1">
        <f>((F36/E36 -1)*100)</f>
        <v>37.931034482758633</v>
      </c>
      <c r="H36" s="540">
        <v>1013.4</v>
      </c>
      <c r="I36" s="540">
        <v>1000</v>
      </c>
      <c r="J36" s="1">
        <f>((I36/H36 -1)*100)</f>
        <v>-1.3222814288533669</v>
      </c>
    </row>
    <row r="37" spans="1:10" s="529" customFormat="1" ht="11.1" customHeight="1" x14ac:dyDescent="0.2">
      <c r="A37" s="531" t="s">
        <v>570</v>
      </c>
      <c r="B37" s="541" t="s">
        <v>448</v>
      </c>
      <c r="C37" s="540">
        <v>1200</v>
      </c>
      <c r="D37" s="1" t="s">
        <v>390</v>
      </c>
      <c r="E37" s="541" t="s">
        <v>448</v>
      </c>
      <c r="F37" s="541" t="s">
        <v>448</v>
      </c>
      <c r="G37" s="1" t="s">
        <v>390</v>
      </c>
      <c r="H37" s="541" t="s">
        <v>448</v>
      </c>
      <c r="I37" s="541" t="s">
        <v>448</v>
      </c>
      <c r="J37" s="1" t="s">
        <v>390</v>
      </c>
    </row>
    <row r="38" spans="1:10" s="529" customFormat="1" ht="11.1" customHeight="1" x14ac:dyDescent="0.2">
      <c r="A38" s="531" t="s">
        <v>21</v>
      </c>
      <c r="B38" s="540">
        <v>1200</v>
      </c>
      <c r="C38" s="540">
        <v>1300</v>
      </c>
      <c r="D38" s="1">
        <f>((C38/B38 -1)*100)</f>
        <v>8.333333333333325</v>
      </c>
      <c r="E38" s="541" t="s">
        <v>448</v>
      </c>
      <c r="F38" s="541" t="s">
        <v>448</v>
      </c>
      <c r="G38" s="1" t="s">
        <v>390</v>
      </c>
      <c r="H38" s="541" t="s">
        <v>448</v>
      </c>
      <c r="I38" s="541" t="s">
        <v>448</v>
      </c>
      <c r="J38" s="1" t="s">
        <v>390</v>
      </c>
    </row>
    <row r="39" spans="1:10" s="529" customFormat="1" ht="11.1" customHeight="1" x14ac:dyDescent="0.2">
      <c r="A39" s="537" t="s">
        <v>23</v>
      </c>
      <c r="B39" s="562">
        <f>AVERAGE(B40:B42)</f>
        <v>1177.6666666666667</v>
      </c>
      <c r="C39" s="562">
        <f>AVERAGE(C40:C42)</f>
        <v>1062</v>
      </c>
      <c r="D39" s="333">
        <f>((C39/B39)-   1)*100</f>
        <v>-9.8216812906878115</v>
      </c>
      <c r="E39" s="554" t="s">
        <v>389</v>
      </c>
      <c r="F39" s="554" t="s">
        <v>389</v>
      </c>
      <c r="G39" s="532" t="s">
        <v>390</v>
      </c>
      <c r="H39" s="551">
        <f>AVERAGE(H40:H42)</f>
        <v>787</v>
      </c>
      <c r="I39" s="551">
        <f>AVERAGE(I40:I42)</f>
        <v>1300</v>
      </c>
      <c r="J39" s="342">
        <f>((I39/H39)-   1)*100</f>
        <v>65.184243964421867</v>
      </c>
    </row>
    <row r="40" spans="1:10" s="529" customFormat="1" ht="11.1" customHeight="1" x14ac:dyDescent="0.2">
      <c r="A40" s="531" t="s">
        <v>51</v>
      </c>
      <c r="B40" s="550">
        <v>1166</v>
      </c>
      <c r="C40" s="550">
        <v>1166</v>
      </c>
      <c r="D40" s="1">
        <f>((C40/B40)-   1)*100</f>
        <v>0</v>
      </c>
      <c r="E40" s="541" t="s">
        <v>389</v>
      </c>
      <c r="F40" s="541" t="s">
        <v>389</v>
      </c>
      <c r="G40" s="530" t="s">
        <v>390</v>
      </c>
      <c r="H40" s="541" t="s">
        <v>448</v>
      </c>
      <c r="I40" s="541" t="s">
        <v>448</v>
      </c>
      <c r="J40" s="340" t="s">
        <v>390</v>
      </c>
    </row>
    <row r="41" spans="1:10" s="529" customFormat="1" ht="11.1" customHeight="1" x14ac:dyDescent="0.2">
      <c r="A41" s="531" t="s">
        <v>520</v>
      </c>
      <c r="B41" s="550">
        <v>1200</v>
      </c>
      <c r="C41" s="550">
        <v>860</v>
      </c>
      <c r="D41" s="1">
        <f>((C41/B41)-   1)*100</f>
        <v>-28.333333333333332</v>
      </c>
      <c r="E41" s="541" t="s">
        <v>389</v>
      </c>
      <c r="F41" s="541" t="s">
        <v>389</v>
      </c>
      <c r="G41" s="530" t="s">
        <v>390</v>
      </c>
      <c r="H41" s="541" t="s">
        <v>448</v>
      </c>
      <c r="I41" s="541" t="s">
        <v>448</v>
      </c>
      <c r="J41" s="340" t="s">
        <v>390</v>
      </c>
    </row>
    <row r="42" spans="1:10" s="529" customFormat="1" ht="11.1" customHeight="1" x14ac:dyDescent="0.2">
      <c r="A42" s="531" t="s">
        <v>56</v>
      </c>
      <c r="B42" s="550">
        <v>1167</v>
      </c>
      <c r="C42" s="550">
        <v>1160</v>
      </c>
      <c r="D42" s="340">
        <f>((C42/B42)-   1)*100</f>
        <v>-0.59982862039417162</v>
      </c>
      <c r="E42" s="541" t="s">
        <v>389</v>
      </c>
      <c r="F42" s="541" t="s">
        <v>389</v>
      </c>
      <c r="G42" s="530" t="s">
        <v>390</v>
      </c>
      <c r="H42" s="540">
        <v>787</v>
      </c>
      <c r="I42" s="540">
        <v>1300</v>
      </c>
      <c r="J42" s="340">
        <f>((I42/H42)-   1)*100</f>
        <v>65.184243964421867</v>
      </c>
    </row>
    <row r="43" spans="1:10" s="529" customFormat="1" ht="11.1" customHeight="1" x14ac:dyDescent="0.2">
      <c r="A43" s="533" t="s">
        <v>78</v>
      </c>
      <c r="B43" s="562">
        <f>AVERAGE(B44:B45)</f>
        <v>1200</v>
      </c>
      <c r="C43" s="562">
        <f>AVERAGE(C44:C45)</f>
        <v>1200</v>
      </c>
      <c r="D43" s="333">
        <v>0</v>
      </c>
      <c r="E43" s="551">
        <f>AVERAGE(E44:E45)</f>
        <v>700</v>
      </c>
      <c r="F43" s="551">
        <f>AVERAGE(F44:F45)</f>
        <v>750</v>
      </c>
      <c r="G43" s="551">
        <f>((F43/E43)-   1)*100</f>
        <v>7.1428571428571397</v>
      </c>
      <c r="H43" s="551">
        <f>AVERAGE(H44:H45)</f>
        <v>1000</v>
      </c>
      <c r="I43" s="551">
        <f>AVERAGE(I44:I45)</f>
        <v>1000</v>
      </c>
      <c r="J43" s="342">
        <f>((I43/H43)-   1)*100</f>
        <v>0</v>
      </c>
    </row>
    <row r="44" spans="1:10" s="529" customFormat="1" ht="11.1" customHeight="1" x14ac:dyDescent="0.2">
      <c r="A44" s="531" t="s">
        <v>393</v>
      </c>
      <c r="B44" s="550">
        <v>1200</v>
      </c>
      <c r="C44" s="550">
        <v>1200</v>
      </c>
      <c r="D44" s="1">
        <f>((C44/B44)-   1)*100</f>
        <v>0</v>
      </c>
      <c r="E44" s="541" t="s">
        <v>389</v>
      </c>
      <c r="F44" s="541" t="s">
        <v>389</v>
      </c>
      <c r="G44" s="530" t="s">
        <v>390</v>
      </c>
      <c r="H44" s="540">
        <v>1000</v>
      </c>
      <c r="I44" s="540">
        <v>1000</v>
      </c>
      <c r="J44" s="1">
        <f>((I44/H44)-   1)*100</f>
        <v>0</v>
      </c>
    </row>
    <row r="45" spans="1:10" s="529" customFormat="1" ht="11.1" customHeight="1" x14ac:dyDescent="0.2">
      <c r="A45" s="531" t="s">
        <v>513</v>
      </c>
      <c r="B45" s="541" t="s">
        <v>448</v>
      </c>
      <c r="C45" s="541" t="s">
        <v>448</v>
      </c>
      <c r="D45" s="338" t="s">
        <v>390</v>
      </c>
      <c r="E45" s="540">
        <v>700</v>
      </c>
      <c r="F45" s="540">
        <v>750</v>
      </c>
      <c r="G45" s="355">
        <f t="shared" ref="G45:G51" si="0">((F45/E45)-   1)*100</f>
        <v>7.1428571428571397</v>
      </c>
      <c r="H45" s="540">
        <v>1000</v>
      </c>
      <c r="I45" s="540">
        <v>1000</v>
      </c>
      <c r="J45" s="355">
        <f>((I45/H45)-   1)*100</f>
        <v>0</v>
      </c>
    </row>
    <row r="46" spans="1:10" s="529" customFormat="1" ht="11.1" customHeight="1" x14ac:dyDescent="0.2">
      <c r="A46" s="555" t="s">
        <v>394</v>
      </c>
      <c r="B46" s="562">
        <f>AVERAGE(B47:B51)</f>
        <v>1600</v>
      </c>
      <c r="C46" s="562">
        <f>AVERAGE(C47:C51)</f>
        <v>1733.4</v>
      </c>
      <c r="D46" s="341" t="s">
        <v>390</v>
      </c>
      <c r="E46" s="551">
        <f>AVERAGE(E47:E51)</f>
        <v>477.32</v>
      </c>
      <c r="F46" s="551">
        <f>AVERAGE(F47:F51)</f>
        <v>477.32</v>
      </c>
      <c r="G46" s="560">
        <f t="shared" si="0"/>
        <v>0</v>
      </c>
      <c r="H46" s="551">
        <f>AVERAGE(H47:H51)</f>
        <v>843.33333333333337</v>
      </c>
      <c r="I46" s="551">
        <f>AVERAGE(I47:I51)</f>
        <v>780</v>
      </c>
      <c r="J46" s="560">
        <f>((I46/H46)-   1)*100</f>
        <v>-7.5098814229249022</v>
      </c>
    </row>
    <row r="47" spans="1:10" s="529" customFormat="1" ht="11.1" customHeight="1" x14ac:dyDescent="0.2">
      <c r="A47" s="531" t="s">
        <v>26</v>
      </c>
      <c r="B47" s="541" t="s">
        <v>448</v>
      </c>
      <c r="C47" s="541" t="s">
        <v>448</v>
      </c>
      <c r="D47" s="338" t="s">
        <v>390</v>
      </c>
      <c r="E47" s="540">
        <v>300</v>
      </c>
      <c r="F47" s="540">
        <v>300</v>
      </c>
      <c r="G47" s="558">
        <f t="shared" si="0"/>
        <v>0</v>
      </c>
      <c r="H47" s="541" t="s">
        <v>448</v>
      </c>
      <c r="I47" s="541" t="s">
        <v>448</v>
      </c>
      <c r="J47" s="1" t="s">
        <v>390</v>
      </c>
    </row>
    <row r="48" spans="1:10" s="529" customFormat="1" ht="11.1" customHeight="1" x14ac:dyDescent="0.2">
      <c r="A48" s="531" t="s">
        <v>442</v>
      </c>
      <c r="B48" s="541" t="s">
        <v>448</v>
      </c>
      <c r="C48" s="541" t="s">
        <v>448</v>
      </c>
      <c r="D48" s="338" t="s">
        <v>390</v>
      </c>
      <c r="E48" s="540">
        <v>626.6</v>
      </c>
      <c r="F48" s="540">
        <v>686.6</v>
      </c>
      <c r="G48" s="558">
        <f t="shared" si="0"/>
        <v>9.5754867539100008</v>
      </c>
      <c r="H48" s="540">
        <v>1030</v>
      </c>
      <c r="I48" s="540">
        <v>1000</v>
      </c>
      <c r="J48" s="1">
        <f>((I48/H48)-   1)*100</f>
        <v>-2.9126213592232997</v>
      </c>
    </row>
    <row r="49" spans="1:10" s="529" customFormat="1" ht="11.1" customHeight="1" x14ac:dyDescent="0.2">
      <c r="A49" s="531" t="s">
        <v>28</v>
      </c>
      <c r="B49" s="541" t="s">
        <v>448</v>
      </c>
      <c r="C49" s="541" t="s">
        <v>448</v>
      </c>
      <c r="D49" s="338" t="s">
        <v>390</v>
      </c>
      <c r="E49" s="540">
        <v>400</v>
      </c>
      <c r="F49" s="540">
        <v>400</v>
      </c>
      <c r="G49" s="558">
        <f t="shared" si="0"/>
        <v>0</v>
      </c>
      <c r="H49" s="540">
        <v>700</v>
      </c>
      <c r="I49" s="540">
        <v>700</v>
      </c>
      <c r="J49" s="1">
        <f>((I49/H49)-   1)*100</f>
        <v>0</v>
      </c>
    </row>
    <row r="50" spans="1:10" s="529" customFormat="1" ht="11.1" customHeight="1" x14ac:dyDescent="0.2">
      <c r="A50" s="531" t="s">
        <v>80</v>
      </c>
      <c r="B50" s="550">
        <v>1600</v>
      </c>
      <c r="C50" s="550">
        <v>1733.4</v>
      </c>
      <c r="D50" s="338">
        <f>((C50/B50)-   1)*100</f>
        <v>8.3374999999999986</v>
      </c>
      <c r="E50" s="540">
        <v>760</v>
      </c>
      <c r="F50" s="540">
        <v>700</v>
      </c>
      <c r="G50" s="558">
        <f t="shared" si="0"/>
        <v>-7.8947368421052655</v>
      </c>
      <c r="H50" s="541" t="s">
        <v>448</v>
      </c>
      <c r="I50" s="541" t="s">
        <v>448</v>
      </c>
      <c r="J50" s="1" t="s">
        <v>390</v>
      </c>
    </row>
    <row r="51" spans="1:10" s="529" customFormat="1" ht="11.1" customHeight="1" x14ac:dyDescent="0.2">
      <c r="A51" s="531" t="s">
        <v>32</v>
      </c>
      <c r="B51" s="541" t="s">
        <v>448</v>
      </c>
      <c r="C51" s="541" t="s">
        <v>448</v>
      </c>
      <c r="D51" s="338" t="s">
        <v>390</v>
      </c>
      <c r="E51" s="540">
        <v>300</v>
      </c>
      <c r="F51" s="540">
        <v>300</v>
      </c>
      <c r="G51" s="558">
        <f t="shared" si="0"/>
        <v>0</v>
      </c>
      <c r="H51" s="540">
        <v>800</v>
      </c>
      <c r="I51" s="540">
        <v>640</v>
      </c>
      <c r="J51" s="558">
        <f>((I51/H51)-   1)*100</f>
        <v>-19.999999999999996</v>
      </c>
    </row>
    <row r="52" spans="1:10" s="529" customFormat="1" ht="11.1" customHeight="1" x14ac:dyDescent="0.2">
      <c r="A52" s="555" t="s">
        <v>37</v>
      </c>
      <c r="B52" s="552">
        <f>AVERAGE(B53:B55)</f>
        <v>1200</v>
      </c>
      <c r="C52" s="552">
        <f>AVERAGE(C53:C55)</f>
        <v>1250</v>
      </c>
      <c r="D52" s="341">
        <f>((C52/B52 -1)*100)</f>
        <v>4.1666666666666741</v>
      </c>
      <c r="E52" s="551">
        <f>AVERAGE(E53:E55)</f>
        <v>513.29999999999995</v>
      </c>
      <c r="F52" s="551">
        <f>AVERAGE(F53:F55)</f>
        <v>492</v>
      </c>
      <c r="G52" s="560">
        <f>((F52/E52 -1)*100)</f>
        <v>-4.1496201052016239</v>
      </c>
      <c r="H52" s="554" t="s">
        <v>448</v>
      </c>
      <c r="I52" s="551">
        <f>AVERAGE(I53:I55)</f>
        <v>600</v>
      </c>
      <c r="J52" s="341" t="s">
        <v>390</v>
      </c>
    </row>
    <row r="53" spans="1:10" s="529" customFormat="1" ht="11.1" customHeight="1" x14ac:dyDescent="0.2">
      <c r="A53" s="531" t="s">
        <v>39</v>
      </c>
      <c r="B53" s="559">
        <v>1200</v>
      </c>
      <c r="C53" s="540">
        <v>1200</v>
      </c>
      <c r="D53" s="338">
        <f>((C53/B53 -1)*100)</f>
        <v>0</v>
      </c>
      <c r="E53" s="540">
        <v>460</v>
      </c>
      <c r="F53" s="540">
        <v>440</v>
      </c>
      <c r="G53" s="558">
        <f>((F53/E53 -1)*100)</f>
        <v>-4.3478260869565188</v>
      </c>
      <c r="H53" s="541" t="s">
        <v>448</v>
      </c>
      <c r="I53" s="541" t="s">
        <v>448</v>
      </c>
      <c r="J53" s="338" t="s">
        <v>390</v>
      </c>
    </row>
    <row r="54" spans="1:10" s="529" customFormat="1" ht="11.1" customHeight="1" x14ac:dyDescent="0.2">
      <c r="A54" s="531" t="s">
        <v>395</v>
      </c>
      <c r="B54" s="541" t="s">
        <v>448</v>
      </c>
      <c r="C54" s="540">
        <v>1600</v>
      </c>
      <c r="D54" s="1" t="s">
        <v>390</v>
      </c>
      <c r="E54" s="541" t="s">
        <v>389</v>
      </c>
      <c r="F54" s="541" t="s">
        <v>389</v>
      </c>
      <c r="G54" s="1" t="s">
        <v>390</v>
      </c>
      <c r="H54" s="541" t="s">
        <v>448</v>
      </c>
      <c r="I54" s="541" t="s">
        <v>448</v>
      </c>
      <c r="J54" s="338" t="s">
        <v>390</v>
      </c>
    </row>
    <row r="55" spans="1:10" s="529" customFormat="1" ht="11.1" customHeight="1" x14ac:dyDescent="0.2">
      <c r="A55" s="531" t="s">
        <v>38</v>
      </c>
      <c r="B55" s="541" t="s">
        <v>448</v>
      </c>
      <c r="C55" s="559">
        <v>950</v>
      </c>
      <c r="D55" s="338" t="s">
        <v>390</v>
      </c>
      <c r="E55" s="540">
        <v>566.6</v>
      </c>
      <c r="F55" s="540">
        <v>544</v>
      </c>
      <c r="G55" s="558">
        <f>((F55/E55 -1)*100)</f>
        <v>-3.988704553476885</v>
      </c>
      <c r="H55" s="541" t="s">
        <v>448</v>
      </c>
      <c r="I55" s="540">
        <v>600</v>
      </c>
      <c r="J55" s="338" t="s">
        <v>390</v>
      </c>
    </row>
    <row r="56" spans="1:10" s="534" customFormat="1" ht="11.1" customHeight="1" x14ac:dyDescent="0.25">
      <c r="A56" s="533" t="s">
        <v>194</v>
      </c>
      <c r="B56" s="554" t="s">
        <v>448</v>
      </c>
      <c r="C56" s="332">
        <f>AVERAGE(C57:C58)</f>
        <v>1400</v>
      </c>
      <c r="D56" s="341" t="s">
        <v>390</v>
      </c>
      <c r="E56" s="554" t="s">
        <v>389</v>
      </c>
      <c r="F56" s="554" t="s">
        <v>389</v>
      </c>
      <c r="G56" s="334" t="s">
        <v>390</v>
      </c>
      <c r="H56" s="554" t="s">
        <v>448</v>
      </c>
      <c r="I56" s="557">
        <f>AVERAGE(I57:I58)</f>
        <v>1060</v>
      </c>
      <c r="J56" s="342" t="s">
        <v>390</v>
      </c>
    </row>
    <row r="57" spans="1:10" s="534" customFormat="1" ht="11.1" customHeight="1" x14ac:dyDescent="0.25">
      <c r="A57" s="335" t="s">
        <v>515</v>
      </c>
      <c r="B57" s="541" t="s">
        <v>448</v>
      </c>
      <c r="C57" s="541" t="s">
        <v>448</v>
      </c>
      <c r="D57" s="549" t="s">
        <v>390</v>
      </c>
      <c r="E57" s="541" t="s">
        <v>389</v>
      </c>
      <c r="F57" s="541" t="s">
        <v>389</v>
      </c>
      <c r="G57" s="1" t="s">
        <v>390</v>
      </c>
      <c r="H57" s="541" t="s">
        <v>448</v>
      </c>
      <c r="I57" s="540">
        <v>1000</v>
      </c>
      <c r="J57" s="338" t="s">
        <v>390</v>
      </c>
    </row>
    <row r="58" spans="1:10" s="556" customFormat="1" ht="11.1" customHeight="1" x14ac:dyDescent="0.2">
      <c r="A58" s="335" t="s">
        <v>197</v>
      </c>
      <c r="B58" s="541" t="s">
        <v>448</v>
      </c>
      <c r="C58" s="550">
        <v>1400</v>
      </c>
      <c r="D58" s="549" t="s">
        <v>390</v>
      </c>
      <c r="E58" s="541" t="s">
        <v>389</v>
      </c>
      <c r="F58" s="541" t="s">
        <v>389</v>
      </c>
      <c r="G58" s="1" t="s">
        <v>390</v>
      </c>
      <c r="H58" s="541" t="s">
        <v>448</v>
      </c>
      <c r="I58" s="540">
        <v>1120</v>
      </c>
      <c r="J58" s="340" t="s">
        <v>390</v>
      </c>
    </row>
    <row r="59" spans="1:10" s="529" customFormat="1" ht="11.1" customHeight="1" x14ac:dyDescent="0.2">
      <c r="A59" s="555" t="s">
        <v>69</v>
      </c>
      <c r="B59" s="552">
        <f>AVERAGE(B60:B61)</f>
        <v>1300</v>
      </c>
      <c r="C59" s="552">
        <f>AVERAGE(C60:C61)</f>
        <v>1300</v>
      </c>
      <c r="D59" s="333">
        <f>((C59/B59 -1)*100)</f>
        <v>0</v>
      </c>
      <c r="E59" s="554" t="s">
        <v>389</v>
      </c>
      <c r="F59" s="554" t="s">
        <v>389</v>
      </c>
      <c r="G59" s="353" t="s">
        <v>390</v>
      </c>
      <c r="H59" s="554" t="s">
        <v>448</v>
      </c>
      <c r="I59" s="554" t="s">
        <v>448</v>
      </c>
      <c r="J59" s="334" t="s">
        <v>390</v>
      </c>
    </row>
    <row r="60" spans="1:10" s="529" customFormat="1" ht="11.1" customHeight="1" x14ac:dyDescent="0.2">
      <c r="A60" s="531" t="s">
        <v>447</v>
      </c>
      <c r="B60" s="550">
        <v>1200</v>
      </c>
      <c r="C60" s="550">
        <v>1200</v>
      </c>
      <c r="D60" s="480">
        <f>((C60/B60 -1)*100)</f>
        <v>0</v>
      </c>
      <c r="E60" s="541" t="s">
        <v>389</v>
      </c>
      <c r="F60" s="541" t="s">
        <v>389</v>
      </c>
      <c r="G60" s="355" t="s">
        <v>390</v>
      </c>
      <c r="H60" s="541" t="s">
        <v>448</v>
      </c>
      <c r="I60" s="541" t="s">
        <v>448</v>
      </c>
      <c r="J60" s="1" t="s">
        <v>390</v>
      </c>
    </row>
    <row r="61" spans="1:10" s="529" customFormat="1" ht="11.1" customHeight="1" x14ac:dyDescent="0.2">
      <c r="A61" s="531" t="s">
        <v>71</v>
      </c>
      <c r="B61" s="550">
        <v>1400</v>
      </c>
      <c r="C61" s="550">
        <v>1400</v>
      </c>
      <c r="D61" s="480">
        <f>((C61/B61 -1)*100)</f>
        <v>0</v>
      </c>
      <c r="E61" s="541" t="s">
        <v>389</v>
      </c>
      <c r="F61" s="541" t="s">
        <v>389</v>
      </c>
      <c r="G61" s="1" t="s">
        <v>390</v>
      </c>
      <c r="H61" s="541" t="s">
        <v>448</v>
      </c>
      <c r="I61" s="541" t="s">
        <v>448</v>
      </c>
      <c r="J61" s="1" t="s">
        <v>390</v>
      </c>
    </row>
    <row r="62" spans="1:10" s="529" customFormat="1" ht="11.1" customHeight="1" x14ac:dyDescent="0.2">
      <c r="A62" s="553" t="s">
        <v>44</v>
      </c>
      <c r="B62" s="552">
        <f>AVERAGE(B63:B63)</f>
        <v>1160</v>
      </c>
      <c r="C62" s="552">
        <f>AVERAGE(C63:C63)</f>
        <v>900</v>
      </c>
      <c r="D62" s="333">
        <f>((C62/B62 -1)*100)</f>
        <v>-22.413793103448278</v>
      </c>
      <c r="E62" s="554" t="s">
        <v>389</v>
      </c>
      <c r="F62" s="541" t="s">
        <v>389</v>
      </c>
      <c r="G62" s="1" t="s">
        <v>390</v>
      </c>
      <c r="H62" s="541" t="s">
        <v>448</v>
      </c>
      <c r="I62" s="541" t="s">
        <v>448</v>
      </c>
      <c r="J62" s="334" t="s">
        <v>390</v>
      </c>
    </row>
    <row r="63" spans="1:10" s="529" customFormat="1" ht="11.1" customHeight="1" x14ac:dyDescent="0.2">
      <c r="A63" s="531" t="s">
        <v>577</v>
      </c>
      <c r="B63" s="550">
        <v>1160</v>
      </c>
      <c r="C63" s="550">
        <v>900</v>
      </c>
      <c r="D63" s="338">
        <f>((C63/B63 -1)*100)</f>
        <v>-22.413793103448278</v>
      </c>
      <c r="E63" s="541" t="s">
        <v>389</v>
      </c>
      <c r="F63" s="541" t="s">
        <v>389</v>
      </c>
      <c r="G63" s="1" t="s">
        <v>390</v>
      </c>
      <c r="H63" s="541" t="s">
        <v>448</v>
      </c>
      <c r="I63" s="541" t="s">
        <v>448</v>
      </c>
      <c r="J63" s="1" t="s">
        <v>390</v>
      </c>
    </row>
    <row r="64" spans="1:10" ht="9" customHeight="1" x14ac:dyDescent="0.2">
      <c r="A64" s="548" t="s">
        <v>84</v>
      </c>
      <c r="B64" s="547"/>
      <c r="C64" s="4"/>
      <c r="D64" s="4"/>
      <c r="E64" s="4"/>
      <c r="F64" s="4"/>
      <c r="G64" s="4"/>
      <c r="H64" s="4"/>
      <c r="I64" s="4"/>
      <c r="J64" s="4"/>
    </row>
    <row r="65" spans="1:2" ht="9" customHeight="1" x14ac:dyDescent="0.25">
      <c r="A65" s="528" t="s">
        <v>489</v>
      </c>
      <c r="B65" s="344"/>
    </row>
    <row r="66" spans="1:2" ht="9" customHeight="1" x14ac:dyDescent="0.25">
      <c r="A66" s="528" t="s">
        <v>66</v>
      </c>
      <c r="B66" s="344"/>
    </row>
    <row r="67" spans="1:2" ht="10.5" customHeight="1" x14ac:dyDescent="0.25">
      <c r="A67" s="344"/>
      <c r="B67" s="344"/>
    </row>
    <row r="68" spans="1:2" ht="10.5" customHeight="1" x14ac:dyDescent="0.2"/>
    <row r="69" spans="1:2" ht="10.5" customHeight="1" x14ac:dyDescent="0.2"/>
    <row r="70" spans="1:2" ht="10.5" customHeight="1" x14ac:dyDescent="0.2"/>
    <row r="71" spans="1:2" ht="10.5" customHeight="1" x14ac:dyDescent="0.2"/>
    <row r="72" spans="1:2" ht="10.5" customHeight="1" x14ac:dyDescent="0.2"/>
    <row r="73" spans="1:2" ht="10.5" customHeight="1" x14ac:dyDescent="0.2"/>
    <row r="74" spans="1:2" ht="10.5" customHeight="1" x14ac:dyDescent="0.2"/>
    <row r="75" spans="1:2" ht="10.5" customHeight="1" x14ac:dyDescent="0.2"/>
    <row r="76" spans="1:2" ht="10.5" customHeight="1" x14ac:dyDescent="0.2"/>
    <row r="77" spans="1:2" ht="10.5" customHeight="1" x14ac:dyDescent="0.2"/>
    <row r="78" spans="1:2" ht="10.5" customHeight="1" x14ac:dyDescent="0.2"/>
    <row r="79" spans="1:2" ht="10.5" customHeight="1" x14ac:dyDescent="0.2"/>
    <row r="80" spans="1:2" ht="13.5" customHeight="1" x14ac:dyDescent="0.2"/>
    <row r="81" ht="10.5" customHeight="1" x14ac:dyDescent="0.2"/>
    <row r="82" ht="6.75" customHeight="1" x14ac:dyDescent="0.2"/>
    <row r="83" ht="6.75" customHeight="1" x14ac:dyDescent="0.2"/>
    <row r="84" ht="12" customHeight="1" x14ac:dyDescent="0.2"/>
    <row r="85" ht="12.75" customHeight="1" x14ac:dyDescent="0.2"/>
    <row r="86" ht="12.75" customHeight="1" x14ac:dyDescent="0.2"/>
    <row r="87" ht="12.75" customHeight="1" x14ac:dyDescent="0.2"/>
    <row r="88" ht="10.5" customHeight="1" x14ac:dyDescent="0.2"/>
    <row r="89" ht="10.5" customHeight="1" x14ac:dyDescent="0.2"/>
    <row r="90" ht="10.5" customHeight="1" x14ac:dyDescent="0.2"/>
    <row r="91" ht="13.5" customHeight="1" x14ac:dyDescent="0.2"/>
    <row r="92" ht="13.5" customHeight="1" x14ac:dyDescent="0.2"/>
    <row r="93" ht="10.5" customHeight="1" x14ac:dyDescent="0.2"/>
    <row r="94" ht="10.5" customHeight="1" x14ac:dyDescent="0.2"/>
    <row r="95" ht="10.5" customHeight="1" x14ac:dyDescent="0.2"/>
    <row r="96" ht="13.5" customHeight="1" x14ac:dyDescent="0.2"/>
    <row r="97" ht="10.5" customHeight="1" x14ac:dyDescent="0.2"/>
    <row r="98" ht="13.5" customHeight="1" x14ac:dyDescent="0.2"/>
    <row r="99" ht="13.5" customHeight="1" x14ac:dyDescent="0.2"/>
    <row r="100" ht="10.5" customHeight="1" x14ac:dyDescent="0.2"/>
    <row r="101" ht="10.5" customHeight="1" x14ac:dyDescent="0.2"/>
    <row r="102" ht="10.5" customHeight="1" x14ac:dyDescent="0.2"/>
    <row r="103" ht="13.5" customHeight="1" x14ac:dyDescent="0.2"/>
    <row r="104" ht="13.5" customHeight="1" x14ac:dyDescent="0.2"/>
    <row r="105" ht="10.5" customHeight="1" x14ac:dyDescent="0.2"/>
    <row r="106" ht="10.5" customHeight="1" x14ac:dyDescent="0.2"/>
    <row r="107" ht="10.5" customHeight="1" x14ac:dyDescent="0.2"/>
    <row r="108" ht="10.5" customHeight="1" x14ac:dyDescent="0.2"/>
    <row r="109" ht="12.75" customHeight="1" x14ac:dyDescent="0.2"/>
    <row r="110" ht="10.5" customHeight="1" x14ac:dyDescent="0.2"/>
    <row r="111" ht="10.5" customHeight="1" x14ac:dyDescent="0.2"/>
    <row r="112" ht="10.5" customHeight="1" x14ac:dyDescent="0.2"/>
    <row r="113" ht="10.5" customHeight="1" x14ac:dyDescent="0.2"/>
    <row r="114" ht="10.5" customHeight="1" x14ac:dyDescent="0.2"/>
    <row r="115" ht="10.5" customHeight="1" x14ac:dyDescent="0.2"/>
    <row r="116" ht="12.75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</sheetData>
  <mergeCells count="4">
    <mergeCell ref="A5:A6"/>
    <mergeCell ref="B5:D5"/>
    <mergeCell ref="E5:G5"/>
    <mergeCell ref="H5:J5"/>
  </mergeCells>
  <pageMargins left="0.27559055118110237" right="0.27559055118110237" top="0.39370078740157483" bottom="0.39370078740157483" header="0" footer="0"/>
  <pageSetup paperSize="9" orientation="portrait" r:id="rId1"/>
  <ignoredErrors>
    <ignoredError sqref="A1:G9 A10:B46" formula="1"/>
    <ignoredError sqref="C10:G46 D52" formula="1" formulaRange="1"/>
    <ignoredError sqref="C47:Q51 H10:Q46 C53:Q66 C52 E52:Q52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3"/>
  <dimension ref="A1:E750"/>
  <sheetViews>
    <sheetView showGridLines="0" zoomScaleNormal="100" workbookViewId="0">
      <pane ySplit="4" topLeftCell="A5" activePane="bottomLeft" state="frozen"/>
      <selection activeCell="L27" sqref="L27"/>
      <selection pane="bottomLeft" activeCell="L27" sqref="L27"/>
    </sheetView>
  </sheetViews>
  <sheetFormatPr baseColWidth="10" defaultColWidth="12.5703125" defaultRowHeight="15" customHeight="1" x14ac:dyDescent="0.2"/>
  <cols>
    <col min="1" max="1" width="24" style="2" customWidth="1"/>
    <col min="2" max="5" width="11.5703125" style="2" customWidth="1"/>
    <col min="6" max="23" width="12.7109375" style="2" customWidth="1"/>
    <col min="24" max="16384" width="12.5703125" style="2"/>
  </cols>
  <sheetData>
    <row r="1" spans="1:5" ht="12.75" customHeight="1" x14ac:dyDescent="0.25">
      <c r="A1" s="387" t="s">
        <v>441</v>
      </c>
    </row>
    <row r="2" spans="1:5" ht="11.1" customHeight="1" x14ac:dyDescent="0.2">
      <c r="A2" s="640" t="s">
        <v>599</v>
      </c>
    </row>
    <row r="3" spans="1:5" ht="11.1" customHeight="1" x14ac:dyDescent="0.2">
      <c r="A3" s="640" t="s">
        <v>600</v>
      </c>
    </row>
    <row r="4" spans="1:5" ht="4.5" customHeight="1" x14ac:dyDescent="0.2">
      <c r="A4" s="640"/>
    </row>
    <row r="5" spans="1:5" ht="24" customHeight="1" x14ac:dyDescent="0.2">
      <c r="A5" s="398" t="s">
        <v>0</v>
      </c>
      <c r="B5" s="399" t="s">
        <v>493</v>
      </c>
      <c r="C5" s="399" t="s">
        <v>494</v>
      </c>
      <c r="D5" s="399" t="s">
        <v>495</v>
      </c>
      <c r="E5" s="399" t="s">
        <v>496</v>
      </c>
    </row>
    <row r="6" spans="1:5" ht="5.0999999999999996" customHeight="1" x14ac:dyDescent="0.2">
      <c r="A6" s="668"/>
      <c r="B6" s="669"/>
      <c r="C6" s="669"/>
      <c r="D6" s="669"/>
      <c r="E6" s="669"/>
    </row>
    <row r="7" spans="1:5" ht="11.65" customHeight="1" x14ac:dyDescent="0.25">
      <c r="A7" s="402" t="s">
        <v>466</v>
      </c>
      <c r="B7" s="405" t="s">
        <v>403</v>
      </c>
      <c r="C7" s="403">
        <f>AVERAGE(C8:C8)</f>
        <v>62.5</v>
      </c>
      <c r="D7" s="403">
        <f>AVERAGE(D8:D8)</f>
        <v>99.5</v>
      </c>
      <c r="E7" s="403" t="s">
        <v>4</v>
      </c>
    </row>
    <row r="8" spans="1:5" ht="11.65" customHeight="1" x14ac:dyDescent="0.25">
      <c r="A8" s="404" t="s">
        <v>469</v>
      </c>
      <c r="B8" s="405" t="s">
        <v>403</v>
      </c>
      <c r="C8" s="405">
        <v>62.5</v>
      </c>
      <c r="D8" s="405">
        <v>99.5</v>
      </c>
      <c r="E8" s="405" t="s">
        <v>403</v>
      </c>
    </row>
    <row r="9" spans="1:5" ht="11.65" customHeight="1" x14ac:dyDescent="0.25">
      <c r="A9" s="402" t="s">
        <v>419</v>
      </c>
      <c r="B9" s="403">
        <f>AVERAGE(B10:B19)</f>
        <v>59.916666666666664</v>
      </c>
      <c r="C9" s="403">
        <f>AVERAGE(C10:C19)</f>
        <v>61.33</v>
      </c>
      <c r="D9" s="403" t="s">
        <v>4</v>
      </c>
      <c r="E9" s="403">
        <f>AVERAGE(E10:E19)</f>
        <v>70</v>
      </c>
    </row>
    <row r="10" spans="1:5" ht="11.65" customHeight="1" x14ac:dyDescent="0.25">
      <c r="A10" s="404" t="s">
        <v>420</v>
      </c>
      <c r="B10" s="405">
        <v>45</v>
      </c>
      <c r="C10" s="405" t="s">
        <v>403</v>
      </c>
      <c r="D10" s="405" t="s">
        <v>403</v>
      </c>
      <c r="E10" s="405" t="s">
        <v>403</v>
      </c>
    </row>
    <row r="11" spans="1:5" ht="11.65" customHeight="1" x14ac:dyDescent="0.25">
      <c r="A11" s="404" t="s">
        <v>590</v>
      </c>
      <c r="B11" s="405" t="s">
        <v>403</v>
      </c>
      <c r="C11" s="405" t="s">
        <v>403</v>
      </c>
      <c r="D11" s="405" t="s">
        <v>403</v>
      </c>
      <c r="E11" s="405">
        <v>60</v>
      </c>
    </row>
    <row r="12" spans="1:5" ht="11.65" customHeight="1" x14ac:dyDescent="0.25">
      <c r="A12" s="404" t="s">
        <v>535</v>
      </c>
      <c r="B12" s="405">
        <v>46.25</v>
      </c>
      <c r="C12" s="405" t="s">
        <v>403</v>
      </c>
      <c r="D12" s="405" t="s">
        <v>403</v>
      </c>
      <c r="E12" s="405" t="s">
        <v>403</v>
      </c>
    </row>
    <row r="13" spans="1:5" ht="11.65" customHeight="1" x14ac:dyDescent="0.25">
      <c r="A13" s="404" t="s">
        <v>421</v>
      </c>
      <c r="B13" s="405">
        <v>55</v>
      </c>
      <c r="C13" s="405" t="s">
        <v>403</v>
      </c>
      <c r="D13" s="405" t="s">
        <v>403</v>
      </c>
      <c r="E13" s="405" t="s">
        <v>403</v>
      </c>
    </row>
    <row r="14" spans="1:5" ht="11.65" customHeight="1" x14ac:dyDescent="0.25">
      <c r="A14" s="404" t="s">
        <v>491</v>
      </c>
      <c r="B14" s="405">
        <v>60</v>
      </c>
      <c r="C14" s="405" t="s">
        <v>403</v>
      </c>
      <c r="D14" s="405" t="s">
        <v>403</v>
      </c>
      <c r="E14" s="405" t="s">
        <v>403</v>
      </c>
    </row>
    <row r="15" spans="1:5" ht="11.65" customHeight="1" x14ac:dyDescent="0.25">
      <c r="A15" s="404" t="s">
        <v>422</v>
      </c>
      <c r="B15" s="405">
        <v>60</v>
      </c>
      <c r="C15" s="405" t="s">
        <v>403</v>
      </c>
      <c r="D15" s="405" t="s">
        <v>403</v>
      </c>
      <c r="E15" s="405" t="s">
        <v>403</v>
      </c>
    </row>
    <row r="16" spans="1:5" ht="11.65" customHeight="1" x14ac:dyDescent="0.25">
      <c r="A16" s="404" t="s">
        <v>533</v>
      </c>
      <c r="B16" s="405">
        <v>75</v>
      </c>
      <c r="C16" s="405" t="s">
        <v>403</v>
      </c>
      <c r="D16" s="405" t="s">
        <v>403</v>
      </c>
      <c r="E16" s="405" t="s">
        <v>403</v>
      </c>
    </row>
    <row r="17" spans="1:5" ht="11.65" customHeight="1" x14ac:dyDescent="0.25">
      <c r="A17" s="404" t="s">
        <v>589</v>
      </c>
      <c r="B17" s="405">
        <v>51.33</v>
      </c>
      <c r="C17" s="405">
        <v>61.33</v>
      </c>
      <c r="D17" s="405" t="s">
        <v>403</v>
      </c>
      <c r="E17" s="405" t="s">
        <v>403</v>
      </c>
    </row>
    <row r="18" spans="1:5" ht="11.65" customHeight="1" x14ac:dyDescent="0.25">
      <c r="A18" s="404" t="s">
        <v>573</v>
      </c>
      <c r="B18" s="405">
        <v>90</v>
      </c>
      <c r="C18" s="405" t="s">
        <v>403</v>
      </c>
      <c r="D18" s="405" t="s">
        <v>403</v>
      </c>
      <c r="E18" s="405">
        <v>80</v>
      </c>
    </row>
    <row r="19" spans="1:5" ht="11.65" customHeight="1" x14ac:dyDescent="0.25">
      <c r="A19" s="404" t="s">
        <v>444</v>
      </c>
      <c r="B19" s="405">
        <v>56.67</v>
      </c>
      <c r="C19" s="405" t="s">
        <v>403</v>
      </c>
      <c r="D19" s="405" t="s">
        <v>403</v>
      </c>
      <c r="E19" s="405" t="s">
        <v>403</v>
      </c>
    </row>
    <row r="20" spans="1:5" ht="11.65" customHeight="1" x14ac:dyDescent="0.25">
      <c r="A20" s="402" t="s">
        <v>75</v>
      </c>
      <c r="B20" s="403">
        <f t="shared" ref="B20:C20" si="0">AVERAGE(B21:B24)</f>
        <v>52.556666666666672</v>
      </c>
      <c r="C20" s="403">
        <f t="shared" si="0"/>
        <v>56.96</v>
      </c>
      <c r="D20" s="403" t="s">
        <v>4</v>
      </c>
      <c r="E20" s="403">
        <f>AVERAGE(E21:E24)</f>
        <v>47.164999999999999</v>
      </c>
    </row>
    <row r="21" spans="1:5" ht="11.65" customHeight="1" x14ac:dyDescent="0.25">
      <c r="A21" s="404" t="s">
        <v>151</v>
      </c>
      <c r="B21" s="406">
        <v>56</v>
      </c>
      <c r="C21" s="405">
        <v>62.84</v>
      </c>
      <c r="D21" s="405" t="s">
        <v>403</v>
      </c>
      <c r="E21" s="405">
        <v>46.33</v>
      </c>
    </row>
    <row r="22" spans="1:5" ht="11.65" customHeight="1" x14ac:dyDescent="0.25">
      <c r="A22" s="404" t="s">
        <v>536</v>
      </c>
      <c r="B22" s="406">
        <v>60</v>
      </c>
      <c r="C22" s="405">
        <v>61</v>
      </c>
      <c r="D22" s="405" t="s">
        <v>403</v>
      </c>
      <c r="E22" s="405">
        <v>48</v>
      </c>
    </row>
    <row r="23" spans="1:5" ht="11.65" customHeight="1" x14ac:dyDescent="0.25">
      <c r="A23" s="404" t="s">
        <v>154</v>
      </c>
      <c r="B23" s="406" t="s">
        <v>403</v>
      </c>
      <c r="C23" s="405">
        <v>62.5</v>
      </c>
      <c r="D23" s="405" t="s">
        <v>403</v>
      </c>
      <c r="E23" s="405" t="s">
        <v>403</v>
      </c>
    </row>
    <row r="24" spans="1:5" ht="11.65" customHeight="1" x14ac:dyDescent="0.25">
      <c r="A24" s="404" t="s">
        <v>157</v>
      </c>
      <c r="B24" s="406">
        <v>41.67</v>
      </c>
      <c r="C24" s="405">
        <v>41.5</v>
      </c>
      <c r="D24" s="405" t="s">
        <v>403</v>
      </c>
      <c r="E24" s="405" t="s">
        <v>403</v>
      </c>
    </row>
    <row r="25" spans="1:5" ht="11.65" customHeight="1" x14ac:dyDescent="0.25">
      <c r="A25" s="402" t="s">
        <v>2</v>
      </c>
      <c r="B25" s="403">
        <f>AVERAGE(B26:B32)</f>
        <v>54.284000000000006</v>
      </c>
      <c r="C25" s="403">
        <f>AVERAGE(C26:C32)</f>
        <v>50.513333333333328</v>
      </c>
      <c r="D25" s="403">
        <f>AVERAGE(D26:D32)</f>
        <v>101.77666666666666</v>
      </c>
      <c r="E25" s="403" t="s">
        <v>4</v>
      </c>
    </row>
    <row r="26" spans="1:5" ht="11.65" customHeight="1" x14ac:dyDescent="0.2">
      <c r="A26" s="407" t="s">
        <v>5</v>
      </c>
      <c r="B26" s="405">
        <v>50</v>
      </c>
      <c r="C26" s="405">
        <v>56</v>
      </c>
      <c r="D26" s="405" t="s">
        <v>403</v>
      </c>
      <c r="E26" s="405" t="s">
        <v>403</v>
      </c>
    </row>
    <row r="27" spans="1:5" ht="11.65" customHeight="1" x14ac:dyDescent="0.2">
      <c r="A27" s="407" t="s">
        <v>76</v>
      </c>
      <c r="B27" s="405">
        <v>47.75</v>
      </c>
      <c r="C27" s="405">
        <v>45</v>
      </c>
      <c r="D27" s="405">
        <v>105</v>
      </c>
      <c r="E27" s="405" t="s">
        <v>403</v>
      </c>
    </row>
    <row r="28" spans="1:5" ht="11.65" customHeight="1" x14ac:dyDescent="0.2">
      <c r="A28" s="407" t="s">
        <v>398</v>
      </c>
      <c r="B28" s="405" t="s">
        <v>403</v>
      </c>
      <c r="C28" s="405">
        <v>54</v>
      </c>
      <c r="D28" s="405">
        <v>108</v>
      </c>
      <c r="E28" s="405" t="s">
        <v>403</v>
      </c>
    </row>
    <row r="29" spans="1:5" ht="11.65" customHeight="1" x14ac:dyDescent="0.2">
      <c r="A29" s="407" t="s">
        <v>82</v>
      </c>
      <c r="B29" s="405">
        <v>47</v>
      </c>
      <c r="C29" s="405">
        <v>52.75</v>
      </c>
      <c r="D29" s="405" t="s">
        <v>403</v>
      </c>
      <c r="E29" s="405" t="s">
        <v>403</v>
      </c>
    </row>
    <row r="30" spans="1:5" ht="11.65" customHeight="1" x14ac:dyDescent="0.2">
      <c r="A30" s="407" t="s">
        <v>59</v>
      </c>
      <c r="B30" s="405">
        <v>51.67</v>
      </c>
      <c r="C30" s="405">
        <v>48.33</v>
      </c>
      <c r="D30" s="405">
        <v>92.33</v>
      </c>
      <c r="E30" s="405" t="s">
        <v>403</v>
      </c>
    </row>
    <row r="31" spans="1:5" ht="11.65" customHeight="1" x14ac:dyDescent="0.2">
      <c r="A31" s="407" t="s">
        <v>511</v>
      </c>
      <c r="B31" s="405">
        <v>75</v>
      </c>
      <c r="C31" s="405" t="s">
        <v>403</v>
      </c>
      <c r="D31" s="405"/>
      <c r="E31" s="405"/>
    </row>
    <row r="32" spans="1:5" ht="11.65" customHeight="1" x14ac:dyDescent="0.2">
      <c r="A32" s="407" t="s">
        <v>186</v>
      </c>
      <c r="B32" s="405" t="s">
        <v>403</v>
      </c>
      <c r="C32" s="405">
        <v>47</v>
      </c>
      <c r="D32" s="405" t="s">
        <v>403</v>
      </c>
      <c r="E32" s="405" t="s">
        <v>403</v>
      </c>
    </row>
    <row r="33" spans="1:5" ht="11.65" customHeight="1" x14ac:dyDescent="0.2">
      <c r="A33" s="408" t="s">
        <v>6</v>
      </c>
      <c r="B33" s="403">
        <f>AVERAGE(B34:B38)</f>
        <v>75</v>
      </c>
      <c r="C33" s="403">
        <f>AVERAGE(C34:C38)</f>
        <v>73.292500000000004</v>
      </c>
      <c r="D33" s="403" t="s">
        <v>4</v>
      </c>
      <c r="E33" s="403" t="s">
        <v>4</v>
      </c>
    </row>
    <row r="34" spans="1:5" ht="11.65" customHeight="1" x14ac:dyDescent="0.2">
      <c r="A34" s="407" t="s">
        <v>7</v>
      </c>
      <c r="B34" s="405" t="s">
        <v>403</v>
      </c>
      <c r="C34" s="405">
        <v>70.67</v>
      </c>
      <c r="D34" s="405" t="s">
        <v>403</v>
      </c>
      <c r="E34" s="405" t="s">
        <v>403</v>
      </c>
    </row>
    <row r="35" spans="1:5" ht="11.65" customHeight="1" x14ac:dyDescent="0.2">
      <c r="A35" s="407" t="s">
        <v>8</v>
      </c>
      <c r="B35" s="405">
        <v>57.5</v>
      </c>
      <c r="C35" s="405">
        <v>62.5</v>
      </c>
      <c r="D35" s="405" t="s">
        <v>403</v>
      </c>
      <c r="E35" s="405" t="s">
        <v>403</v>
      </c>
    </row>
    <row r="36" spans="1:5" ht="11.65" customHeight="1" x14ac:dyDescent="0.2">
      <c r="A36" s="407" t="s">
        <v>9</v>
      </c>
      <c r="B36" s="405" t="s">
        <v>403</v>
      </c>
      <c r="C36" s="405">
        <v>70</v>
      </c>
      <c r="D36" s="405" t="s">
        <v>403</v>
      </c>
      <c r="E36" s="405" t="s">
        <v>403</v>
      </c>
    </row>
    <row r="37" spans="1:5" ht="11.65" customHeight="1" x14ac:dyDescent="0.2">
      <c r="A37" s="407" t="s">
        <v>10</v>
      </c>
      <c r="B37" s="405">
        <v>82.5</v>
      </c>
      <c r="C37" s="405">
        <v>90</v>
      </c>
      <c r="D37" s="405" t="s">
        <v>403</v>
      </c>
      <c r="E37" s="405" t="s">
        <v>403</v>
      </c>
    </row>
    <row r="38" spans="1:5" ht="11.65" customHeight="1" x14ac:dyDescent="0.2">
      <c r="A38" s="407" t="s">
        <v>11</v>
      </c>
      <c r="B38" s="405">
        <v>85</v>
      </c>
      <c r="C38" s="405" t="s">
        <v>403</v>
      </c>
      <c r="D38" s="405" t="s">
        <v>403</v>
      </c>
      <c r="E38" s="405" t="s">
        <v>403</v>
      </c>
    </row>
    <row r="39" spans="1:5" ht="11.65" customHeight="1" x14ac:dyDescent="0.2">
      <c r="A39" s="408" t="s">
        <v>13</v>
      </c>
      <c r="B39" s="403">
        <f>AVERAGE(B40)</f>
        <v>64.5</v>
      </c>
      <c r="C39" s="403">
        <f>AVERAGE(C40:C40)</f>
        <v>82</v>
      </c>
      <c r="D39" s="403" t="s">
        <v>403</v>
      </c>
      <c r="E39" s="403" t="s">
        <v>4</v>
      </c>
    </row>
    <row r="40" spans="1:5" ht="11.65" customHeight="1" x14ac:dyDescent="0.2">
      <c r="A40" s="407" t="s">
        <v>67</v>
      </c>
      <c r="B40" s="405">
        <v>64.5</v>
      </c>
      <c r="C40" s="405">
        <v>82</v>
      </c>
      <c r="D40" s="405" t="s">
        <v>403</v>
      </c>
      <c r="E40" s="405" t="s">
        <v>403</v>
      </c>
    </row>
    <row r="41" spans="1:5" ht="11.65" customHeight="1" x14ac:dyDescent="0.2">
      <c r="A41" s="408" t="s">
        <v>14</v>
      </c>
      <c r="B41" s="403">
        <f t="shared" ref="B41:C41" si="1">AVERAGE(B42:B44)</f>
        <v>65</v>
      </c>
      <c r="C41" s="403">
        <f t="shared" si="1"/>
        <v>51.5</v>
      </c>
      <c r="D41" s="403" t="s">
        <v>4</v>
      </c>
      <c r="E41" s="403" t="s">
        <v>4</v>
      </c>
    </row>
    <row r="42" spans="1:5" ht="11.65" customHeight="1" x14ac:dyDescent="0.2">
      <c r="A42" s="407" t="s">
        <v>465</v>
      </c>
      <c r="B42" s="405" t="s">
        <v>403</v>
      </c>
      <c r="C42" s="405">
        <v>42.5</v>
      </c>
      <c r="D42" s="405" t="s">
        <v>403</v>
      </c>
      <c r="E42" s="405" t="s">
        <v>403</v>
      </c>
    </row>
    <row r="43" spans="1:5" ht="11.65" customHeight="1" x14ac:dyDescent="0.2">
      <c r="A43" s="407" t="s">
        <v>482</v>
      </c>
      <c r="B43" s="405">
        <v>65</v>
      </c>
      <c r="C43" s="405">
        <v>65</v>
      </c>
      <c r="D43" s="405" t="s">
        <v>403</v>
      </c>
      <c r="E43" s="405" t="s">
        <v>403</v>
      </c>
    </row>
    <row r="44" spans="1:5" ht="11.65" customHeight="1" x14ac:dyDescent="0.2">
      <c r="A44" s="407" t="s">
        <v>470</v>
      </c>
      <c r="B44" s="405" t="s">
        <v>403</v>
      </c>
      <c r="C44" s="405">
        <v>47</v>
      </c>
      <c r="D44" s="405" t="s">
        <v>403</v>
      </c>
      <c r="E44" s="405" t="s">
        <v>403</v>
      </c>
    </row>
    <row r="45" spans="1:5" ht="11.65" customHeight="1" x14ac:dyDescent="0.2">
      <c r="A45" s="408" t="s">
        <v>16</v>
      </c>
      <c r="B45" s="403">
        <f>AVERAGE(B46:B53)</f>
        <v>60.048571428571435</v>
      </c>
      <c r="C45" s="403">
        <f>AVERAGE(C46:C53)</f>
        <v>66.278333333333336</v>
      </c>
      <c r="D45" s="403" t="s">
        <v>4</v>
      </c>
      <c r="E45" s="403">
        <f>AVERAGE(E46:E53)</f>
        <v>42.223333333333336</v>
      </c>
    </row>
    <row r="46" spans="1:5" ht="11.65" customHeight="1" x14ac:dyDescent="0.2">
      <c r="A46" s="407" t="s">
        <v>17</v>
      </c>
      <c r="B46" s="405">
        <v>56.67</v>
      </c>
      <c r="C46" s="405">
        <v>56.67</v>
      </c>
      <c r="D46" s="405" t="s">
        <v>403</v>
      </c>
      <c r="E46" s="405" t="s">
        <v>403</v>
      </c>
    </row>
    <row r="47" spans="1:5" ht="11.65" customHeight="1" x14ac:dyDescent="0.2">
      <c r="A47" s="407" t="s">
        <v>18</v>
      </c>
      <c r="B47" s="405" t="s">
        <v>403</v>
      </c>
      <c r="C47" s="405">
        <v>76</v>
      </c>
      <c r="D47" s="405" t="s">
        <v>403</v>
      </c>
      <c r="E47" s="405" t="s">
        <v>403</v>
      </c>
    </row>
    <row r="48" spans="1:5" ht="11.65" customHeight="1" x14ac:dyDescent="0.2">
      <c r="A48" s="407" t="s">
        <v>591</v>
      </c>
      <c r="B48" s="405">
        <v>60</v>
      </c>
      <c r="C48" s="405">
        <v>65</v>
      </c>
      <c r="D48" s="405" t="s">
        <v>403</v>
      </c>
      <c r="E48" s="405" t="s">
        <v>403</v>
      </c>
    </row>
    <row r="49" spans="1:5" ht="11.65" customHeight="1" x14ac:dyDescent="0.2">
      <c r="A49" s="407" t="s">
        <v>77</v>
      </c>
      <c r="B49" s="405">
        <v>60</v>
      </c>
      <c r="C49" s="405">
        <v>65</v>
      </c>
      <c r="D49" s="405" t="s">
        <v>403</v>
      </c>
      <c r="E49" s="405" t="s">
        <v>403</v>
      </c>
    </row>
    <row r="50" spans="1:5" ht="11.65" customHeight="1" x14ac:dyDescent="0.2">
      <c r="A50" s="407" t="s">
        <v>19</v>
      </c>
      <c r="B50" s="405">
        <v>45.67</v>
      </c>
      <c r="C50" s="405" t="s">
        <v>403</v>
      </c>
      <c r="D50" s="405" t="s">
        <v>403</v>
      </c>
      <c r="E50" s="405">
        <v>44.67</v>
      </c>
    </row>
    <row r="51" spans="1:5" ht="11.65" customHeight="1" x14ac:dyDescent="0.2">
      <c r="A51" s="407" t="s">
        <v>20</v>
      </c>
      <c r="B51" s="405">
        <v>59</v>
      </c>
      <c r="C51" s="405" t="s">
        <v>403</v>
      </c>
      <c r="D51" s="405" t="s">
        <v>403</v>
      </c>
      <c r="E51" s="405">
        <v>32</v>
      </c>
    </row>
    <row r="52" spans="1:5" ht="11.65" customHeight="1" x14ac:dyDescent="0.2">
      <c r="A52" s="407" t="s">
        <v>423</v>
      </c>
      <c r="B52" s="405">
        <v>69</v>
      </c>
      <c r="C52" s="405">
        <v>60</v>
      </c>
      <c r="D52" s="405" t="s">
        <v>403</v>
      </c>
      <c r="E52" s="405">
        <v>50</v>
      </c>
    </row>
    <row r="53" spans="1:5" ht="11.65" customHeight="1" x14ac:dyDescent="0.2">
      <c r="A53" s="407" t="s">
        <v>61</v>
      </c>
      <c r="B53" s="405">
        <v>70</v>
      </c>
      <c r="C53" s="405">
        <v>75</v>
      </c>
      <c r="D53" s="405" t="s">
        <v>403</v>
      </c>
      <c r="E53" s="405" t="s">
        <v>403</v>
      </c>
    </row>
    <row r="54" spans="1:5" ht="11.65" customHeight="1" x14ac:dyDescent="0.2">
      <c r="A54" s="408" t="s">
        <v>23</v>
      </c>
      <c r="B54" s="403">
        <f>AVERAGE(B55:B59)</f>
        <v>54</v>
      </c>
      <c r="C54" s="403">
        <f>AVERAGE(C55:C59)</f>
        <v>57.02</v>
      </c>
      <c r="D54" s="403">
        <f>AVERAGE(D55:D59)</f>
        <v>91.64</v>
      </c>
      <c r="E54" s="403">
        <f>AVERAGE(E55:E59)</f>
        <v>64</v>
      </c>
    </row>
    <row r="55" spans="1:5" ht="11.65" customHeight="1" x14ac:dyDescent="0.2">
      <c r="A55" s="407" t="s">
        <v>520</v>
      </c>
      <c r="B55" s="405">
        <v>50</v>
      </c>
      <c r="C55" s="405">
        <v>51.67</v>
      </c>
      <c r="D55" s="405">
        <v>86.6</v>
      </c>
      <c r="E55" s="405" t="s">
        <v>403</v>
      </c>
    </row>
    <row r="56" spans="1:5" ht="11.65" customHeight="1" x14ac:dyDescent="0.2">
      <c r="A56" s="407" t="s">
        <v>51</v>
      </c>
      <c r="B56" s="405">
        <v>60</v>
      </c>
      <c r="C56" s="405">
        <v>61.1</v>
      </c>
      <c r="D56" s="405">
        <v>97.1</v>
      </c>
      <c r="E56" s="405">
        <v>68.5</v>
      </c>
    </row>
    <row r="57" spans="1:5" ht="11.65" customHeight="1" x14ac:dyDescent="0.2">
      <c r="A57" s="407" t="s">
        <v>521</v>
      </c>
      <c r="B57" s="405">
        <v>59</v>
      </c>
      <c r="C57" s="405">
        <v>56</v>
      </c>
      <c r="D57" s="405">
        <v>79.5</v>
      </c>
      <c r="E57" s="405">
        <v>68.5</v>
      </c>
    </row>
    <row r="58" spans="1:5" ht="11.65" customHeight="1" x14ac:dyDescent="0.2">
      <c r="A58" s="526" t="s">
        <v>56</v>
      </c>
      <c r="B58" s="405" t="s">
        <v>397</v>
      </c>
      <c r="C58" s="405">
        <v>65</v>
      </c>
      <c r="D58" s="405">
        <v>115</v>
      </c>
      <c r="E58" s="405">
        <v>55</v>
      </c>
    </row>
    <row r="59" spans="1:5" ht="11.65" customHeight="1" x14ac:dyDescent="0.2">
      <c r="A59" s="407" t="s">
        <v>522</v>
      </c>
      <c r="B59" s="525">
        <v>47</v>
      </c>
      <c r="C59" s="525">
        <v>51.33</v>
      </c>
      <c r="D59" s="525">
        <v>80</v>
      </c>
      <c r="E59" s="525" t="s">
        <v>403</v>
      </c>
    </row>
    <row r="60" spans="1:5" ht="15.75" customHeight="1" x14ac:dyDescent="0.2">
      <c r="A60" s="409"/>
      <c r="B60" s="524"/>
      <c r="C60" s="628"/>
      <c r="D60" s="628"/>
      <c r="E60" s="628" t="s">
        <v>24</v>
      </c>
    </row>
    <row r="61" spans="1:5" ht="15.75" customHeight="1" x14ac:dyDescent="0.25">
      <c r="A61" s="412" t="s">
        <v>497</v>
      </c>
      <c r="B61" s="412"/>
      <c r="C61" s="412"/>
      <c r="D61" s="412"/>
      <c r="E61" s="412"/>
    </row>
    <row r="62" spans="1:5" ht="24" customHeight="1" x14ac:dyDescent="0.2">
      <c r="A62" s="398" t="s">
        <v>0</v>
      </c>
      <c r="B62" s="399" t="s">
        <v>498</v>
      </c>
      <c r="C62" s="399" t="s">
        <v>499</v>
      </c>
      <c r="D62" s="399" t="s">
        <v>495</v>
      </c>
      <c r="E62" s="399" t="s">
        <v>496</v>
      </c>
    </row>
    <row r="63" spans="1:5" ht="5.0999999999999996" customHeight="1" x14ac:dyDescent="0.2">
      <c r="A63" s="413"/>
      <c r="B63" s="414"/>
      <c r="C63" s="414"/>
      <c r="D63" s="414"/>
      <c r="E63" s="414"/>
    </row>
    <row r="64" spans="1:5" ht="11.65" customHeight="1" x14ac:dyDescent="0.2">
      <c r="A64" s="408" t="s">
        <v>25</v>
      </c>
      <c r="B64" s="403">
        <f>AVERAGE(B65:B68)</f>
        <v>52.609999999999992</v>
      </c>
      <c r="C64" s="403">
        <f t="shared" ref="C64" si="2">AVERAGE(C65:C68)</f>
        <v>57.832499999999996</v>
      </c>
      <c r="D64" s="403" t="s">
        <v>403</v>
      </c>
      <c r="E64" s="403" t="s">
        <v>403</v>
      </c>
    </row>
    <row r="65" spans="1:5" ht="11.65" customHeight="1" x14ac:dyDescent="0.2">
      <c r="A65" s="407" t="s">
        <v>85</v>
      </c>
      <c r="B65" s="405" t="s">
        <v>403</v>
      </c>
      <c r="C65" s="405">
        <v>68.33</v>
      </c>
      <c r="D65" s="405" t="s">
        <v>403</v>
      </c>
      <c r="E65" s="405" t="s">
        <v>403</v>
      </c>
    </row>
    <row r="66" spans="1:5" ht="11.65" customHeight="1" x14ac:dyDescent="0.2">
      <c r="A66" s="407" t="s">
        <v>25</v>
      </c>
      <c r="B66" s="405">
        <v>39.5</v>
      </c>
      <c r="C66" s="405">
        <v>41</v>
      </c>
      <c r="D66" s="405" t="s">
        <v>403</v>
      </c>
      <c r="E66" s="405" t="s">
        <v>403</v>
      </c>
    </row>
    <row r="67" spans="1:5" ht="11.65" customHeight="1" x14ac:dyDescent="0.2">
      <c r="A67" s="407" t="s">
        <v>513</v>
      </c>
      <c r="B67" s="405">
        <v>68.33</v>
      </c>
      <c r="C67" s="405">
        <v>65</v>
      </c>
      <c r="D67" s="405" t="s">
        <v>403</v>
      </c>
      <c r="E67" s="405" t="s">
        <v>403</v>
      </c>
    </row>
    <row r="68" spans="1:5" ht="11.65" customHeight="1" x14ac:dyDescent="0.2">
      <c r="A68" s="407" t="s">
        <v>514</v>
      </c>
      <c r="B68" s="405">
        <v>50</v>
      </c>
      <c r="C68" s="405">
        <v>57</v>
      </c>
      <c r="D68" s="405" t="s">
        <v>403</v>
      </c>
      <c r="E68" s="405" t="s">
        <v>403</v>
      </c>
    </row>
    <row r="69" spans="1:5" ht="11.65" customHeight="1" x14ac:dyDescent="0.2">
      <c r="A69" s="408" t="s">
        <v>83</v>
      </c>
      <c r="B69" s="403">
        <f>AVERAGE(B70:B81)</f>
        <v>55.772727272727273</v>
      </c>
      <c r="C69" s="403">
        <f t="shared" ref="C69:E69" si="3">AVERAGE(C70:C81)</f>
        <v>55.277777777777779</v>
      </c>
      <c r="D69" s="403">
        <f t="shared" si="3"/>
        <v>94.5</v>
      </c>
      <c r="E69" s="403">
        <f t="shared" si="3"/>
        <v>49.835000000000001</v>
      </c>
    </row>
    <row r="70" spans="1:5" ht="11.65" customHeight="1" x14ac:dyDescent="0.2">
      <c r="A70" s="407" t="s">
        <v>26</v>
      </c>
      <c r="B70" s="405">
        <v>65</v>
      </c>
      <c r="C70" s="405">
        <v>54</v>
      </c>
      <c r="D70" s="405" t="s">
        <v>403</v>
      </c>
      <c r="E70" s="405" t="s">
        <v>403</v>
      </c>
    </row>
    <row r="71" spans="1:5" ht="11.65" customHeight="1" x14ac:dyDescent="0.2">
      <c r="A71" s="407" t="s">
        <v>442</v>
      </c>
      <c r="B71" s="405">
        <v>68</v>
      </c>
      <c r="C71" s="405">
        <v>71</v>
      </c>
      <c r="D71" s="405" t="s">
        <v>403</v>
      </c>
      <c r="E71" s="405" t="s">
        <v>403</v>
      </c>
    </row>
    <row r="72" spans="1:5" ht="11.65" customHeight="1" x14ac:dyDescent="0.2">
      <c r="A72" s="407" t="s">
        <v>27</v>
      </c>
      <c r="B72" s="405">
        <v>48</v>
      </c>
      <c r="C72" s="405">
        <v>47.5</v>
      </c>
      <c r="D72" s="405">
        <v>80</v>
      </c>
      <c r="E72" s="405" t="s">
        <v>403</v>
      </c>
    </row>
    <row r="73" spans="1:5" ht="11.65" customHeight="1" x14ac:dyDescent="0.2">
      <c r="A73" s="407" t="s">
        <v>28</v>
      </c>
      <c r="B73" s="405">
        <v>58.25</v>
      </c>
      <c r="C73" s="405">
        <v>56</v>
      </c>
      <c r="D73" s="405">
        <v>118</v>
      </c>
      <c r="E73" s="405" t="s">
        <v>403</v>
      </c>
    </row>
    <row r="74" spans="1:5" ht="11.65" customHeight="1" x14ac:dyDescent="0.2">
      <c r="A74" s="407" t="s">
        <v>62</v>
      </c>
      <c r="B74" s="405">
        <v>47.5</v>
      </c>
      <c r="C74" s="405">
        <v>60</v>
      </c>
      <c r="D74" s="405" t="s">
        <v>403</v>
      </c>
      <c r="E74" s="405">
        <v>48</v>
      </c>
    </row>
    <row r="75" spans="1:5" ht="11.65" customHeight="1" x14ac:dyDescent="0.2">
      <c r="A75" s="407" t="s">
        <v>29</v>
      </c>
      <c r="B75" s="405">
        <v>48.25</v>
      </c>
      <c r="C75" s="405">
        <v>54.5</v>
      </c>
      <c r="D75" s="405" t="s">
        <v>403</v>
      </c>
      <c r="E75" s="405" t="s">
        <v>403</v>
      </c>
    </row>
    <row r="76" spans="1:5" ht="11.65" customHeight="1" x14ac:dyDescent="0.2">
      <c r="A76" s="407" t="s">
        <v>80</v>
      </c>
      <c r="B76" s="405">
        <v>80</v>
      </c>
      <c r="C76" s="405" t="s">
        <v>397</v>
      </c>
      <c r="D76" s="405" t="s">
        <v>403</v>
      </c>
      <c r="E76" s="405">
        <v>51.67</v>
      </c>
    </row>
    <row r="77" spans="1:5" ht="11.65" customHeight="1" x14ac:dyDescent="0.2">
      <c r="A77" s="407" t="s">
        <v>52</v>
      </c>
      <c r="B77" s="405" t="s">
        <v>397</v>
      </c>
      <c r="C77" s="405">
        <v>45.67</v>
      </c>
      <c r="D77" s="405">
        <v>90</v>
      </c>
      <c r="E77" s="405" t="s">
        <v>403</v>
      </c>
    </row>
    <row r="78" spans="1:5" ht="11.65" customHeight="1" x14ac:dyDescent="0.2">
      <c r="A78" s="407" t="s">
        <v>30</v>
      </c>
      <c r="B78" s="405">
        <v>46.5</v>
      </c>
      <c r="C78" s="405" t="s">
        <v>397</v>
      </c>
      <c r="D78" s="405" t="s">
        <v>403</v>
      </c>
      <c r="E78" s="405" t="s">
        <v>403</v>
      </c>
    </row>
    <row r="79" spans="1:5" ht="11.65" customHeight="1" x14ac:dyDescent="0.2">
      <c r="A79" s="407" t="s">
        <v>31</v>
      </c>
      <c r="B79" s="405">
        <v>58.67</v>
      </c>
      <c r="C79" s="405" t="s">
        <v>397</v>
      </c>
      <c r="D79" s="405" t="s">
        <v>403</v>
      </c>
      <c r="E79" s="405" t="s">
        <v>403</v>
      </c>
    </row>
    <row r="80" spans="1:5" ht="11.65" customHeight="1" x14ac:dyDescent="0.2">
      <c r="A80" s="407" t="s">
        <v>32</v>
      </c>
      <c r="B80" s="405">
        <v>44.33</v>
      </c>
      <c r="C80" s="405">
        <v>54.33</v>
      </c>
      <c r="D80" s="405" t="s">
        <v>403</v>
      </c>
      <c r="E80" s="405" t="s">
        <v>403</v>
      </c>
    </row>
    <row r="81" spans="1:5" ht="11.65" customHeight="1" x14ac:dyDescent="0.2">
      <c r="A81" s="407" t="s">
        <v>64</v>
      </c>
      <c r="B81" s="405">
        <v>49</v>
      </c>
      <c r="C81" s="405">
        <v>54.5</v>
      </c>
      <c r="D81" s="405">
        <v>90</v>
      </c>
      <c r="E81" s="405" t="s">
        <v>403</v>
      </c>
    </row>
    <row r="82" spans="1:5" ht="11.65" customHeight="1" x14ac:dyDescent="0.2">
      <c r="A82" s="408" t="s">
        <v>33</v>
      </c>
      <c r="B82" s="403">
        <f>AVERAGE(B83:B85)</f>
        <v>48.390000000000008</v>
      </c>
      <c r="C82" s="403">
        <f t="shared" ref="C82:D82" si="4">AVERAGE(C83:C85)</f>
        <v>51</v>
      </c>
      <c r="D82" s="403">
        <f t="shared" si="4"/>
        <v>76</v>
      </c>
      <c r="E82" s="415" t="s">
        <v>4</v>
      </c>
    </row>
    <row r="83" spans="1:5" ht="11.65" customHeight="1" x14ac:dyDescent="0.2">
      <c r="A83" s="407" t="s">
        <v>34</v>
      </c>
      <c r="B83" s="405">
        <v>44.67</v>
      </c>
      <c r="C83" s="405">
        <v>50</v>
      </c>
      <c r="D83" s="405">
        <v>75</v>
      </c>
      <c r="E83" s="405" t="s">
        <v>403</v>
      </c>
    </row>
    <row r="84" spans="1:5" ht="11.65" customHeight="1" x14ac:dyDescent="0.2">
      <c r="A84" s="407" t="s">
        <v>36</v>
      </c>
      <c r="B84" s="405">
        <v>48.5</v>
      </c>
      <c r="C84" s="405">
        <v>52</v>
      </c>
      <c r="D84" s="405">
        <v>77</v>
      </c>
      <c r="E84" s="405" t="s">
        <v>403</v>
      </c>
    </row>
    <row r="85" spans="1:5" ht="11.65" customHeight="1" x14ac:dyDescent="0.2">
      <c r="A85" s="407" t="s">
        <v>35</v>
      </c>
      <c r="B85" s="405">
        <v>52</v>
      </c>
      <c r="C85" s="405" t="s">
        <v>397</v>
      </c>
      <c r="D85" s="405" t="s">
        <v>403</v>
      </c>
      <c r="E85" s="405" t="s">
        <v>403</v>
      </c>
    </row>
    <row r="86" spans="1:5" ht="11.65" customHeight="1" x14ac:dyDescent="0.2">
      <c r="A86" s="408" t="s">
        <v>518</v>
      </c>
      <c r="B86" s="403">
        <f>AVERAGE(B87)</f>
        <v>51.25</v>
      </c>
      <c r="C86" s="403">
        <f>AVERAGE(C87)</f>
        <v>62.4</v>
      </c>
      <c r="D86" s="403" t="s">
        <v>4</v>
      </c>
      <c r="E86" s="403" t="s">
        <v>4</v>
      </c>
    </row>
    <row r="87" spans="1:5" ht="11.65" customHeight="1" x14ac:dyDescent="0.2">
      <c r="A87" s="407" t="s">
        <v>519</v>
      </c>
      <c r="B87" s="405">
        <v>51.25</v>
      </c>
      <c r="C87" s="405">
        <v>62.4</v>
      </c>
      <c r="D87" s="405" t="s">
        <v>403</v>
      </c>
      <c r="E87" s="405" t="s">
        <v>403</v>
      </c>
    </row>
    <row r="88" spans="1:5" ht="11.65" customHeight="1" x14ac:dyDescent="0.2">
      <c r="A88" s="408" t="s">
        <v>190</v>
      </c>
      <c r="B88" s="403">
        <f t="shared" ref="B88:C88" si="5">AVERAGE(B89)</f>
        <v>50</v>
      </c>
      <c r="C88" s="403">
        <f t="shared" si="5"/>
        <v>50</v>
      </c>
      <c r="D88" s="403" t="s">
        <v>4</v>
      </c>
      <c r="E88" s="403" t="s">
        <v>4</v>
      </c>
    </row>
    <row r="89" spans="1:5" ht="11.65" customHeight="1" x14ac:dyDescent="0.2">
      <c r="A89" s="407" t="s">
        <v>193</v>
      </c>
      <c r="B89" s="405">
        <v>50</v>
      </c>
      <c r="C89" s="405">
        <v>50</v>
      </c>
      <c r="D89" s="405" t="s">
        <v>403</v>
      </c>
      <c r="E89" s="405" t="s">
        <v>403</v>
      </c>
    </row>
    <row r="90" spans="1:5" ht="11.65" customHeight="1" x14ac:dyDescent="0.2">
      <c r="A90" s="408" t="s">
        <v>37</v>
      </c>
      <c r="B90" s="403">
        <f>AVERAGE(B91:B92)</f>
        <v>59.55</v>
      </c>
      <c r="C90" s="403">
        <f>AVERAGE(C91:C92)</f>
        <v>67.35499999999999</v>
      </c>
      <c r="D90" s="403" t="s">
        <v>4</v>
      </c>
      <c r="E90" s="403" t="s">
        <v>4</v>
      </c>
    </row>
    <row r="91" spans="1:5" ht="11.65" customHeight="1" x14ac:dyDescent="0.2">
      <c r="A91" s="407" t="s">
        <v>39</v>
      </c>
      <c r="B91" s="405">
        <v>60</v>
      </c>
      <c r="C91" s="405">
        <v>70</v>
      </c>
      <c r="D91" s="405" t="s">
        <v>403</v>
      </c>
      <c r="E91" s="405" t="s">
        <v>403</v>
      </c>
    </row>
    <row r="92" spans="1:5" ht="11.65" customHeight="1" x14ac:dyDescent="0.2">
      <c r="A92" s="407" t="s">
        <v>38</v>
      </c>
      <c r="B92" s="405">
        <v>59.1</v>
      </c>
      <c r="C92" s="405">
        <v>64.709999999999994</v>
      </c>
      <c r="D92" s="405" t="s">
        <v>403</v>
      </c>
      <c r="E92" s="405" t="s">
        <v>403</v>
      </c>
    </row>
    <row r="93" spans="1:5" ht="11.65" customHeight="1" x14ac:dyDescent="0.2">
      <c r="A93" s="408" t="s">
        <v>40</v>
      </c>
      <c r="B93" s="403">
        <f>AVERAGE(B94:B97)</f>
        <v>57.5</v>
      </c>
      <c r="C93" s="403">
        <f t="shared" ref="C93" si="6">AVERAGE(C94:C97)</f>
        <v>45.833333333333336</v>
      </c>
      <c r="D93" s="403">
        <f>AVERAGE(D94:D97)</f>
        <v>79</v>
      </c>
      <c r="E93" s="403">
        <f>AVERAGE(E94:E97)</f>
        <v>49.5</v>
      </c>
    </row>
    <row r="94" spans="1:5" ht="11.65" customHeight="1" x14ac:dyDescent="0.2">
      <c r="A94" s="407" t="s">
        <v>41</v>
      </c>
      <c r="B94" s="405" t="s">
        <v>403</v>
      </c>
      <c r="C94" s="405">
        <v>32.5</v>
      </c>
      <c r="D94" s="405" t="s">
        <v>403</v>
      </c>
      <c r="E94" s="405" t="s">
        <v>403</v>
      </c>
    </row>
    <row r="95" spans="1:5" ht="11.65" customHeight="1" x14ac:dyDescent="0.2">
      <c r="A95" s="407" t="s">
        <v>42</v>
      </c>
      <c r="B95" s="405">
        <v>57</v>
      </c>
      <c r="C95" s="405">
        <v>55</v>
      </c>
      <c r="D95" s="405" t="s">
        <v>403</v>
      </c>
      <c r="E95" s="405">
        <v>49.5</v>
      </c>
    </row>
    <row r="96" spans="1:5" ht="11.65" customHeight="1" x14ac:dyDescent="0.2">
      <c r="A96" s="407" t="s">
        <v>43</v>
      </c>
      <c r="B96" s="405">
        <v>58</v>
      </c>
      <c r="C96" s="405" t="s">
        <v>403</v>
      </c>
      <c r="D96" s="405" t="s">
        <v>403</v>
      </c>
      <c r="E96" s="405" t="s">
        <v>403</v>
      </c>
    </row>
    <row r="97" spans="1:5" ht="11.65" customHeight="1" x14ac:dyDescent="0.2">
      <c r="A97" s="407" t="s">
        <v>406</v>
      </c>
      <c r="B97" s="405" t="s">
        <v>403</v>
      </c>
      <c r="C97" s="405">
        <v>50</v>
      </c>
      <c r="D97" s="405">
        <v>79</v>
      </c>
      <c r="E97" s="405" t="s">
        <v>403</v>
      </c>
    </row>
    <row r="98" spans="1:5" ht="11.65" customHeight="1" x14ac:dyDescent="0.2">
      <c r="A98" s="408" t="s">
        <v>194</v>
      </c>
      <c r="B98" s="403">
        <f>AVERAGE(B99:B103)</f>
        <v>66.125</v>
      </c>
      <c r="C98" s="403">
        <f>AVERAGE(C99:C103)</f>
        <v>59.375</v>
      </c>
      <c r="D98" s="403">
        <f>AVERAGE(D99:D103)</f>
        <v>90</v>
      </c>
      <c r="E98" s="403" t="s">
        <v>4</v>
      </c>
    </row>
    <row r="99" spans="1:5" ht="11.65" customHeight="1" x14ac:dyDescent="0.2">
      <c r="A99" s="407" t="s">
        <v>198</v>
      </c>
      <c r="B99" s="405">
        <v>60</v>
      </c>
      <c r="C99" s="405" t="s">
        <v>403</v>
      </c>
      <c r="D99" s="405" t="s">
        <v>403</v>
      </c>
      <c r="E99" s="405" t="s">
        <v>403</v>
      </c>
    </row>
    <row r="100" spans="1:5" ht="11.65" customHeight="1" x14ac:dyDescent="0.2">
      <c r="A100" s="407" t="s">
        <v>196</v>
      </c>
      <c r="B100" s="405" t="s">
        <v>403</v>
      </c>
      <c r="C100" s="405">
        <v>40</v>
      </c>
      <c r="D100" s="405" t="s">
        <v>403</v>
      </c>
      <c r="E100" s="405" t="s">
        <v>403</v>
      </c>
    </row>
    <row r="101" spans="1:5" ht="11.65" customHeight="1" x14ac:dyDescent="0.2">
      <c r="A101" s="407" t="s">
        <v>515</v>
      </c>
      <c r="B101" s="405">
        <v>60</v>
      </c>
      <c r="C101" s="405">
        <v>55</v>
      </c>
      <c r="D101" s="405">
        <v>90</v>
      </c>
      <c r="E101" s="405" t="s">
        <v>403</v>
      </c>
    </row>
    <row r="102" spans="1:5" ht="11.65" customHeight="1" x14ac:dyDescent="0.2">
      <c r="A102" s="407" t="s">
        <v>63</v>
      </c>
      <c r="B102" s="405">
        <v>88.5</v>
      </c>
      <c r="C102" s="405">
        <v>87.5</v>
      </c>
      <c r="D102" s="405" t="s">
        <v>403</v>
      </c>
      <c r="E102" s="405" t="s">
        <v>403</v>
      </c>
    </row>
    <row r="103" spans="1:5" ht="11.65" customHeight="1" x14ac:dyDescent="0.2">
      <c r="A103" s="407" t="s">
        <v>425</v>
      </c>
      <c r="B103" s="405">
        <v>56</v>
      </c>
      <c r="C103" s="405">
        <v>55</v>
      </c>
      <c r="D103" s="405" t="s">
        <v>403</v>
      </c>
      <c r="E103" s="405" t="s">
        <v>403</v>
      </c>
    </row>
    <row r="104" spans="1:5" ht="11.65" customHeight="1" x14ac:dyDescent="0.2">
      <c r="A104" s="408" t="s">
        <v>81</v>
      </c>
      <c r="B104" s="403">
        <f>AVERAGE(B105:B107)</f>
        <v>60</v>
      </c>
      <c r="C104" s="403">
        <f>AVERAGE(C105:C107)</f>
        <v>63.166666666666664</v>
      </c>
      <c r="D104" s="403">
        <f>AVERAGE(D105:D107)</f>
        <v>78</v>
      </c>
      <c r="E104" s="403" t="s">
        <v>4</v>
      </c>
    </row>
    <row r="105" spans="1:5" ht="11.65" customHeight="1" x14ac:dyDescent="0.2">
      <c r="A105" s="407" t="s">
        <v>57</v>
      </c>
      <c r="B105" s="405">
        <v>65</v>
      </c>
      <c r="C105" s="405">
        <v>67.5</v>
      </c>
      <c r="D105" s="405" t="s">
        <v>403</v>
      </c>
      <c r="E105" s="405" t="s">
        <v>403</v>
      </c>
    </row>
    <row r="106" spans="1:5" ht="11.65" customHeight="1" x14ac:dyDescent="0.2">
      <c r="A106" s="407" t="s">
        <v>516</v>
      </c>
      <c r="B106" s="405">
        <v>65</v>
      </c>
      <c r="C106" s="405">
        <v>70</v>
      </c>
      <c r="D106" s="405" t="s">
        <v>403</v>
      </c>
      <c r="E106" s="405" t="s">
        <v>403</v>
      </c>
    </row>
    <row r="107" spans="1:5" ht="11.65" customHeight="1" x14ac:dyDescent="0.2">
      <c r="A107" s="407" t="s">
        <v>58</v>
      </c>
      <c r="B107" s="405">
        <v>50</v>
      </c>
      <c r="C107" s="405">
        <v>52</v>
      </c>
      <c r="D107" s="405">
        <v>78</v>
      </c>
      <c r="E107" s="405" t="s">
        <v>403</v>
      </c>
    </row>
    <row r="108" spans="1:5" ht="11.65" customHeight="1" x14ac:dyDescent="0.2">
      <c r="A108" s="408" t="s">
        <v>86</v>
      </c>
      <c r="B108" s="403">
        <f>AVERAGE(B110)</f>
        <v>52.67</v>
      </c>
      <c r="C108" s="403">
        <f>AVERAGE(C110)</f>
        <v>52.67</v>
      </c>
      <c r="D108" s="403">
        <f>AVERAGE(D110)</f>
        <v>107.33</v>
      </c>
      <c r="E108" s="403" t="s">
        <v>4</v>
      </c>
    </row>
    <row r="109" spans="1:5" ht="11.65" customHeight="1" x14ac:dyDescent="0.2">
      <c r="A109" s="407" t="s">
        <v>517</v>
      </c>
      <c r="B109" s="405">
        <v>50</v>
      </c>
      <c r="C109" s="405" t="s">
        <v>403</v>
      </c>
      <c r="D109" s="405" t="s">
        <v>403</v>
      </c>
      <c r="E109" s="405" t="s">
        <v>403</v>
      </c>
    </row>
    <row r="110" spans="1:5" ht="11.65" customHeight="1" x14ac:dyDescent="0.2">
      <c r="A110" s="407" t="s">
        <v>87</v>
      </c>
      <c r="B110" s="405">
        <v>52.67</v>
      </c>
      <c r="C110" s="405">
        <v>52.67</v>
      </c>
      <c r="D110" s="405">
        <v>107.33</v>
      </c>
      <c r="E110" s="405" t="s">
        <v>403</v>
      </c>
    </row>
    <row r="111" spans="1:5" ht="11.65" customHeight="1" x14ac:dyDescent="0.2">
      <c r="A111" s="408" t="s">
        <v>69</v>
      </c>
      <c r="B111" s="403" t="s">
        <v>4</v>
      </c>
      <c r="C111" s="403">
        <v>60</v>
      </c>
      <c r="D111" s="403" t="s">
        <v>4</v>
      </c>
      <c r="E111" s="403" t="s">
        <v>4</v>
      </c>
    </row>
    <row r="112" spans="1:5" ht="11.65" customHeight="1" x14ac:dyDescent="0.2">
      <c r="A112" s="407" t="s">
        <v>70</v>
      </c>
      <c r="B112" s="405" t="s">
        <v>403</v>
      </c>
      <c r="C112" s="405">
        <v>60</v>
      </c>
      <c r="D112" s="405" t="s">
        <v>403</v>
      </c>
      <c r="E112" s="405" t="s">
        <v>403</v>
      </c>
    </row>
    <row r="113" spans="1:5" ht="11.65" customHeight="1" x14ac:dyDescent="0.2">
      <c r="A113" s="408" t="s">
        <v>44</v>
      </c>
      <c r="B113" s="403">
        <f t="shared" ref="B113:C113" si="7">AVERAGE(B114)</f>
        <v>50.33</v>
      </c>
      <c r="C113" s="403">
        <f t="shared" si="7"/>
        <v>46</v>
      </c>
      <c r="D113" s="403" t="s">
        <v>4</v>
      </c>
      <c r="E113" s="403" t="s">
        <v>4</v>
      </c>
    </row>
    <row r="114" spans="1:5" ht="11.65" customHeight="1" x14ac:dyDescent="0.2">
      <c r="A114" s="416" t="s">
        <v>45</v>
      </c>
      <c r="B114" s="417">
        <v>50.33</v>
      </c>
      <c r="C114" s="417">
        <v>46</v>
      </c>
      <c r="D114" s="417" t="s">
        <v>403</v>
      </c>
      <c r="E114" s="417" t="s">
        <v>403</v>
      </c>
    </row>
    <row r="115" spans="1:5" ht="9" customHeight="1" x14ac:dyDescent="0.25">
      <c r="A115" s="482" t="s">
        <v>84</v>
      </c>
      <c r="B115" s="455"/>
      <c r="C115" s="456"/>
      <c r="D115" s="456"/>
      <c r="E115" s="456"/>
    </row>
    <row r="116" spans="1:5" ht="9" customHeight="1" x14ac:dyDescent="0.25">
      <c r="A116" s="457" t="s">
        <v>65</v>
      </c>
      <c r="B116" s="425"/>
      <c r="C116" s="456"/>
      <c r="D116" s="456"/>
      <c r="E116" s="456"/>
    </row>
    <row r="117" spans="1:5" ht="9" customHeight="1" x14ac:dyDescent="0.2">
      <c r="A117" s="458" t="s">
        <v>66</v>
      </c>
      <c r="B117" s="459"/>
      <c r="C117" s="459"/>
      <c r="D117" s="459"/>
      <c r="E117" s="459"/>
    </row>
    <row r="118" spans="1:5" ht="15.75" customHeight="1" x14ac:dyDescent="0.2"/>
    <row r="119" spans="1:5" ht="15.75" customHeight="1" x14ac:dyDescent="0.2"/>
    <row r="120" spans="1:5" ht="15.75" customHeight="1" x14ac:dyDescent="0.2"/>
    <row r="121" spans="1:5" ht="15.75" customHeight="1" x14ac:dyDescent="0.2"/>
    <row r="122" spans="1:5" ht="15.75" customHeight="1" x14ac:dyDescent="0.2"/>
    <row r="123" spans="1:5" ht="15.75" customHeight="1" x14ac:dyDescent="0.2"/>
    <row r="124" spans="1:5" ht="15.75" customHeight="1" x14ac:dyDescent="0.2"/>
    <row r="125" spans="1:5" ht="15.75" customHeight="1" x14ac:dyDescent="0.2"/>
    <row r="126" spans="1:5" ht="15.75" customHeight="1" x14ac:dyDescent="0.2"/>
    <row r="127" spans="1:5" ht="15.75" customHeight="1" x14ac:dyDescent="0.2"/>
    <row r="128" spans="1:5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</sheetData>
  <pageMargins left="0.27559055118110237" right="0.27559055118110237" top="0.39370078740157483" bottom="0.39370078740157483" header="0" footer="0"/>
  <pageSetup paperSize="9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2"/>
  <dimension ref="A1:Z646"/>
  <sheetViews>
    <sheetView showGridLines="0" zoomScaleNormal="100" workbookViewId="0">
      <pane ySplit="3" topLeftCell="A100" activePane="bottomLeft" state="frozen"/>
      <selection activeCell="L27" sqref="L27"/>
      <selection pane="bottomLeft" activeCell="L27" sqref="L27"/>
    </sheetView>
  </sheetViews>
  <sheetFormatPr baseColWidth="10" defaultColWidth="12.5703125" defaultRowHeight="15" customHeight="1" x14ac:dyDescent="0.2"/>
  <cols>
    <col min="1" max="1" width="21.42578125" style="2" customWidth="1"/>
    <col min="2" max="5" width="13.85546875" style="2" customWidth="1"/>
    <col min="6" max="25" width="11.42578125" style="2" customWidth="1"/>
    <col min="26" max="16384" width="12.5703125" style="2"/>
  </cols>
  <sheetData>
    <row r="1" spans="1:26" ht="12.75" customHeight="1" x14ac:dyDescent="0.25">
      <c r="A1" s="387" t="s">
        <v>437</v>
      </c>
      <c r="B1" s="393"/>
      <c r="C1" s="390"/>
      <c r="D1" s="393"/>
      <c r="E1" s="393"/>
      <c r="F1" s="388"/>
      <c r="G1" s="388"/>
      <c r="H1" s="388"/>
      <c r="I1" s="388"/>
      <c r="J1" s="388"/>
      <c r="K1" s="388"/>
      <c r="L1" s="388"/>
      <c r="M1" s="388"/>
      <c r="N1" s="388"/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  <c r="Z1" s="388"/>
    </row>
    <row r="2" spans="1:26" ht="12.75" customHeight="1" x14ac:dyDescent="0.2">
      <c r="A2" s="389" t="s">
        <v>601</v>
      </c>
      <c r="B2" s="393"/>
      <c r="C2" s="390"/>
      <c r="D2" s="393"/>
      <c r="E2" s="393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</row>
    <row r="3" spans="1:26" ht="4.5" customHeight="1" x14ac:dyDescent="0.2">
      <c r="A3" s="640"/>
      <c r="B3" s="391"/>
      <c r="C3" s="394"/>
      <c r="D3" s="391"/>
      <c r="E3" s="391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  <c r="R3" s="388"/>
      <c r="S3" s="388"/>
      <c r="T3" s="388"/>
      <c r="U3" s="388"/>
      <c r="V3" s="388"/>
      <c r="W3" s="388"/>
      <c r="X3" s="388"/>
      <c r="Y3" s="388"/>
      <c r="Z3" s="388"/>
    </row>
    <row r="4" spans="1:26" ht="15.95" customHeight="1" x14ac:dyDescent="0.2">
      <c r="A4" s="398" t="s">
        <v>0</v>
      </c>
      <c r="B4" s="398" t="s">
        <v>438</v>
      </c>
      <c r="C4" s="398" t="s">
        <v>439</v>
      </c>
      <c r="D4" s="398" t="s">
        <v>440</v>
      </c>
      <c r="E4" s="398" t="s">
        <v>459</v>
      </c>
    </row>
    <row r="5" spans="1:26" ht="3" customHeight="1" x14ac:dyDescent="0.2">
      <c r="A5" s="400"/>
      <c r="B5" s="400"/>
      <c r="C5" s="400"/>
      <c r="D5" s="400"/>
      <c r="E5" s="400"/>
    </row>
    <row r="6" spans="1:26" ht="12" customHeight="1" x14ac:dyDescent="0.25">
      <c r="A6" s="402" t="s">
        <v>466</v>
      </c>
      <c r="B6" s="418">
        <f>AVERAGE(B7:B9)</f>
        <v>25</v>
      </c>
      <c r="C6" s="418" t="s">
        <v>4</v>
      </c>
      <c r="D6" s="418">
        <f>AVERAGE(D7:D9)</f>
        <v>87.166666666666671</v>
      </c>
      <c r="E6" s="418">
        <f t="shared" ref="E6" si="0">AVERAGE(E7:E9)</f>
        <v>24</v>
      </c>
    </row>
    <row r="7" spans="1:26" ht="12" customHeight="1" x14ac:dyDescent="0.25">
      <c r="A7" s="404" t="s">
        <v>468</v>
      </c>
      <c r="B7" s="419" t="s">
        <v>403</v>
      </c>
      <c r="C7" s="419" t="s">
        <v>403</v>
      </c>
      <c r="D7" s="419">
        <v>76.5</v>
      </c>
      <c r="E7" s="419" t="s">
        <v>403</v>
      </c>
    </row>
    <row r="8" spans="1:26" ht="12" customHeight="1" x14ac:dyDescent="0.25">
      <c r="A8" s="404" t="s">
        <v>474</v>
      </c>
      <c r="B8" s="419" t="s">
        <v>403</v>
      </c>
      <c r="C8" s="419" t="s">
        <v>403</v>
      </c>
      <c r="D8" s="419">
        <v>100</v>
      </c>
      <c r="E8" s="419" t="s">
        <v>403</v>
      </c>
    </row>
    <row r="9" spans="1:26" ht="12" customHeight="1" x14ac:dyDescent="0.25">
      <c r="A9" s="404" t="s">
        <v>467</v>
      </c>
      <c r="B9" s="419">
        <v>25</v>
      </c>
      <c r="C9" s="419" t="s">
        <v>403</v>
      </c>
      <c r="D9" s="419">
        <v>85</v>
      </c>
      <c r="E9" s="419">
        <v>24</v>
      </c>
    </row>
    <row r="10" spans="1:26" ht="12" customHeight="1" x14ac:dyDescent="0.25">
      <c r="A10" s="402" t="s">
        <v>419</v>
      </c>
      <c r="B10" s="420">
        <f>AVERAGE(B11:B19)</f>
        <v>20.096666666666668</v>
      </c>
      <c r="C10" s="420">
        <f>AVERAGE(C11:C19)</f>
        <v>74.335000000000008</v>
      </c>
      <c r="D10" s="420">
        <f>AVERAGE(D11:D19)</f>
        <v>84.721666666666664</v>
      </c>
      <c r="E10" s="420">
        <f>AVERAGE(E11:E19)</f>
        <v>35.375</v>
      </c>
    </row>
    <row r="11" spans="1:26" ht="12" customHeight="1" x14ac:dyDescent="0.25">
      <c r="A11" s="404" t="s">
        <v>420</v>
      </c>
      <c r="B11" s="419" t="s">
        <v>403</v>
      </c>
      <c r="C11" s="419" t="s">
        <v>403</v>
      </c>
      <c r="D11" s="419">
        <v>95</v>
      </c>
      <c r="E11" s="419" t="s">
        <v>403</v>
      </c>
    </row>
    <row r="12" spans="1:26" ht="12" customHeight="1" x14ac:dyDescent="0.25">
      <c r="A12" s="404" t="s">
        <v>592</v>
      </c>
      <c r="B12" s="419">
        <v>21</v>
      </c>
      <c r="C12" s="419" t="s">
        <v>403</v>
      </c>
      <c r="D12" s="419">
        <v>82.5</v>
      </c>
      <c r="E12" s="419" t="s">
        <v>403</v>
      </c>
    </row>
    <row r="13" spans="1:26" ht="12" customHeight="1" x14ac:dyDescent="0.25">
      <c r="A13" s="404" t="s">
        <v>532</v>
      </c>
      <c r="B13" s="419">
        <v>19.29</v>
      </c>
      <c r="C13" s="419" t="s">
        <v>403</v>
      </c>
      <c r="D13" s="419" t="s">
        <v>403</v>
      </c>
      <c r="E13" s="419" t="s">
        <v>403</v>
      </c>
    </row>
    <row r="14" spans="1:26" ht="12" customHeight="1" x14ac:dyDescent="0.25">
      <c r="A14" s="404" t="s">
        <v>421</v>
      </c>
      <c r="B14" s="419" t="s">
        <v>403</v>
      </c>
      <c r="C14" s="419" t="s">
        <v>403</v>
      </c>
      <c r="D14" s="419">
        <v>84.5</v>
      </c>
      <c r="E14" s="419">
        <v>25.75</v>
      </c>
    </row>
    <row r="15" spans="1:26" ht="12" customHeight="1" x14ac:dyDescent="0.25">
      <c r="A15" s="404" t="s">
        <v>422</v>
      </c>
      <c r="B15" s="405" t="s">
        <v>403</v>
      </c>
      <c r="C15" s="405" t="s">
        <v>403</v>
      </c>
      <c r="D15" s="419">
        <v>72</v>
      </c>
      <c r="E15" s="419" t="s">
        <v>403</v>
      </c>
    </row>
    <row r="16" spans="1:26" ht="12" customHeight="1" x14ac:dyDescent="0.25">
      <c r="A16" s="404" t="s">
        <v>533</v>
      </c>
      <c r="B16" s="419" t="s">
        <v>403</v>
      </c>
      <c r="C16" s="419" t="s">
        <v>403</v>
      </c>
      <c r="D16" s="419" t="s">
        <v>403</v>
      </c>
      <c r="E16" s="419">
        <v>45</v>
      </c>
    </row>
    <row r="17" spans="1:5" ht="12" customHeight="1" x14ac:dyDescent="0.25">
      <c r="A17" s="404" t="s">
        <v>589</v>
      </c>
      <c r="B17" s="419" t="s">
        <v>403</v>
      </c>
      <c r="C17" s="419">
        <v>68.67</v>
      </c>
      <c r="D17" s="419">
        <v>89.33</v>
      </c>
      <c r="E17" s="419" t="s">
        <v>403</v>
      </c>
    </row>
    <row r="18" spans="1:5" ht="12" customHeight="1" x14ac:dyDescent="0.25">
      <c r="A18" s="404" t="s">
        <v>573</v>
      </c>
      <c r="B18" s="419" t="s">
        <v>403</v>
      </c>
      <c r="C18" s="419">
        <v>80</v>
      </c>
      <c r="D18" s="419" t="s">
        <v>403</v>
      </c>
      <c r="E18" s="419" t="s">
        <v>403</v>
      </c>
    </row>
    <row r="19" spans="1:5" ht="12" customHeight="1" x14ac:dyDescent="0.25">
      <c r="A19" s="404" t="s">
        <v>444</v>
      </c>
      <c r="B19" s="419">
        <v>20</v>
      </c>
      <c r="C19" s="419" t="s">
        <v>403</v>
      </c>
      <c r="D19" s="419">
        <v>85</v>
      </c>
      <c r="E19" s="419" t="s">
        <v>403</v>
      </c>
    </row>
    <row r="20" spans="1:5" ht="12" customHeight="1" x14ac:dyDescent="0.25">
      <c r="A20" s="402" t="s">
        <v>75</v>
      </c>
      <c r="B20" s="420">
        <f>AVERAGE(B21:B23)</f>
        <v>62.835000000000001</v>
      </c>
      <c r="C20" s="420">
        <f>AVERAGE(C21:C23)</f>
        <v>87.33</v>
      </c>
      <c r="D20" s="420">
        <f>AVERAGE(D21:D23)</f>
        <v>78.64</v>
      </c>
      <c r="E20" s="420">
        <f>AVERAGE(E21:E23)</f>
        <v>50.22</v>
      </c>
    </row>
    <row r="21" spans="1:5" ht="12" customHeight="1" x14ac:dyDescent="0.25">
      <c r="A21" s="404" t="s">
        <v>151</v>
      </c>
      <c r="B21" s="421">
        <v>62.67</v>
      </c>
      <c r="C21" s="419">
        <v>87.33</v>
      </c>
      <c r="D21" s="419">
        <v>91.67</v>
      </c>
      <c r="E21" s="419">
        <v>46</v>
      </c>
    </row>
    <row r="22" spans="1:5" ht="12" customHeight="1" x14ac:dyDescent="0.25">
      <c r="A22" s="404" t="s">
        <v>536</v>
      </c>
      <c r="B22" s="419">
        <v>63</v>
      </c>
      <c r="C22" s="418" t="s">
        <v>403</v>
      </c>
      <c r="D22" s="419">
        <v>91.5</v>
      </c>
      <c r="E22" s="419">
        <v>46</v>
      </c>
    </row>
    <row r="23" spans="1:5" ht="12" customHeight="1" x14ac:dyDescent="0.25">
      <c r="A23" s="404" t="s">
        <v>154</v>
      </c>
      <c r="B23" s="419" t="s">
        <v>403</v>
      </c>
      <c r="C23" s="418" t="s">
        <v>403</v>
      </c>
      <c r="D23" s="419">
        <v>52.75</v>
      </c>
      <c r="E23" s="419">
        <v>58.66</v>
      </c>
    </row>
    <row r="24" spans="1:5" ht="12" customHeight="1" x14ac:dyDescent="0.25">
      <c r="A24" s="402" t="s">
        <v>2</v>
      </c>
      <c r="B24" s="418">
        <f>AVERAGE(B25:B31)</f>
        <v>96</v>
      </c>
      <c r="C24" s="418" t="s">
        <v>4</v>
      </c>
      <c r="D24" s="418">
        <f>AVERAGE(D25:D31)</f>
        <v>83.417142857142863</v>
      </c>
      <c r="E24" s="418">
        <f>AVERAGE(E25:E31)</f>
        <v>26.6675</v>
      </c>
    </row>
    <row r="25" spans="1:5" ht="12" customHeight="1" x14ac:dyDescent="0.2">
      <c r="A25" s="422" t="s">
        <v>5</v>
      </c>
      <c r="B25" s="419">
        <v>96</v>
      </c>
      <c r="C25" s="419" t="s">
        <v>403</v>
      </c>
      <c r="D25" s="419">
        <v>80</v>
      </c>
      <c r="E25" s="419">
        <v>30</v>
      </c>
    </row>
    <row r="26" spans="1:5" ht="12" customHeight="1" x14ac:dyDescent="0.2">
      <c r="A26" s="422" t="s">
        <v>82</v>
      </c>
      <c r="B26" s="419" t="s">
        <v>403</v>
      </c>
      <c r="C26" s="419" t="s">
        <v>403</v>
      </c>
      <c r="D26" s="419">
        <v>78.25</v>
      </c>
      <c r="E26" s="419">
        <v>26.75</v>
      </c>
    </row>
    <row r="27" spans="1:5" ht="12" customHeight="1" x14ac:dyDescent="0.2">
      <c r="A27" s="422" t="s">
        <v>76</v>
      </c>
      <c r="B27" s="419" t="s">
        <v>403</v>
      </c>
      <c r="C27" s="419" t="s">
        <v>403</v>
      </c>
      <c r="D27" s="419">
        <v>79.5</v>
      </c>
      <c r="E27" s="419">
        <v>23.25</v>
      </c>
    </row>
    <row r="28" spans="1:5" ht="12" customHeight="1" x14ac:dyDescent="0.2">
      <c r="A28" s="422" t="s">
        <v>398</v>
      </c>
      <c r="B28" s="419" t="s">
        <v>403</v>
      </c>
      <c r="C28" s="419" t="s">
        <v>403</v>
      </c>
      <c r="D28" s="419">
        <v>85.5</v>
      </c>
      <c r="E28" s="419" t="s">
        <v>403</v>
      </c>
    </row>
    <row r="29" spans="1:5" ht="12" customHeight="1" x14ac:dyDescent="0.2">
      <c r="A29" s="422" t="s">
        <v>59</v>
      </c>
      <c r="B29" s="419" t="s">
        <v>403</v>
      </c>
      <c r="C29" s="419" t="s">
        <v>403</v>
      </c>
      <c r="D29" s="419">
        <v>88.67</v>
      </c>
      <c r="E29" s="419">
        <v>26.67</v>
      </c>
    </row>
    <row r="30" spans="1:5" ht="12" customHeight="1" x14ac:dyDescent="0.2">
      <c r="A30" s="422" t="s">
        <v>511</v>
      </c>
      <c r="B30" s="419" t="s">
        <v>403</v>
      </c>
      <c r="C30" s="419" t="s">
        <v>403</v>
      </c>
      <c r="D30" s="419">
        <v>95</v>
      </c>
      <c r="E30" s="419" t="s">
        <v>403</v>
      </c>
    </row>
    <row r="31" spans="1:5" ht="12" customHeight="1" x14ac:dyDescent="0.2">
      <c r="A31" s="422" t="s">
        <v>186</v>
      </c>
      <c r="B31" s="419" t="s">
        <v>403</v>
      </c>
      <c r="C31" s="419" t="s">
        <v>403</v>
      </c>
      <c r="D31" s="419">
        <v>77</v>
      </c>
      <c r="E31" s="419" t="s">
        <v>403</v>
      </c>
    </row>
    <row r="32" spans="1:5" ht="12" customHeight="1" x14ac:dyDescent="0.2">
      <c r="A32" s="423" t="s">
        <v>6</v>
      </c>
      <c r="B32" s="418">
        <f t="shared" ref="B32:C32" si="1">AVERAGE(B33:B37)</f>
        <v>84</v>
      </c>
      <c r="C32" s="418">
        <f t="shared" si="1"/>
        <v>57.5</v>
      </c>
      <c r="D32" s="418">
        <f>AVERAGE(D33:D37)</f>
        <v>101.06800000000001</v>
      </c>
      <c r="E32" s="418">
        <f t="shared" ref="E32" si="2">AVERAGE(E34:E37)</f>
        <v>39.33</v>
      </c>
    </row>
    <row r="33" spans="1:5" ht="12" customHeight="1" x14ac:dyDescent="0.2">
      <c r="A33" s="407" t="s">
        <v>9</v>
      </c>
      <c r="B33" s="419" t="s">
        <v>403</v>
      </c>
      <c r="C33" s="419" t="s">
        <v>403</v>
      </c>
      <c r="D33" s="419">
        <v>97.67</v>
      </c>
      <c r="E33" s="419" t="s">
        <v>403</v>
      </c>
    </row>
    <row r="34" spans="1:5" ht="12" customHeight="1" x14ac:dyDescent="0.2">
      <c r="A34" s="407" t="s">
        <v>10</v>
      </c>
      <c r="B34" s="419" t="s">
        <v>403</v>
      </c>
      <c r="C34" s="419" t="s">
        <v>403</v>
      </c>
      <c r="D34" s="419">
        <v>118.33</v>
      </c>
      <c r="E34" s="419" t="s">
        <v>403</v>
      </c>
    </row>
    <row r="35" spans="1:5" ht="12" customHeight="1" x14ac:dyDescent="0.2">
      <c r="A35" s="407" t="s">
        <v>7</v>
      </c>
      <c r="B35" s="419" t="s">
        <v>403</v>
      </c>
      <c r="C35" s="419" t="s">
        <v>403</v>
      </c>
      <c r="D35" s="419">
        <v>90.67</v>
      </c>
      <c r="E35" s="419">
        <v>39.33</v>
      </c>
    </row>
    <row r="36" spans="1:5" ht="12" customHeight="1" x14ac:dyDescent="0.2">
      <c r="A36" s="407" t="s">
        <v>8</v>
      </c>
      <c r="B36" s="419">
        <v>84</v>
      </c>
      <c r="C36" s="419">
        <v>57.5</v>
      </c>
      <c r="D36" s="419">
        <v>90</v>
      </c>
      <c r="E36" s="419" t="s">
        <v>403</v>
      </c>
    </row>
    <row r="37" spans="1:5" ht="12" customHeight="1" x14ac:dyDescent="0.2">
      <c r="A37" s="407" t="s">
        <v>89</v>
      </c>
      <c r="B37" s="419" t="s">
        <v>403</v>
      </c>
      <c r="C37" s="419" t="s">
        <v>403</v>
      </c>
      <c r="D37" s="419">
        <v>108.67</v>
      </c>
      <c r="E37" s="419" t="s">
        <v>432</v>
      </c>
    </row>
    <row r="38" spans="1:5" ht="12" customHeight="1" x14ac:dyDescent="0.2">
      <c r="A38" s="408" t="s">
        <v>13</v>
      </c>
      <c r="B38" s="418">
        <f>AVERAGE(B39:B41)</f>
        <v>46.25</v>
      </c>
      <c r="C38" s="418" t="s">
        <v>4</v>
      </c>
      <c r="D38" s="418">
        <f>AVERAGE(D39:D41)</f>
        <v>79.5</v>
      </c>
      <c r="E38" s="418">
        <f>AVERAGE(E39:E41)</f>
        <v>69</v>
      </c>
    </row>
    <row r="39" spans="1:5" ht="12" customHeight="1" x14ac:dyDescent="0.2">
      <c r="A39" s="407" t="s">
        <v>187</v>
      </c>
      <c r="B39" s="419" t="s">
        <v>403</v>
      </c>
      <c r="C39" s="419" t="s">
        <v>403</v>
      </c>
      <c r="D39" s="419">
        <v>80</v>
      </c>
      <c r="E39" s="419" t="s">
        <v>403</v>
      </c>
    </row>
    <row r="40" spans="1:5" ht="12" customHeight="1" x14ac:dyDescent="0.2">
      <c r="A40" s="407" t="s">
        <v>68</v>
      </c>
      <c r="B40" s="419">
        <v>29.5</v>
      </c>
      <c r="C40" s="419" t="s">
        <v>432</v>
      </c>
      <c r="D40" s="419">
        <v>79</v>
      </c>
      <c r="E40" s="419" t="s">
        <v>403</v>
      </c>
    </row>
    <row r="41" spans="1:5" ht="12" customHeight="1" x14ac:dyDescent="0.2">
      <c r="A41" s="407" t="s">
        <v>67</v>
      </c>
      <c r="B41" s="419">
        <v>63</v>
      </c>
      <c r="C41" s="419" t="s">
        <v>403</v>
      </c>
      <c r="D41" s="419" t="s">
        <v>432</v>
      </c>
      <c r="E41" s="419">
        <v>69</v>
      </c>
    </row>
    <row r="42" spans="1:5" ht="12" customHeight="1" x14ac:dyDescent="0.2">
      <c r="A42" s="408" t="s">
        <v>14</v>
      </c>
      <c r="B42" s="418" t="s">
        <v>4</v>
      </c>
      <c r="C42" s="418">
        <f>AVERAGE(C43:C46)</f>
        <v>90</v>
      </c>
      <c r="D42" s="418">
        <f>AVERAGE(D43:D46)</f>
        <v>85.8125</v>
      </c>
      <c r="E42" s="418">
        <f>AVERAGE(E43:E46)</f>
        <v>44</v>
      </c>
    </row>
    <row r="43" spans="1:5" ht="12" customHeight="1" x14ac:dyDescent="0.2">
      <c r="A43" s="407" t="s">
        <v>482</v>
      </c>
      <c r="B43" s="419" t="s">
        <v>403</v>
      </c>
      <c r="C43" s="419" t="s">
        <v>403</v>
      </c>
      <c r="D43" s="419">
        <v>90</v>
      </c>
      <c r="E43" s="419" t="s">
        <v>403</v>
      </c>
    </row>
    <row r="44" spans="1:5" ht="12" customHeight="1" x14ac:dyDescent="0.2">
      <c r="A44" s="407" t="s">
        <v>465</v>
      </c>
      <c r="B44" s="419" t="s">
        <v>403</v>
      </c>
      <c r="C44" s="419" t="s">
        <v>403</v>
      </c>
      <c r="D44" s="419">
        <v>70</v>
      </c>
      <c r="E44" s="419" t="s">
        <v>403</v>
      </c>
    </row>
    <row r="45" spans="1:5" ht="12" customHeight="1" x14ac:dyDescent="0.2">
      <c r="A45" s="407" t="s">
        <v>15</v>
      </c>
      <c r="B45" s="419" t="s">
        <v>403</v>
      </c>
      <c r="C45" s="419">
        <v>90</v>
      </c>
      <c r="D45" s="419">
        <v>90</v>
      </c>
      <c r="E45" s="419" t="s">
        <v>403</v>
      </c>
    </row>
    <row r="46" spans="1:5" ht="12" customHeight="1" x14ac:dyDescent="0.2">
      <c r="A46" s="407" t="s">
        <v>188</v>
      </c>
      <c r="B46" s="419" t="s">
        <v>403</v>
      </c>
      <c r="C46" s="419" t="s">
        <v>403</v>
      </c>
      <c r="D46" s="419">
        <v>93.25</v>
      </c>
      <c r="E46" s="419">
        <v>44</v>
      </c>
    </row>
    <row r="47" spans="1:5" ht="12" customHeight="1" x14ac:dyDescent="0.2">
      <c r="A47" s="423" t="s">
        <v>16</v>
      </c>
      <c r="B47" s="418">
        <f>AVERAGE(B48:B54)</f>
        <v>36.835000000000001</v>
      </c>
      <c r="C47" s="418">
        <f t="shared" ref="C47:E47" si="3">AVERAGE(C48:C54)</f>
        <v>82.625</v>
      </c>
      <c r="D47" s="418">
        <f t="shared" si="3"/>
        <v>85.094285714285704</v>
      </c>
      <c r="E47" s="418">
        <f t="shared" si="3"/>
        <v>28.67</v>
      </c>
    </row>
    <row r="48" spans="1:5" ht="12" customHeight="1" x14ac:dyDescent="0.2">
      <c r="A48" s="407" t="s">
        <v>17</v>
      </c>
      <c r="B48" s="419" t="s">
        <v>432</v>
      </c>
      <c r="C48" s="419">
        <v>102.5</v>
      </c>
      <c r="D48" s="419">
        <v>81.33</v>
      </c>
      <c r="E48" s="419">
        <v>28.67</v>
      </c>
    </row>
    <row r="49" spans="1:5" ht="12" customHeight="1" x14ac:dyDescent="0.2">
      <c r="A49" s="407" t="s">
        <v>60</v>
      </c>
      <c r="B49" s="419">
        <v>30</v>
      </c>
      <c r="C49" s="419" t="s">
        <v>403</v>
      </c>
      <c r="D49" s="419">
        <v>100</v>
      </c>
      <c r="E49" s="419" t="s">
        <v>403</v>
      </c>
    </row>
    <row r="50" spans="1:5" ht="12" customHeight="1" x14ac:dyDescent="0.2">
      <c r="A50" s="407" t="s">
        <v>77</v>
      </c>
      <c r="B50" s="419" t="s">
        <v>432</v>
      </c>
      <c r="C50" s="419" t="s">
        <v>432</v>
      </c>
      <c r="D50" s="419">
        <v>88.33</v>
      </c>
      <c r="E50" s="419" t="s">
        <v>432</v>
      </c>
    </row>
    <row r="51" spans="1:5" ht="12" customHeight="1" x14ac:dyDescent="0.2">
      <c r="A51" s="407" t="s">
        <v>21</v>
      </c>
      <c r="B51" s="419" t="s">
        <v>403</v>
      </c>
      <c r="C51" s="419" t="s">
        <v>403</v>
      </c>
      <c r="D51" s="419">
        <v>100</v>
      </c>
      <c r="E51" s="419" t="s">
        <v>403</v>
      </c>
    </row>
    <row r="52" spans="1:5" ht="12" customHeight="1" x14ac:dyDescent="0.2">
      <c r="A52" s="407" t="s">
        <v>122</v>
      </c>
      <c r="B52" s="419" t="s">
        <v>403</v>
      </c>
      <c r="C52" s="419" t="s">
        <v>403</v>
      </c>
      <c r="D52" s="419">
        <v>65</v>
      </c>
      <c r="E52" s="419" t="s">
        <v>403</v>
      </c>
    </row>
    <row r="53" spans="1:5" ht="12" customHeight="1" x14ac:dyDescent="0.2">
      <c r="A53" s="407" t="s">
        <v>20</v>
      </c>
      <c r="B53" s="419" t="s">
        <v>403</v>
      </c>
      <c r="C53" s="419">
        <v>62.75</v>
      </c>
      <c r="D53" s="419">
        <v>91</v>
      </c>
      <c r="E53" s="419" t="s">
        <v>403</v>
      </c>
    </row>
    <row r="54" spans="1:5" ht="12" customHeight="1" x14ac:dyDescent="0.2">
      <c r="A54" s="407" t="s">
        <v>19</v>
      </c>
      <c r="B54" s="527">
        <v>43.67</v>
      </c>
      <c r="C54" s="527" t="s">
        <v>432</v>
      </c>
      <c r="D54" s="527">
        <v>70</v>
      </c>
      <c r="E54" s="527" t="s">
        <v>432</v>
      </c>
    </row>
    <row r="55" spans="1:5" ht="15.75" customHeight="1" x14ac:dyDescent="0.2">
      <c r="A55" s="409"/>
      <c r="B55" s="524"/>
      <c r="C55" s="524"/>
      <c r="D55" s="524"/>
      <c r="E55" s="628" t="s">
        <v>24</v>
      </c>
    </row>
    <row r="56" spans="1:5" ht="15.75" customHeight="1" x14ac:dyDescent="0.25">
      <c r="A56" s="412" t="s">
        <v>500</v>
      </c>
      <c r="B56" s="412"/>
      <c r="C56" s="412"/>
      <c r="D56" s="425"/>
      <c r="E56" s="425"/>
    </row>
    <row r="57" spans="1:5" ht="15.95" customHeight="1" x14ac:dyDescent="0.2">
      <c r="A57" s="398" t="s">
        <v>0</v>
      </c>
      <c r="B57" s="398" t="s">
        <v>438</v>
      </c>
      <c r="C57" s="398" t="s">
        <v>439</v>
      </c>
      <c r="D57" s="398" t="s">
        <v>440</v>
      </c>
      <c r="E57" s="398" t="s">
        <v>459</v>
      </c>
    </row>
    <row r="58" spans="1:5" ht="3" customHeight="1" x14ac:dyDescent="0.2">
      <c r="A58" s="426"/>
      <c r="B58" s="425"/>
      <c r="C58" s="425"/>
      <c r="D58" s="425"/>
      <c r="E58" s="425"/>
    </row>
    <row r="59" spans="1:5" ht="12" customHeight="1" x14ac:dyDescent="0.2">
      <c r="A59" s="423" t="s">
        <v>23</v>
      </c>
      <c r="B59" s="418">
        <f>AVERAGE(B60:B64)</f>
        <v>33.950000000000003</v>
      </c>
      <c r="C59" s="418">
        <f>AVERAGE(C60:C64)</f>
        <v>51.5</v>
      </c>
      <c r="D59" s="418">
        <f>AVERAGE(D60:D64)</f>
        <v>89.134</v>
      </c>
      <c r="E59" s="418">
        <f>AVERAGE(E60:E64)</f>
        <v>32.333333333333336</v>
      </c>
    </row>
    <row r="60" spans="1:5" ht="12" customHeight="1" x14ac:dyDescent="0.2">
      <c r="A60" s="407" t="s">
        <v>520</v>
      </c>
      <c r="B60" s="419" t="s">
        <v>403</v>
      </c>
      <c r="C60" s="419">
        <v>58</v>
      </c>
      <c r="D60" s="419">
        <v>82.5</v>
      </c>
      <c r="E60" s="419" t="s">
        <v>403</v>
      </c>
    </row>
    <row r="61" spans="1:5" ht="12" customHeight="1" x14ac:dyDescent="0.2">
      <c r="A61" s="407" t="s">
        <v>51</v>
      </c>
      <c r="B61" s="419">
        <v>39.9</v>
      </c>
      <c r="C61" s="419" t="s">
        <v>403</v>
      </c>
      <c r="D61" s="419">
        <v>88.5</v>
      </c>
      <c r="E61" s="419">
        <v>36</v>
      </c>
    </row>
    <row r="62" spans="1:5" ht="12" customHeight="1" x14ac:dyDescent="0.2">
      <c r="A62" s="407" t="s">
        <v>521</v>
      </c>
      <c r="B62" s="419" t="s">
        <v>403</v>
      </c>
      <c r="C62" s="419" t="s">
        <v>432</v>
      </c>
      <c r="D62" s="419">
        <v>93</v>
      </c>
      <c r="E62" s="419" t="s">
        <v>403</v>
      </c>
    </row>
    <row r="63" spans="1:5" ht="12" customHeight="1" x14ac:dyDescent="0.2">
      <c r="A63" s="407" t="s">
        <v>56</v>
      </c>
      <c r="B63" s="419">
        <v>28</v>
      </c>
      <c r="C63" s="419" t="s">
        <v>432</v>
      </c>
      <c r="D63" s="419">
        <v>95</v>
      </c>
      <c r="E63" s="419">
        <v>36</v>
      </c>
    </row>
    <row r="64" spans="1:5" ht="12" customHeight="1" x14ac:dyDescent="0.2">
      <c r="A64" s="670" t="s">
        <v>522</v>
      </c>
      <c r="B64" s="421" t="s">
        <v>403</v>
      </c>
      <c r="C64" s="421">
        <v>45</v>
      </c>
      <c r="D64" s="421">
        <v>86.67</v>
      </c>
      <c r="E64" s="421">
        <v>25</v>
      </c>
    </row>
    <row r="65" spans="1:5" ht="12" customHeight="1" x14ac:dyDescent="0.2">
      <c r="A65" s="671" t="s">
        <v>78</v>
      </c>
      <c r="B65" s="420">
        <f>AVERAGE(B66:B69)</f>
        <v>115</v>
      </c>
      <c r="C65" s="420">
        <f t="shared" ref="C65:E65" si="4">AVERAGE(C66:C69)</f>
        <v>65.835000000000008</v>
      </c>
      <c r="D65" s="420">
        <f t="shared" si="4"/>
        <v>74.6875</v>
      </c>
      <c r="E65" s="672">
        <f t="shared" si="4"/>
        <v>31</v>
      </c>
    </row>
    <row r="66" spans="1:5" ht="12" customHeight="1" x14ac:dyDescent="0.2">
      <c r="A66" s="670" t="s">
        <v>85</v>
      </c>
      <c r="B66" s="406" t="s">
        <v>403</v>
      </c>
      <c r="C66" s="421">
        <v>71.67</v>
      </c>
      <c r="D66" s="421">
        <v>89.25</v>
      </c>
      <c r="E66" s="406">
        <v>35</v>
      </c>
    </row>
    <row r="67" spans="1:5" ht="12" customHeight="1" x14ac:dyDescent="0.2">
      <c r="A67" s="407" t="s">
        <v>25</v>
      </c>
      <c r="B67" s="405" t="s">
        <v>403</v>
      </c>
      <c r="C67" s="405" t="s">
        <v>403</v>
      </c>
      <c r="D67" s="419">
        <v>39</v>
      </c>
      <c r="E67" s="405" t="s">
        <v>403</v>
      </c>
    </row>
    <row r="68" spans="1:5" ht="12" customHeight="1" x14ac:dyDescent="0.2">
      <c r="A68" s="407" t="s">
        <v>513</v>
      </c>
      <c r="B68" s="405">
        <v>115</v>
      </c>
      <c r="C68" s="419">
        <v>60</v>
      </c>
      <c r="D68" s="419">
        <v>85</v>
      </c>
      <c r="E68" s="405" t="s">
        <v>403</v>
      </c>
    </row>
    <row r="69" spans="1:5" ht="12" customHeight="1" x14ac:dyDescent="0.2">
      <c r="A69" s="407" t="s">
        <v>514</v>
      </c>
      <c r="B69" s="405" t="s">
        <v>403</v>
      </c>
      <c r="C69" s="405" t="s">
        <v>403</v>
      </c>
      <c r="D69" s="419">
        <v>85.5</v>
      </c>
      <c r="E69" s="419">
        <v>27</v>
      </c>
    </row>
    <row r="70" spans="1:5" ht="12" customHeight="1" x14ac:dyDescent="0.2">
      <c r="A70" s="423" t="s">
        <v>83</v>
      </c>
      <c r="B70" s="418">
        <f>AVERAGE(B71:B82)</f>
        <v>88.738571428571433</v>
      </c>
      <c r="C70" s="418">
        <f t="shared" ref="C70:E70" si="5">AVERAGE(C71:C82)</f>
        <v>73.685555555555567</v>
      </c>
      <c r="D70" s="418">
        <f t="shared" si="5"/>
        <v>90.484545454545454</v>
      </c>
      <c r="E70" s="418">
        <f t="shared" si="5"/>
        <v>25.333333333333332</v>
      </c>
    </row>
    <row r="71" spans="1:5" ht="12" customHeight="1" x14ac:dyDescent="0.2">
      <c r="A71" s="407" t="s">
        <v>26</v>
      </c>
      <c r="B71" s="419">
        <v>91</v>
      </c>
      <c r="C71" s="419">
        <v>70</v>
      </c>
      <c r="D71" s="419">
        <v>90</v>
      </c>
      <c r="E71" s="419">
        <v>24</v>
      </c>
    </row>
    <row r="72" spans="1:5" ht="12" customHeight="1" x14ac:dyDescent="0.2">
      <c r="A72" s="407" t="s">
        <v>79</v>
      </c>
      <c r="B72" s="419" t="s">
        <v>403</v>
      </c>
      <c r="C72" s="419">
        <v>91.5</v>
      </c>
      <c r="D72" s="419">
        <v>115</v>
      </c>
      <c r="E72" s="419" t="s">
        <v>403</v>
      </c>
    </row>
    <row r="73" spans="1:5" ht="12" customHeight="1" x14ac:dyDescent="0.2">
      <c r="A73" s="407" t="s">
        <v>27</v>
      </c>
      <c r="B73" s="419">
        <v>77.5</v>
      </c>
      <c r="C73" s="419">
        <v>65</v>
      </c>
      <c r="D73" s="419">
        <v>86</v>
      </c>
      <c r="E73" s="419" t="s">
        <v>403</v>
      </c>
    </row>
    <row r="74" spans="1:5" ht="12" customHeight="1" x14ac:dyDescent="0.2">
      <c r="A74" s="407" t="s">
        <v>28</v>
      </c>
      <c r="B74" s="419">
        <v>110</v>
      </c>
      <c r="C74" s="419">
        <v>71.67</v>
      </c>
      <c r="D74" s="419">
        <v>92</v>
      </c>
      <c r="E74" s="419">
        <v>30</v>
      </c>
    </row>
    <row r="75" spans="1:5" ht="12" customHeight="1" x14ac:dyDescent="0.2">
      <c r="A75" s="407" t="s">
        <v>62</v>
      </c>
      <c r="B75" s="419" t="s">
        <v>432</v>
      </c>
      <c r="C75" s="419" t="s">
        <v>432</v>
      </c>
      <c r="D75" s="419">
        <v>83.33</v>
      </c>
      <c r="E75" s="419" t="s">
        <v>403</v>
      </c>
    </row>
    <row r="76" spans="1:5" ht="12" customHeight="1" x14ac:dyDescent="0.2">
      <c r="A76" s="407" t="s">
        <v>29</v>
      </c>
      <c r="B76" s="419" t="s">
        <v>432</v>
      </c>
      <c r="C76" s="419">
        <v>65</v>
      </c>
      <c r="D76" s="419">
        <v>86</v>
      </c>
      <c r="E76" s="419" t="s">
        <v>432</v>
      </c>
    </row>
    <row r="77" spans="1:5" ht="12" customHeight="1" x14ac:dyDescent="0.2">
      <c r="A77" s="407" t="s">
        <v>52</v>
      </c>
      <c r="B77" s="419">
        <v>81.67</v>
      </c>
      <c r="C77" s="419" t="s">
        <v>403</v>
      </c>
      <c r="D77" s="419" t="s">
        <v>432</v>
      </c>
      <c r="E77" s="419" t="s">
        <v>432</v>
      </c>
    </row>
    <row r="78" spans="1:5" ht="12" customHeight="1" x14ac:dyDescent="0.2">
      <c r="A78" s="407" t="s">
        <v>80</v>
      </c>
      <c r="B78" s="419">
        <v>100</v>
      </c>
      <c r="C78" s="419">
        <v>90</v>
      </c>
      <c r="D78" s="419">
        <v>95</v>
      </c>
      <c r="E78" s="419" t="s">
        <v>432</v>
      </c>
    </row>
    <row r="79" spans="1:5" ht="12" customHeight="1" x14ac:dyDescent="0.2">
      <c r="A79" s="407" t="s">
        <v>30</v>
      </c>
      <c r="B79" s="419" t="s">
        <v>432</v>
      </c>
      <c r="C79" s="419">
        <v>65</v>
      </c>
      <c r="D79" s="419">
        <v>87</v>
      </c>
      <c r="E79" s="419" t="s">
        <v>432</v>
      </c>
    </row>
    <row r="80" spans="1:5" ht="12" customHeight="1" x14ac:dyDescent="0.2">
      <c r="A80" s="407" t="s">
        <v>31</v>
      </c>
      <c r="B80" s="419" t="s">
        <v>432</v>
      </c>
      <c r="C80" s="419" t="s">
        <v>432</v>
      </c>
      <c r="D80" s="419">
        <v>90</v>
      </c>
      <c r="E80" s="419" t="s">
        <v>432</v>
      </c>
    </row>
    <row r="81" spans="1:5" ht="12" customHeight="1" x14ac:dyDescent="0.2">
      <c r="A81" s="407" t="s">
        <v>32</v>
      </c>
      <c r="B81" s="419">
        <v>89</v>
      </c>
      <c r="C81" s="419">
        <v>65</v>
      </c>
      <c r="D81" s="419">
        <v>86</v>
      </c>
      <c r="E81" s="419" t="s">
        <v>403</v>
      </c>
    </row>
    <row r="82" spans="1:5" ht="12" customHeight="1" x14ac:dyDescent="0.2">
      <c r="A82" s="407" t="s">
        <v>64</v>
      </c>
      <c r="B82" s="419">
        <v>72</v>
      </c>
      <c r="C82" s="419">
        <v>80</v>
      </c>
      <c r="D82" s="419">
        <v>85</v>
      </c>
      <c r="E82" s="419">
        <v>22</v>
      </c>
    </row>
    <row r="83" spans="1:5" ht="12" customHeight="1" x14ac:dyDescent="0.2">
      <c r="A83" s="423" t="s">
        <v>33</v>
      </c>
      <c r="B83" s="418" t="s">
        <v>4</v>
      </c>
      <c r="C83" s="418">
        <f>AVERAGE(C84:C86)</f>
        <v>61</v>
      </c>
      <c r="D83" s="418">
        <f>AVERAGE(D84:D86)</f>
        <v>86.833333333333329</v>
      </c>
      <c r="E83" s="419" t="s">
        <v>4</v>
      </c>
    </row>
    <row r="84" spans="1:5" ht="12" customHeight="1" x14ac:dyDescent="0.2">
      <c r="A84" s="407" t="s">
        <v>34</v>
      </c>
      <c r="B84" s="419" t="s">
        <v>403</v>
      </c>
      <c r="C84" s="419">
        <v>58</v>
      </c>
      <c r="D84" s="419">
        <v>85.5</v>
      </c>
      <c r="E84" s="419" t="s">
        <v>432</v>
      </c>
    </row>
    <row r="85" spans="1:5" ht="12" customHeight="1" x14ac:dyDescent="0.2">
      <c r="A85" s="407" t="s">
        <v>35</v>
      </c>
      <c r="B85" s="419" t="s">
        <v>403</v>
      </c>
      <c r="C85" s="419">
        <v>64</v>
      </c>
      <c r="D85" s="419">
        <v>89</v>
      </c>
      <c r="E85" s="419" t="s">
        <v>432</v>
      </c>
    </row>
    <row r="86" spans="1:5" ht="12" customHeight="1" x14ac:dyDescent="0.2">
      <c r="A86" s="407" t="s">
        <v>36</v>
      </c>
      <c r="B86" s="419" t="s">
        <v>403</v>
      </c>
      <c r="C86" s="419">
        <v>61</v>
      </c>
      <c r="D86" s="419">
        <v>86</v>
      </c>
      <c r="E86" s="419" t="s">
        <v>432</v>
      </c>
    </row>
    <row r="87" spans="1:5" ht="12" customHeight="1" x14ac:dyDescent="0.2">
      <c r="A87" s="423" t="s">
        <v>185</v>
      </c>
      <c r="B87" s="418">
        <f>B88</f>
        <v>95.5</v>
      </c>
      <c r="C87" s="418" t="s">
        <v>4</v>
      </c>
      <c r="D87" s="418" t="s">
        <v>4</v>
      </c>
      <c r="E87" s="418">
        <f>E88</f>
        <v>30.5</v>
      </c>
    </row>
    <row r="88" spans="1:5" ht="12" customHeight="1" x14ac:dyDescent="0.2">
      <c r="A88" s="422" t="s">
        <v>141</v>
      </c>
      <c r="B88" s="419">
        <v>95.5</v>
      </c>
      <c r="C88" s="419" t="s">
        <v>403</v>
      </c>
      <c r="D88" s="419" t="s">
        <v>403</v>
      </c>
      <c r="E88" s="419">
        <v>30.5</v>
      </c>
    </row>
    <row r="89" spans="1:5" ht="12" customHeight="1" x14ac:dyDescent="0.2">
      <c r="A89" s="423" t="s">
        <v>518</v>
      </c>
      <c r="B89" s="418" t="str">
        <f>B90</f>
        <v>...</v>
      </c>
      <c r="C89" s="418">
        <f t="shared" ref="B89:D91" si="6">C90</f>
        <v>65</v>
      </c>
      <c r="D89" s="418">
        <f t="shared" si="6"/>
        <v>91.33</v>
      </c>
      <c r="E89" s="418" t="str">
        <f>E90</f>
        <v>...</v>
      </c>
    </row>
    <row r="90" spans="1:5" ht="12" customHeight="1" x14ac:dyDescent="0.2">
      <c r="A90" s="407" t="s">
        <v>519</v>
      </c>
      <c r="B90" s="405" t="s">
        <v>403</v>
      </c>
      <c r="C90" s="419">
        <v>65</v>
      </c>
      <c r="D90" s="419">
        <v>91.33</v>
      </c>
      <c r="E90" s="405" t="s">
        <v>403</v>
      </c>
    </row>
    <row r="91" spans="1:5" ht="12" customHeight="1" x14ac:dyDescent="0.2">
      <c r="A91" s="423" t="s">
        <v>190</v>
      </c>
      <c r="B91" s="418">
        <f t="shared" si="6"/>
        <v>52.5</v>
      </c>
      <c r="C91" s="418">
        <f t="shared" si="6"/>
        <v>58.33</v>
      </c>
      <c r="D91" s="418">
        <f t="shared" si="6"/>
        <v>75</v>
      </c>
      <c r="E91" s="418">
        <f>E92</f>
        <v>25</v>
      </c>
    </row>
    <row r="92" spans="1:5" ht="12" customHeight="1" x14ac:dyDescent="0.2">
      <c r="A92" s="407" t="s">
        <v>193</v>
      </c>
      <c r="B92" s="419">
        <v>52.5</v>
      </c>
      <c r="C92" s="419">
        <v>58.33</v>
      </c>
      <c r="D92" s="419">
        <v>75</v>
      </c>
      <c r="E92" s="419">
        <v>25</v>
      </c>
    </row>
    <row r="93" spans="1:5" ht="12" customHeight="1" x14ac:dyDescent="0.2">
      <c r="A93" s="423" t="s">
        <v>37</v>
      </c>
      <c r="B93" s="418">
        <f>AVERAGE(B94:B96)</f>
        <v>73</v>
      </c>
      <c r="C93" s="418">
        <f t="shared" ref="C93:E93" si="7">AVERAGE(C94:C96)</f>
        <v>69.25</v>
      </c>
      <c r="D93" s="418">
        <f t="shared" si="7"/>
        <v>89.46</v>
      </c>
      <c r="E93" s="418">
        <f t="shared" si="7"/>
        <v>29.86</v>
      </c>
    </row>
    <row r="94" spans="1:5" ht="12" customHeight="1" x14ac:dyDescent="0.2">
      <c r="A94" s="407" t="s">
        <v>395</v>
      </c>
      <c r="B94" s="419" t="s">
        <v>403</v>
      </c>
      <c r="C94" s="419" t="s">
        <v>403</v>
      </c>
      <c r="D94" s="419">
        <v>90</v>
      </c>
      <c r="E94" s="419" t="s">
        <v>403</v>
      </c>
    </row>
    <row r="95" spans="1:5" ht="12" customHeight="1" x14ac:dyDescent="0.2">
      <c r="A95" s="407" t="s">
        <v>38</v>
      </c>
      <c r="B95" s="419" t="s">
        <v>403</v>
      </c>
      <c r="C95" s="419">
        <v>61.1</v>
      </c>
      <c r="D95" s="419">
        <v>88.63</v>
      </c>
      <c r="E95" s="419">
        <v>29.86</v>
      </c>
    </row>
    <row r="96" spans="1:5" ht="12" customHeight="1" x14ac:dyDescent="0.2">
      <c r="A96" s="407" t="s">
        <v>39</v>
      </c>
      <c r="B96" s="419">
        <v>73</v>
      </c>
      <c r="C96" s="419">
        <v>77.400000000000006</v>
      </c>
      <c r="D96" s="419">
        <v>89.75</v>
      </c>
      <c r="E96" s="419" t="s">
        <v>403</v>
      </c>
    </row>
    <row r="97" spans="1:5" ht="12" customHeight="1" x14ac:dyDescent="0.2">
      <c r="A97" s="423" t="s">
        <v>40</v>
      </c>
      <c r="B97" s="418">
        <f>AVERAGE(B98:B101)</f>
        <v>49.25</v>
      </c>
      <c r="C97" s="418">
        <f>AVERAGE(C98:C101)</f>
        <v>73.625</v>
      </c>
      <c r="D97" s="418">
        <f t="shared" ref="D97:E97" si="8">AVERAGE(D98:D101)</f>
        <v>93.542500000000004</v>
      </c>
      <c r="E97" s="418">
        <f t="shared" si="8"/>
        <v>20</v>
      </c>
    </row>
    <row r="98" spans="1:5" ht="12" customHeight="1" x14ac:dyDescent="0.2">
      <c r="A98" s="407" t="s">
        <v>43</v>
      </c>
      <c r="B98" s="419" t="s">
        <v>403</v>
      </c>
      <c r="C98" s="419" t="s">
        <v>403</v>
      </c>
      <c r="D98" s="419">
        <v>89.67</v>
      </c>
      <c r="E98" s="419" t="s">
        <v>403</v>
      </c>
    </row>
    <row r="99" spans="1:5" ht="12" customHeight="1" x14ac:dyDescent="0.2">
      <c r="A99" s="422" t="s">
        <v>406</v>
      </c>
      <c r="B99" s="419" t="s">
        <v>403</v>
      </c>
      <c r="C99" s="419">
        <v>61.5</v>
      </c>
      <c r="D99" s="419">
        <v>84.5</v>
      </c>
      <c r="E99" s="419" t="s">
        <v>403</v>
      </c>
    </row>
    <row r="100" spans="1:5" ht="12" customHeight="1" x14ac:dyDescent="0.2">
      <c r="A100" s="422" t="s">
        <v>42</v>
      </c>
      <c r="B100" s="419">
        <v>49.25</v>
      </c>
      <c r="C100" s="419">
        <v>85.75</v>
      </c>
      <c r="D100" s="419">
        <v>110</v>
      </c>
      <c r="E100" s="419" t="s">
        <v>403</v>
      </c>
    </row>
    <row r="101" spans="1:5" ht="12" customHeight="1" x14ac:dyDescent="0.2">
      <c r="A101" s="422" t="s">
        <v>396</v>
      </c>
      <c r="B101" s="419" t="s">
        <v>403</v>
      </c>
      <c r="C101" s="419" t="s">
        <v>403</v>
      </c>
      <c r="D101" s="419">
        <v>90</v>
      </c>
      <c r="E101" s="419">
        <v>20</v>
      </c>
    </row>
    <row r="102" spans="1:5" ht="12" customHeight="1" x14ac:dyDescent="0.2">
      <c r="A102" s="423" t="s">
        <v>194</v>
      </c>
      <c r="B102" s="418">
        <f>AVERAGE(B103)</f>
        <v>130</v>
      </c>
      <c r="C102" s="418">
        <f>AVERAGE(C103)</f>
        <v>60</v>
      </c>
      <c r="D102" s="418" t="s">
        <v>403</v>
      </c>
      <c r="E102" s="418">
        <f t="shared" ref="E102:E104" si="9">AVERAGE(E103)</f>
        <v>30</v>
      </c>
    </row>
    <row r="103" spans="1:5" ht="12" customHeight="1" x14ac:dyDescent="0.2">
      <c r="A103" s="422" t="s">
        <v>515</v>
      </c>
      <c r="B103" s="419">
        <v>130</v>
      </c>
      <c r="C103" s="419">
        <v>60</v>
      </c>
      <c r="D103" s="419" t="s">
        <v>403</v>
      </c>
      <c r="E103" s="419">
        <v>30</v>
      </c>
    </row>
    <row r="104" spans="1:5" ht="12" customHeight="1" x14ac:dyDescent="0.2">
      <c r="A104" s="423" t="s">
        <v>81</v>
      </c>
      <c r="B104" s="418">
        <f>AVERAGE(B105)</f>
        <v>98</v>
      </c>
      <c r="C104" s="418">
        <f>AVERAGE(C105)</f>
        <v>65</v>
      </c>
      <c r="D104" s="418" t="s">
        <v>403</v>
      </c>
      <c r="E104" s="418">
        <f t="shared" si="9"/>
        <v>30</v>
      </c>
    </row>
    <row r="105" spans="1:5" ht="12" customHeight="1" x14ac:dyDescent="0.2">
      <c r="A105" s="422" t="s">
        <v>58</v>
      </c>
      <c r="B105" s="419">
        <v>98</v>
      </c>
      <c r="C105" s="419">
        <v>65</v>
      </c>
      <c r="D105" s="419" t="s">
        <v>403</v>
      </c>
      <c r="E105" s="419">
        <v>30</v>
      </c>
    </row>
    <row r="106" spans="1:5" ht="12" customHeight="1" x14ac:dyDescent="0.2">
      <c r="A106" s="408" t="s">
        <v>86</v>
      </c>
      <c r="B106" s="403" t="s">
        <v>4</v>
      </c>
      <c r="C106" s="403" t="s">
        <v>4</v>
      </c>
      <c r="D106" s="418">
        <f t="shared" ref="D106:E106" si="10">AVERAGE(D107)</f>
        <v>85</v>
      </c>
      <c r="E106" s="418">
        <f t="shared" si="10"/>
        <v>25</v>
      </c>
    </row>
    <row r="107" spans="1:5" ht="12" customHeight="1" x14ac:dyDescent="0.2">
      <c r="A107" s="407" t="s">
        <v>87</v>
      </c>
      <c r="B107" s="405" t="s">
        <v>403</v>
      </c>
      <c r="C107" s="405" t="s">
        <v>403</v>
      </c>
      <c r="D107" s="419">
        <v>85</v>
      </c>
      <c r="E107" s="419">
        <v>25</v>
      </c>
    </row>
    <row r="108" spans="1:5" ht="12" customHeight="1" x14ac:dyDescent="0.2">
      <c r="A108" s="408" t="s">
        <v>44</v>
      </c>
      <c r="B108" s="418" t="s">
        <v>4</v>
      </c>
      <c r="C108" s="418" t="s">
        <v>4</v>
      </c>
      <c r="D108" s="418">
        <f>AVERAGE(D109)</f>
        <v>65.33</v>
      </c>
      <c r="E108" s="418">
        <f>AVERAGE(E109)</f>
        <v>35</v>
      </c>
    </row>
    <row r="109" spans="1:5" ht="12" customHeight="1" x14ac:dyDescent="0.2">
      <c r="A109" s="416" t="s">
        <v>45</v>
      </c>
      <c r="B109" s="405" t="s">
        <v>403</v>
      </c>
      <c r="C109" s="419">
        <v>56.67</v>
      </c>
      <c r="D109" s="419">
        <v>65.33</v>
      </c>
      <c r="E109" s="419">
        <v>35</v>
      </c>
    </row>
    <row r="110" spans="1:5" ht="9" customHeight="1" x14ac:dyDescent="0.25">
      <c r="A110" s="457" t="s">
        <v>84</v>
      </c>
      <c r="B110" s="460"/>
      <c r="C110" s="461"/>
      <c r="D110" s="462"/>
      <c r="E110" s="462"/>
    </row>
    <row r="111" spans="1:5" ht="9" customHeight="1" x14ac:dyDescent="0.2">
      <c r="A111" s="457" t="s">
        <v>65</v>
      </c>
      <c r="B111" s="463"/>
      <c r="C111" s="464"/>
      <c r="D111" s="463"/>
      <c r="E111" s="463"/>
    </row>
    <row r="112" spans="1:5" ht="9" customHeight="1" x14ac:dyDescent="0.2">
      <c r="A112" s="458" t="s">
        <v>66</v>
      </c>
      <c r="B112" s="441"/>
      <c r="C112" s="441"/>
      <c r="D112" s="441"/>
      <c r="E112" s="441"/>
    </row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</sheetData>
  <pageMargins left="0.27559055118110237" right="0.27559055118110237" top="0.39370078740157483" bottom="0.39370078740157483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8"/>
  <dimension ref="A1:Z690"/>
  <sheetViews>
    <sheetView showGridLines="0" zoomScaleNormal="100" workbookViewId="0">
      <pane ySplit="4" topLeftCell="A86" activePane="bottomLeft" state="frozen"/>
      <selection activeCell="L27" sqref="L27"/>
      <selection pane="bottomLeft" activeCell="L27" sqref="L27"/>
    </sheetView>
  </sheetViews>
  <sheetFormatPr baseColWidth="10" defaultColWidth="12.5703125" defaultRowHeight="15" customHeight="1" x14ac:dyDescent="0.2"/>
  <cols>
    <col min="1" max="1" width="19" style="2" customWidth="1"/>
    <col min="2" max="2" width="14.85546875" style="2" customWidth="1"/>
    <col min="3" max="3" width="15.140625" style="2" customWidth="1"/>
    <col min="4" max="4" width="14.42578125" style="2" customWidth="1"/>
    <col min="5" max="24" width="11.42578125" style="2" customWidth="1"/>
    <col min="25" max="16384" width="12.5703125" style="2"/>
  </cols>
  <sheetData>
    <row r="1" spans="1:26" ht="12.75" customHeight="1" x14ac:dyDescent="0.25">
      <c r="A1" s="387" t="s">
        <v>435</v>
      </c>
      <c r="B1" s="390"/>
      <c r="C1" s="390"/>
      <c r="D1" s="390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  <c r="Z1" s="388"/>
    </row>
    <row r="2" spans="1:26" ht="12" customHeight="1" x14ac:dyDescent="0.2">
      <c r="A2" s="640" t="s">
        <v>556</v>
      </c>
      <c r="B2" s="390"/>
      <c r="C2" s="390"/>
      <c r="D2" s="390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</row>
    <row r="3" spans="1:26" ht="12" customHeight="1" x14ac:dyDescent="0.2">
      <c r="A3" s="640" t="s">
        <v>434</v>
      </c>
      <c r="B3" s="390"/>
      <c r="C3" s="390"/>
      <c r="D3" s="390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  <c r="R3" s="388"/>
      <c r="S3" s="388"/>
      <c r="T3" s="388"/>
      <c r="U3" s="388"/>
      <c r="V3" s="388"/>
      <c r="W3" s="388"/>
      <c r="X3" s="388"/>
      <c r="Y3" s="388"/>
      <c r="Z3" s="388"/>
    </row>
    <row r="4" spans="1:26" ht="4.5" customHeight="1" x14ac:dyDescent="0.2">
      <c r="A4" s="640"/>
      <c r="B4" s="391"/>
      <c r="C4" s="392"/>
      <c r="D4" s="391"/>
      <c r="E4" s="388"/>
      <c r="F4" s="388"/>
      <c r="G4" s="388"/>
      <c r="H4" s="388"/>
      <c r="I4" s="388"/>
      <c r="J4" s="388"/>
      <c r="K4" s="388"/>
      <c r="L4" s="388"/>
      <c r="M4" s="388"/>
      <c r="N4" s="388"/>
      <c r="O4" s="388"/>
      <c r="P4" s="388"/>
      <c r="Q4" s="388"/>
      <c r="R4" s="388"/>
      <c r="S4" s="388"/>
      <c r="T4" s="388"/>
      <c r="U4" s="388"/>
      <c r="V4" s="388"/>
      <c r="W4" s="388"/>
      <c r="X4" s="388"/>
      <c r="Y4" s="388"/>
      <c r="Z4" s="388"/>
    </row>
    <row r="5" spans="1:26" ht="15.95" customHeight="1" x14ac:dyDescent="0.2">
      <c r="A5" s="398" t="s">
        <v>0</v>
      </c>
      <c r="B5" s="398" t="s">
        <v>501</v>
      </c>
      <c r="C5" s="398" t="s">
        <v>436</v>
      </c>
      <c r="D5" s="398" t="s">
        <v>502</v>
      </c>
    </row>
    <row r="6" spans="1:26" ht="3.75" customHeight="1" x14ac:dyDescent="0.2">
      <c r="A6" s="400"/>
      <c r="B6" s="401"/>
      <c r="C6" s="401"/>
      <c r="D6" s="401"/>
    </row>
    <row r="7" spans="1:26" ht="12" customHeight="1" x14ac:dyDescent="0.25">
      <c r="A7" s="402" t="s">
        <v>419</v>
      </c>
      <c r="B7" s="418">
        <f>AVERAGE(B8:B11)</f>
        <v>20.5</v>
      </c>
      <c r="C7" s="418">
        <f t="shared" ref="C7:D7" si="0">AVERAGE(C8:C11)</f>
        <v>38.5</v>
      </c>
      <c r="D7" s="418">
        <f t="shared" si="0"/>
        <v>76.667500000000004</v>
      </c>
    </row>
    <row r="8" spans="1:26" ht="12" customHeight="1" x14ac:dyDescent="0.25">
      <c r="A8" s="404" t="s">
        <v>590</v>
      </c>
      <c r="B8" s="405" t="s">
        <v>403</v>
      </c>
      <c r="C8" s="419" t="s">
        <v>403</v>
      </c>
      <c r="D8" s="419">
        <v>61.67</v>
      </c>
    </row>
    <row r="9" spans="1:26" ht="12" customHeight="1" x14ac:dyDescent="0.25">
      <c r="A9" s="404" t="s">
        <v>532</v>
      </c>
      <c r="B9" s="419">
        <v>20</v>
      </c>
      <c r="C9" s="419">
        <v>50</v>
      </c>
      <c r="D9" s="419">
        <v>62.5</v>
      </c>
    </row>
    <row r="10" spans="1:26" ht="12" customHeight="1" x14ac:dyDescent="0.25">
      <c r="A10" s="404" t="s">
        <v>533</v>
      </c>
      <c r="B10" s="405" t="s">
        <v>403</v>
      </c>
      <c r="C10" s="419">
        <v>27</v>
      </c>
      <c r="D10" s="419">
        <v>62.5</v>
      </c>
    </row>
    <row r="11" spans="1:26" ht="12" customHeight="1" x14ac:dyDescent="0.25">
      <c r="A11" s="404" t="s">
        <v>444</v>
      </c>
      <c r="B11" s="419">
        <v>21</v>
      </c>
      <c r="C11" s="419" t="s">
        <v>403</v>
      </c>
      <c r="D11" s="419">
        <v>120</v>
      </c>
    </row>
    <row r="12" spans="1:26" ht="12" customHeight="1" x14ac:dyDescent="0.25">
      <c r="A12" s="402" t="s">
        <v>75</v>
      </c>
      <c r="B12" s="418">
        <f>AVERAGE(B13:B16)</f>
        <v>42.553333333333335</v>
      </c>
      <c r="C12" s="418">
        <f>AVERAGE(C13:C16)</f>
        <v>55.5</v>
      </c>
      <c r="D12" s="418" t="s">
        <v>4</v>
      </c>
    </row>
    <row r="13" spans="1:26" ht="12" customHeight="1" x14ac:dyDescent="0.2">
      <c r="A13" s="422" t="s">
        <v>151</v>
      </c>
      <c r="B13" s="419">
        <v>37.159999999999997</v>
      </c>
      <c r="C13" s="419" t="s">
        <v>403</v>
      </c>
      <c r="D13" s="419" t="s">
        <v>403</v>
      </c>
    </row>
    <row r="14" spans="1:26" ht="12" customHeight="1" x14ac:dyDescent="0.2">
      <c r="A14" s="422" t="s">
        <v>536</v>
      </c>
      <c r="B14" s="419">
        <v>36</v>
      </c>
      <c r="C14" s="419" t="s">
        <v>403</v>
      </c>
      <c r="D14" s="419" t="s">
        <v>403</v>
      </c>
    </row>
    <row r="15" spans="1:26" ht="12" customHeight="1" x14ac:dyDescent="0.2">
      <c r="A15" s="422" t="s">
        <v>154</v>
      </c>
      <c r="B15" s="419" t="s">
        <v>403</v>
      </c>
      <c r="C15" s="419">
        <v>55.5</v>
      </c>
      <c r="D15" s="419" t="s">
        <v>403</v>
      </c>
    </row>
    <row r="16" spans="1:26" ht="12" customHeight="1" x14ac:dyDescent="0.2">
      <c r="A16" s="422" t="s">
        <v>157</v>
      </c>
      <c r="B16" s="419">
        <v>54.5</v>
      </c>
      <c r="C16" s="419" t="s">
        <v>403</v>
      </c>
      <c r="D16" s="419" t="s">
        <v>403</v>
      </c>
    </row>
    <row r="17" spans="1:4" ht="12" customHeight="1" x14ac:dyDescent="0.2">
      <c r="A17" s="423" t="s">
        <v>2</v>
      </c>
      <c r="B17" s="418">
        <f>AVERAGE(B18:B23)</f>
        <v>23.565999999999999</v>
      </c>
      <c r="C17" s="418">
        <f>AVERAGE(C18:C23)</f>
        <v>61.75</v>
      </c>
      <c r="D17" s="418">
        <f>AVERAGE(D18:D23)</f>
        <v>168.03399999999999</v>
      </c>
    </row>
    <row r="18" spans="1:4" ht="12" customHeight="1" x14ac:dyDescent="0.2">
      <c r="A18" s="407" t="s">
        <v>186</v>
      </c>
      <c r="B18" s="419">
        <v>23</v>
      </c>
      <c r="C18" s="419">
        <v>80</v>
      </c>
      <c r="D18" s="419">
        <v>180</v>
      </c>
    </row>
    <row r="19" spans="1:4" ht="12" customHeight="1" x14ac:dyDescent="0.25">
      <c r="A19" s="404" t="s">
        <v>5</v>
      </c>
      <c r="B19" s="419">
        <v>20</v>
      </c>
      <c r="C19" s="419">
        <v>45</v>
      </c>
      <c r="D19" s="419">
        <v>145</v>
      </c>
    </row>
    <row r="20" spans="1:4" ht="12" customHeight="1" x14ac:dyDescent="0.25">
      <c r="A20" s="404" t="s">
        <v>76</v>
      </c>
      <c r="B20" s="419">
        <v>28.5</v>
      </c>
      <c r="C20" s="419">
        <v>60.25</v>
      </c>
      <c r="D20" s="419">
        <v>169.75</v>
      </c>
    </row>
    <row r="21" spans="1:4" ht="12" customHeight="1" x14ac:dyDescent="0.25">
      <c r="A21" s="404" t="s">
        <v>59</v>
      </c>
      <c r="B21" s="419">
        <v>24.33</v>
      </c>
      <c r="C21" s="419" t="s">
        <v>403</v>
      </c>
      <c r="D21" s="419">
        <v>177.67</v>
      </c>
    </row>
    <row r="22" spans="1:4" ht="12" customHeight="1" x14ac:dyDescent="0.25">
      <c r="A22" s="404" t="s">
        <v>398</v>
      </c>
      <c r="B22" s="419">
        <v>22</v>
      </c>
      <c r="C22" s="419" t="s">
        <v>403</v>
      </c>
      <c r="D22" s="419" t="s">
        <v>403</v>
      </c>
    </row>
    <row r="23" spans="1:4" ht="12" customHeight="1" x14ac:dyDescent="0.25">
      <c r="A23" s="404" t="s">
        <v>82</v>
      </c>
      <c r="B23" s="419" t="s">
        <v>403</v>
      </c>
      <c r="C23" s="419" t="s">
        <v>403</v>
      </c>
      <c r="D23" s="419">
        <v>167.75</v>
      </c>
    </row>
    <row r="24" spans="1:4" ht="12" customHeight="1" x14ac:dyDescent="0.2">
      <c r="A24" s="423" t="s">
        <v>6</v>
      </c>
      <c r="B24" s="418">
        <f>AVERAGE(B25:B28)</f>
        <v>21.5</v>
      </c>
      <c r="C24" s="418" t="s">
        <v>4</v>
      </c>
      <c r="D24" s="418">
        <f>AVERAGE(D25:D28)</f>
        <v>176.16500000000002</v>
      </c>
    </row>
    <row r="25" spans="1:4" ht="12" customHeight="1" x14ac:dyDescent="0.2">
      <c r="A25" s="407" t="s">
        <v>9</v>
      </c>
      <c r="B25" s="419">
        <v>25</v>
      </c>
      <c r="C25" s="419" t="s">
        <v>403</v>
      </c>
      <c r="D25" s="419" t="s">
        <v>403</v>
      </c>
    </row>
    <row r="26" spans="1:4" ht="12" customHeight="1" x14ac:dyDescent="0.2">
      <c r="A26" s="407" t="s">
        <v>7</v>
      </c>
      <c r="B26" s="419" t="s">
        <v>403</v>
      </c>
      <c r="C26" s="419" t="s">
        <v>403</v>
      </c>
      <c r="D26" s="419">
        <v>193.33</v>
      </c>
    </row>
    <row r="27" spans="1:4" ht="12" customHeight="1" x14ac:dyDescent="0.2">
      <c r="A27" s="407" t="s">
        <v>8</v>
      </c>
      <c r="B27" s="419">
        <v>18</v>
      </c>
      <c r="C27" s="419" t="s">
        <v>403</v>
      </c>
      <c r="D27" s="419" t="s">
        <v>403</v>
      </c>
    </row>
    <row r="28" spans="1:4" ht="12" customHeight="1" x14ac:dyDescent="0.2">
      <c r="A28" s="407" t="s">
        <v>89</v>
      </c>
      <c r="B28" s="419" t="s">
        <v>432</v>
      </c>
      <c r="C28" s="419" t="s">
        <v>403</v>
      </c>
      <c r="D28" s="419">
        <v>159</v>
      </c>
    </row>
    <row r="29" spans="1:4" ht="12" customHeight="1" x14ac:dyDescent="0.2">
      <c r="A29" s="408" t="s">
        <v>13</v>
      </c>
      <c r="B29" s="418">
        <f>AVERAGE(B30:B32)</f>
        <v>35.333333333333336</v>
      </c>
      <c r="C29" s="418">
        <f>AVERAGE(C30:C32)</f>
        <v>70</v>
      </c>
      <c r="D29" s="418">
        <f>AVERAGE(D30:D32)</f>
        <v>165</v>
      </c>
    </row>
    <row r="30" spans="1:4" ht="12" customHeight="1" x14ac:dyDescent="0.2">
      <c r="A30" s="407" t="s">
        <v>187</v>
      </c>
      <c r="B30" s="419">
        <v>30</v>
      </c>
      <c r="C30" s="419" t="s">
        <v>403</v>
      </c>
      <c r="D30" s="419" t="s">
        <v>403</v>
      </c>
    </row>
    <row r="31" spans="1:4" ht="12" customHeight="1" x14ac:dyDescent="0.2">
      <c r="A31" s="407" t="s">
        <v>68</v>
      </c>
      <c r="B31" s="419">
        <v>35</v>
      </c>
      <c r="C31" s="419" t="s">
        <v>432</v>
      </c>
      <c r="D31" s="419">
        <v>165</v>
      </c>
    </row>
    <row r="32" spans="1:4" ht="12" customHeight="1" x14ac:dyDescent="0.2">
      <c r="A32" s="407" t="s">
        <v>67</v>
      </c>
      <c r="B32" s="419">
        <v>41</v>
      </c>
      <c r="C32" s="419">
        <v>70</v>
      </c>
      <c r="D32" s="419" t="s">
        <v>432</v>
      </c>
    </row>
    <row r="33" spans="1:4" ht="12" customHeight="1" x14ac:dyDescent="0.2">
      <c r="A33" s="423" t="s">
        <v>14</v>
      </c>
      <c r="B33" s="418">
        <f>AVERAGE(B34)</f>
        <v>36.5</v>
      </c>
      <c r="C33" s="418" t="s">
        <v>4</v>
      </c>
      <c r="D33" s="418">
        <f>AVERAGE(D34)</f>
        <v>135.5</v>
      </c>
    </row>
    <row r="34" spans="1:4" ht="12" customHeight="1" x14ac:dyDescent="0.2">
      <c r="A34" s="407" t="s">
        <v>470</v>
      </c>
      <c r="B34" s="419">
        <v>36.5</v>
      </c>
      <c r="C34" s="419" t="s">
        <v>403</v>
      </c>
      <c r="D34" s="419">
        <v>135.5</v>
      </c>
    </row>
    <row r="35" spans="1:4" ht="12" customHeight="1" x14ac:dyDescent="0.2">
      <c r="A35" s="423" t="s">
        <v>16</v>
      </c>
      <c r="B35" s="418">
        <f>AVERAGE(B36:B42)</f>
        <v>26.43</v>
      </c>
      <c r="C35" s="418" t="s">
        <v>4</v>
      </c>
      <c r="D35" s="418">
        <f>AVERAGE(D36:D42)</f>
        <v>176.94333333333336</v>
      </c>
    </row>
    <row r="36" spans="1:4" ht="12" customHeight="1" x14ac:dyDescent="0.2">
      <c r="A36" s="407" t="s">
        <v>17</v>
      </c>
      <c r="B36" s="419">
        <v>17.670000000000002</v>
      </c>
      <c r="C36" s="419" t="s">
        <v>403</v>
      </c>
      <c r="D36" s="419">
        <v>170</v>
      </c>
    </row>
    <row r="37" spans="1:4" ht="12" customHeight="1" x14ac:dyDescent="0.2">
      <c r="A37" s="407" t="s">
        <v>19</v>
      </c>
      <c r="B37" s="419">
        <v>17.670000000000002</v>
      </c>
      <c r="C37" s="419" t="s">
        <v>403</v>
      </c>
      <c r="D37" s="419">
        <v>163.33000000000001</v>
      </c>
    </row>
    <row r="38" spans="1:4" ht="12" customHeight="1" x14ac:dyDescent="0.2">
      <c r="A38" s="407" t="s">
        <v>18</v>
      </c>
      <c r="B38" s="419">
        <v>39.5</v>
      </c>
      <c r="C38" s="419" t="s">
        <v>403</v>
      </c>
      <c r="D38" s="419" t="s">
        <v>403</v>
      </c>
    </row>
    <row r="39" spans="1:4" ht="12" customHeight="1" x14ac:dyDescent="0.2">
      <c r="A39" s="407" t="s">
        <v>60</v>
      </c>
      <c r="B39" s="419">
        <v>35</v>
      </c>
      <c r="C39" s="419" t="s">
        <v>403</v>
      </c>
      <c r="D39" s="419" t="s">
        <v>403</v>
      </c>
    </row>
    <row r="40" spans="1:4" ht="12" customHeight="1" x14ac:dyDescent="0.2">
      <c r="A40" s="407" t="s">
        <v>77</v>
      </c>
      <c r="B40" s="419">
        <v>28.67</v>
      </c>
      <c r="C40" s="419" t="s">
        <v>403</v>
      </c>
      <c r="D40" s="419">
        <v>197.5</v>
      </c>
    </row>
    <row r="41" spans="1:4" ht="12" customHeight="1" x14ac:dyDescent="0.2">
      <c r="A41" s="407" t="s">
        <v>21</v>
      </c>
      <c r="B41" s="419">
        <v>25</v>
      </c>
      <c r="C41" s="419" t="s">
        <v>403</v>
      </c>
      <c r="D41" s="419" t="s">
        <v>432</v>
      </c>
    </row>
    <row r="42" spans="1:4" ht="12" customHeight="1" x14ac:dyDescent="0.2">
      <c r="A42" s="407" t="s">
        <v>20</v>
      </c>
      <c r="B42" s="419">
        <v>21.5</v>
      </c>
      <c r="C42" s="419" t="s">
        <v>403</v>
      </c>
      <c r="D42" s="419" t="s">
        <v>403</v>
      </c>
    </row>
    <row r="43" spans="1:4" ht="12" customHeight="1" x14ac:dyDescent="0.2">
      <c r="A43" s="423" t="s">
        <v>23</v>
      </c>
      <c r="B43" s="418">
        <f>AVERAGE(B44:B48)</f>
        <v>30</v>
      </c>
      <c r="C43" s="418">
        <f>AVERAGE(C44:C48)</f>
        <v>90</v>
      </c>
      <c r="D43" s="418">
        <f>AVERAGE(D44:D48)</f>
        <v>184.70000000000002</v>
      </c>
    </row>
    <row r="44" spans="1:4" ht="12" customHeight="1" x14ac:dyDescent="0.2">
      <c r="A44" s="407" t="s">
        <v>51</v>
      </c>
      <c r="B44" s="419">
        <v>47</v>
      </c>
      <c r="C44" s="419" t="s">
        <v>403</v>
      </c>
      <c r="D44" s="419">
        <v>178.6</v>
      </c>
    </row>
    <row r="45" spans="1:4" ht="12" customHeight="1" x14ac:dyDescent="0.2">
      <c r="A45" s="407" t="s">
        <v>520</v>
      </c>
      <c r="B45" s="419">
        <v>21</v>
      </c>
      <c r="C45" s="419" t="s">
        <v>403</v>
      </c>
      <c r="D45" s="419" t="s">
        <v>403</v>
      </c>
    </row>
    <row r="46" spans="1:4" ht="12" customHeight="1" x14ac:dyDescent="0.2">
      <c r="A46" s="407" t="s">
        <v>521</v>
      </c>
      <c r="B46" s="419" t="s">
        <v>403</v>
      </c>
      <c r="C46" s="419" t="s">
        <v>403</v>
      </c>
      <c r="D46" s="419">
        <v>193.5</v>
      </c>
    </row>
    <row r="47" spans="1:4" ht="12" customHeight="1" x14ac:dyDescent="0.2">
      <c r="A47" s="407" t="s">
        <v>522</v>
      </c>
      <c r="B47" s="419">
        <v>21</v>
      </c>
      <c r="C47" s="419">
        <v>90</v>
      </c>
      <c r="D47" s="419">
        <v>182</v>
      </c>
    </row>
    <row r="48" spans="1:4" ht="12" customHeight="1" x14ac:dyDescent="0.2">
      <c r="A48" s="407" t="s">
        <v>56</v>
      </c>
      <c r="B48" s="419">
        <v>31</v>
      </c>
      <c r="C48" s="419" t="s">
        <v>403</v>
      </c>
      <c r="D48" s="419" t="s">
        <v>403</v>
      </c>
    </row>
    <row r="49" spans="1:4" ht="15.75" customHeight="1" x14ac:dyDescent="0.2">
      <c r="A49" s="409"/>
      <c r="B49" s="410"/>
      <c r="C49" s="410"/>
      <c r="D49" s="411" t="s">
        <v>24</v>
      </c>
    </row>
    <row r="50" spans="1:4" ht="15.75" customHeight="1" x14ac:dyDescent="0.25">
      <c r="A50" s="412" t="s">
        <v>503</v>
      </c>
      <c r="B50" s="412"/>
      <c r="C50" s="412"/>
      <c r="D50" s="425"/>
    </row>
    <row r="51" spans="1:4" ht="15.95" customHeight="1" x14ac:dyDescent="0.2">
      <c r="A51" s="398" t="s">
        <v>0</v>
      </c>
      <c r="B51" s="398" t="s">
        <v>501</v>
      </c>
      <c r="C51" s="398" t="s">
        <v>436</v>
      </c>
      <c r="D51" s="398" t="s">
        <v>502</v>
      </c>
    </row>
    <row r="52" spans="1:4" ht="4.5" customHeight="1" x14ac:dyDescent="0.2">
      <c r="A52" s="426"/>
      <c r="B52" s="425"/>
      <c r="C52" s="425"/>
      <c r="D52" s="425"/>
    </row>
    <row r="53" spans="1:4" ht="12" customHeight="1" x14ac:dyDescent="0.2">
      <c r="A53" s="423" t="s">
        <v>78</v>
      </c>
      <c r="B53" s="418">
        <f>AVERAGE(B54:B57)</f>
        <v>27.556666666666668</v>
      </c>
      <c r="C53" s="418" t="s">
        <v>4</v>
      </c>
      <c r="D53" s="418">
        <f t="shared" ref="D53" si="1">AVERAGE(D54:D57)</f>
        <v>184.375</v>
      </c>
    </row>
    <row r="54" spans="1:4" ht="12" customHeight="1" x14ac:dyDescent="0.2">
      <c r="A54" s="407" t="s">
        <v>85</v>
      </c>
      <c r="B54" s="405" t="s">
        <v>403</v>
      </c>
      <c r="C54" s="405" t="s">
        <v>403</v>
      </c>
      <c r="D54" s="419">
        <v>186.25</v>
      </c>
    </row>
    <row r="55" spans="1:4" ht="12" customHeight="1" x14ac:dyDescent="0.2">
      <c r="A55" s="407" t="s">
        <v>25</v>
      </c>
      <c r="B55" s="419">
        <v>39</v>
      </c>
      <c r="C55" s="405" t="s">
        <v>403</v>
      </c>
      <c r="D55" s="405" t="s">
        <v>403</v>
      </c>
    </row>
    <row r="56" spans="1:4" ht="12" customHeight="1" x14ac:dyDescent="0.2">
      <c r="A56" s="407" t="s">
        <v>513</v>
      </c>
      <c r="B56" s="419">
        <v>18.670000000000002</v>
      </c>
      <c r="C56" s="405" t="s">
        <v>403</v>
      </c>
      <c r="D56" s="405" t="s">
        <v>403</v>
      </c>
    </row>
    <row r="57" spans="1:4" ht="12" customHeight="1" x14ac:dyDescent="0.2">
      <c r="A57" s="407" t="s">
        <v>514</v>
      </c>
      <c r="B57" s="419">
        <v>25</v>
      </c>
      <c r="C57" s="405" t="s">
        <v>403</v>
      </c>
      <c r="D57" s="419">
        <v>182.5</v>
      </c>
    </row>
    <row r="58" spans="1:4" ht="12" customHeight="1" x14ac:dyDescent="0.2">
      <c r="A58" s="423" t="s">
        <v>83</v>
      </c>
      <c r="B58" s="418">
        <f>AVERAGE(B59:B68)</f>
        <v>29.189999999999998</v>
      </c>
      <c r="C58" s="418" t="s">
        <v>4</v>
      </c>
      <c r="D58" s="418">
        <f t="shared" ref="D58" si="2">AVERAGE(D59:D68)</f>
        <v>204.14285714285714</v>
      </c>
    </row>
    <row r="59" spans="1:4" ht="12" customHeight="1" x14ac:dyDescent="0.2">
      <c r="A59" s="407" t="s">
        <v>26</v>
      </c>
      <c r="B59" s="419">
        <v>23</v>
      </c>
      <c r="C59" s="405" t="s">
        <v>403</v>
      </c>
      <c r="D59" s="419">
        <v>193.5</v>
      </c>
    </row>
    <row r="60" spans="1:4" ht="12" customHeight="1" x14ac:dyDescent="0.2">
      <c r="A60" s="407" t="s">
        <v>79</v>
      </c>
      <c r="B60" s="419">
        <v>44</v>
      </c>
      <c r="C60" s="405" t="s">
        <v>403</v>
      </c>
      <c r="D60" s="419" t="s">
        <v>432</v>
      </c>
    </row>
    <row r="61" spans="1:4" ht="12" customHeight="1" x14ac:dyDescent="0.2">
      <c r="A61" s="407" t="s">
        <v>28</v>
      </c>
      <c r="B61" s="419">
        <v>25</v>
      </c>
      <c r="C61" s="405" t="s">
        <v>403</v>
      </c>
      <c r="D61" s="419">
        <v>257.5</v>
      </c>
    </row>
    <row r="62" spans="1:4" ht="12" customHeight="1" x14ac:dyDescent="0.2">
      <c r="A62" s="407" t="s">
        <v>62</v>
      </c>
      <c r="B62" s="419" t="s">
        <v>403</v>
      </c>
      <c r="C62" s="405" t="s">
        <v>403</v>
      </c>
      <c r="D62" s="419">
        <v>240</v>
      </c>
    </row>
    <row r="63" spans="1:4" ht="12" customHeight="1" x14ac:dyDescent="0.2">
      <c r="A63" s="407" t="s">
        <v>80</v>
      </c>
      <c r="B63" s="419">
        <v>41.33</v>
      </c>
      <c r="C63" s="405" t="s">
        <v>403</v>
      </c>
      <c r="D63" s="419" t="s">
        <v>432</v>
      </c>
    </row>
    <row r="64" spans="1:4" ht="12" customHeight="1" x14ac:dyDescent="0.2">
      <c r="A64" s="407" t="s">
        <v>29</v>
      </c>
      <c r="B64" s="419">
        <v>30</v>
      </c>
      <c r="C64" s="405" t="s">
        <v>403</v>
      </c>
      <c r="D64" s="419">
        <v>181.67</v>
      </c>
    </row>
    <row r="65" spans="1:4" ht="12" customHeight="1" x14ac:dyDescent="0.2">
      <c r="A65" s="407" t="s">
        <v>52</v>
      </c>
      <c r="B65" s="419">
        <v>25</v>
      </c>
      <c r="C65" s="405" t="s">
        <v>403</v>
      </c>
      <c r="D65" s="419" t="s">
        <v>432</v>
      </c>
    </row>
    <row r="66" spans="1:4" ht="12" customHeight="1" x14ac:dyDescent="0.2">
      <c r="A66" s="407" t="s">
        <v>30</v>
      </c>
      <c r="B66" s="419" t="s">
        <v>432</v>
      </c>
      <c r="C66" s="405" t="s">
        <v>403</v>
      </c>
      <c r="D66" s="419">
        <v>189.5</v>
      </c>
    </row>
    <row r="67" spans="1:4" ht="12" customHeight="1" x14ac:dyDescent="0.2">
      <c r="A67" s="407" t="s">
        <v>32</v>
      </c>
      <c r="B67" s="419">
        <v>16</v>
      </c>
      <c r="C67" s="405" t="s">
        <v>403</v>
      </c>
      <c r="D67" s="419">
        <v>185.33</v>
      </c>
    </row>
    <row r="68" spans="1:4" ht="12" customHeight="1" x14ac:dyDescent="0.2">
      <c r="A68" s="407" t="s">
        <v>64</v>
      </c>
      <c r="B68" s="419" t="s">
        <v>403</v>
      </c>
      <c r="C68" s="405" t="s">
        <v>403</v>
      </c>
      <c r="D68" s="419">
        <v>181.5</v>
      </c>
    </row>
    <row r="69" spans="1:4" ht="12" customHeight="1" x14ac:dyDescent="0.2">
      <c r="A69" s="423" t="s">
        <v>33</v>
      </c>
      <c r="B69" s="418">
        <f>AVERAGE(B70:B72)</f>
        <v>27.5</v>
      </c>
      <c r="C69" s="418" t="s">
        <v>4</v>
      </c>
      <c r="D69" s="418">
        <f>AVERAGE(D70:D72)</f>
        <v>186</v>
      </c>
    </row>
    <row r="70" spans="1:4" ht="12" customHeight="1" x14ac:dyDescent="0.2">
      <c r="A70" s="407" t="s">
        <v>34</v>
      </c>
      <c r="B70" s="419">
        <v>24</v>
      </c>
      <c r="C70" s="405" t="s">
        <v>403</v>
      </c>
      <c r="D70" s="419">
        <v>183.5</v>
      </c>
    </row>
    <row r="71" spans="1:4" ht="12" customHeight="1" x14ac:dyDescent="0.2">
      <c r="A71" s="407" t="s">
        <v>35</v>
      </c>
      <c r="B71" s="419">
        <v>30.5</v>
      </c>
      <c r="C71" s="405" t="s">
        <v>403</v>
      </c>
      <c r="D71" s="419" t="s">
        <v>403</v>
      </c>
    </row>
    <row r="72" spans="1:4" ht="12" customHeight="1" x14ac:dyDescent="0.2">
      <c r="A72" s="407" t="s">
        <v>36</v>
      </c>
      <c r="B72" s="419">
        <v>28</v>
      </c>
      <c r="C72" s="405" t="s">
        <v>403</v>
      </c>
      <c r="D72" s="419">
        <v>188.5</v>
      </c>
    </row>
    <row r="73" spans="1:4" ht="12" customHeight="1" x14ac:dyDescent="0.2">
      <c r="A73" s="423" t="s">
        <v>518</v>
      </c>
      <c r="B73" s="418">
        <f t="shared" ref="B73:D75" si="3">AVERAGE(B74)</f>
        <v>22</v>
      </c>
      <c r="C73" s="418" t="s">
        <v>4</v>
      </c>
      <c r="D73" s="418" t="s">
        <v>4</v>
      </c>
    </row>
    <row r="74" spans="1:4" ht="12" customHeight="1" x14ac:dyDescent="0.2">
      <c r="A74" s="427" t="s">
        <v>519</v>
      </c>
      <c r="B74" s="419">
        <v>22</v>
      </c>
      <c r="C74" s="405" t="s">
        <v>403</v>
      </c>
      <c r="D74" s="419" t="s">
        <v>403</v>
      </c>
    </row>
    <row r="75" spans="1:4" ht="12" customHeight="1" x14ac:dyDescent="0.2">
      <c r="A75" s="423" t="s">
        <v>190</v>
      </c>
      <c r="B75" s="418">
        <f t="shared" si="3"/>
        <v>25</v>
      </c>
      <c r="C75" s="418">
        <f t="shared" si="3"/>
        <v>55</v>
      </c>
      <c r="D75" s="418">
        <f t="shared" si="3"/>
        <v>186.67</v>
      </c>
    </row>
    <row r="76" spans="1:4" ht="12" customHeight="1" x14ac:dyDescent="0.2">
      <c r="A76" s="427" t="s">
        <v>193</v>
      </c>
      <c r="B76" s="419">
        <v>25</v>
      </c>
      <c r="C76" s="428">
        <v>55</v>
      </c>
      <c r="D76" s="419">
        <v>186.67</v>
      </c>
    </row>
    <row r="77" spans="1:4" ht="12" customHeight="1" x14ac:dyDescent="0.2">
      <c r="A77" s="423" t="s">
        <v>37</v>
      </c>
      <c r="B77" s="418">
        <f>AVERAGE(B78:B79)</f>
        <v>22.064999999999998</v>
      </c>
      <c r="C77" s="418" t="s">
        <v>4</v>
      </c>
      <c r="D77" s="418">
        <f>AVERAGE(D78:D79)</f>
        <v>130</v>
      </c>
    </row>
    <row r="78" spans="1:4" ht="12" customHeight="1" x14ac:dyDescent="0.2">
      <c r="A78" s="407" t="s">
        <v>38</v>
      </c>
      <c r="B78" s="419">
        <v>19.13</v>
      </c>
      <c r="C78" s="405" t="s">
        <v>403</v>
      </c>
      <c r="D78" s="419">
        <v>130</v>
      </c>
    </row>
    <row r="79" spans="1:4" ht="12" customHeight="1" x14ac:dyDescent="0.2">
      <c r="A79" s="407" t="s">
        <v>39</v>
      </c>
      <c r="B79" s="419">
        <v>25</v>
      </c>
      <c r="C79" s="405" t="s">
        <v>403</v>
      </c>
      <c r="D79" s="419" t="s">
        <v>403</v>
      </c>
    </row>
    <row r="80" spans="1:4" ht="12" customHeight="1" x14ac:dyDescent="0.2">
      <c r="A80" s="423" t="s">
        <v>40</v>
      </c>
      <c r="B80" s="418">
        <f>AVERAGE(B81:B83)</f>
        <v>28</v>
      </c>
      <c r="C80" s="418" t="s">
        <v>4</v>
      </c>
      <c r="D80" s="418">
        <f>AVERAGE(D81:D83)</f>
        <v>89.75</v>
      </c>
    </row>
    <row r="81" spans="1:4" ht="12" customHeight="1" x14ac:dyDescent="0.2">
      <c r="A81" s="427" t="s">
        <v>406</v>
      </c>
      <c r="B81" s="419">
        <v>26</v>
      </c>
      <c r="C81" s="405" t="s">
        <v>403</v>
      </c>
      <c r="D81" s="419" t="s">
        <v>403</v>
      </c>
    </row>
    <row r="82" spans="1:4" ht="12" customHeight="1" x14ac:dyDescent="0.2">
      <c r="A82" s="427" t="s">
        <v>41</v>
      </c>
      <c r="B82" s="418" t="s">
        <v>403</v>
      </c>
      <c r="C82" s="405" t="s">
        <v>403</v>
      </c>
      <c r="D82" s="419" t="s">
        <v>403</v>
      </c>
    </row>
    <row r="83" spans="1:4" ht="12" customHeight="1" x14ac:dyDescent="0.2">
      <c r="A83" s="422" t="s">
        <v>42</v>
      </c>
      <c r="B83" s="419">
        <v>30</v>
      </c>
      <c r="C83" s="405" t="s">
        <v>403</v>
      </c>
      <c r="D83" s="428">
        <v>89.75</v>
      </c>
    </row>
    <row r="84" spans="1:4" ht="12" customHeight="1" x14ac:dyDescent="0.2">
      <c r="A84" s="423" t="s">
        <v>194</v>
      </c>
      <c r="B84" s="418">
        <f>AVERAGE(B85:B86)</f>
        <v>33.664999999999999</v>
      </c>
      <c r="C84" s="418">
        <f t="shared" ref="C84:D84" si="4">AVERAGE(C85:C86)</f>
        <v>30</v>
      </c>
      <c r="D84" s="418">
        <f t="shared" si="4"/>
        <v>189</v>
      </c>
    </row>
    <row r="85" spans="1:4" ht="12" customHeight="1" x14ac:dyDescent="0.2">
      <c r="A85" s="422" t="s">
        <v>515</v>
      </c>
      <c r="B85" s="419">
        <v>45</v>
      </c>
      <c r="C85" s="419">
        <v>30</v>
      </c>
      <c r="D85" s="419" t="s">
        <v>403</v>
      </c>
    </row>
    <row r="86" spans="1:4" ht="12" customHeight="1" x14ac:dyDescent="0.2">
      <c r="A86" s="422" t="s">
        <v>197</v>
      </c>
      <c r="B86" s="419">
        <v>22.33</v>
      </c>
      <c r="C86" s="405" t="s">
        <v>403</v>
      </c>
      <c r="D86" s="419">
        <v>189</v>
      </c>
    </row>
    <row r="87" spans="1:4" ht="12" customHeight="1" x14ac:dyDescent="0.2">
      <c r="A87" s="423" t="s">
        <v>81</v>
      </c>
      <c r="B87" s="418">
        <f>AVERAGE(B88:B90)</f>
        <v>19.223333333333333</v>
      </c>
      <c r="C87" s="418" t="s">
        <v>4</v>
      </c>
      <c r="D87" s="418" t="s">
        <v>4</v>
      </c>
    </row>
    <row r="88" spans="1:4" ht="12" customHeight="1" x14ac:dyDescent="0.2">
      <c r="A88" s="407" t="s">
        <v>57</v>
      </c>
      <c r="B88" s="419">
        <v>20</v>
      </c>
      <c r="C88" s="405" t="s">
        <v>403</v>
      </c>
      <c r="D88" s="419" t="s">
        <v>403</v>
      </c>
    </row>
    <row r="89" spans="1:4" ht="12" customHeight="1" x14ac:dyDescent="0.2">
      <c r="A89" s="407" t="s">
        <v>516</v>
      </c>
      <c r="B89" s="419">
        <v>19.670000000000002</v>
      </c>
      <c r="C89" s="405" t="s">
        <v>403</v>
      </c>
      <c r="D89" s="419" t="s">
        <v>403</v>
      </c>
    </row>
    <row r="90" spans="1:4" ht="12" customHeight="1" x14ac:dyDescent="0.2">
      <c r="A90" s="407" t="s">
        <v>58</v>
      </c>
      <c r="B90" s="419">
        <v>18</v>
      </c>
      <c r="C90" s="405" t="s">
        <v>403</v>
      </c>
      <c r="D90" s="419" t="s">
        <v>403</v>
      </c>
    </row>
    <row r="91" spans="1:4" ht="12" customHeight="1" x14ac:dyDescent="0.2">
      <c r="A91" s="408" t="s">
        <v>86</v>
      </c>
      <c r="B91" s="418" t="s">
        <v>4</v>
      </c>
      <c r="C91" s="418">
        <f t="shared" ref="C91:D91" si="5">AVERAGE(C92:C93)</f>
        <v>45</v>
      </c>
      <c r="D91" s="418">
        <f t="shared" si="5"/>
        <v>196</v>
      </c>
    </row>
    <row r="92" spans="1:4" ht="12" customHeight="1" x14ac:dyDescent="0.2">
      <c r="A92" s="407" t="s">
        <v>517</v>
      </c>
      <c r="B92" s="419" t="s">
        <v>403</v>
      </c>
      <c r="C92" s="419">
        <v>45</v>
      </c>
      <c r="D92" s="419" t="s">
        <v>403</v>
      </c>
    </row>
    <row r="93" spans="1:4" ht="12" customHeight="1" x14ac:dyDescent="0.2">
      <c r="A93" s="407" t="s">
        <v>87</v>
      </c>
      <c r="B93" s="419" t="s">
        <v>403</v>
      </c>
      <c r="C93" s="405" t="s">
        <v>403</v>
      </c>
      <c r="D93" s="419">
        <v>196</v>
      </c>
    </row>
    <row r="94" spans="1:4" ht="12" customHeight="1" x14ac:dyDescent="0.2">
      <c r="A94" s="408" t="s">
        <v>69</v>
      </c>
      <c r="B94" s="418">
        <v>20</v>
      </c>
      <c r="C94" s="418" t="s">
        <v>4</v>
      </c>
      <c r="D94" s="418" t="s">
        <v>4</v>
      </c>
    </row>
    <row r="95" spans="1:4" ht="12" customHeight="1" x14ac:dyDescent="0.2">
      <c r="A95" s="407" t="s">
        <v>70</v>
      </c>
      <c r="B95" s="419">
        <v>20</v>
      </c>
      <c r="C95" s="405" t="s">
        <v>403</v>
      </c>
      <c r="D95" s="419" t="s">
        <v>403</v>
      </c>
    </row>
    <row r="96" spans="1:4" ht="12" customHeight="1" x14ac:dyDescent="0.2">
      <c r="A96" s="408" t="s">
        <v>44</v>
      </c>
      <c r="B96" s="418">
        <f>AVERAGE(B97)</f>
        <v>16.329999999999998</v>
      </c>
      <c r="C96" s="418" t="s">
        <v>4</v>
      </c>
      <c r="D96" s="418">
        <f>AVERAGE(D97)</f>
        <v>170</v>
      </c>
    </row>
    <row r="97" spans="1:4" ht="12" customHeight="1" x14ac:dyDescent="0.2">
      <c r="A97" s="416" t="s">
        <v>45</v>
      </c>
      <c r="B97" s="419">
        <v>16.329999999999998</v>
      </c>
      <c r="C97" s="419" t="s">
        <v>403</v>
      </c>
      <c r="D97" s="419">
        <v>170</v>
      </c>
    </row>
    <row r="98" spans="1:4" ht="9" customHeight="1" x14ac:dyDescent="0.25">
      <c r="A98" s="457" t="s">
        <v>84</v>
      </c>
      <c r="B98" s="460"/>
      <c r="C98" s="461"/>
      <c r="D98" s="460"/>
    </row>
    <row r="99" spans="1:4" ht="9" customHeight="1" x14ac:dyDescent="0.2">
      <c r="A99" s="457" t="s">
        <v>65</v>
      </c>
      <c r="B99" s="463"/>
      <c r="C99" s="464"/>
      <c r="D99" s="463"/>
    </row>
    <row r="100" spans="1:4" ht="9" customHeight="1" x14ac:dyDescent="0.2">
      <c r="A100" s="458" t="s">
        <v>66</v>
      </c>
      <c r="B100" s="441"/>
      <c r="C100" s="441"/>
      <c r="D100" s="441"/>
    </row>
    <row r="101" spans="1:4" ht="15.75" customHeight="1" x14ac:dyDescent="0.2"/>
    <row r="102" spans="1:4" ht="15.75" customHeight="1" x14ac:dyDescent="0.2"/>
    <row r="103" spans="1:4" ht="15.75" customHeight="1" x14ac:dyDescent="0.2"/>
    <row r="104" spans="1:4" ht="15.75" customHeight="1" x14ac:dyDescent="0.2"/>
    <row r="105" spans="1:4" ht="15.75" customHeight="1" x14ac:dyDescent="0.2"/>
    <row r="106" spans="1:4" ht="15.75" customHeight="1" x14ac:dyDescent="0.2"/>
    <row r="107" spans="1:4" ht="15.75" customHeight="1" x14ac:dyDescent="0.2"/>
    <row r="108" spans="1:4" ht="15.75" customHeight="1" x14ac:dyDescent="0.2"/>
    <row r="109" spans="1:4" ht="15.75" customHeight="1" x14ac:dyDescent="0.2"/>
    <row r="110" spans="1:4" ht="15.75" customHeight="1" x14ac:dyDescent="0.2"/>
    <row r="111" spans="1:4" ht="15.75" customHeight="1" x14ac:dyDescent="0.2"/>
    <row r="112" spans="1:4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</sheetData>
  <pageMargins left="0.27559055118110237" right="0.27559055118110237" top="0.39370078740157483" bottom="0.39370078740157483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9"/>
  <dimension ref="A1:D721"/>
  <sheetViews>
    <sheetView showGridLines="0" zoomScaleNormal="100" workbookViewId="0">
      <pane ySplit="4" topLeftCell="A59" activePane="bottomLeft" state="frozen"/>
      <selection activeCell="L27" sqref="L27"/>
      <selection pane="bottomLeft" activeCell="L27" sqref="L27"/>
    </sheetView>
  </sheetViews>
  <sheetFormatPr baseColWidth="10" defaultColWidth="12.5703125" defaultRowHeight="15" customHeight="1" x14ac:dyDescent="0.2"/>
  <cols>
    <col min="1" max="1" width="19.42578125" style="662" customWidth="1"/>
    <col min="2" max="4" width="15.140625" style="662" customWidth="1"/>
    <col min="5" max="22" width="11.42578125" style="662" customWidth="1"/>
    <col min="23" max="24" width="12.5703125" style="662" customWidth="1"/>
    <col min="25" max="16384" width="12.5703125" style="662"/>
  </cols>
  <sheetData>
    <row r="1" spans="1:4" ht="12.75" customHeight="1" x14ac:dyDescent="0.25">
      <c r="A1" s="660" t="s">
        <v>433</v>
      </c>
      <c r="B1" s="663"/>
    </row>
    <row r="2" spans="1:4" ht="11.1" customHeight="1" x14ac:dyDescent="0.25">
      <c r="A2" s="468" t="s">
        <v>602</v>
      </c>
      <c r="B2" s="663"/>
    </row>
    <row r="3" spans="1:4" ht="11.1" customHeight="1" x14ac:dyDescent="0.25">
      <c r="A3" s="468" t="s">
        <v>603</v>
      </c>
      <c r="B3" s="663"/>
    </row>
    <row r="4" spans="1:4" ht="4.5" customHeight="1" x14ac:dyDescent="0.25">
      <c r="A4" s="664"/>
      <c r="B4" s="663"/>
    </row>
    <row r="5" spans="1:4" ht="24" customHeight="1" x14ac:dyDescent="0.2">
      <c r="A5" s="398" t="s">
        <v>0</v>
      </c>
      <c r="B5" s="429" t="s">
        <v>505</v>
      </c>
      <c r="C5" s="399" t="s">
        <v>506</v>
      </c>
      <c r="D5" s="430" t="s">
        <v>507</v>
      </c>
    </row>
    <row r="6" spans="1:4" ht="4.5" customHeight="1" x14ac:dyDescent="0.2">
      <c r="A6" s="400"/>
      <c r="B6" s="431"/>
      <c r="C6" s="401"/>
      <c r="D6" s="401"/>
    </row>
    <row r="7" spans="1:4" ht="9.9499999999999993" customHeight="1" x14ac:dyDescent="0.25">
      <c r="A7" s="432" t="s">
        <v>466</v>
      </c>
      <c r="B7" s="418">
        <f>AVERAGE(B8:B9)</f>
        <v>34.164999999999999</v>
      </c>
      <c r="C7" s="418">
        <f>AVERAGE(C8:C9)</f>
        <v>40</v>
      </c>
      <c r="D7" s="418" t="s">
        <v>4</v>
      </c>
    </row>
    <row r="8" spans="1:4" ht="9.9499999999999993" customHeight="1" x14ac:dyDescent="0.25">
      <c r="A8" s="424" t="s">
        <v>474</v>
      </c>
      <c r="B8" s="419">
        <v>43.33</v>
      </c>
      <c r="C8" s="419">
        <v>40</v>
      </c>
      <c r="D8" s="405" t="s">
        <v>403</v>
      </c>
    </row>
    <row r="9" spans="1:4" ht="9.9499999999999993" customHeight="1" x14ac:dyDescent="0.25">
      <c r="A9" s="424" t="s">
        <v>469</v>
      </c>
      <c r="B9" s="419">
        <v>25</v>
      </c>
      <c r="C9" s="419" t="s">
        <v>403</v>
      </c>
      <c r="D9" s="405" t="s">
        <v>403</v>
      </c>
    </row>
    <row r="10" spans="1:4" ht="9.9499999999999993" customHeight="1" x14ac:dyDescent="0.25">
      <c r="A10" s="402" t="s">
        <v>419</v>
      </c>
      <c r="B10" s="418">
        <f>AVERAGE(B11:B14)</f>
        <v>29.9175</v>
      </c>
      <c r="C10" s="418">
        <f>AVERAGE(C13:C14)</f>
        <v>24.67</v>
      </c>
      <c r="D10" s="418">
        <f>AVERAGE(D11:D14)</f>
        <v>37.5</v>
      </c>
    </row>
    <row r="11" spans="1:4" ht="9.9499999999999993" customHeight="1" x14ac:dyDescent="0.25">
      <c r="A11" s="404" t="s">
        <v>590</v>
      </c>
      <c r="B11" s="419">
        <v>25</v>
      </c>
      <c r="C11" s="419" t="s">
        <v>403</v>
      </c>
      <c r="D11" s="405" t="s">
        <v>403</v>
      </c>
    </row>
    <row r="12" spans="1:4" ht="9.9499999999999993" customHeight="1" x14ac:dyDescent="0.25">
      <c r="A12" s="404" t="s">
        <v>421</v>
      </c>
      <c r="B12" s="419">
        <v>10</v>
      </c>
      <c r="C12" s="419" t="s">
        <v>403</v>
      </c>
      <c r="D12" s="405" t="s">
        <v>403</v>
      </c>
    </row>
    <row r="13" spans="1:4" ht="9.9499999999999993" customHeight="1" x14ac:dyDescent="0.25">
      <c r="A13" s="404" t="s">
        <v>422</v>
      </c>
      <c r="B13" s="419">
        <v>60</v>
      </c>
      <c r="C13" s="419" t="s">
        <v>403</v>
      </c>
      <c r="D13" s="419">
        <v>50</v>
      </c>
    </row>
    <row r="14" spans="1:4" ht="9.9499999999999993" customHeight="1" x14ac:dyDescent="0.25">
      <c r="A14" s="404" t="s">
        <v>589</v>
      </c>
      <c r="B14" s="419">
        <v>24.67</v>
      </c>
      <c r="C14" s="419">
        <v>24.67</v>
      </c>
      <c r="D14" s="419">
        <v>25</v>
      </c>
    </row>
    <row r="15" spans="1:4" ht="9.9499999999999993" customHeight="1" x14ac:dyDescent="0.25">
      <c r="A15" s="402" t="s">
        <v>75</v>
      </c>
      <c r="B15" s="418">
        <f t="shared" ref="B15:D15" si="0">AVERAGE(B16:B19)</f>
        <v>45.943333333333328</v>
      </c>
      <c r="C15" s="418">
        <f t="shared" si="0"/>
        <v>47.666666666666664</v>
      </c>
      <c r="D15" s="418">
        <f t="shared" si="0"/>
        <v>38.335000000000001</v>
      </c>
    </row>
    <row r="16" spans="1:4" ht="9.9499999999999993" customHeight="1" x14ac:dyDescent="0.2">
      <c r="A16" s="422" t="s">
        <v>151</v>
      </c>
      <c r="B16" s="419">
        <v>33.33</v>
      </c>
      <c r="C16" s="419">
        <v>46</v>
      </c>
      <c r="D16" s="419">
        <v>26.67</v>
      </c>
    </row>
    <row r="17" spans="1:4" ht="9.9499999999999993" customHeight="1" x14ac:dyDescent="0.2">
      <c r="A17" s="422" t="s">
        <v>152</v>
      </c>
      <c r="B17" s="419">
        <v>52</v>
      </c>
      <c r="C17" s="419" t="s">
        <v>432</v>
      </c>
      <c r="D17" s="419" t="s">
        <v>432</v>
      </c>
    </row>
    <row r="18" spans="1:4" ht="9.9499999999999993" customHeight="1" x14ac:dyDescent="0.2">
      <c r="A18" s="422" t="s">
        <v>536</v>
      </c>
      <c r="B18" s="419" t="s">
        <v>432</v>
      </c>
      <c r="C18" s="419">
        <v>47</v>
      </c>
      <c r="D18" s="419" t="s">
        <v>432</v>
      </c>
    </row>
    <row r="19" spans="1:4" ht="9.9499999999999993" customHeight="1" x14ac:dyDescent="0.2">
      <c r="A19" s="422" t="s">
        <v>154</v>
      </c>
      <c r="B19" s="419">
        <v>52.5</v>
      </c>
      <c r="C19" s="419">
        <v>50</v>
      </c>
      <c r="D19" s="419">
        <v>50</v>
      </c>
    </row>
    <row r="20" spans="1:4" ht="9.9499999999999993" customHeight="1" x14ac:dyDescent="0.25">
      <c r="A20" s="432" t="s">
        <v>2</v>
      </c>
      <c r="B20" s="418">
        <f t="shared" ref="B20:C20" si="1">AVERAGE(B21:B24)</f>
        <v>24.416666666666668</v>
      </c>
      <c r="C20" s="418">
        <f t="shared" si="1"/>
        <v>26.5</v>
      </c>
      <c r="D20" s="418">
        <f>AVERAGE(D21:D23)</f>
        <v>29</v>
      </c>
    </row>
    <row r="21" spans="1:4" ht="9.9499999999999993" customHeight="1" x14ac:dyDescent="0.25">
      <c r="A21" s="404" t="s">
        <v>5</v>
      </c>
      <c r="B21" s="419">
        <v>28</v>
      </c>
      <c r="C21" s="419">
        <v>30</v>
      </c>
      <c r="D21" s="419">
        <v>29</v>
      </c>
    </row>
    <row r="22" spans="1:4" ht="9.9499999999999993" customHeight="1" x14ac:dyDescent="0.25">
      <c r="A22" s="404" t="s">
        <v>398</v>
      </c>
      <c r="B22" s="419">
        <v>21.5</v>
      </c>
      <c r="C22" s="419" t="s">
        <v>403</v>
      </c>
      <c r="D22" s="419" t="s">
        <v>403</v>
      </c>
    </row>
    <row r="23" spans="1:4" ht="9.9499999999999993" customHeight="1" x14ac:dyDescent="0.25">
      <c r="A23" s="404" t="s">
        <v>59</v>
      </c>
      <c r="B23" s="419" t="s">
        <v>403</v>
      </c>
      <c r="C23" s="419" t="s">
        <v>403</v>
      </c>
      <c r="D23" s="419" t="s">
        <v>403</v>
      </c>
    </row>
    <row r="24" spans="1:4" ht="9.9499999999999993" customHeight="1" x14ac:dyDescent="0.25">
      <c r="A24" s="404" t="s">
        <v>76</v>
      </c>
      <c r="B24" s="419">
        <v>23.75</v>
      </c>
      <c r="C24" s="419">
        <v>23</v>
      </c>
      <c r="D24" s="419" t="s">
        <v>403</v>
      </c>
    </row>
    <row r="25" spans="1:4" ht="9.9499999999999993" customHeight="1" x14ac:dyDescent="0.2">
      <c r="A25" s="423" t="s">
        <v>6</v>
      </c>
      <c r="B25" s="418">
        <f>AVERAGE(B26:B27)</f>
        <v>28.33</v>
      </c>
      <c r="C25" s="418" t="s">
        <v>4</v>
      </c>
      <c r="D25" s="418">
        <f>AVERAGE(D26:D27)</f>
        <v>33.625</v>
      </c>
    </row>
    <row r="26" spans="1:4" ht="9.9499999999999993" customHeight="1" x14ac:dyDescent="0.2">
      <c r="A26" s="407" t="s">
        <v>460</v>
      </c>
      <c r="B26" s="419" t="s">
        <v>403</v>
      </c>
      <c r="C26" s="419" t="s">
        <v>403</v>
      </c>
      <c r="D26" s="419">
        <v>33.25</v>
      </c>
    </row>
    <row r="27" spans="1:4" ht="9.9499999999999993" customHeight="1" x14ac:dyDescent="0.2">
      <c r="A27" s="407" t="s">
        <v>89</v>
      </c>
      <c r="B27" s="419">
        <v>28.33</v>
      </c>
      <c r="C27" s="419" t="s">
        <v>403</v>
      </c>
      <c r="D27" s="419">
        <v>34</v>
      </c>
    </row>
    <row r="28" spans="1:4" ht="9.9499999999999993" customHeight="1" x14ac:dyDescent="0.2">
      <c r="A28" s="408" t="s">
        <v>13</v>
      </c>
      <c r="B28" s="418">
        <f>AVERAGE(B29:B31)</f>
        <v>28.666666666666668</v>
      </c>
      <c r="C28" s="418">
        <f>AVERAGE(C29:C31)</f>
        <v>40</v>
      </c>
      <c r="D28" s="418">
        <f>AVERAGE(D29:D31)</f>
        <v>52.25</v>
      </c>
    </row>
    <row r="29" spans="1:4" ht="9.9499999999999993" customHeight="1" x14ac:dyDescent="0.2">
      <c r="A29" s="407" t="s">
        <v>187</v>
      </c>
      <c r="B29" s="419">
        <v>30</v>
      </c>
      <c r="C29" s="419" t="s">
        <v>443</v>
      </c>
      <c r="D29" s="419">
        <v>45</v>
      </c>
    </row>
    <row r="30" spans="1:4" ht="9.9499999999999993" customHeight="1" x14ac:dyDescent="0.2">
      <c r="A30" s="407" t="s">
        <v>68</v>
      </c>
      <c r="B30" s="419">
        <v>30</v>
      </c>
      <c r="C30" s="419">
        <v>40</v>
      </c>
      <c r="D30" s="419" t="s">
        <v>432</v>
      </c>
    </row>
    <row r="31" spans="1:4" ht="9.9499999999999993" customHeight="1" x14ac:dyDescent="0.2">
      <c r="A31" s="407" t="s">
        <v>67</v>
      </c>
      <c r="B31" s="419">
        <v>26</v>
      </c>
      <c r="C31" s="419" t="s">
        <v>403</v>
      </c>
      <c r="D31" s="419">
        <v>59.5</v>
      </c>
    </row>
    <row r="32" spans="1:4" ht="9.9499999999999993" customHeight="1" x14ac:dyDescent="0.2">
      <c r="A32" s="423" t="s">
        <v>14</v>
      </c>
      <c r="B32" s="418">
        <f>AVERAGE(B33:B36)</f>
        <v>31.5625</v>
      </c>
      <c r="C32" s="418">
        <f>AVERAGE(C33:C36)</f>
        <v>25</v>
      </c>
      <c r="D32" s="418">
        <f>AVERAGE(D33:D36)</f>
        <v>22</v>
      </c>
    </row>
    <row r="33" spans="1:4" ht="9.9499999999999993" customHeight="1" x14ac:dyDescent="0.2">
      <c r="A33" s="407" t="s">
        <v>465</v>
      </c>
      <c r="B33" s="419">
        <v>22.75</v>
      </c>
      <c r="C33" s="419">
        <v>25</v>
      </c>
      <c r="D33" s="419">
        <v>22</v>
      </c>
    </row>
    <row r="34" spans="1:4" ht="9.9499999999999993" customHeight="1" x14ac:dyDescent="0.2">
      <c r="A34" s="407" t="s">
        <v>470</v>
      </c>
      <c r="B34" s="419">
        <v>41</v>
      </c>
      <c r="C34" s="419" t="s">
        <v>403</v>
      </c>
      <c r="D34" s="419" t="s">
        <v>403</v>
      </c>
    </row>
    <row r="35" spans="1:4" ht="9.9499999999999993" customHeight="1" x14ac:dyDescent="0.2">
      <c r="A35" s="407" t="s">
        <v>15</v>
      </c>
      <c r="B35" s="419">
        <v>30</v>
      </c>
      <c r="C35" s="419" t="s">
        <v>403</v>
      </c>
      <c r="D35" s="419" t="s">
        <v>403</v>
      </c>
    </row>
    <row r="36" spans="1:4" ht="9.9499999999999993" customHeight="1" x14ac:dyDescent="0.2">
      <c r="A36" s="407" t="s">
        <v>188</v>
      </c>
      <c r="B36" s="419">
        <v>32.5</v>
      </c>
      <c r="C36" s="419" t="s">
        <v>403</v>
      </c>
      <c r="D36" s="419" t="s">
        <v>403</v>
      </c>
    </row>
    <row r="37" spans="1:4" ht="9.9499999999999993" customHeight="1" x14ac:dyDescent="0.2">
      <c r="A37" s="423" t="s">
        <v>16</v>
      </c>
      <c r="B37" s="418">
        <f>AVERAGE(B38:B44)</f>
        <v>19</v>
      </c>
      <c r="C37" s="418">
        <f>AVERAGE(C38:C44)</f>
        <v>30.276666666666667</v>
      </c>
      <c r="D37" s="418">
        <f>AVERAGE(D38:D44)</f>
        <v>35.778333333333336</v>
      </c>
    </row>
    <row r="38" spans="1:4" ht="9.9499999999999993" customHeight="1" x14ac:dyDescent="0.2">
      <c r="A38" s="407" t="s">
        <v>17</v>
      </c>
      <c r="B38" s="419" t="s">
        <v>403</v>
      </c>
      <c r="C38" s="419" t="s">
        <v>403</v>
      </c>
      <c r="D38" s="419">
        <v>55</v>
      </c>
    </row>
    <row r="39" spans="1:4" ht="9.9499999999999993" customHeight="1" x14ac:dyDescent="0.2">
      <c r="A39" s="407" t="s">
        <v>18</v>
      </c>
      <c r="B39" s="419" t="s">
        <v>403</v>
      </c>
      <c r="C39" s="419" t="s">
        <v>403</v>
      </c>
      <c r="D39" s="419">
        <v>36.25</v>
      </c>
    </row>
    <row r="40" spans="1:4" ht="9.9499999999999993" customHeight="1" x14ac:dyDescent="0.2">
      <c r="A40" s="407" t="s">
        <v>60</v>
      </c>
      <c r="B40" s="419" t="s">
        <v>403</v>
      </c>
      <c r="C40" s="419" t="s">
        <v>403</v>
      </c>
      <c r="D40" s="419">
        <v>20</v>
      </c>
    </row>
    <row r="41" spans="1:4" ht="9.9499999999999993" customHeight="1" x14ac:dyDescent="0.2">
      <c r="A41" s="407" t="s">
        <v>19</v>
      </c>
      <c r="B41" s="419" t="s">
        <v>403</v>
      </c>
      <c r="C41" s="419">
        <v>33.33</v>
      </c>
      <c r="D41" s="419">
        <v>26.67</v>
      </c>
    </row>
    <row r="42" spans="1:4" ht="9.9499999999999993" customHeight="1" x14ac:dyDescent="0.2">
      <c r="A42" s="407" t="s">
        <v>77</v>
      </c>
      <c r="B42" s="419" t="s">
        <v>403</v>
      </c>
      <c r="C42" s="419">
        <v>25</v>
      </c>
      <c r="D42" s="419">
        <v>26.5</v>
      </c>
    </row>
    <row r="43" spans="1:4" ht="9.9499999999999993" customHeight="1" x14ac:dyDescent="0.2">
      <c r="A43" s="407" t="s">
        <v>21</v>
      </c>
      <c r="B43" s="419">
        <v>19</v>
      </c>
      <c r="C43" s="419" t="s">
        <v>403</v>
      </c>
      <c r="D43" s="419" t="s">
        <v>403</v>
      </c>
    </row>
    <row r="44" spans="1:4" ht="9.9499999999999993" customHeight="1" x14ac:dyDescent="0.2">
      <c r="A44" s="407" t="s">
        <v>22</v>
      </c>
      <c r="B44" s="419" t="s">
        <v>432</v>
      </c>
      <c r="C44" s="419">
        <v>32.5</v>
      </c>
      <c r="D44" s="419">
        <v>50.25</v>
      </c>
    </row>
    <row r="45" spans="1:4" ht="9.9499999999999993" customHeight="1" x14ac:dyDescent="0.25">
      <c r="A45" s="432" t="s">
        <v>23</v>
      </c>
      <c r="B45" s="418">
        <f>AVERAGE(B46:B49)</f>
        <v>38.366666666666667</v>
      </c>
      <c r="C45" s="418">
        <f>AVERAGE(C46:C49)</f>
        <v>18</v>
      </c>
      <c r="D45" s="418">
        <f>AVERAGE(D46:D49)</f>
        <v>28.016666666666666</v>
      </c>
    </row>
    <row r="46" spans="1:4" ht="9.9499999999999993" customHeight="1" x14ac:dyDescent="0.25">
      <c r="A46" s="424" t="s">
        <v>51</v>
      </c>
      <c r="B46" s="419">
        <v>33.1</v>
      </c>
      <c r="C46" s="419" t="s">
        <v>432</v>
      </c>
      <c r="D46" s="419">
        <v>29.05</v>
      </c>
    </row>
    <row r="47" spans="1:4" ht="9.9499999999999993" customHeight="1" x14ac:dyDescent="0.25">
      <c r="A47" s="424" t="s">
        <v>521</v>
      </c>
      <c r="B47" s="419">
        <v>50</v>
      </c>
      <c r="C47" s="419" t="s">
        <v>432</v>
      </c>
      <c r="D47" s="419" t="s">
        <v>403</v>
      </c>
    </row>
    <row r="48" spans="1:4" ht="9.9499999999999993" customHeight="1" x14ac:dyDescent="0.25">
      <c r="A48" s="424" t="s">
        <v>522</v>
      </c>
      <c r="B48" s="419" t="s">
        <v>403</v>
      </c>
      <c r="C48" s="419">
        <v>18</v>
      </c>
      <c r="D48" s="419">
        <v>22</v>
      </c>
    </row>
    <row r="49" spans="1:4" ht="9.9499999999999993" customHeight="1" x14ac:dyDescent="0.25">
      <c r="A49" s="424" t="s">
        <v>56</v>
      </c>
      <c r="B49" s="419">
        <v>32</v>
      </c>
      <c r="C49" s="419" t="s">
        <v>432</v>
      </c>
      <c r="D49" s="419">
        <v>33</v>
      </c>
    </row>
    <row r="50" spans="1:4" ht="9.9499999999999993" customHeight="1" x14ac:dyDescent="0.25">
      <c r="A50" s="432" t="s">
        <v>78</v>
      </c>
      <c r="B50" s="418">
        <f>AVERAGE(B51:B52)</f>
        <v>20</v>
      </c>
      <c r="C50" s="418">
        <f t="shared" ref="C50:D50" si="2">AVERAGE(C51:C52)</f>
        <v>20</v>
      </c>
      <c r="D50" s="418">
        <f t="shared" si="2"/>
        <v>23.5</v>
      </c>
    </row>
    <row r="51" spans="1:4" ht="9.9499999999999993" customHeight="1" x14ac:dyDescent="0.25">
      <c r="A51" s="424" t="s">
        <v>513</v>
      </c>
      <c r="B51" s="419">
        <v>20</v>
      </c>
      <c r="C51" s="419">
        <v>20</v>
      </c>
      <c r="D51" s="419" t="s">
        <v>403</v>
      </c>
    </row>
    <row r="52" spans="1:4" ht="9.9499999999999993" customHeight="1" x14ac:dyDescent="0.25">
      <c r="A52" s="424" t="s">
        <v>514</v>
      </c>
      <c r="B52" s="419" t="s">
        <v>403</v>
      </c>
      <c r="C52" s="419" t="s">
        <v>432</v>
      </c>
      <c r="D52" s="419">
        <v>23.5</v>
      </c>
    </row>
    <row r="53" spans="1:4" ht="9.9499999999999993" customHeight="1" x14ac:dyDescent="0.2">
      <c r="A53" s="423" t="s">
        <v>83</v>
      </c>
      <c r="B53" s="418">
        <f>AVERAGE(B54:B55)</f>
        <v>32.5</v>
      </c>
      <c r="C53" s="418">
        <f>AVERAGE(C54:C55)</f>
        <v>30.5</v>
      </c>
      <c r="D53" s="418" t="s">
        <v>4</v>
      </c>
    </row>
    <row r="54" spans="1:4" ht="9.9499999999999993" customHeight="1" x14ac:dyDescent="0.2">
      <c r="A54" s="407" t="s">
        <v>29</v>
      </c>
      <c r="B54" s="419">
        <v>25</v>
      </c>
      <c r="C54" s="419">
        <v>23</v>
      </c>
      <c r="D54" s="419" t="s">
        <v>432</v>
      </c>
    </row>
    <row r="55" spans="1:4" ht="9.9499999999999993" customHeight="1" x14ac:dyDescent="0.2">
      <c r="A55" s="407" t="s">
        <v>80</v>
      </c>
      <c r="B55" s="419">
        <v>40</v>
      </c>
      <c r="C55" s="419">
        <v>38</v>
      </c>
      <c r="D55" s="419" t="s">
        <v>403</v>
      </c>
    </row>
    <row r="56" spans="1:4" ht="9.9499999999999993" customHeight="1" x14ac:dyDescent="0.2">
      <c r="A56" s="423" t="s">
        <v>33</v>
      </c>
      <c r="B56" s="418">
        <f>AVERAGE(B57:B59)</f>
        <v>63</v>
      </c>
      <c r="C56" s="418" t="s">
        <v>4</v>
      </c>
      <c r="D56" s="418">
        <f>AVERAGE(D57:D59)</f>
        <v>53.333333333333336</v>
      </c>
    </row>
    <row r="57" spans="1:4" ht="9.9499999999999993" customHeight="1" x14ac:dyDescent="0.2">
      <c r="A57" s="407" t="s">
        <v>34</v>
      </c>
      <c r="B57" s="419">
        <v>61</v>
      </c>
      <c r="C57" s="419" t="s">
        <v>432</v>
      </c>
      <c r="D57" s="419">
        <v>50</v>
      </c>
    </row>
    <row r="58" spans="1:4" ht="9.9499999999999993" customHeight="1" x14ac:dyDescent="0.2">
      <c r="A58" s="407" t="s">
        <v>35</v>
      </c>
      <c r="B58" s="419" t="s">
        <v>403</v>
      </c>
      <c r="C58" s="419" t="s">
        <v>432</v>
      </c>
      <c r="D58" s="419">
        <v>56</v>
      </c>
    </row>
    <row r="59" spans="1:4" ht="9.9499999999999993" customHeight="1" x14ac:dyDescent="0.2">
      <c r="A59" s="407" t="s">
        <v>36</v>
      </c>
      <c r="B59" s="419">
        <v>65</v>
      </c>
      <c r="C59" s="419" t="s">
        <v>432</v>
      </c>
      <c r="D59" s="419">
        <v>54</v>
      </c>
    </row>
    <row r="60" spans="1:4" ht="9.9499999999999993" customHeight="1" x14ac:dyDescent="0.25">
      <c r="A60" s="432" t="s">
        <v>518</v>
      </c>
      <c r="B60" s="418" t="s">
        <v>4</v>
      </c>
      <c r="C60" s="418">
        <f t="shared" ref="C60:D60" si="3">AVERAGE(C61)</f>
        <v>20</v>
      </c>
      <c r="D60" s="418">
        <f t="shared" si="3"/>
        <v>32</v>
      </c>
    </row>
    <row r="61" spans="1:4" ht="9.9499999999999993" customHeight="1" x14ac:dyDescent="0.25">
      <c r="A61" s="424" t="s">
        <v>519</v>
      </c>
      <c r="B61" s="419" t="s">
        <v>403</v>
      </c>
      <c r="C61" s="419">
        <v>20</v>
      </c>
      <c r="D61" s="419">
        <v>32</v>
      </c>
    </row>
    <row r="62" spans="1:4" ht="9.9499999999999993" customHeight="1" x14ac:dyDescent="0.2">
      <c r="A62" s="423" t="s">
        <v>37</v>
      </c>
      <c r="B62" s="418" t="s">
        <v>4</v>
      </c>
      <c r="C62" s="418">
        <f>AVERAGE(C63:C64)</f>
        <v>30.75</v>
      </c>
      <c r="D62" s="418">
        <f>AVERAGE(D63:D64)</f>
        <v>40</v>
      </c>
    </row>
    <row r="63" spans="1:4" ht="9.9499999999999993" customHeight="1" x14ac:dyDescent="0.2">
      <c r="A63" s="422" t="s">
        <v>504</v>
      </c>
      <c r="B63" s="419" t="s">
        <v>403</v>
      </c>
      <c r="C63" s="419" t="s">
        <v>403</v>
      </c>
      <c r="D63" s="419">
        <v>40</v>
      </c>
    </row>
    <row r="64" spans="1:4" ht="9.9499999999999993" customHeight="1" x14ac:dyDescent="0.2">
      <c r="A64" s="407" t="s">
        <v>39</v>
      </c>
      <c r="B64" s="419" t="s">
        <v>403</v>
      </c>
      <c r="C64" s="419">
        <v>30.75</v>
      </c>
      <c r="D64" s="419" t="s">
        <v>432</v>
      </c>
    </row>
    <row r="65" spans="1:4" ht="9.9499999999999993" customHeight="1" x14ac:dyDescent="0.2">
      <c r="A65" s="423" t="s">
        <v>40</v>
      </c>
      <c r="B65" s="418">
        <f>AVERAGE(B66:B66)</f>
        <v>45</v>
      </c>
      <c r="C65" s="418" t="s">
        <v>4</v>
      </c>
      <c r="D65" s="418" t="s">
        <v>4</v>
      </c>
    </row>
    <row r="66" spans="1:4" ht="9.9499999999999993" customHeight="1" x14ac:dyDescent="0.2">
      <c r="A66" s="422" t="s">
        <v>42</v>
      </c>
      <c r="B66" s="419">
        <v>45</v>
      </c>
      <c r="C66" s="419" t="s">
        <v>403</v>
      </c>
      <c r="D66" s="419" t="s">
        <v>403</v>
      </c>
    </row>
    <row r="67" spans="1:4" ht="9.9499999999999993" customHeight="1" x14ac:dyDescent="0.2">
      <c r="A67" s="423" t="s">
        <v>194</v>
      </c>
      <c r="B67" s="418">
        <f>AVERAGE(B68:B70)</f>
        <v>36</v>
      </c>
      <c r="C67" s="418">
        <f>AVERAGE(C68:C70)</f>
        <v>37</v>
      </c>
      <c r="D67" s="418">
        <f>AVERAGE(D68:D70)</f>
        <v>25</v>
      </c>
    </row>
    <row r="68" spans="1:4" ht="9.9499999999999993" customHeight="1" x14ac:dyDescent="0.2">
      <c r="A68" s="422" t="s">
        <v>515</v>
      </c>
      <c r="B68" s="419">
        <v>37</v>
      </c>
      <c r="C68" s="419">
        <v>35</v>
      </c>
      <c r="D68" s="419">
        <v>25</v>
      </c>
    </row>
    <row r="69" spans="1:4" ht="9.9499999999999993" customHeight="1" x14ac:dyDescent="0.2">
      <c r="A69" s="422" t="s">
        <v>196</v>
      </c>
      <c r="B69" s="419">
        <v>35</v>
      </c>
      <c r="C69" s="419" t="s">
        <v>403</v>
      </c>
      <c r="D69" s="419" t="s">
        <v>403</v>
      </c>
    </row>
    <row r="70" spans="1:4" ht="9.9499999999999993" customHeight="1" x14ac:dyDescent="0.2">
      <c r="A70" s="422" t="s">
        <v>63</v>
      </c>
      <c r="B70" s="419" t="s">
        <v>403</v>
      </c>
      <c r="C70" s="419">
        <v>39</v>
      </c>
      <c r="D70" s="419" t="s">
        <v>403</v>
      </c>
    </row>
    <row r="71" spans="1:4" ht="9.9499999999999993" customHeight="1" x14ac:dyDescent="0.2">
      <c r="A71" s="423" t="s">
        <v>69</v>
      </c>
      <c r="B71" s="418">
        <f>AVERAGE(B72:B73)</f>
        <v>14.67</v>
      </c>
      <c r="C71" s="418">
        <f>AVERAGE(C72:C73)</f>
        <v>60</v>
      </c>
      <c r="D71" s="418">
        <f>AVERAGE(D72:D73)</f>
        <v>50</v>
      </c>
    </row>
    <row r="72" spans="1:4" ht="9.9499999999999993" customHeight="1" x14ac:dyDescent="0.2">
      <c r="A72" s="422" t="s">
        <v>70</v>
      </c>
      <c r="B72" s="419">
        <v>14.67</v>
      </c>
      <c r="C72" s="419" t="s">
        <v>403</v>
      </c>
      <c r="D72" s="419" t="s">
        <v>403</v>
      </c>
    </row>
    <row r="73" spans="1:4" ht="9.9499999999999993" customHeight="1" x14ac:dyDescent="0.2">
      <c r="A73" s="422" t="s">
        <v>71</v>
      </c>
      <c r="B73" s="419" t="s">
        <v>403</v>
      </c>
      <c r="C73" s="419">
        <v>60</v>
      </c>
      <c r="D73" s="419">
        <v>50</v>
      </c>
    </row>
    <row r="74" spans="1:4" ht="9.9499999999999993" customHeight="1" x14ac:dyDescent="0.2">
      <c r="A74" s="423" t="s">
        <v>44</v>
      </c>
      <c r="B74" s="418">
        <f>AVERAGE(B75:B76)</f>
        <v>18</v>
      </c>
      <c r="C74" s="418" t="s">
        <v>403</v>
      </c>
      <c r="D74" s="418">
        <f>AVERAGE(D75:D76)</f>
        <v>20</v>
      </c>
    </row>
    <row r="75" spans="1:4" ht="9.9499999999999993" customHeight="1" x14ac:dyDescent="0.2">
      <c r="A75" s="433" t="s">
        <v>45</v>
      </c>
      <c r="B75" s="527">
        <v>18</v>
      </c>
      <c r="C75" s="434" t="s">
        <v>403</v>
      </c>
      <c r="D75" s="434">
        <v>20</v>
      </c>
    </row>
    <row r="76" spans="1:4" ht="9" customHeight="1" x14ac:dyDescent="0.2">
      <c r="A76" s="457" t="s">
        <v>84</v>
      </c>
      <c r="B76" s="445"/>
      <c r="C76" s="445"/>
      <c r="D76" s="445"/>
    </row>
    <row r="77" spans="1:4" ht="9" customHeight="1" x14ac:dyDescent="0.25">
      <c r="A77" s="457" t="s">
        <v>65</v>
      </c>
      <c r="B77" s="465"/>
      <c r="C77" s="465"/>
      <c r="D77" s="465"/>
    </row>
    <row r="78" spans="1:4" ht="9" customHeight="1" x14ac:dyDescent="0.2">
      <c r="A78" s="458" t="s">
        <v>66</v>
      </c>
      <c r="B78" s="441"/>
      <c r="C78" s="441"/>
      <c r="D78" s="441"/>
    </row>
    <row r="79" spans="1:4" ht="15.75" customHeight="1" x14ac:dyDescent="0.2"/>
    <row r="80" spans="1:4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</sheetData>
  <pageMargins left="0.27559055118110237" right="0.27559055118110237" top="0.39370078740157483" bottom="0.39370078740157483" header="0" footer="0"/>
  <pageSetup paperSize="9" orientation="portrait" r:id="rId1"/>
  <ignoredErrors>
    <ignoredError sqref="C10:D88" formula="1"/>
  </ignoredErrors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/>
  <dimension ref="A1:Z659"/>
  <sheetViews>
    <sheetView showGridLines="0" zoomScaleNormal="100" workbookViewId="0">
      <pane ySplit="4" topLeftCell="A121" activePane="bottomLeft" state="frozen"/>
      <selection activeCell="L27" sqref="L27"/>
      <selection pane="bottomLeft" activeCell="L27" sqref="L27"/>
    </sheetView>
  </sheetViews>
  <sheetFormatPr baseColWidth="10" defaultColWidth="12.5703125" defaultRowHeight="15" customHeight="1" x14ac:dyDescent="0.2"/>
  <cols>
    <col min="1" max="1" width="18" style="2" customWidth="1"/>
    <col min="2" max="5" width="15" style="2" customWidth="1"/>
    <col min="6" max="25" width="11.42578125" style="2" customWidth="1"/>
    <col min="26" max="16384" width="12.5703125" style="2"/>
  </cols>
  <sheetData>
    <row r="1" spans="1:26" ht="12.75" customHeight="1" x14ac:dyDescent="0.25">
      <c r="A1" s="387" t="s">
        <v>426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  <c r="Z1" s="388"/>
    </row>
    <row r="2" spans="1:26" ht="12" customHeight="1" x14ac:dyDescent="0.2">
      <c r="A2" s="389" t="s">
        <v>557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</row>
    <row r="3" spans="1:26" ht="12" customHeight="1" x14ac:dyDescent="0.2">
      <c r="A3" s="389" t="s">
        <v>427</v>
      </c>
      <c r="B3" s="388"/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  <c r="R3" s="388"/>
      <c r="S3" s="388"/>
      <c r="T3" s="388"/>
      <c r="U3" s="388"/>
      <c r="V3" s="388"/>
      <c r="W3" s="388"/>
      <c r="X3" s="388"/>
      <c r="Y3" s="388"/>
      <c r="Z3" s="388"/>
    </row>
    <row r="4" spans="1:26" ht="4.5" customHeight="1" x14ac:dyDescent="0.2">
      <c r="A4" s="388"/>
      <c r="B4" s="388"/>
      <c r="C4" s="388"/>
      <c r="D4" s="388"/>
      <c r="E4" s="388"/>
      <c r="F4" s="388"/>
      <c r="G4" s="388"/>
      <c r="H4" s="388"/>
      <c r="I4" s="388"/>
      <c r="J4" s="388"/>
      <c r="K4" s="388"/>
      <c r="L4" s="388"/>
      <c r="M4" s="388"/>
      <c r="N4" s="388"/>
      <c r="O4" s="388"/>
      <c r="P4" s="388"/>
      <c r="Q4" s="388"/>
      <c r="R4" s="388"/>
      <c r="S4" s="388"/>
      <c r="T4" s="388"/>
      <c r="U4" s="388"/>
      <c r="V4" s="388"/>
      <c r="W4" s="388"/>
      <c r="X4" s="388"/>
      <c r="Y4" s="388"/>
      <c r="Z4" s="388"/>
    </row>
    <row r="5" spans="1:26" ht="24" customHeight="1" x14ac:dyDescent="0.2">
      <c r="A5" s="398" t="s">
        <v>0</v>
      </c>
      <c r="B5" s="435" t="s">
        <v>428</v>
      </c>
      <c r="C5" s="435" t="s">
        <v>429</v>
      </c>
      <c r="D5" s="435" t="s">
        <v>430</v>
      </c>
      <c r="E5" s="399" t="s">
        <v>431</v>
      </c>
    </row>
    <row r="6" spans="1:26" ht="4.5" customHeight="1" x14ac:dyDescent="0.2">
      <c r="A6" s="400"/>
      <c r="B6" s="400"/>
      <c r="C6" s="400"/>
      <c r="D6" s="400"/>
      <c r="E6" s="436"/>
    </row>
    <row r="7" spans="1:26" ht="11.1" customHeight="1" x14ac:dyDescent="0.2">
      <c r="A7" s="423" t="s">
        <v>466</v>
      </c>
      <c r="B7" s="418">
        <f>AVERAGE(B8:B8)</f>
        <v>21</v>
      </c>
      <c r="C7" s="418" t="s">
        <v>4</v>
      </c>
      <c r="D7" s="418" t="s">
        <v>4</v>
      </c>
      <c r="E7" s="418">
        <f>AVERAGE(E8:E8)</f>
        <v>16.5</v>
      </c>
    </row>
    <row r="8" spans="1:26" ht="11.1" customHeight="1" x14ac:dyDescent="0.2">
      <c r="A8" s="422" t="s">
        <v>469</v>
      </c>
      <c r="B8" s="419">
        <v>21</v>
      </c>
      <c r="C8" s="419" t="s">
        <v>403</v>
      </c>
      <c r="D8" s="419" t="s">
        <v>403</v>
      </c>
      <c r="E8" s="419">
        <v>16.5</v>
      </c>
    </row>
    <row r="9" spans="1:26" ht="11.1" customHeight="1" x14ac:dyDescent="0.25">
      <c r="A9" s="402" t="s">
        <v>419</v>
      </c>
      <c r="B9" s="418">
        <f t="shared" ref="B9:D9" si="0">AVERAGE(B10:B17)</f>
        <v>20.25</v>
      </c>
      <c r="C9" s="418">
        <f t="shared" si="0"/>
        <v>26.75</v>
      </c>
      <c r="D9" s="418">
        <f t="shared" si="0"/>
        <v>47.5</v>
      </c>
      <c r="E9" s="418">
        <f>AVERAGE(E10:E17)</f>
        <v>27.375</v>
      </c>
    </row>
    <row r="10" spans="1:26" ht="11.1" customHeight="1" x14ac:dyDescent="0.25">
      <c r="A10" s="404" t="s">
        <v>420</v>
      </c>
      <c r="B10" s="419">
        <v>10</v>
      </c>
      <c r="C10" s="419">
        <v>10</v>
      </c>
      <c r="D10" s="419" t="s">
        <v>403</v>
      </c>
      <c r="E10" s="419">
        <v>23</v>
      </c>
    </row>
    <row r="11" spans="1:26" ht="11.1" customHeight="1" x14ac:dyDescent="0.25">
      <c r="A11" s="404" t="s">
        <v>535</v>
      </c>
      <c r="B11" s="419" t="s">
        <v>403</v>
      </c>
      <c r="C11" s="419" t="s">
        <v>403</v>
      </c>
      <c r="D11" s="419" t="s">
        <v>403</v>
      </c>
      <c r="E11" s="419">
        <v>18.25</v>
      </c>
    </row>
    <row r="12" spans="1:26" ht="11.1" customHeight="1" x14ac:dyDescent="0.25">
      <c r="A12" s="404" t="s">
        <v>421</v>
      </c>
      <c r="B12" s="419">
        <v>10.5</v>
      </c>
      <c r="C12" s="419" t="s">
        <v>403</v>
      </c>
      <c r="D12" s="419" t="s">
        <v>403</v>
      </c>
      <c r="E12" s="419">
        <v>25</v>
      </c>
    </row>
    <row r="13" spans="1:26" ht="11.1" customHeight="1" x14ac:dyDescent="0.25">
      <c r="A13" s="404" t="s">
        <v>422</v>
      </c>
      <c r="B13" s="419">
        <v>25</v>
      </c>
      <c r="C13" s="419">
        <v>26</v>
      </c>
      <c r="D13" s="419" t="s">
        <v>403</v>
      </c>
      <c r="E13" s="419" t="s">
        <v>403</v>
      </c>
    </row>
    <row r="14" spans="1:26" ht="11.1" customHeight="1" x14ac:dyDescent="0.25">
      <c r="A14" s="404" t="s">
        <v>533</v>
      </c>
      <c r="B14" s="419">
        <v>33</v>
      </c>
      <c r="C14" s="419">
        <v>35.5</v>
      </c>
      <c r="D14" s="419">
        <v>47.5</v>
      </c>
      <c r="E14" s="419">
        <v>31.5</v>
      </c>
    </row>
    <row r="15" spans="1:26" ht="11.1" customHeight="1" x14ac:dyDescent="0.25">
      <c r="A15" s="404" t="s">
        <v>589</v>
      </c>
      <c r="B15" s="419">
        <v>33</v>
      </c>
      <c r="C15" s="419">
        <v>35.5</v>
      </c>
      <c r="D15" s="419">
        <v>47.5</v>
      </c>
      <c r="E15" s="419">
        <v>31.5</v>
      </c>
    </row>
    <row r="16" spans="1:26" ht="11.1" customHeight="1" x14ac:dyDescent="0.25">
      <c r="A16" s="404" t="s">
        <v>573</v>
      </c>
      <c r="B16" s="419" t="s">
        <v>403</v>
      </c>
      <c r="C16" s="419" t="s">
        <v>403</v>
      </c>
      <c r="D16" s="419" t="s">
        <v>403</v>
      </c>
      <c r="E16" s="419">
        <v>35</v>
      </c>
    </row>
    <row r="17" spans="1:5" ht="11.1" customHeight="1" x14ac:dyDescent="0.25">
      <c r="A17" s="404" t="s">
        <v>444</v>
      </c>
      <c r="B17" s="419">
        <v>10</v>
      </c>
      <c r="C17" s="419" t="s">
        <v>403</v>
      </c>
      <c r="D17" s="419" t="s">
        <v>403</v>
      </c>
      <c r="E17" s="419" t="s">
        <v>403</v>
      </c>
    </row>
    <row r="18" spans="1:5" ht="11.1" customHeight="1" x14ac:dyDescent="0.25">
      <c r="A18" s="402" t="s">
        <v>75</v>
      </c>
      <c r="B18" s="418">
        <f t="shared" ref="B18:E18" si="1">AVERAGE(B19:B23)</f>
        <v>40.497500000000002</v>
      </c>
      <c r="C18" s="418">
        <f t="shared" si="1"/>
        <v>35.666666666666664</v>
      </c>
      <c r="D18" s="418">
        <f t="shared" si="1"/>
        <v>40</v>
      </c>
      <c r="E18" s="418">
        <f t="shared" si="1"/>
        <v>26.5</v>
      </c>
    </row>
    <row r="19" spans="1:5" ht="11.1" customHeight="1" x14ac:dyDescent="0.2">
      <c r="A19" s="422" t="s">
        <v>151</v>
      </c>
      <c r="B19" s="419">
        <v>33.33</v>
      </c>
      <c r="C19" s="419">
        <v>34.33</v>
      </c>
      <c r="D19" s="419">
        <v>34.67</v>
      </c>
      <c r="E19" s="419" t="s">
        <v>403</v>
      </c>
    </row>
    <row r="20" spans="1:5" ht="11.1" customHeight="1" x14ac:dyDescent="0.2">
      <c r="A20" s="422" t="s">
        <v>152</v>
      </c>
      <c r="B20" s="419">
        <v>40.33</v>
      </c>
      <c r="C20" s="419">
        <v>40</v>
      </c>
      <c r="D20" s="419" t="s">
        <v>403</v>
      </c>
      <c r="E20" s="419">
        <v>35</v>
      </c>
    </row>
    <row r="21" spans="1:5" ht="11.1" customHeight="1" x14ac:dyDescent="0.2">
      <c r="A21" s="422" t="s">
        <v>536</v>
      </c>
      <c r="B21" s="419" t="s">
        <v>403</v>
      </c>
      <c r="C21" s="419" t="s">
        <v>403</v>
      </c>
      <c r="D21" s="419" t="s">
        <v>403</v>
      </c>
      <c r="E21" s="419">
        <v>18</v>
      </c>
    </row>
    <row r="22" spans="1:5" ht="11.1" customHeight="1" x14ac:dyDescent="0.2">
      <c r="A22" s="422" t="s">
        <v>154</v>
      </c>
      <c r="B22" s="419">
        <v>43</v>
      </c>
      <c r="C22" s="419">
        <v>32.67</v>
      </c>
      <c r="D22" s="419">
        <v>45.33</v>
      </c>
      <c r="E22" s="419" t="s">
        <v>403</v>
      </c>
    </row>
    <row r="23" spans="1:5" ht="11.1" customHeight="1" x14ac:dyDescent="0.2">
      <c r="A23" s="422" t="s">
        <v>157</v>
      </c>
      <c r="B23" s="419">
        <v>45.33</v>
      </c>
      <c r="C23" s="419" t="s">
        <v>403</v>
      </c>
      <c r="D23" s="419" t="s">
        <v>403</v>
      </c>
      <c r="E23" s="419" t="s">
        <v>403</v>
      </c>
    </row>
    <row r="24" spans="1:5" ht="11.1" customHeight="1" x14ac:dyDescent="0.2">
      <c r="A24" s="423" t="s">
        <v>2</v>
      </c>
      <c r="B24" s="418">
        <f>AVERAGE(B25:B31)</f>
        <v>19.881999999999998</v>
      </c>
      <c r="C24" s="418">
        <f t="shared" ref="C24:E24" si="2">AVERAGE(C25:C31)</f>
        <v>15</v>
      </c>
      <c r="D24" s="418">
        <f t="shared" si="2"/>
        <v>41.3125</v>
      </c>
      <c r="E24" s="418">
        <f t="shared" si="2"/>
        <v>21.7</v>
      </c>
    </row>
    <row r="25" spans="1:5" ht="11.1" customHeight="1" x14ac:dyDescent="0.2">
      <c r="A25" s="407" t="s">
        <v>5</v>
      </c>
      <c r="B25" s="419">
        <v>10</v>
      </c>
      <c r="C25" s="419">
        <v>15</v>
      </c>
      <c r="D25" s="419">
        <v>34</v>
      </c>
      <c r="E25" s="419">
        <v>22</v>
      </c>
    </row>
    <row r="26" spans="1:5" ht="11.1" customHeight="1" x14ac:dyDescent="0.25">
      <c r="A26" s="404" t="s">
        <v>76</v>
      </c>
      <c r="B26" s="419">
        <v>26.75</v>
      </c>
      <c r="C26" s="419" t="s">
        <v>403</v>
      </c>
      <c r="D26" s="419">
        <v>35.75</v>
      </c>
      <c r="E26" s="419">
        <v>19.5</v>
      </c>
    </row>
    <row r="27" spans="1:5" ht="11.1" customHeight="1" x14ac:dyDescent="0.25">
      <c r="A27" s="404" t="s">
        <v>82</v>
      </c>
      <c r="B27" s="419">
        <v>15.33</v>
      </c>
      <c r="C27" s="419" t="s">
        <v>403</v>
      </c>
      <c r="D27" s="419">
        <v>37</v>
      </c>
      <c r="E27" s="419" t="s">
        <v>403</v>
      </c>
    </row>
    <row r="28" spans="1:5" ht="11.1" customHeight="1" x14ac:dyDescent="0.25">
      <c r="A28" s="404" t="s">
        <v>398</v>
      </c>
      <c r="B28" s="419" t="s">
        <v>403</v>
      </c>
      <c r="C28" s="419">
        <v>15</v>
      </c>
      <c r="D28" s="419" t="s">
        <v>403</v>
      </c>
      <c r="E28" s="419">
        <v>18.5</v>
      </c>
    </row>
    <row r="29" spans="1:5" ht="11.1" customHeight="1" x14ac:dyDescent="0.25">
      <c r="A29" s="404" t="s">
        <v>59</v>
      </c>
      <c r="B29" s="419">
        <v>27.33</v>
      </c>
      <c r="C29" s="419" t="s">
        <v>403</v>
      </c>
      <c r="D29" s="419">
        <v>58.5</v>
      </c>
      <c r="E29" s="419">
        <v>24.5</v>
      </c>
    </row>
    <row r="30" spans="1:5" ht="11.1" customHeight="1" x14ac:dyDescent="0.2">
      <c r="A30" s="407" t="s">
        <v>125</v>
      </c>
      <c r="B30" s="419">
        <v>20</v>
      </c>
      <c r="C30" s="419" t="s">
        <v>403</v>
      </c>
      <c r="D30" s="419" t="s">
        <v>403</v>
      </c>
      <c r="E30" s="419" t="s">
        <v>403</v>
      </c>
    </row>
    <row r="31" spans="1:5" ht="11.1" customHeight="1" x14ac:dyDescent="0.25">
      <c r="A31" s="404" t="s">
        <v>186</v>
      </c>
      <c r="B31" s="419" t="s">
        <v>403</v>
      </c>
      <c r="C31" s="419" t="s">
        <v>403</v>
      </c>
      <c r="D31" s="419" t="s">
        <v>403</v>
      </c>
      <c r="E31" s="419">
        <v>24</v>
      </c>
    </row>
    <row r="32" spans="1:5" ht="11.1" customHeight="1" x14ac:dyDescent="0.2">
      <c r="A32" s="423" t="s">
        <v>6</v>
      </c>
      <c r="B32" s="418">
        <f>AVERAGE(B33:B35)</f>
        <v>25.11</v>
      </c>
      <c r="C32" s="418">
        <f>AVERAGE(C33:C35)</f>
        <v>16</v>
      </c>
      <c r="D32" s="418" t="s">
        <v>4</v>
      </c>
      <c r="E32" s="418" t="s">
        <v>4</v>
      </c>
    </row>
    <row r="33" spans="1:5" ht="11.1" customHeight="1" x14ac:dyDescent="0.2">
      <c r="A33" s="407" t="s">
        <v>8</v>
      </c>
      <c r="B33" s="419">
        <v>15</v>
      </c>
      <c r="C33" s="419" t="s">
        <v>403</v>
      </c>
      <c r="D33" s="419" t="s">
        <v>403</v>
      </c>
      <c r="E33" s="419" t="s">
        <v>403</v>
      </c>
    </row>
    <row r="34" spans="1:5" ht="11.1" customHeight="1" x14ac:dyDescent="0.2">
      <c r="A34" s="407" t="s">
        <v>11</v>
      </c>
      <c r="B34" s="419">
        <v>38</v>
      </c>
      <c r="C34" s="419" t="s">
        <v>403</v>
      </c>
      <c r="D34" s="419" t="s">
        <v>403</v>
      </c>
      <c r="E34" s="419" t="s">
        <v>403</v>
      </c>
    </row>
    <row r="35" spans="1:5" ht="11.1" customHeight="1" x14ac:dyDescent="0.2">
      <c r="A35" s="407" t="s">
        <v>89</v>
      </c>
      <c r="B35" s="419">
        <v>22.33</v>
      </c>
      <c r="C35" s="419">
        <v>16</v>
      </c>
      <c r="D35" s="419" t="s">
        <v>403</v>
      </c>
      <c r="E35" s="419" t="s">
        <v>403</v>
      </c>
    </row>
    <row r="36" spans="1:5" ht="11.1" customHeight="1" x14ac:dyDescent="0.2">
      <c r="A36" s="408" t="s">
        <v>13</v>
      </c>
      <c r="B36" s="418">
        <f>AVERAGE(B37:B38)</f>
        <v>34</v>
      </c>
      <c r="C36" s="418">
        <f>AVERAGE(C37:C38)</f>
        <v>38</v>
      </c>
      <c r="D36" s="418">
        <f>AVERAGE(D37:D38)</f>
        <v>55</v>
      </c>
      <c r="E36" s="418">
        <f>AVERAGE(E37:E38)</f>
        <v>18.25</v>
      </c>
    </row>
    <row r="37" spans="1:5" ht="11.1" customHeight="1" x14ac:dyDescent="0.2">
      <c r="A37" s="407" t="s">
        <v>68</v>
      </c>
      <c r="B37" s="419">
        <v>18</v>
      </c>
      <c r="C37" s="419">
        <v>35</v>
      </c>
      <c r="D37" s="419" t="s">
        <v>403</v>
      </c>
      <c r="E37" s="419">
        <v>16.5</v>
      </c>
    </row>
    <row r="38" spans="1:5" ht="11.1" customHeight="1" x14ac:dyDescent="0.2">
      <c r="A38" s="407" t="s">
        <v>67</v>
      </c>
      <c r="B38" s="419">
        <v>50</v>
      </c>
      <c r="C38" s="419">
        <v>41</v>
      </c>
      <c r="D38" s="419">
        <v>55</v>
      </c>
      <c r="E38" s="419">
        <v>20</v>
      </c>
    </row>
    <row r="39" spans="1:5" ht="11.1" customHeight="1" x14ac:dyDescent="0.2">
      <c r="A39" s="408" t="s">
        <v>14</v>
      </c>
      <c r="B39" s="418">
        <f>AVERAGE(B40:B42)</f>
        <v>30.5</v>
      </c>
      <c r="C39" s="418">
        <f>AVERAGE(C40:C42)</f>
        <v>25</v>
      </c>
      <c r="D39" s="418" t="s">
        <v>4</v>
      </c>
      <c r="E39" s="418" t="s">
        <v>4</v>
      </c>
    </row>
    <row r="40" spans="1:5" ht="11.1" customHeight="1" x14ac:dyDescent="0.2">
      <c r="A40" s="407" t="s">
        <v>465</v>
      </c>
      <c r="B40" s="419">
        <v>30</v>
      </c>
      <c r="C40" s="419" t="s">
        <v>403</v>
      </c>
      <c r="D40" s="419" t="s">
        <v>403</v>
      </c>
      <c r="E40" s="419" t="s">
        <v>403</v>
      </c>
    </row>
    <row r="41" spans="1:5" ht="11.1" customHeight="1" x14ac:dyDescent="0.2">
      <c r="A41" s="407" t="s">
        <v>15</v>
      </c>
      <c r="B41" s="419">
        <v>25</v>
      </c>
      <c r="C41" s="419">
        <v>25</v>
      </c>
      <c r="D41" s="419" t="s">
        <v>403</v>
      </c>
      <c r="E41" s="419" t="s">
        <v>403</v>
      </c>
    </row>
    <row r="42" spans="1:5" ht="11.1" customHeight="1" x14ac:dyDescent="0.2">
      <c r="A42" s="407" t="s">
        <v>188</v>
      </c>
      <c r="B42" s="419">
        <v>36.5</v>
      </c>
      <c r="C42" s="419" t="s">
        <v>403</v>
      </c>
      <c r="D42" s="419" t="s">
        <v>403</v>
      </c>
      <c r="E42" s="419" t="s">
        <v>403</v>
      </c>
    </row>
    <row r="43" spans="1:5" ht="11.1" customHeight="1" x14ac:dyDescent="0.2">
      <c r="A43" s="408" t="s">
        <v>16</v>
      </c>
      <c r="B43" s="418">
        <f>AVERAGE(B44:B50)</f>
        <v>16.405714285714286</v>
      </c>
      <c r="C43" s="418">
        <f>AVERAGE(C44:C50)</f>
        <v>18.515999999999998</v>
      </c>
      <c r="D43" s="418">
        <f>AVERAGE(D44:D50)</f>
        <v>28.125</v>
      </c>
      <c r="E43" s="418">
        <f>AVERAGE(E44:E50)</f>
        <v>19.9175</v>
      </c>
    </row>
    <row r="44" spans="1:5" ht="11.1" customHeight="1" x14ac:dyDescent="0.2">
      <c r="A44" s="407" t="s">
        <v>17</v>
      </c>
      <c r="B44" s="419">
        <v>10</v>
      </c>
      <c r="C44" s="419">
        <v>10</v>
      </c>
      <c r="D44" s="419">
        <v>31.67</v>
      </c>
      <c r="E44" s="419" t="s">
        <v>403</v>
      </c>
    </row>
    <row r="45" spans="1:5" ht="11.1" customHeight="1" x14ac:dyDescent="0.2">
      <c r="A45" s="407" t="s">
        <v>18</v>
      </c>
      <c r="B45" s="419">
        <v>20</v>
      </c>
      <c r="C45" s="419">
        <v>33.75</v>
      </c>
      <c r="D45" s="419" t="s">
        <v>403</v>
      </c>
      <c r="E45" s="419" t="s">
        <v>403</v>
      </c>
    </row>
    <row r="46" spans="1:5" ht="11.1" customHeight="1" x14ac:dyDescent="0.2">
      <c r="A46" s="407" t="s">
        <v>19</v>
      </c>
      <c r="B46" s="419">
        <v>17.670000000000002</v>
      </c>
      <c r="C46" s="419" t="s">
        <v>403</v>
      </c>
      <c r="D46" s="419">
        <v>26.33</v>
      </c>
      <c r="E46" s="419">
        <v>17.670000000000002</v>
      </c>
    </row>
    <row r="47" spans="1:5" ht="11.1" customHeight="1" x14ac:dyDescent="0.2">
      <c r="A47" s="407" t="s">
        <v>60</v>
      </c>
      <c r="B47" s="419">
        <v>15</v>
      </c>
      <c r="C47" s="419">
        <v>15</v>
      </c>
      <c r="D47" s="419" t="s">
        <v>403</v>
      </c>
      <c r="E47" s="419">
        <v>20</v>
      </c>
    </row>
    <row r="48" spans="1:5" ht="11.1" customHeight="1" x14ac:dyDescent="0.2">
      <c r="A48" s="407" t="s">
        <v>77</v>
      </c>
      <c r="B48" s="419">
        <v>17.670000000000002</v>
      </c>
      <c r="C48" s="419">
        <v>12.5</v>
      </c>
      <c r="D48" s="419">
        <v>21.5</v>
      </c>
      <c r="E48" s="419">
        <v>26</v>
      </c>
    </row>
    <row r="49" spans="1:5" ht="11.1" customHeight="1" x14ac:dyDescent="0.2">
      <c r="A49" s="407" t="s">
        <v>20</v>
      </c>
      <c r="B49" s="419">
        <v>22.5</v>
      </c>
      <c r="C49" s="419">
        <v>21.33</v>
      </c>
      <c r="D49" s="419">
        <v>33</v>
      </c>
      <c r="E49" s="419" t="s">
        <v>403</v>
      </c>
    </row>
    <row r="50" spans="1:5" ht="11.1" customHeight="1" x14ac:dyDescent="0.2">
      <c r="A50" s="407" t="s">
        <v>21</v>
      </c>
      <c r="B50" s="419">
        <v>12</v>
      </c>
      <c r="C50" s="419" t="s">
        <v>403</v>
      </c>
      <c r="D50" s="419" t="s">
        <v>403</v>
      </c>
      <c r="E50" s="419">
        <v>16</v>
      </c>
    </row>
    <row r="51" spans="1:5" ht="11.1" customHeight="1" x14ac:dyDescent="0.2">
      <c r="A51" s="423" t="s">
        <v>23</v>
      </c>
      <c r="B51" s="418">
        <f t="shared" ref="B51" si="3">AVERAGE(B52:B56)</f>
        <v>16</v>
      </c>
      <c r="C51" s="418" t="s">
        <v>4</v>
      </c>
      <c r="D51" s="418">
        <f>AVERAGE(D52:D56)</f>
        <v>36.833333333333336</v>
      </c>
      <c r="E51" s="418">
        <f>AVERAGE(E52:E56)</f>
        <v>23.434000000000001</v>
      </c>
    </row>
    <row r="52" spans="1:5" ht="11.1" customHeight="1" x14ac:dyDescent="0.2">
      <c r="A52" s="407" t="s">
        <v>51</v>
      </c>
      <c r="B52" s="419" t="s">
        <v>403</v>
      </c>
      <c r="C52" s="419" t="s">
        <v>403</v>
      </c>
      <c r="D52" s="419">
        <v>44</v>
      </c>
      <c r="E52" s="419">
        <v>28.5</v>
      </c>
    </row>
    <row r="53" spans="1:5" ht="11.1" customHeight="1" x14ac:dyDescent="0.2">
      <c r="A53" s="407" t="s">
        <v>520</v>
      </c>
      <c r="B53" s="419" t="s">
        <v>403</v>
      </c>
      <c r="C53" s="419" t="s">
        <v>403</v>
      </c>
      <c r="D53" s="419" t="s">
        <v>403</v>
      </c>
      <c r="E53" s="419">
        <v>18</v>
      </c>
    </row>
    <row r="54" spans="1:5" ht="11.1" customHeight="1" x14ac:dyDescent="0.2">
      <c r="A54" s="407" t="s">
        <v>521</v>
      </c>
      <c r="B54" s="419" t="s">
        <v>403</v>
      </c>
      <c r="C54" s="419" t="s">
        <v>403</v>
      </c>
      <c r="D54" s="419" t="s">
        <v>403</v>
      </c>
      <c r="E54" s="419">
        <v>22</v>
      </c>
    </row>
    <row r="55" spans="1:5" ht="11.1" customHeight="1" x14ac:dyDescent="0.2">
      <c r="A55" s="407" t="s">
        <v>522</v>
      </c>
      <c r="B55" s="419">
        <v>16</v>
      </c>
      <c r="C55" s="419" t="s">
        <v>403</v>
      </c>
      <c r="D55" s="419">
        <v>38.5</v>
      </c>
      <c r="E55" s="419">
        <v>20.67</v>
      </c>
    </row>
    <row r="56" spans="1:5" ht="11.1" customHeight="1" x14ac:dyDescent="0.2">
      <c r="A56" s="407" t="s">
        <v>56</v>
      </c>
      <c r="B56" s="419" t="s">
        <v>403</v>
      </c>
      <c r="C56" s="419" t="s">
        <v>403</v>
      </c>
      <c r="D56" s="419">
        <v>28</v>
      </c>
      <c r="E56" s="419">
        <v>28</v>
      </c>
    </row>
    <row r="57" spans="1:5" ht="15.75" customHeight="1" x14ac:dyDescent="0.25">
      <c r="A57" s="437"/>
      <c r="B57" s="438"/>
      <c r="C57" s="438"/>
      <c r="D57" s="438"/>
      <c r="E57" s="439" t="s">
        <v>24</v>
      </c>
    </row>
    <row r="58" spans="1:5" ht="15.75" customHeight="1" x14ac:dyDescent="0.25">
      <c r="A58" s="440" t="s">
        <v>508</v>
      </c>
      <c r="B58" s="441"/>
      <c r="C58" s="441"/>
      <c r="D58" s="442"/>
      <c r="E58" s="443"/>
    </row>
    <row r="59" spans="1:5" ht="24" customHeight="1" x14ac:dyDescent="0.2">
      <c r="A59" s="398" t="s">
        <v>0</v>
      </c>
      <c r="B59" s="435" t="s">
        <v>428</v>
      </c>
      <c r="C59" s="435" t="s">
        <v>429</v>
      </c>
      <c r="D59" s="435" t="s">
        <v>430</v>
      </c>
      <c r="E59" s="483" t="s">
        <v>431</v>
      </c>
    </row>
    <row r="60" spans="1:5" ht="5.25" customHeight="1" x14ac:dyDescent="0.2">
      <c r="A60" s="426"/>
      <c r="B60" s="425"/>
      <c r="C60" s="425"/>
      <c r="D60" s="425"/>
      <c r="E60" s="425"/>
    </row>
    <row r="61" spans="1:5" ht="11.1" customHeight="1" x14ac:dyDescent="0.2">
      <c r="A61" s="423" t="s">
        <v>78</v>
      </c>
      <c r="B61" s="418">
        <f>AVERAGE(B62:B65)</f>
        <v>23.166666666666668</v>
      </c>
      <c r="C61" s="418">
        <f t="shared" ref="C61:E61" si="4">AVERAGE(C62:C65)</f>
        <v>24</v>
      </c>
      <c r="D61" s="403">
        <f t="shared" si="4"/>
        <v>32.333333333333336</v>
      </c>
      <c r="E61" s="418">
        <f t="shared" si="4"/>
        <v>45</v>
      </c>
    </row>
    <row r="62" spans="1:5" ht="11.1" customHeight="1" x14ac:dyDescent="0.2">
      <c r="A62" s="407" t="s">
        <v>85</v>
      </c>
      <c r="B62" s="405" t="s">
        <v>403</v>
      </c>
      <c r="C62" s="405" t="s">
        <v>403</v>
      </c>
      <c r="D62" s="405">
        <v>32.5</v>
      </c>
      <c r="E62" s="405" t="s">
        <v>403</v>
      </c>
    </row>
    <row r="63" spans="1:5" ht="11.1" customHeight="1" x14ac:dyDescent="0.2">
      <c r="A63" s="407" t="s">
        <v>25</v>
      </c>
      <c r="B63" s="419">
        <v>39.5</v>
      </c>
      <c r="C63" s="405" t="s">
        <v>403</v>
      </c>
      <c r="D63" s="405" t="s">
        <v>403</v>
      </c>
      <c r="E63" s="405" t="s">
        <v>403</v>
      </c>
    </row>
    <row r="64" spans="1:5" ht="11.1" customHeight="1" x14ac:dyDescent="0.2">
      <c r="A64" s="407" t="s">
        <v>513</v>
      </c>
      <c r="B64" s="419">
        <v>15</v>
      </c>
      <c r="C64" s="405" t="s">
        <v>403</v>
      </c>
      <c r="D64" s="405">
        <v>30</v>
      </c>
      <c r="E64" s="419">
        <v>45</v>
      </c>
    </row>
    <row r="65" spans="1:5" ht="11.1" customHeight="1" x14ac:dyDescent="0.2">
      <c r="A65" s="407" t="s">
        <v>514</v>
      </c>
      <c r="B65" s="419">
        <v>15</v>
      </c>
      <c r="C65" s="419">
        <v>24</v>
      </c>
      <c r="D65" s="405">
        <v>34.5</v>
      </c>
      <c r="E65" s="405" t="s">
        <v>403</v>
      </c>
    </row>
    <row r="66" spans="1:5" ht="11.1" customHeight="1" x14ac:dyDescent="0.2">
      <c r="A66" s="423" t="s">
        <v>83</v>
      </c>
      <c r="B66" s="418">
        <f>AVERAGE(B67:B77)</f>
        <v>21.361666666666668</v>
      </c>
      <c r="C66" s="418">
        <f>AVERAGE(C67:C77)</f>
        <v>17</v>
      </c>
      <c r="D66" s="403">
        <f>AVERAGE(D67:D77)</f>
        <v>33.9</v>
      </c>
      <c r="E66" s="418">
        <f>AVERAGE(E67:E77)</f>
        <v>22.396250000000002</v>
      </c>
    </row>
    <row r="67" spans="1:5" ht="11.1" customHeight="1" x14ac:dyDescent="0.2">
      <c r="A67" s="407" t="s">
        <v>26</v>
      </c>
      <c r="B67" s="419">
        <v>22</v>
      </c>
      <c r="C67" s="419" t="s">
        <v>403</v>
      </c>
      <c r="D67" s="405">
        <v>34</v>
      </c>
      <c r="E67" s="419" t="s">
        <v>403</v>
      </c>
    </row>
    <row r="68" spans="1:5" ht="11.1" customHeight="1" x14ac:dyDescent="0.2">
      <c r="A68" s="407" t="s">
        <v>79</v>
      </c>
      <c r="B68" s="419">
        <v>30.67</v>
      </c>
      <c r="C68" s="419" t="s">
        <v>403</v>
      </c>
      <c r="D68" s="419" t="s">
        <v>432</v>
      </c>
      <c r="E68" s="419">
        <v>38</v>
      </c>
    </row>
    <row r="69" spans="1:5" ht="11.1" customHeight="1" x14ac:dyDescent="0.2">
      <c r="A69" s="407" t="s">
        <v>27</v>
      </c>
      <c r="B69" s="419" t="s">
        <v>403</v>
      </c>
      <c r="C69" s="419" t="s">
        <v>403</v>
      </c>
      <c r="D69" s="405">
        <v>30</v>
      </c>
      <c r="E69" s="419" t="s">
        <v>403</v>
      </c>
    </row>
    <row r="70" spans="1:5" ht="11.1" customHeight="1" x14ac:dyDescent="0.2">
      <c r="A70" s="407" t="s">
        <v>28</v>
      </c>
      <c r="B70" s="419" t="s">
        <v>403</v>
      </c>
      <c r="C70" s="419" t="s">
        <v>403</v>
      </c>
      <c r="D70" s="405">
        <v>36</v>
      </c>
      <c r="E70" s="419">
        <v>25.25</v>
      </c>
    </row>
    <row r="71" spans="1:5" ht="11.1" customHeight="1" x14ac:dyDescent="0.2">
      <c r="A71" s="407" t="s">
        <v>62</v>
      </c>
      <c r="B71" s="419">
        <v>17.5</v>
      </c>
      <c r="C71" s="419">
        <v>15</v>
      </c>
      <c r="D71" s="419" t="s">
        <v>432</v>
      </c>
      <c r="E71" s="419" t="s">
        <v>432</v>
      </c>
    </row>
    <row r="72" spans="1:5" ht="11.1" customHeight="1" x14ac:dyDescent="0.2">
      <c r="A72" s="407" t="s">
        <v>29</v>
      </c>
      <c r="B72" s="419">
        <v>20</v>
      </c>
      <c r="C72" s="419">
        <v>18</v>
      </c>
      <c r="D72" s="419" t="s">
        <v>403</v>
      </c>
      <c r="E72" s="419">
        <v>19.329999999999998</v>
      </c>
    </row>
    <row r="73" spans="1:5" ht="11.1" customHeight="1" x14ac:dyDescent="0.2">
      <c r="A73" s="407" t="s">
        <v>80</v>
      </c>
      <c r="B73" s="419">
        <v>20</v>
      </c>
      <c r="C73" s="419">
        <v>18</v>
      </c>
      <c r="D73" s="419" t="s">
        <v>432</v>
      </c>
      <c r="E73" s="419">
        <v>20</v>
      </c>
    </row>
    <row r="74" spans="1:5" ht="11.1" customHeight="1" x14ac:dyDescent="0.2">
      <c r="A74" s="407" t="s">
        <v>30</v>
      </c>
      <c r="B74" s="419" t="s">
        <v>403</v>
      </c>
      <c r="C74" s="419" t="s">
        <v>403</v>
      </c>
      <c r="D74" s="419" t="s">
        <v>432</v>
      </c>
      <c r="E74" s="419">
        <v>20.25</v>
      </c>
    </row>
    <row r="75" spans="1:5" ht="11.1" customHeight="1" x14ac:dyDescent="0.2">
      <c r="A75" s="407" t="s">
        <v>31</v>
      </c>
      <c r="B75" s="419" t="s">
        <v>403</v>
      </c>
      <c r="C75" s="419" t="s">
        <v>403</v>
      </c>
      <c r="D75" s="419" t="s">
        <v>432</v>
      </c>
      <c r="E75" s="419">
        <v>17.670000000000002</v>
      </c>
    </row>
    <row r="76" spans="1:5" ht="11.1" customHeight="1" x14ac:dyDescent="0.2">
      <c r="A76" s="407" t="s">
        <v>32</v>
      </c>
      <c r="B76" s="419">
        <v>18</v>
      </c>
      <c r="C76" s="419" t="s">
        <v>403</v>
      </c>
      <c r="D76" s="419">
        <v>34.5</v>
      </c>
      <c r="E76" s="419">
        <v>17.670000000000002</v>
      </c>
    </row>
    <row r="77" spans="1:5" ht="11.1" customHeight="1" x14ac:dyDescent="0.2">
      <c r="A77" s="407" t="s">
        <v>64</v>
      </c>
      <c r="B77" s="419" t="s">
        <v>432</v>
      </c>
      <c r="C77" s="419" t="s">
        <v>403</v>
      </c>
      <c r="D77" s="419">
        <v>35</v>
      </c>
      <c r="E77" s="419">
        <v>21</v>
      </c>
    </row>
    <row r="78" spans="1:5" ht="11.1" customHeight="1" x14ac:dyDescent="0.2">
      <c r="A78" s="423" t="s">
        <v>33</v>
      </c>
      <c r="B78" s="418">
        <f>AVERAGE(B79:B81)</f>
        <v>17.666666666666668</v>
      </c>
      <c r="C78" s="418" t="s">
        <v>4</v>
      </c>
      <c r="D78" s="418">
        <f>AVERAGE(D79:D81)</f>
        <v>37.666666666666664</v>
      </c>
      <c r="E78" s="418">
        <f>AVERAGE(E79:E81)</f>
        <v>16.166666666666668</v>
      </c>
    </row>
    <row r="79" spans="1:5" ht="11.1" customHeight="1" x14ac:dyDescent="0.2">
      <c r="A79" s="407" t="s">
        <v>34</v>
      </c>
      <c r="B79" s="419">
        <v>15.5</v>
      </c>
      <c r="C79" s="419" t="s">
        <v>403</v>
      </c>
      <c r="D79" s="419">
        <v>34</v>
      </c>
      <c r="E79" s="419">
        <v>14.5</v>
      </c>
    </row>
    <row r="80" spans="1:5" ht="11.1" customHeight="1" x14ac:dyDescent="0.2">
      <c r="A80" s="407" t="s">
        <v>35</v>
      </c>
      <c r="B80" s="419">
        <v>20</v>
      </c>
      <c r="C80" s="419" t="s">
        <v>403</v>
      </c>
      <c r="D80" s="419">
        <v>41</v>
      </c>
      <c r="E80" s="419">
        <v>18</v>
      </c>
    </row>
    <row r="81" spans="1:5" ht="11.1" customHeight="1" x14ac:dyDescent="0.2">
      <c r="A81" s="407" t="s">
        <v>36</v>
      </c>
      <c r="B81" s="419">
        <v>17.5</v>
      </c>
      <c r="C81" s="419" t="s">
        <v>403</v>
      </c>
      <c r="D81" s="419">
        <v>38</v>
      </c>
      <c r="E81" s="419">
        <v>16</v>
      </c>
    </row>
    <row r="82" spans="1:5" ht="11.1" customHeight="1" x14ac:dyDescent="0.2">
      <c r="A82" s="423" t="s">
        <v>185</v>
      </c>
      <c r="B82" s="418" t="s">
        <v>4</v>
      </c>
      <c r="C82" s="418">
        <v>18.5</v>
      </c>
      <c r="D82" s="418">
        <v>41</v>
      </c>
      <c r="E82" s="418">
        <v>21.5</v>
      </c>
    </row>
    <row r="83" spans="1:5" ht="11.1" customHeight="1" x14ac:dyDescent="0.2">
      <c r="A83" s="423" t="s">
        <v>518</v>
      </c>
      <c r="B83" s="418">
        <f>AVERAGE(B84)</f>
        <v>20</v>
      </c>
      <c r="C83" s="418" t="s">
        <v>4</v>
      </c>
      <c r="D83" s="418" t="s">
        <v>4</v>
      </c>
      <c r="E83" s="418">
        <f t="shared" ref="E83" si="5">AVERAGE(E84)</f>
        <v>23.33</v>
      </c>
    </row>
    <row r="84" spans="1:5" ht="11.1" customHeight="1" x14ac:dyDescent="0.2">
      <c r="A84" s="407" t="s">
        <v>519</v>
      </c>
      <c r="B84" s="419">
        <v>20</v>
      </c>
      <c r="C84" s="419" t="s">
        <v>403</v>
      </c>
      <c r="D84" s="419" t="s">
        <v>403</v>
      </c>
      <c r="E84" s="419">
        <v>23.33</v>
      </c>
    </row>
    <row r="85" spans="1:5" ht="11.1" customHeight="1" x14ac:dyDescent="0.2">
      <c r="A85" s="423" t="s">
        <v>190</v>
      </c>
      <c r="B85" s="418">
        <f t="shared" ref="B85:E85" si="6">AVERAGE(B86)</f>
        <v>15</v>
      </c>
      <c r="C85" s="418">
        <f t="shared" si="6"/>
        <v>15</v>
      </c>
      <c r="D85" s="418">
        <f t="shared" si="6"/>
        <v>35</v>
      </c>
      <c r="E85" s="418">
        <f t="shared" si="6"/>
        <v>25</v>
      </c>
    </row>
    <row r="86" spans="1:5" ht="11.1" customHeight="1" x14ac:dyDescent="0.2">
      <c r="A86" s="407" t="s">
        <v>193</v>
      </c>
      <c r="B86" s="419">
        <v>15</v>
      </c>
      <c r="C86" s="419">
        <v>15</v>
      </c>
      <c r="D86" s="419">
        <v>35</v>
      </c>
      <c r="E86" s="419">
        <v>25</v>
      </c>
    </row>
    <row r="87" spans="1:5" ht="11.1" customHeight="1" x14ac:dyDescent="0.2">
      <c r="A87" s="408" t="s">
        <v>37</v>
      </c>
      <c r="B87" s="418">
        <f>AVERAGE(B88:B90)</f>
        <v>21.5</v>
      </c>
      <c r="C87" s="418">
        <f t="shared" ref="C87:E87" si="7">AVERAGE(C88:C90)</f>
        <v>19</v>
      </c>
      <c r="D87" s="418">
        <f t="shared" si="7"/>
        <v>33.68</v>
      </c>
      <c r="E87" s="418">
        <f t="shared" si="7"/>
        <v>23.125</v>
      </c>
    </row>
    <row r="88" spans="1:5" ht="11.1" customHeight="1" x14ac:dyDescent="0.2">
      <c r="A88" s="407" t="s">
        <v>395</v>
      </c>
      <c r="B88" s="419">
        <v>15</v>
      </c>
      <c r="C88" s="419" t="s">
        <v>403</v>
      </c>
      <c r="D88" s="419" t="s">
        <v>403</v>
      </c>
      <c r="E88" s="419" t="s">
        <v>403</v>
      </c>
    </row>
    <row r="89" spans="1:5" ht="11.1" customHeight="1" x14ac:dyDescent="0.2">
      <c r="A89" s="407" t="s">
        <v>38</v>
      </c>
      <c r="B89" s="419" t="s">
        <v>403</v>
      </c>
      <c r="C89" s="419" t="s">
        <v>403</v>
      </c>
      <c r="D89" s="419">
        <v>35.36</v>
      </c>
      <c r="E89" s="419">
        <v>19.5</v>
      </c>
    </row>
    <row r="90" spans="1:5" ht="11.1" customHeight="1" x14ac:dyDescent="0.2">
      <c r="A90" s="407" t="s">
        <v>39</v>
      </c>
      <c r="B90" s="419">
        <v>28</v>
      </c>
      <c r="C90" s="419">
        <v>19</v>
      </c>
      <c r="D90" s="419">
        <v>32</v>
      </c>
      <c r="E90" s="419">
        <v>26.75</v>
      </c>
    </row>
    <row r="91" spans="1:5" ht="11.1" customHeight="1" x14ac:dyDescent="0.2">
      <c r="A91" s="408" t="s">
        <v>40</v>
      </c>
      <c r="B91" s="418">
        <f>AVERAGE(B92:B95)</f>
        <v>24.11</v>
      </c>
      <c r="C91" s="418">
        <f>AVERAGE(C92:C95)</f>
        <v>26.333333333333332</v>
      </c>
      <c r="D91" s="418">
        <f>AVERAGE(D92:D95)</f>
        <v>35</v>
      </c>
      <c r="E91" s="418">
        <f>AVERAGE(E92:E95)</f>
        <v>23.414999999999999</v>
      </c>
    </row>
    <row r="92" spans="1:5" ht="11.1" customHeight="1" x14ac:dyDescent="0.2">
      <c r="A92" s="407" t="s">
        <v>41</v>
      </c>
      <c r="B92" s="419">
        <v>20</v>
      </c>
      <c r="C92" s="419">
        <v>25</v>
      </c>
      <c r="D92" s="419" t="s">
        <v>403</v>
      </c>
      <c r="E92" s="419" t="s">
        <v>403</v>
      </c>
    </row>
    <row r="93" spans="1:5" ht="11.1" customHeight="1" x14ac:dyDescent="0.2">
      <c r="A93" s="407" t="s">
        <v>42</v>
      </c>
      <c r="B93" s="419">
        <v>25</v>
      </c>
      <c r="C93" s="419">
        <v>25</v>
      </c>
      <c r="D93" s="419" t="s">
        <v>403</v>
      </c>
      <c r="E93" s="419">
        <v>20.5</v>
      </c>
    </row>
    <row r="94" spans="1:5" ht="11.1" customHeight="1" x14ac:dyDescent="0.2">
      <c r="A94" s="407" t="s">
        <v>43</v>
      </c>
      <c r="B94" s="419">
        <v>27.33</v>
      </c>
      <c r="C94" s="419">
        <v>29</v>
      </c>
      <c r="D94" s="419" t="s">
        <v>403</v>
      </c>
      <c r="E94" s="419">
        <v>26.33</v>
      </c>
    </row>
    <row r="95" spans="1:5" ht="11.1" customHeight="1" x14ac:dyDescent="0.2">
      <c r="A95" s="407" t="s">
        <v>406</v>
      </c>
      <c r="B95" s="419" t="s">
        <v>403</v>
      </c>
      <c r="C95" s="419" t="s">
        <v>403</v>
      </c>
      <c r="D95" s="419">
        <v>35</v>
      </c>
      <c r="E95" s="419" t="s">
        <v>403</v>
      </c>
    </row>
    <row r="96" spans="1:5" ht="11.1" customHeight="1" x14ac:dyDescent="0.2">
      <c r="A96" s="408" t="s">
        <v>194</v>
      </c>
      <c r="B96" s="418">
        <f>AVERAGE(B97:B103)</f>
        <v>15.234</v>
      </c>
      <c r="C96" s="418">
        <f>AVERAGE(C97:C103)</f>
        <v>18.2925</v>
      </c>
      <c r="D96" s="418">
        <f>AVERAGE(D97:D103)</f>
        <v>30</v>
      </c>
      <c r="E96" s="418">
        <f>AVERAGE(E97:E103)</f>
        <v>21.25</v>
      </c>
    </row>
    <row r="97" spans="1:5" ht="11.1" customHeight="1" x14ac:dyDescent="0.2">
      <c r="A97" s="407" t="s">
        <v>515</v>
      </c>
      <c r="B97" s="419">
        <v>20</v>
      </c>
      <c r="C97" s="419">
        <v>18</v>
      </c>
      <c r="D97" s="419">
        <v>30</v>
      </c>
      <c r="E97" s="419">
        <v>22</v>
      </c>
    </row>
    <row r="98" spans="1:5" ht="11.1" customHeight="1" x14ac:dyDescent="0.2">
      <c r="A98" s="407" t="s">
        <v>197</v>
      </c>
      <c r="B98" s="419" t="s">
        <v>403</v>
      </c>
      <c r="C98" s="419">
        <v>32.5</v>
      </c>
      <c r="D98" s="419" t="s">
        <v>403</v>
      </c>
      <c r="E98" s="419" t="s">
        <v>403</v>
      </c>
    </row>
    <row r="99" spans="1:5" ht="11.1" customHeight="1" x14ac:dyDescent="0.2">
      <c r="A99" s="407" t="s">
        <v>196</v>
      </c>
      <c r="B99" s="419" t="s">
        <v>403</v>
      </c>
      <c r="C99" s="419" t="s">
        <v>403</v>
      </c>
      <c r="D99" s="419" t="s">
        <v>403</v>
      </c>
      <c r="E99" s="419">
        <v>20</v>
      </c>
    </row>
    <row r="100" spans="1:5" ht="11.1" customHeight="1" x14ac:dyDescent="0.2">
      <c r="A100" s="407" t="s">
        <v>63</v>
      </c>
      <c r="B100" s="419">
        <v>21.5</v>
      </c>
      <c r="C100" s="419" t="s">
        <v>403</v>
      </c>
      <c r="D100" s="419" t="s">
        <v>403</v>
      </c>
      <c r="E100" s="419">
        <v>21</v>
      </c>
    </row>
    <row r="101" spans="1:5" ht="11.1" customHeight="1" x14ac:dyDescent="0.2">
      <c r="A101" s="407" t="s">
        <v>195</v>
      </c>
      <c r="B101" s="419">
        <v>10.67</v>
      </c>
      <c r="C101" s="419">
        <v>10.67</v>
      </c>
      <c r="D101" s="419" t="s">
        <v>403</v>
      </c>
      <c r="E101" s="419" t="s">
        <v>403</v>
      </c>
    </row>
    <row r="102" spans="1:5" ht="11.1" customHeight="1" x14ac:dyDescent="0.2">
      <c r="A102" s="407" t="s">
        <v>195</v>
      </c>
      <c r="B102" s="419">
        <v>12</v>
      </c>
      <c r="C102" s="419">
        <v>12</v>
      </c>
      <c r="D102" s="419">
        <v>30</v>
      </c>
      <c r="E102" s="419">
        <v>22</v>
      </c>
    </row>
    <row r="103" spans="1:5" ht="11.1" customHeight="1" x14ac:dyDescent="0.2">
      <c r="A103" s="407" t="s">
        <v>198</v>
      </c>
      <c r="B103" s="419">
        <v>12</v>
      </c>
      <c r="C103" s="419" t="s">
        <v>403</v>
      </c>
      <c r="D103" s="419" t="s">
        <v>403</v>
      </c>
      <c r="E103" s="419" t="s">
        <v>403</v>
      </c>
    </row>
    <row r="104" spans="1:5" ht="11.1" customHeight="1" x14ac:dyDescent="0.2">
      <c r="A104" s="408" t="s">
        <v>81</v>
      </c>
      <c r="B104" s="418">
        <f>AVERAGE(B105:B106)</f>
        <v>15</v>
      </c>
      <c r="C104" s="418">
        <f>AVERAGE(C105:C106)</f>
        <v>10</v>
      </c>
      <c r="D104" s="418" t="s">
        <v>4</v>
      </c>
      <c r="E104" s="418" t="s">
        <v>4</v>
      </c>
    </row>
    <row r="105" spans="1:5" ht="11.1" customHeight="1" x14ac:dyDescent="0.2">
      <c r="A105" s="407" t="s">
        <v>57</v>
      </c>
      <c r="B105" s="419">
        <v>10</v>
      </c>
      <c r="C105" s="419">
        <v>10</v>
      </c>
      <c r="D105" s="419" t="s">
        <v>403</v>
      </c>
      <c r="E105" s="419" t="s">
        <v>403</v>
      </c>
    </row>
    <row r="106" spans="1:5" ht="11.1" customHeight="1" x14ac:dyDescent="0.2">
      <c r="A106" s="407" t="s">
        <v>58</v>
      </c>
      <c r="B106" s="419">
        <v>20</v>
      </c>
      <c r="C106" s="419" t="s">
        <v>403</v>
      </c>
      <c r="D106" s="419" t="s">
        <v>403</v>
      </c>
      <c r="E106" s="419" t="s">
        <v>403</v>
      </c>
    </row>
    <row r="107" spans="1:5" ht="11.1" customHeight="1" x14ac:dyDescent="0.2">
      <c r="A107" s="408" t="s">
        <v>86</v>
      </c>
      <c r="B107" s="418">
        <f>AVERAGE(B108:B110)</f>
        <v>16.164999999999999</v>
      </c>
      <c r="C107" s="418" t="s">
        <v>4</v>
      </c>
      <c r="D107" s="418">
        <f>AVERAGE(D108:D110)</f>
        <v>32.33</v>
      </c>
      <c r="E107" s="418">
        <f>AVERAGE(E108:E110)</f>
        <v>26.164999999999999</v>
      </c>
    </row>
    <row r="108" spans="1:5" ht="11.1" customHeight="1" x14ac:dyDescent="0.2">
      <c r="A108" s="407" t="s">
        <v>445</v>
      </c>
      <c r="B108" s="419" t="s">
        <v>403</v>
      </c>
      <c r="C108" s="419" t="s">
        <v>403</v>
      </c>
      <c r="D108" s="419" t="s">
        <v>403</v>
      </c>
      <c r="E108" s="419">
        <v>28</v>
      </c>
    </row>
    <row r="109" spans="1:5" ht="11.1" customHeight="1" x14ac:dyDescent="0.2">
      <c r="A109" s="407" t="s">
        <v>517</v>
      </c>
      <c r="B109" s="419">
        <v>15</v>
      </c>
      <c r="C109" s="419" t="s">
        <v>403</v>
      </c>
      <c r="D109" s="419" t="s">
        <v>403</v>
      </c>
      <c r="E109" s="419" t="s">
        <v>403</v>
      </c>
    </row>
    <row r="110" spans="1:5" ht="11.1" customHeight="1" x14ac:dyDescent="0.2">
      <c r="A110" s="407" t="s">
        <v>87</v>
      </c>
      <c r="B110" s="419">
        <v>17.329999999999998</v>
      </c>
      <c r="C110" s="419" t="s">
        <v>403</v>
      </c>
      <c r="D110" s="419">
        <v>32.33</v>
      </c>
      <c r="E110" s="419">
        <v>24.33</v>
      </c>
    </row>
    <row r="111" spans="1:5" ht="11.1" customHeight="1" x14ac:dyDescent="0.2">
      <c r="A111" s="408" t="s">
        <v>69</v>
      </c>
      <c r="B111" s="418">
        <f>AVERAGE(B112:B114)</f>
        <v>26.666666666666668</v>
      </c>
      <c r="C111" s="418">
        <f t="shared" ref="C111:D111" si="8">AVERAGE(C112:C114)</f>
        <v>31.5</v>
      </c>
      <c r="D111" s="418">
        <f t="shared" si="8"/>
        <v>47.5</v>
      </c>
      <c r="E111" s="418" t="s">
        <v>4</v>
      </c>
    </row>
    <row r="112" spans="1:5" ht="11.1" customHeight="1" x14ac:dyDescent="0.2">
      <c r="A112" s="407" t="s">
        <v>72</v>
      </c>
      <c r="B112" s="419">
        <v>25</v>
      </c>
      <c r="C112" s="419">
        <v>25</v>
      </c>
      <c r="D112" s="419" t="s">
        <v>403</v>
      </c>
      <c r="E112" s="419" t="s">
        <v>403</v>
      </c>
    </row>
    <row r="113" spans="1:5" ht="11.1" customHeight="1" x14ac:dyDescent="0.2">
      <c r="A113" s="407" t="s">
        <v>70</v>
      </c>
      <c r="B113" s="419">
        <v>25</v>
      </c>
      <c r="C113" s="419">
        <v>24.5</v>
      </c>
      <c r="D113" s="419">
        <v>47.5</v>
      </c>
      <c r="E113" s="419" t="s">
        <v>403</v>
      </c>
    </row>
    <row r="114" spans="1:5" ht="11.1" customHeight="1" x14ac:dyDescent="0.2">
      <c r="A114" s="407" t="s">
        <v>71</v>
      </c>
      <c r="B114" s="419">
        <v>30</v>
      </c>
      <c r="C114" s="419">
        <v>45</v>
      </c>
      <c r="D114" s="419" t="s">
        <v>403</v>
      </c>
      <c r="E114" s="419" t="s">
        <v>403</v>
      </c>
    </row>
    <row r="115" spans="1:5" ht="11.1" customHeight="1" x14ac:dyDescent="0.2">
      <c r="A115" s="408" t="s">
        <v>44</v>
      </c>
      <c r="B115" s="418">
        <f t="shared" ref="B115:C115" si="9">AVERAGE(B116)</f>
        <v>25</v>
      </c>
      <c r="C115" s="418">
        <f t="shared" si="9"/>
        <v>25</v>
      </c>
      <c r="D115" s="418">
        <f>AVERAGE(D116)</f>
        <v>65</v>
      </c>
      <c r="E115" s="418" t="s">
        <v>4</v>
      </c>
    </row>
    <row r="116" spans="1:5" ht="11.1" customHeight="1" x14ac:dyDescent="0.2">
      <c r="A116" s="416" t="s">
        <v>45</v>
      </c>
      <c r="B116" s="419">
        <v>25</v>
      </c>
      <c r="C116" s="419">
        <v>25</v>
      </c>
      <c r="D116" s="419">
        <v>65</v>
      </c>
      <c r="E116" s="419" t="s">
        <v>403</v>
      </c>
    </row>
    <row r="117" spans="1:5" ht="9" customHeight="1" x14ac:dyDescent="0.2">
      <c r="A117" s="457" t="s">
        <v>84</v>
      </c>
      <c r="B117" s="460"/>
      <c r="C117" s="460"/>
      <c r="D117" s="460"/>
      <c r="E117" s="460"/>
    </row>
    <row r="118" spans="1:5" ht="9" customHeight="1" x14ac:dyDescent="0.2">
      <c r="A118" s="457" t="s">
        <v>65</v>
      </c>
      <c r="B118" s="466"/>
      <c r="C118" s="466"/>
      <c r="D118" s="466"/>
      <c r="E118" s="467"/>
    </row>
    <row r="119" spans="1:5" ht="9" customHeight="1" x14ac:dyDescent="0.2">
      <c r="A119" s="458" t="s">
        <v>66</v>
      </c>
      <c r="B119" s="441"/>
      <c r="C119" s="441"/>
      <c r="D119" s="441"/>
      <c r="E119" s="441"/>
    </row>
    <row r="120" spans="1:5" ht="15.75" customHeight="1" x14ac:dyDescent="0.2">
      <c r="A120" s="441"/>
      <c r="B120" s="441"/>
      <c r="C120" s="441"/>
      <c r="D120" s="441"/>
      <c r="E120" s="441"/>
    </row>
    <row r="121" spans="1:5" ht="15.75" customHeight="1" x14ac:dyDescent="0.2"/>
    <row r="122" spans="1:5" ht="15.75" customHeight="1" x14ac:dyDescent="0.2"/>
    <row r="123" spans="1:5" ht="15.75" customHeight="1" x14ac:dyDescent="0.2"/>
    <row r="124" spans="1:5" ht="15.75" customHeight="1" x14ac:dyDescent="0.2"/>
    <row r="125" spans="1:5" ht="15.75" customHeight="1" x14ac:dyDescent="0.2"/>
    <row r="126" spans="1:5" ht="15.75" customHeight="1" x14ac:dyDescent="0.2"/>
    <row r="127" spans="1:5" ht="15.75" customHeight="1" x14ac:dyDescent="0.2"/>
    <row r="128" spans="1:5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</sheetData>
  <pageMargins left="0.27559055118110237" right="0.27559055118110237" top="0.39370078740157483" bottom="0.39370078740157483" header="0" footer="0"/>
  <pageSetup paperSize="9" orientation="portrait"/>
  <ignoredErrors>
    <ignoredError sqref="D78:E78" formulaRange="1"/>
  </ignoredErrors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/>
  <dimension ref="A1:Z635"/>
  <sheetViews>
    <sheetView showGridLines="0" zoomScaleNormal="100" workbookViewId="0">
      <pane ySplit="4" topLeftCell="A53" activePane="bottomLeft" state="frozen"/>
      <selection activeCell="L27" sqref="L27"/>
      <selection pane="bottomLeft" activeCell="L27" sqref="L27"/>
    </sheetView>
  </sheetViews>
  <sheetFormatPr baseColWidth="10" defaultColWidth="12.5703125" defaultRowHeight="15" customHeight="1" x14ac:dyDescent="0.2"/>
  <cols>
    <col min="1" max="1" width="17.42578125" style="662" customWidth="1"/>
    <col min="2" max="5" width="13.5703125" style="662" customWidth="1"/>
    <col min="6" max="25" width="11.42578125" style="662" customWidth="1"/>
    <col min="26" max="16384" width="12.5703125" style="662"/>
  </cols>
  <sheetData>
    <row r="1" spans="1:26" ht="12.75" customHeight="1" x14ac:dyDescent="0.25">
      <c r="A1" s="660" t="s">
        <v>415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  <c r="P1" s="661"/>
      <c r="Q1" s="661"/>
      <c r="R1" s="661"/>
      <c r="S1" s="661"/>
      <c r="T1" s="661"/>
      <c r="U1" s="661"/>
      <c r="V1" s="661"/>
      <c r="W1" s="661"/>
      <c r="X1" s="661"/>
      <c r="Y1" s="661"/>
      <c r="Z1" s="661"/>
    </row>
    <row r="2" spans="1:26" ht="12" customHeight="1" x14ac:dyDescent="0.2">
      <c r="A2" s="468" t="s">
        <v>604</v>
      </c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661"/>
      <c r="W2" s="661"/>
      <c r="X2" s="661"/>
      <c r="Y2" s="661"/>
      <c r="Z2" s="661"/>
    </row>
    <row r="3" spans="1:26" ht="12" customHeight="1" x14ac:dyDescent="0.2">
      <c r="A3" s="468" t="s">
        <v>427</v>
      </c>
      <c r="B3" s="661"/>
      <c r="C3" s="661"/>
      <c r="D3" s="661"/>
      <c r="E3" s="661"/>
      <c r="F3" s="661"/>
      <c r="G3" s="661"/>
      <c r="H3" s="661"/>
      <c r="I3" s="661"/>
      <c r="J3" s="661"/>
      <c r="K3" s="661"/>
      <c r="L3" s="661"/>
      <c r="M3" s="661"/>
      <c r="N3" s="661"/>
      <c r="O3" s="661"/>
      <c r="P3" s="661"/>
      <c r="Q3" s="661"/>
      <c r="R3" s="661"/>
      <c r="S3" s="661"/>
      <c r="T3" s="661"/>
      <c r="U3" s="661"/>
      <c r="V3" s="661"/>
      <c r="W3" s="661"/>
      <c r="X3" s="661"/>
      <c r="Y3" s="661"/>
      <c r="Z3" s="661"/>
    </row>
    <row r="4" spans="1:26" ht="4.5" customHeight="1" x14ac:dyDescent="0.25">
      <c r="A4" s="663"/>
      <c r="B4" s="661"/>
      <c r="C4" s="661"/>
      <c r="D4" s="661"/>
      <c r="E4" s="661"/>
      <c r="F4" s="661"/>
      <c r="G4" s="661"/>
      <c r="H4" s="661"/>
      <c r="I4" s="661"/>
      <c r="J4" s="661"/>
      <c r="K4" s="661"/>
      <c r="L4" s="661"/>
      <c r="M4" s="661"/>
      <c r="N4" s="661"/>
      <c r="O4" s="661"/>
      <c r="P4" s="661"/>
      <c r="Q4" s="661"/>
      <c r="R4" s="661"/>
      <c r="S4" s="661"/>
      <c r="T4" s="661"/>
      <c r="U4" s="661"/>
      <c r="V4" s="661"/>
      <c r="W4" s="661"/>
      <c r="X4" s="661"/>
      <c r="Y4" s="661"/>
      <c r="Z4" s="661"/>
    </row>
    <row r="5" spans="1:26" ht="24" customHeight="1" x14ac:dyDescent="0.2">
      <c r="A5" s="398" t="s">
        <v>0</v>
      </c>
      <c r="B5" s="435" t="s">
        <v>416</v>
      </c>
      <c r="C5" s="435" t="s">
        <v>417</v>
      </c>
      <c r="D5" s="435" t="s">
        <v>418</v>
      </c>
      <c r="E5" s="399" t="s">
        <v>509</v>
      </c>
      <c r="F5" s="441"/>
    </row>
    <row r="6" spans="1:26" ht="4.5" customHeight="1" x14ac:dyDescent="0.2">
      <c r="A6" s="400"/>
      <c r="B6" s="400"/>
      <c r="C6" s="400"/>
      <c r="D6" s="400"/>
      <c r="E6" s="400"/>
      <c r="F6" s="441"/>
    </row>
    <row r="7" spans="1:26" ht="12" customHeight="1" x14ac:dyDescent="0.25">
      <c r="A7" s="402" t="s">
        <v>466</v>
      </c>
      <c r="B7" s="418">
        <f>AVERAGE(B8:B8)</f>
        <v>11</v>
      </c>
      <c r="C7" s="418" t="s">
        <v>4</v>
      </c>
      <c r="D7" s="418" t="s">
        <v>4</v>
      </c>
      <c r="E7" s="418" t="s">
        <v>4</v>
      </c>
      <c r="F7" s="444"/>
    </row>
    <row r="8" spans="1:26" ht="12" customHeight="1" x14ac:dyDescent="0.25">
      <c r="A8" s="404" t="s">
        <v>469</v>
      </c>
      <c r="B8" s="419">
        <v>11</v>
      </c>
      <c r="C8" s="419" t="s">
        <v>403</v>
      </c>
      <c r="D8" s="419" t="s">
        <v>403</v>
      </c>
      <c r="E8" s="419" t="s">
        <v>403</v>
      </c>
      <c r="F8" s="444"/>
    </row>
    <row r="9" spans="1:26" ht="12" customHeight="1" x14ac:dyDescent="0.25">
      <c r="A9" s="402" t="s">
        <v>419</v>
      </c>
      <c r="B9" s="418">
        <f>AVERAGE(B10:B11)</f>
        <v>15</v>
      </c>
      <c r="C9" s="418">
        <f>AVERAGE(C10:C11)</f>
        <v>10</v>
      </c>
      <c r="D9" s="418" t="s">
        <v>4</v>
      </c>
      <c r="E9" s="418" t="s">
        <v>4</v>
      </c>
      <c r="F9" s="444"/>
    </row>
    <row r="10" spans="1:26" ht="12" customHeight="1" x14ac:dyDescent="0.25">
      <c r="A10" s="404" t="s">
        <v>421</v>
      </c>
      <c r="B10" s="419">
        <v>10</v>
      </c>
      <c r="C10" s="419">
        <v>10</v>
      </c>
      <c r="D10" s="419" t="s">
        <v>403</v>
      </c>
      <c r="E10" s="419" t="s">
        <v>403</v>
      </c>
      <c r="F10" s="444"/>
    </row>
    <row r="11" spans="1:26" ht="12" customHeight="1" x14ac:dyDescent="0.25">
      <c r="A11" s="404" t="s">
        <v>573</v>
      </c>
      <c r="B11" s="419">
        <v>20</v>
      </c>
      <c r="C11" s="419" t="s">
        <v>403</v>
      </c>
      <c r="D11" s="419" t="s">
        <v>403</v>
      </c>
      <c r="E11" s="419" t="s">
        <v>403</v>
      </c>
      <c r="F11" s="444"/>
    </row>
    <row r="12" spans="1:26" ht="12" customHeight="1" x14ac:dyDescent="0.25">
      <c r="A12" s="402" t="s">
        <v>75</v>
      </c>
      <c r="B12" s="418">
        <f t="shared" ref="B12:D12" si="0">AVERAGE(B13:B16)</f>
        <v>18.25</v>
      </c>
      <c r="C12" s="418">
        <f t="shared" si="0"/>
        <v>29.835000000000001</v>
      </c>
      <c r="D12" s="418">
        <f t="shared" si="0"/>
        <v>28.664999999999999</v>
      </c>
      <c r="E12" s="418" t="s">
        <v>4</v>
      </c>
      <c r="F12" s="444"/>
    </row>
    <row r="13" spans="1:26" ht="12" customHeight="1" x14ac:dyDescent="0.2">
      <c r="A13" s="422" t="s">
        <v>151</v>
      </c>
      <c r="B13" s="419">
        <v>18.5</v>
      </c>
      <c r="C13" s="419" t="s">
        <v>403</v>
      </c>
      <c r="D13" s="419">
        <v>32.33</v>
      </c>
      <c r="E13" s="419" t="s">
        <v>403</v>
      </c>
      <c r="F13" s="444"/>
    </row>
    <row r="14" spans="1:26" ht="12" customHeight="1" x14ac:dyDescent="0.2">
      <c r="A14" s="422" t="s">
        <v>152</v>
      </c>
      <c r="B14" s="419" t="s">
        <v>403</v>
      </c>
      <c r="C14" s="419">
        <v>35</v>
      </c>
      <c r="D14" s="419" t="s">
        <v>403</v>
      </c>
      <c r="E14" s="419" t="s">
        <v>403</v>
      </c>
      <c r="F14" s="444"/>
    </row>
    <row r="15" spans="1:26" ht="12" customHeight="1" x14ac:dyDescent="0.2">
      <c r="A15" s="422" t="s">
        <v>536</v>
      </c>
      <c r="B15" s="419">
        <v>18</v>
      </c>
      <c r="C15" s="419" t="s">
        <v>403</v>
      </c>
      <c r="D15" s="419" t="s">
        <v>403</v>
      </c>
      <c r="E15" s="419" t="s">
        <v>403</v>
      </c>
      <c r="F15" s="444"/>
    </row>
    <row r="16" spans="1:26" ht="12" customHeight="1" x14ac:dyDescent="0.2">
      <c r="A16" s="422" t="s">
        <v>154</v>
      </c>
      <c r="B16" s="419" t="s">
        <v>403</v>
      </c>
      <c r="C16" s="419">
        <v>24.67</v>
      </c>
      <c r="D16" s="419">
        <v>25</v>
      </c>
      <c r="E16" s="419" t="s">
        <v>403</v>
      </c>
      <c r="F16" s="444"/>
    </row>
    <row r="17" spans="1:6" ht="12" customHeight="1" x14ac:dyDescent="0.25">
      <c r="A17" s="402" t="s">
        <v>2</v>
      </c>
      <c r="B17" s="418">
        <f>AVERAGE(B18:B20)</f>
        <v>10.333333333333334</v>
      </c>
      <c r="C17" s="418">
        <f t="shared" ref="C17:E17" si="1">AVERAGE(C18:C20)</f>
        <v>53.664999999999999</v>
      </c>
      <c r="D17" s="418">
        <f t="shared" si="1"/>
        <v>56.473333333333336</v>
      </c>
      <c r="E17" s="418">
        <f t="shared" si="1"/>
        <v>126.33333333333333</v>
      </c>
      <c r="F17" s="444"/>
    </row>
    <row r="18" spans="1:6" ht="12" customHeight="1" x14ac:dyDescent="0.2">
      <c r="A18" s="422" t="s">
        <v>76</v>
      </c>
      <c r="B18" s="419">
        <v>10</v>
      </c>
      <c r="C18" s="419">
        <v>50</v>
      </c>
      <c r="D18" s="419">
        <v>48.75</v>
      </c>
      <c r="E18" s="419">
        <v>130</v>
      </c>
      <c r="F18" s="444"/>
    </row>
    <row r="19" spans="1:6" ht="12" customHeight="1" x14ac:dyDescent="0.2">
      <c r="A19" s="422" t="s">
        <v>59</v>
      </c>
      <c r="B19" s="419">
        <v>11</v>
      </c>
      <c r="C19" s="419">
        <v>57.33</v>
      </c>
      <c r="D19" s="419">
        <v>56.67</v>
      </c>
      <c r="E19" s="419">
        <v>125</v>
      </c>
      <c r="F19" s="444"/>
    </row>
    <row r="20" spans="1:6" ht="12" customHeight="1" x14ac:dyDescent="0.2">
      <c r="A20" s="422" t="s">
        <v>186</v>
      </c>
      <c r="B20" s="419">
        <v>10</v>
      </c>
      <c r="C20" s="419" t="s">
        <v>403</v>
      </c>
      <c r="D20" s="419">
        <v>64</v>
      </c>
      <c r="E20" s="419">
        <v>124</v>
      </c>
      <c r="F20" s="444"/>
    </row>
    <row r="21" spans="1:6" ht="12" customHeight="1" x14ac:dyDescent="0.2">
      <c r="A21" s="423" t="s">
        <v>6</v>
      </c>
      <c r="B21" s="418">
        <f>AVERAGE(B22:B27)</f>
        <v>14</v>
      </c>
      <c r="C21" s="418">
        <f>AVERAGE(C22:C27)</f>
        <v>35</v>
      </c>
      <c r="D21" s="418">
        <f>AVERAGE(D22:D27)</f>
        <v>38.75</v>
      </c>
      <c r="E21" s="418" t="s">
        <v>4</v>
      </c>
      <c r="F21" s="444"/>
    </row>
    <row r="22" spans="1:6" ht="12" customHeight="1" x14ac:dyDescent="0.2">
      <c r="A22" s="407" t="s">
        <v>7</v>
      </c>
      <c r="B22" s="419">
        <v>14</v>
      </c>
      <c r="C22" s="419" t="s">
        <v>403</v>
      </c>
      <c r="D22" s="419" t="s">
        <v>403</v>
      </c>
      <c r="E22" s="419" t="s">
        <v>403</v>
      </c>
      <c r="F22" s="444"/>
    </row>
    <row r="23" spans="1:6" ht="12" customHeight="1" x14ac:dyDescent="0.2">
      <c r="A23" s="407" t="s">
        <v>8</v>
      </c>
      <c r="B23" s="419">
        <v>15</v>
      </c>
      <c r="C23" s="419" t="s">
        <v>403</v>
      </c>
      <c r="D23" s="419">
        <v>45</v>
      </c>
      <c r="E23" s="419" t="s">
        <v>403</v>
      </c>
      <c r="F23" s="444"/>
    </row>
    <row r="24" spans="1:6" ht="12" customHeight="1" x14ac:dyDescent="0.2">
      <c r="A24" s="407" t="s">
        <v>10</v>
      </c>
      <c r="B24" s="419">
        <v>10.67</v>
      </c>
      <c r="C24" s="419" t="s">
        <v>403</v>
      </c>
      <c r="D24" s="419">
        <v>32.5</v>
      </c>
      <c r="E24" s="419" t="s">
        <v>403</v>
      </c>
      <c r="F24" s="444"/>
    </row>
    <row r="25" spans="1:6" ht="12" customHeight="1" x14ac:dyDescent="0.2">
      <c r="A25" s="407" t="s">
        <v>11</v>
      </c>
      <c r="B25" s="419">
        <v>18</v>
      </c>
      <c r="C25" s="419" t="s">
        <v>403</v>
      </c>
      <c r="D25" s="419" t="s">
        <v>403</v>
      </c>
      <c r="E25" s="419" t="s">
        <v>403</v>
      </c>
      <c r="F25" s="444"/>
    </row>
    <row r="26" spans="1:6" ht="12" customHeight="1" x14ac:dyDescent="0.2">
      <c r="A26" s="407" t="s">
        <v>12</v>
      </c>
      <c r="B26" s="419" t="s">
        <v>403</v>
      </c>
      <c r="C26" s="419">
        <v>35</v>
      </c>
      <c r="D26" s="419" t="s">
        <v>403</v>
      </c>
      <c r="E26" s="419" t="s">
        <v>403</v>
      </c>
      <c r="F26" s="444"/>
    </row>
    <row r="27" spans="1:6" ht="12" customHeight="1" x14ac:dyDescent="0.2">
      <c r="A27" s="407" t="s">
        <v>89</v>
      </c>
      <c r="B27" s="419">
        <v>12.33</v>
      </c>
      <c r="C27" s="419" t="s">
        <v>403</v>
      </c>
      <c r="D27" s="419" t="s">
        <v>403</v>
      </c>
      <c r="E27" s="419" t="s">
        <v>403</v>
      </c>
      <c r="F27" s="444"/>
    </row>
    <row r="28" spans="1:6" ht="12" customHeight="1" x14ac:dyDescent="0.2">
      <c r="A28" s="408" t="s">
        <v>13</v>
      </c>
      <c r="B28" s="418">
        <f>AVERAGE(B29:B30)</f>
        <v>13.5</v>
      </c>
      <c r="C28" s="418">
        <f>AVERAGE(C29:C30)</f>
        <v>56.75</v>
      </c>
      <c r="D28" s="418">
        <f>AVERAGE(D29:D30)</f>
        <v>31.5</v>
      </c>
      <c r="E28" s="418">
        <f>AVERAGE(E29:E30)</f>
        <v>70</v>
      </c>
      <c r="F28" s="444"/>
    </row>
    <row r="29" spans="1:6" ht="12" customHeight="1" x14ac:dyDescent="0.2">
      <c r="A29" s="407" t="s">
        <v>68</v>
      </c>
      <c r="B29" s="419">
        <v>12</v>
      </c>
      <c r="C29" s="419">
        <v>64.5</v>
      </c>
      <c r="D29" s="419">
        <v>31.5</v>
      </c>
      <c r="E29" s="419" t="s">
        <v>403</v>
      </c>
      <c r="F29" s="444"/>
    </row>
    <row r="30" spans="1:6" ht="12" customHeight="1" x14ac:dyDescent="0.2">
      <c r="A30" s="407" t="s">
        <v>67</v>
      </c>
      <c r="B30" s="419">
        <v>15</v>
      </c>
      <c r="C30" s="419">
        <v>49</v>
      </c>
      <c r="D30" s="419" t="s">
        <v>403</v>
      </c>
      <c r="E30" s="419">
        <v>70</v>
      </c>
      <c r="F30" s="444"/>
    </row>
    <row r="31" spans="1:6" ht="12" customHeight="1" x14ac:dyDescent="0.2">
      <c r="A31" s="423" t="s">
        <v>14</v>
      </c>
      <c r="B31" s="418">
        <f t="shared" ref="B31:D31" si="2">AVERAGE(B32:B33)</f>
        <v>13</v>
      </c>
      <c r="C31" s="418" t="s">
        <v>4</v>
      </c>
      <c r="D31" s="418">
        <f t="shared" si="2"/>
        <v>33.75</v>
      </c>
      <c r="E31" s="418" t="s">
        <v>4</v>
      </c>
      <c r="F31" s="444"/>
    </row>
    <row r="32" spans="1:6" ht="12" customHeight="1" x14ac:dyDescent="0.2">
      <c r="A32" s="407" t="s">
        <v>482</v>
      </c>
      <c r="B32" s="419">
        <v>11</v>
      </c>
      <c r="C32" s="419" t="s">
        <v>403</v>
      </c>
      <c r="D32" s="419" t="s">
        <v>403</v>
      </c>
      <c r="E32" s="419" t="s">
        <v>403</v>
      </c>
      <c r="F32" s="444"/>
    </row>
    <row r="33" spans="1:6" ht="12" customHeight="1" x14ac:dyDescent="0.2">
      <c r="A33" s="407" t="s">
        <v>188</v>
      </c>
      <c r="B33" s="419">
        <v>15</v>
      </c>
      <c r="C33" s="419" t="s">
        <v>403</v>
      </c>
      <c r="D33" s="419">
        <v>33.75</v>
      </c>
      <c r="E33" s="419" t="s">
        <v>397</v>
      </c>
      <c r="F33" s="444"/>
    </row>
    <row r="34" spans="1:6" ht="12" customHeight="1" x14ac:dyDescent="0.2">
      <c r="A34" s="423" t="s">
        <v>16</v>
      </c>
      <c r="B34" s="418">
        <f>AVERAGE(B35:B39)</f>
        <v>14</v>
      </c>
      <c r="C34" s="418">
        <f>AVERAGE(C35:C39)</f>
        <v>63.109999999999992</v>
      </c>
      <c r="D34" s="418">
        <f>AVERAGE(D35:D39)</f>
        <v>60</v>
      </c>
      <c r="E34" s="418" t="s">
        <v>4</v>
      </c>
      <c r="F34" s="444"/>
    </row>
    <row r="35" spans="1:6" ht="12" customHeight="1" x14ac:dyDescent="0.2">
      <c r="A35" s="407" t="s">
        <v>17</v>
      </c>
      <c r="B35" s="419">
        <v>10</v>
      </c>
      <c r="C35" s="419">
        <v>45</v>
      </c>
      <c r="D35" s="419">
        <v>60</v>
      </c>
      <c r="E35" s="419" t="s">
        <v>403</v>
      </c>
      <c r="F35" s="444"/>
    </row>
    <row r="36" spans="1:6" ht="12" customHeight="1" x14ac:dyDescent="0.2">
      <c r="A36" s="407" t="s">
        <v>19</v>
      </c>
      <c r="B36" s="419" t="s">
        <v>403</v>
      </c>
      <c r="C36" s="419">
        <v>74.33</v>
      </c>
      <c r="D36" s="419" t="s">
        <v>397</v>
      </c>
      <c r="E36" s="419" t="s">
        <v>397</v>
      </c>
      <c r="F36" s="444"/>
    </row>
    <row r="37" spans="1:6" ht="12" customHeight="1" x14ac:dyDescent="0.2">
      <c r="A37" s="407" t="s">
        <v>77</v>
      </c>
      <c r="B37" s="419">
        <v>12</v>
      </c>
      <c r="C37" s="419" t="s">
        <v>397</v>
      </c>
      <c r="D37" s="419" t="s">
        <v>397</v>
      </c>
      <c r="E37" s="419" t="s">
        <v>397</v>
      </c>
      <c r="F37" s="444"/>
    </row>
    <row r="38" spans="1:6" ht="12" customHeight="1" x14ac:dyDescent="0.2">
      <c r="A38" s="407" t="s">
        <v>20</v>
      </c>
      <c r="B38" s="419">
        <v>24</v>
      </c>
      <c r="C38" s="419">
        <v>70</v>
      </c>
      <c r="D38" s="419" t="s">
        <v>403</v>
      </c>
      <c r="E38" s="419" t="s">
        <v>403</v>
      </c>
      <c r="F38" s="444"/>
    </row>
    <row r="39" spans="1:6" ht="12" customHeight="1" x14ac:dyDescent="0.2">
      <c r="A39" s="407" t="s">
        <v>423</v>
      </c>
      <c r="B39" s="419">
        <v>10</v>
      </c>
      <c r="C39" s="419" t="s">
        <v>403</v>
      </c>
      <c r="D39" s="419" t="s">
        <v>403</v>
      </c>
      <c r="E39" s="419" t="s">
        <v>403</v>
      </c>
      <c r="F39" s="444"/>
    </row>
    <row r="40" spans="1:6" ht="12" customHeight="1" x14ac:dyDescent="0.2">
      <c r="A40" s="423" t="s">
        <v>23</v>
      </c>
      <c r="B40" s="418">
        <f>AVERAGE(B41:B45)</f>
        <v>11.1625</v>
      </c>
      <c r="C40" s="418" t="s">
        <v>4</v>
      </c>
      <c r="D40" s="418">
        <f>AVERAGE(D41:D45)</f>
        <v>49.424999999999997</v>
      </c>
      <c r="E40" s="418" t="s">
        <v>4</v>
      </c>
      <c r="F40" s="444"/>
    </row>
    <row r="41" spans="1:6" ht="12" customHeight="1" x14ac:dyDescent="0.2">
      <c r="A41" s="407" t="s">
        <v>520</v>
      </c>
      <c r="B41" s="419">
        <v>10</v>
      </c>
      <c r="C41" s="419" t="s">
        <v>403</v>
      </c>
      <c r="D41" s="419" t="s">
        <v>403</v>
      </c>
      <c r="E41" s="419" t="s">
        <v>403</v>
      </c>
      <c r="F41" s="444"/>
    </row>
    <row r="42" spans="1:6" ht="12" customHeight="1" x14ac:dyDescent="0.2">
      <c r="A42" s="407" t="s">
        <v>51</v>
      </c>
      <c r="B42" s="419">
        <v>9.9</v>
      </c>
      <c r="C42" s="419" t="s">
        <v>397</v>
      </c>
      <c r="D42" s="419">
        <v>59.2</v>
      </c>
      <c r="E42" s="419" t="s">
        <v>397</v>
      </c>
      <c r="F42" s="444"/>
    </row>
    <row r="43" spans="1:6" ht="12" customHeight="1" x14ac:dyDescent="0.2">
      <c r="A43" s="407" t="s">
        <v>521</v>
      </c>
      <c r="B43" s="419">
        <v>9.75</v>
      </c>
      <c r="C43" s="419" t="s">
        <v>403</v>
      </c>
      <c r="D43" s="419">
        <v>51.5</v>
      </c>
      <c r="E43" s="419" t="s">
        <v>403</v>
      </c>
      <c r="F43" s="444"/>
    </row>
    <row r="44" spans="1:6" ht="12" customHeight="1" x14ac:dyDescent="0.2">
      <c r="A44" s="407" t="s">
        <v>522</v>
      </c>
      <c r="B44" s="419" t="s">
        <v>403</v>
      </c>
      <c r="C44" s="419" t="s">
        <v>403</v>
      </c>
      <c r="D44" s="419">
        <v>57</v>
      </c>
      <c r="E44" s="419" t="s">
        <v>403</v>
      </c>
      <c r="F44" s="444"/>
    </row>
    <row r="45" spans="1:6" ht="12" customHeight="1" x14ac:dyDescent="0.2">
      <c r="A45" s="407" t="s">
        <v>56</v>
      </c>
      <c r="B45" s="527">
        <v>15</v>
      </c>
      <c r="C45" s="527" t="s">
        <v>397</v>
      </c>
      <c r="D45" s="419">
        <v>30</v>
      </c>
      <c r="E45" s="419" t="s">
        <v>397</v>
      </c>
      <c r="F45" s="444"/>
    </row>
    <row r="46" spans="1:6" ht="15.75" customHeight="1" x14ac:dyDescent="0.25">
      <c r="A46" s="437"/>
      <c r="B46" s="445"/>
      <c r="C46" s="445"/>
      <c r="D46" s="446"/>
      <c r="E46" s="447" t="s">
        <v>24</v>
      </c>
      <c r="F46" s="441"/>
    </row>
    <row r="47" spans="1:6" ht="15.75" customHeight="1" x14ac:dyDescent="0.2">
      <c r="A47" s="724" t="s">
        <v>510</v>
      </c>
      <c r="B47" s="725"/>
      <c r="C47" s="725"/>
      <c r="D47" s="725"/>
      <c r="E47" s="725"/>
      <c r="F47" s="725"/>
    </row>
    <row r="48" spans="1:6" ht="24" customHeight="1" x14ac:dyDescent="0.2">
      <c r="A48" s="398" t="s">
        <v>0</v>
      </c>
      <c r="B48" s="435" t="s">
        <v>416</v>
      </c>
      <c r="C48" s="435" t="s">
        <v>417</v>
      </c>
      <c r="D48" s="435" t="s">
        <v>418</v>
      </c>
      <c r="E48" s="483" t="s">
        <v>509</v>
      </c>
      <c r="F48" s="441"/>
    </row>
    <row r="49" spans="1:6" ht="5.25" customHeight="1" x14ac:dyDescent="0.2">
      <c r="A49" s="426"/>
      <c r="B49" s="448"/>
      <c r="C49" s="448"/>
      <c r="D49" s="414"/>
      <c r="E49" s="448"/>
      <c r="F49" s="441"/>
    </row>
    <row r="50" spans="1:6" ht="12" customHeight="1" x14ac:dyDescent="0.2">
      <c r="A50" s="423" t="s">
        <v>78</v>
      </c>
      <c r="B50" s="418">
        <f>AVERAGE(B51:B53)</f>
        <v>12.333333333333334</v>
      </c>
      <c r="C50" s="418">
        <f>AVERAGE(C51:C53)</f>
        <v>33</v>
      </c>
      <c r="D50" s="418" t="s">
        <v>4</v>
      </c>
      <c r="E50" s="418">
        <f>AVERAGE(E51:E53)</f>
        <v>125</v>
      </c>
      <c r="F50" s="441"/>
    </row>
    <row r="51" spans="1:6" ht="12" customHeight="1" x14ac:dyDescent="0.2">
      <c r="A51" s="407" t="s">
        <v>85</v>
      </c>
      <c r="B51" s="419">
        <v>10</v>
      </c>
      <c r="C51" s="405" t="s">
        <v>403</v>
      </c>
      <c r="D51" s="405" t="s">
        <v>403</v>
      </c>
      <c r="E51" s="419">
        <v>125</v>
      </c>
      <c r="F51" s="441"/>
    </row>
    <row r="52" spans="1:6" ht="12" customHeight="1" x14ac:dyDescent="0.2">
      <c r="A52" s="407" t="s">
        <v>513</v>
      </c>
      <c r="B52" s="419">
        <v>10</v>
      </c>
      <c r="C52" s="419">
        <v>33</v>
      </c>
      <c r="D52" s="405" t="s">
        <v>403</v>
      </c>
      <c r="E52" s="405" t="s">
        <v>403</v>
      </c>
      <c r="F52" s="441"/>
    </row>
    <row r="53" spans="1:6" ht="12" customHeight="1" x14ac:dyDescent="0.2">
      <c r="A53" s="407" t="s">
        <v>514</v>
      </c>
      <c r="B53" s="419">
        <v>17</v>
      </c>
      <c r="C53" s="405" t="s">
        <v>403</v>
      </c>
      <c r="D53" s="405" t="s">
        <v>403</v>
      </c>
      <c r="E53" s="405" t="s">
        <v>403</v>
      </c>
      <c r="F53" s="441"/>
    </row>
    <row r="54" spans="1:6" ht="12" customHeight="1" x14ac:dyDescent="0.2">
      <c r="A54" s="423" t="s">
        <v>83</v>
      </c>
      <c r="B54" s="418">
        <f>AVERAGE(B55:B63)</f>
        <v>11.925555555555555</v>
      </c>
      <c r="C54" s="418">
        <f>AVERAGE(C55:C63)</f>
        <v>56</v>
      </c>
      <c r="D54" s="418">
        <f>AVERAGE(D55:D63)</f>
        <v>52.071428571428569</v>
      </c>
      <c r="E54" s="418">
        <f>AVERAGE(E55:E63)</f>
        <v>130</v>
      </c>
      <c r="F54" s="444"/>
    </row>
    <row r="55" spans="1:6" ht="12" customHeight="1" x14ac:dyDescent="0.2">
      <c r="A55" s="407" t="s">
        <v>26</v>
      </c>
      <c r="B55" s="419">
        <v>10</v>
      </c>
      <c r="C55" s="419" t="s">
        <v>403</v>
      </c>
      <c r="D55" s="419">
        <v>56</v>
      </c>
      <c r="E55" s="419" t="s">
        <v>397</v>
      </c>
      <c r="F55" s="444"/>
    </row>
    <row r="56" spans="1:6" ht="12" customHeight="1" x14ac:dyDescent="0.2">
      <c r="A56" s="407" t="s">
        <v>27</v>
      </c>
      <c r="B56" s="419">
        <v>9</v>
      </c>
      <c r="C56" s="419" t="s">
        <v>403</v>
      </c>
      <c r="D56" s="419">
        <v>52</v>
      </c>
      <c r="E56" s="419" t="s">
        <v>403</v>
      </c>
      <c r="F56" s="444"/>
    </row>
    <row r="57" spans="1:6" ht="12" customHeight="1" x14ac:dyDescent="0.2">
      <c r="A57" s="407" t="s">
        <v>28</v>
      </c>
      <c r="B57" s="419">
        <v>12</v>
      </c>
      <c r="C57" s="419">
        <v>55</v>
      </c>
      <c r="D57" s="419">
        <v>52.5</v>
      </c>
      <c r="E57" s="419">
        <v>130</v>
      </c>
      <c r="F57" s="444"/>
    </row>
    <row r="58" spans="1:6" ht="12" customHeight="1" x14ac:dyDescent="0.2">
      <c r="A58" s="407" t="s">
        <v>62</v>
      </c>
      <c r="B58" s="419">
        <v>16.5</v>
      </c>
      <c r="C58" s="419">
        <v>57</v>
      </c>
      <c r="D58" s="419">
        <v>50</v>
      </c>
      <c r="E58" s="419" t="s">
        <v>397</v>
      </c>
      <c r="F58" s="444"/>
    </row>
    <row r="59" spans="1:6" ht="12" customHeight="1" x14ac:dyDescent="0.2">
      <c r="A59" s="407" t="s">
        <v>29</v>
      </c>
      <c r="B59" s="419">
        <v>11.5</v>
      </c>
      <c r="C59" s="419" t="s">
        <v>397</v>
      </c>
      <c r="D59" s="419">
        <v>40</v>
      </c>
      <c r="E59" s="419" t="s">
        <v>397</v>
      </c>
      <c r="F59" s="444"/>
    </row>
    <row r="60" spans="1:6" ht="12" customHeight="1" x14ac:dyDescent="0.2">
      <c r="A60" s="407" t="s">
        <v>52</v>
      </c>
      <c r="B60" s="419">
        <v>8</v>
      </c>
      <c r="C60" s="419" t="s">
        <v>397</v>
      </c>
      <c r="D60" s="419" t="s">
        <v>397</v>
      </c>
      <c r="E60" s="419" t="s">
        <v>397</v>
      </c>
      <c r="F60" s="444"/>
    </row>
    <row r="61" spans="1:6" ht="12" customHeight="1" x14ac:dyDescent="0.2">
      <c r="A61" s="407" t="s">
        <v>424</v>
      </c>
      <c r="B61" s="419">
        <v>20</v>
      </c>
      <c r="C61" s="419" t="s">
        <v>397</v>
      </c>
      <c r="D61" s="419" t="s">
        <v>397</v>
      </c>
      <c r="E61" s="419" t="s">
        <v>397</v>
      </c>
      <c r="F61" s="444"/>
    </row>
    <row r="62" spans="1:6" ht="12" customHeight="1" x14ac:dyDescent="0.2">
      <c r="A62" s="407" t="s">
        <v>32</v>
      </c>
      <c r="B62" s="419">
        <v>10.33</v>
      </c>
      <c r="C62" s="419" t="s">
        <v>403</v>
      </c>
      <c r="D62" s="419">
        <v>57</v>
      </c>
      <c r="E62" s="419" t="s">
        <v>397</v>
      </c>
      <c r="F62" s="444"/>
    </row>
    <row r="63" spans="1:6" ht="12" customHeight="1" x14ac:dyDescent="0.2">
      <c r="A63" s="407" t="s">
        <v>64</v>
      </c>
      <c r="B63" s="419">
        <v>10</v>
      </c>
      <c r="C63" s="419" t="s">
        <v>397</v>
      </c>
      <c r="D63" s="419">
        <v>57</v>
      </c>
      <c r="E63" s="419" t="s">
        <v>397</v>
      </c>
      <c r="F63" s="444"/>
    </row>
    <row r="64" spans="1:6" ht="12" customHeight="1" x14ac:dyDescent="0.2">
      <c r="A64" s="423" t="s">
        <v>33</v>
      </c>
      <c r="B64" s="418">
        <f>AVERAGE(B65:B67)</f>
        <v>9.8333333333333339</v>
      </c>
      <c r="C64" s="418">
        <f>AVERAGE(C65:C67)</f>
        <v>27</v>
      </c>
      <c r="D64" s="418">
        <f>AVERAGE(D65:D67)</f>
        <v>44</v>
      </c>
      <c r="E64" s="418" t="s">
        <v>4</v>
      </c>
      <c r="F64" s="441"/>
    </row>
    <row r="65" spans="1:6" ht="12" customHeight="1" x14ac:dyDescent="0.2">
      <c r="A65" s="407" t="s">
        <v>34</v>
      </c>
      <c r="B65" s="419">
        <v>9</v>
      </c>
      <c r="C65" s="419">
        <v>26</v>
      </c>
      <c r="D65" s="419">
        <v>41</v>
      </c>
      <c r="E65" s="419" t="s">
        <v>397</v>
      </c>
      <c r="F65" s="441"/>
    </row>
    <row r="66" spans="1:6" ht="12" customHeight="1" x14ac:dyDescent="0.2">
      <c r="A66" s="407" t="s">
        <v>35</v>
      </c>
      <c r="B66" s="419">
        <v>11</v>
      </c>
      <c r="C66" s="419">
        <v>28</v>
      </c>
      <c r="D66" s="419">
        <v>47</v>
      </c>
      <c r="E66" s="419" t="s">
        <v>397</v>
      </c>
      <c r="F66" s="441"/>
    </row>
    <row r="67" spans="1:6" ht="12" customHeight="1" x14ac:dyDescent="0.2">
      <c r="A67" s="407" t="s">
        <v>36</v>
      </c>
      <c r="B67" s="419">
        <v>9.5</v>
      </c>
      <c r="C67" s="419">
        <v>27</v>
      </c>
      <c r="D67" s="419">
        <v>44</v>
      </c>
      <c r="E67" s="419" t="s">
        <v>397</v>
      </c>
      <c r="F67" s="441"/>
    </row>
    <row r="68" spans="1:6" ht="12" customHeight="1" x14ac:dyDescent="0.2">
      <c r="A68" s="423" t="s">
        <v>185</v>
      </c>
      <c r="B68" s="418">
        <v>10.5</v>
      </c>
      <c r="C68" s="418" t="s">
        <v>4</v>
      </c>
      <c r="D68" s="418" t="s">
        <v>4</v>
      </c>
      <c r="E68" s="418">
        <v>93.5</v>
      </c>
      <c r="F68" s="441"/>
    </row>
    <row r="69" spans="1:6" ht="12" customHeight="1" x14ac:dyDescent="0.2">
      <c r="A69" s="423" t="s">
        <v>518</v>
      </c>
      <c r="B69" s="418">
        <f>AVERAGE(B70)</f>
        <v>11.5</v>
      </c>
      <c r="C69" s="418" t="s">
        <v>4</v>
      </c>
      <c r="D69" s="418" t="s">
        <v>4</v>
      </c>
      <c r="E69" s="418" t="s">
        <v>4</v>
      </c>
      <c r="F69" s="441"/>
    </row>
    <row r="70" spans="1:6" ht="12" customHeight="1" x14ac:dyDescent="0.2">
      <c r="A70" s="407" t="s">
        <v>519</v>
      </c>
      <c r="B70" s="419">
        <v>11.5</v>
      </c>
      <c r="C70" s="419" t="s">
        <v>397</v>
      </c>
      <c r="D70" s="419" t="s">
        <v>397</v>
      </c>
      <c r="E70" s="419" t="s">
        <v>397</v>
      </c>
      <c r="F70" s="441"/>
    </row>
    <row r="71" spans="1:6" ht="12" customHeight="1" x14ac:dyDescent="0.2">
      <c r="A71" s="423" t="s">
        <v>190</v>
      </c>
      <c r="B71" s="418">
        <f t="shared" ref="B71:E71" si="3">AVERAGE(B72)</f>
        <v>8.67</v>
      </c>
      <c r="C71" s="418" t="s">
        <v>4</v>
      </c>
      <c r="D71" s="418" t="s">
        <v>4</v>
      </c>
      <c r="E71" s="418">
        <f t="shared" si="3"/>
        <v>120</v>
      </c>
      <c r="F71" s="444"/>
    </row>
    <row r="72" spans="1:6" ht="12" customHeight="1" x14ac:dyDescent="0.2">
      <c r="A72" s="407" t="s">
        <v>193</v>
      </c>
      <c r="B72" s="419">
        <v>8.67</v>
      </c>
      <c r="C72" s="419" t="s">
        <v>397</v>
      </c>
      <c r="D72" s="419" t="s">
        <v>397</v>
      </c>
      <c r="E72" s="419">
        <v>120</v>
      </c>
      <c r="F72" s="444"/>
    </row>
    <row r="73" spans="1:6" ht="12" customHeight="1" x14ac:dyDescent="0.2">
      <c r="A73" s="449" t="s">
        <v>37</v>
      </c>
      <c r="B73" s="450">
        <f>AVERAGE(B74:B75)</f>
        <v>12.275</v>
      </c>
      <c r="C73" s="450" t="s">
        <v>4</v>
      </c>
      <c r="D73" s="450">
        <f>AVERAGE(D74:D75)</f>
        <v>45</v>
      </c>
      <c r="E73" s="450">
        <f>AVERAGE(E74:E75)</f>
        <v>116.67</v>
      </c>
      <c r="F73" s="441"/>
    </row>
    <row r="74" spans="1:6" ht="12" customHeight="1" x14ac:dyDescent="0.2">
      <c r="A74" s="451" t="s">
        <v>38</v>
      </c>
      <c r="B74" s="428">
        <v>10.55</v>
      </c>
      <c r="C74" s="428" t="s">
        <v>403</v>
      </c>
      <c r="D74" s="428">
        <v>45</v>
      </c>
      <c r="E74" s="428">
        <v>116.67</v>
      </c>
      <c r="F74" s="441"/>
    </row>
    <row r="75" spans="1:6" ht="12" customHeight="1" x14ac:dyDescent="0.2">
      <c r="A75" s="451" t="s">
        <v>39</v>
      </c>
      <c r="B75" s="428">
        <v>14</v>
      </c>
      <c r="C75" s="428" t="s">
        <v>397</v>
      </c>
      <c r="D75" s="428" t="s">
        <v>397</v>
      </c>
      <c r="E75" s="428" t="s">
        <v>397</v>
      </c>
      <c r="F75" s="441"/>
    </row>
    <row r="76" spans="1:6" ht="12" customHeight="1" x14ac:dyDescent="0.2">
      <c r="A76" s="408" t="s">
        <v>40</v>
      </c>
      <c r="B76" s="418">
        <f>AVERAGE(B77:B78)</f>
        <v>11.335000000000001</v>
      </c>
      <c r="C76" s="418">
        <f>AVERAGE(C77:C78)</f>
        <v>52</v>
      </c>
      <c r="D76" s="418">
        <f>AVERAGE(D77:D78)</f>
        <v>60</v>
      </c>
      <c r="E76" s="418" t="s">
        <v>4</v>
      </c>
      <c r="F76" s="444"/>
    </row>
    <row r="77" spans="1:6" ht="12" customHeight="1" x14ac:dyDescent="0.2">
      <c r="A77" s="407" t="s">
        <v>43</v>
      </c>
      <c r="B77" s="419">
        <v>12.67</v>
      </c>
      <c r="C77" s="419" t="s">
        <v>403</v>
      </c>
      <c r="D77" s="419" t="s">
        <v>403</v>
      </c>
      <c r="E77" s="419" t="s">
        <v>403</v>
      </c>
      <c r="F77" s="444"/>
    </row>
    <row r="78" spans="1:6" ht="12" customHeight="1" x14ac:dyDescent="0.2">
      <c r="A78" s="407" t="s">
        <v>406</v>
      </c>
      <c r="B78" s="419">
        <v>10</v>
      </c>
      <c r="C78" s="419">
        <v>52</v>
      </c>
      <c r="D78" s="419">
        <v>60</v>
      </c>
      <c r="E78" s="419" t="s">
        <v>403</v>
      </c>
      <c r="F78" s="444"/>
    </row>
    <row r="79" spans="1:6" ht="12" customHeight="1" x14ac:dyDescent="0.2">
      <c r="A79" s="408" t="s">
        <v>194</v>
      </c>
      <c r="B79" s="418">
        <f>AVERAGE(B80:B83)</f>
        <v>14</v>
      </c>
      <c r="C79" s="418">
        <f>AVERAGE(C80:C83)</f>
        <v>15</v>
      </c>
      <c r="D79" s="418">
        <f>AVERAGE(D80:D83)</f>
        <v>85</v>
      </c>
      <c r="E79" s="418">
        <f>AVERAGE(E80:E83)</f>
        <v>90</v>
      </c>
      <c r="F79" s="441"/>
    </row>
    <row r="80" spans="1:6" ht="12" customHeight="1" x14ac:dyDescent="0.2">
      <c r="A80" s="407" t="s">
        <v>515</v>
      </c>
      <c r="B80" s="419">
        <v>10</v>
      </c>
      <c r="C80" s="419">
        <v>15</v>
      </c>
      <c r="D80" s="419">
        <v>85</v>
      </c>
      <c r="E80" s="419">
        <v>90</v>
      </c>
      <c r="F80" s="441"/>
    </row>
    <row r="81" spans="1:6" ht="12" customHeight="1" x14ac:dyDescent="0.2">
      <c r="A81" s="407" t="s">
        <v>196</v>
      </c>
      <c r="B81" s="419">
        <v>16</v>
      </c>
      <c r="C81" s="419" t="s">
        <v>403</v>
      </c>
      <c r="D81" s="419" t="s">
        <v>403</v>
      </c>
      <c r="E81" s="419" t="s">
        <v>403</v>
      </c>
      <c r="F81" s="441"/>
    </row>
    <row r="82" spans="1:6" ht="12" customHeight="1" x14ac:dyDescent="0.2">
      <c r="A82" s="407" t="s">
        <v>425</v>
      </c>
      <c r="B82" s="419">
        <v>20</v>
      </c>
      <c r="C82" s="419" t="s">
        <v>403</v>
      </c>
      <c r="D82" s="419" t="s">
        <v>403</v>
      </c>
      <c r="E82" s="419" t="s">
        <v>403</v>
      </c>
      <c r="F82" s="441"/>
    </row>
    <row r="83" spans="1:6" ht="12" customHeight="1" x14ac:dyDescent="0.2">
      <c r="A83" s="407" t="s">
        <v>195</v>
      </c>
      <c r="B83" s="419">
        <v>10</v>
      </c>
      <c r="C83" s="419" t="s">
        <v>403</v>
      </c>
      <c r="D83" s="419" t="s">
        <v>403</v>
      </c>
      <c r="E83" s="419" t="s">
        <v>403</v>
      </c>
      <c r="F83" s="441"/>
    </row>
    <row r="84" spans="1:6" ht="12" customHeight="1" x14ac:dyDescent="0.2">
      <c r="A84" s="408" t="s">
        <v>81</v>
      </c>
      <c r="B84" s="418">
        <f>AVERAGE(B85)</f>
        <v>10</v>
      </c>
      <c r="C84" s="418" t="s">
        <v>4</v>
      </c>
      <c r="D84" s="418" t="s">
        <v>4</v>
      </c>
      <c r="E84" s="418" t="s">
        <v>4</v>
      </c>
      <c r="F84" s="441"/>
    </row>
    <row r="85" spans="1:6" ht="12" customHeight="1" x14ac:dyDescent="0.2">
      <c r="A85" s="407" t="s">
        <v>58</v>
      </c>
      <c r="B85" s="419">
        <v>10</v>
      </c>
      <c r="C85" s="419" t="s">
        <v>403</v>
      </c>
      <c r="D85" s="419" t="s">
        <v>403</v>
      </c>
      <c r="E85" s="419" t="s">
        <v>403</v>
      </c>
      <c r="F85" s="441"/>
    </row>
    <row r="86" spans="1:6" ht="12" customHeight="1" x14ac:dyDescent="0.2">
      <c r="A86" s="408" t="s">
        <v>86</v>
      </c>
      <c r="B86" s="418">
        <f>AVERAGE(B87:B89)</f>
        <v>10</v>
      </c>
      <c r="C86" s="418" t="s">
        <v>4</v>
      </c>
      <c r="D86" s="418" t="s">
        <v>4</v>
      </c>
      <c r="E86" s="418">
        <f t="shared" ref="E86" si="4">AVERAGE(E87:E89)</f>
        <v>145</v>
      </c>
      <c r="F86" s="441"/>
    </row>
    <row r="87" spans="1:6" ht="12" customHeight="1" x14ac:dyDescent="0.2">
      <c r="A87" s="407" t="s">
        <v>87</v>
      </c>
      <c r="B87" s="419">
        <v>10</v>
      </c>
      <c r="C87" s="419" t="s">
        <v>403</v>
      </c>
      <c r="D87" s="419" t="s">
        <v>403</v>
      </c>
      <c r="E87" s="419">
        <v>145</v>
      </c>
      <c r="F87" s="441"/>
    </row>
    <row r="88" spans="1:6" ht="12" customHeight="1" x14ac:dyDescent="0.2">
      <c r="A88" s="407" t="s">
        <v>461</v>
      </c>
      <c r="B88" s="419">
        <v>10</v>
      </c>
      <c r="C88" s="419" t="s">
        <v>403</v>
      </c>
      <c r="D88" s="419" t="s">
        <v>403</v>
      </c>
      <c r="E88" s="419" t="s">
        <v>403</v>
      </c>
      <c r="F88" s="441"/>
    </row>
    <row r="89" spans="1:6" ht="12" customHeight="1" x14ac:dyDescent="0.2">
      <c r="A89" s="407" t="s">
        <v>517</v>
      </c>
      <c r="B89" s="419">
        <v>10</v>
      </c>
      <c r="C89" s="419" t="s">
        <v>403</v>
      </c>
      <c r="D89" s="419" t="s">
        <v>403</v>
      </c>
      <c r="E89" s="419" t="s">
        <v>403</v>
      </c>
      <c r="F89" s="441"/>
    </row>
    <row r="90" spans="1:6" ht="12" customHeight="1" x14ac:dyDescent="0.2">
      <c r="A90" s="408" t="s">
        <v>69</v>
      </c>
      <c r="B90" s="418">
        <f>AVERAGE(B91)</f>
        <v>7</v>
      </c>
      <c r="C90" s="418">
        <f>AVERAGE(C91)</f>
        <v>22</v>
      </c>
      <c r="D90" s="418" t="s">
        <v>4</v>
      </c>
      <c r="E90" s="418" t="s">
        <v>4</v>
      </c>
      <c r="F90" s="444"/>
    </row>
    <row r="91" spans="1:6" ht="12" customHeight="1" x14ac:dyDescent="0.2">
      <c r="A91" s="407" t="s">
        <v>70</v>
      </c>
      <c r="B91" s="419">
        <v>7</v>
      </c>
      <c r="C91" s="419">
        <v>22</v>
      </c>
      <c r="D91" s="419" t="s">
        <v>403</v>
      </c>
      <c r="E91" s="419" t="s">
        <v>403</v>
      </c>
      <c r="F91" s="444"/>
    </row>
    <row r="92" spans="1:6" ht="12" customHeight="1" x14ac:dyDescent="0.2">
      <c r="A92" s="408" t="s">
        <v>44</v>
      </c>
      <c r="B92" s="418">
        <f>AVERAGE(B93)</f>
        <v>10</v>
      </c>
      <c r="C92" s="418" t="s">
        <v>4</v>
      </c>
      <c r="D92" s="418" t="s">
        <v>4</v>
      </c>
      <c r="E92" s="418" t="s">
        <v>4</v>
      </c>
      <c r="F92" s="441"/>
    </row>
    <row r="93" spans="1:6" ht="12" customHeight="1" x14ac:dyDescent="0.2">
      <c r="A93" s="416" t="s">
        <v>473</v>
      </c>
      <c r="B93" s="419">
        <v>10</v>
      </c>
      <c r="C93" s="419" t="s">
        <v>403</v>
      </c>
      <c r="D93" s="419" t="s">
        <v>403</v>
      </c>
      <c r="E93" s="419" t="s">
        <v>403</v>
      </c>
      <c r="F93" s="441"/>
    </row>
    <row r="94" spans="1:6" ht="9" customHeight="1" x14ac:dyDescent="0.2">
      <c r="A94" s="457" t="s">
        <v>84</v>
      </c>
      <c r="B94" s="469"/>
      <c r="C94" s="469"/>
      <c r="D94" s="470"/>
      <c r="E94" s="470"/>
      <c r="F94" s="441"/>
    </row>
    <row r="95" spans="1:6" ht="9" customHeight="1" x14ac:dyDescent="0.25">
      <c r="A95" s="457" t="s">
        <v>65</v>
      </c>
      <c r="B95" s="471"/>
      <c r="C95" s="471"/>
      <c r="D95" s="465"/>
      <c r="E95" s="465"/>
      <c r="F95" s="441"/>
    </row>
    <row r="96" spans="1:6" ht="9" customHeight="1" x14ac:dyDescent="0.25">
      <c r="A96" s="458" t="s">
        <v>66</v>
      </c>
      <c r="B96" s="472"/>
      <c r="C96" s="472"/>
      <c r="D96" s="472"/>
      <c r="E96" s="472"/>
      <c r="F96" s="441"/>
    </row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</sheetData>
  <mergeCells count="1">
    <mergeCell ref="A47:F47"/>
  </mergeCells>
  <pageMargins left="0.27559055118110237" right="0.27559055118110237" top="0.39370078740157483" bottom="0.39370078740157483" header="0" footer="0"/>
  <pageSetup paperSize="9" orientation="portrait"/>
  <ignoredErrors>
    <ignoredError sqref="B64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/>
  <dimension ref="A1:O204"/>
  <sheetViews>
    <sheetView showGridLines="0" zoomScaleNormal="100" workbookViewId="0">
      <selection activeCell="L27" sqref="L27"/>
    </sheetView>
  </sheetViews>
  <sheetFormatPr baseColWidth="10" defaultColWidth="11.42578125" defaultRowHeight="12.75" x14ac:dyDescent="0.2"/>
  <cols>
    <col min="1" max="1" width="12.28515625" style="116" customWidth="1"/>
    <col min="2" max="2" width="5.42578125" style="116" customWidth="1"/>
    <col min="3" max="14" width="5.85546875" style="116" customWidth="1"/>
    <col min="15" max="16384" width="11.42578125" style="116"/>
  </cols>
  <sheetData>
    <row r="1" spans="1:15" ht="13.5" x14ac:dyDescent="0.25">
      <c r="A1" s="726" t="s">
        <v>558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7"/>
      <c r="N1" s="727"/>
    </row>
    <row r="2" spans="1:15" ht="13.5" x14ac:dyDescent="0.25">
      <c r="A2" s="728" t="s">
        <v>91</v>
      </c>
      <c r="B2" s="726"/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7"/>
      <c r="N2" s="727"/>
    </row>
    <row r="3" spans="1:15" ht="5.0999999999999996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5"/>
      <c r="N3" s="15"/>
    </row>
    <row r="4" spans="1:15" ht="15.95" customHeight="1" x14ac:dyDescent="0.2">
      <c r="A4" s="214" t="s">
        <v>92</v>
      </c>
      <c r="B4" s="214" t="s">
        <v>93</v>
      </c>
      <c r="C4" s="214" t="s">
        <v>94</v>
      </c>
      <c r="D4" s="214" t="s">
        <v>95</v>
      </c>
      <c r="E4" s="214" t="s">
        <v>96</v>
      </c>
      <c r="F4" s="214" t="s">
        <v>97</v>
      </c>
      <c r="G4" s="214" t="s">
        <v>98</v>
      </c>
      <c r="H4" s="214" t="s">
        <v>99</v>
      </c>
      <c r="I4" s="214" t="s">
        <v>100</v>
      </c>
      <c r="J4" s="215" t="s">
        <v>101</v>
      </c>
      <c r="K4" s="215" t="s">
        <v>102</v>
      </c>
      <c r="L4" s="214" t="s">
        <v>103</v>
      </c>
      <c r="M4" s="214" t="s">
        <v>104</v>
      </c>
      <c r="N4" s="214" t="s">
        <v>105</v>
      </c>
    </row>
    <row r="5" spans="1:15" ht="0.75" customHeight="1" x14ac:dyDescent="0.2">
      <c r="A5" s="633"/>
      <c r="B5" s="633"/>
      <c r="C5" s="633"/>
      <c r="D5" s="633"/>
      <c r="E5" s="633"/>
      <c r="F5" s="633"/>
      <c r="G5" s="633"/>
      <c r="H5" s="633"/>
      <c r="I5" s="633"/>
      <c r="J5" s="216"/>
      <c r="K5" s="216"/>
      <c r="L5" s="633"/>
      <c r="M5" s="633"/>
      <c r="N5" s="633"/>
      <c r="O5" s="200"/>
    </row>
    <row r="6" spans="1:15" ht="11.1" customHeight="1" x14ac:dyDescent="0.25">
      <c r="A6" s="16" t="s">
        <v>50</v>
      </c>
      <c r="B6" s="17">
        <v>2018</v>
      </c>
      <c r="C6" s="18">
        <v>35</v>
      </c>
      <c r="D6" s="18">
        <v>36.5</v>
      </c>
      <c r="E6" s="18">
        <v>37.5</v>
      </c>
      <c r="F6" s="18">
        <v>37.5</v>
      </c>
      <c r="G6" s="18">
        <v>37.5</v>
      </c>
      <c r="H6" s="18">
        <v>37.9</v>
      </c>
      <c r="I6" s="18">
        <v>38.5</v>
      </c>
      <c r="J6" s="18">
        <v>38.5</v>
      </c>
      <c r="K6" s="18">
        <v>38.5</v>
      </c>
      <c r="L6" s="18">
        <v>37.5</v>
      </c>
      <c r="M6" s="19">
        <v>37.5</v>
      </c>
      <c r="N6" s="18">
        <v>37.5</v>
      </c>
    </row>
    <row r="7" spans="1:15" ht="11.1" customHeight="1" x14ac:dyDescent="0.25">
      <c r="A7" s="16"/>
      <c r="B7" s="17">
        <v>2019</v>
      </c>
      <c r="C7" s="18">
        <v>40</v>
      </c>
      <c r="D7" s="18">
        <v>40</v>
      </c>
      <c r="E7" s="18">
        <v>40</v>
      </c>
      <c r="F7" s="18">
        <v>40</v>
      </c>
      <c r="G7" s="18">
        <v>40</v>
      </c>
      <c r="H7" s="18">
        <v>40</v>
      </c>
      <c r="I7" s="18">
        <v>38.5</v>
      </c>
      <c r="J7" s="18">
        <v>38.5</v>
      </c>
      <c r="K7" s="18">
        <v>45</v>
      </c>
      <c r="L7" s="18">
        <v>40</v>
      </c>
      <c r="M7" s="19">
        <v>45</v>
      </c>
      <c r="N7" s="18">
        <v>45</v>
      </c>
    </row>
    <row r="8" spans="1:15" ht="11.1" customHeight="1" x14ac:dyDescent="0.25">
      <c r="A8" s="16"/>
      <c r="B8" s="17">
        <v>2020</v>
      </c>
      <c r="C8" s="18">
        <v>45</v>
      </c>
      <c r="D8" s="18">
        <v>45</v>
      </c>
      <c r="E8" s="18">
        <v>45</v>
      </c>
      <c r="F8" s="18">
        <v>35</v>
      </c>
      <c r="G8" s="18">
        <v>45</v>
      </c>
      <c r="H8" s="18">
        <v>45</v>
      </c>
      <c r="I8" s="18">
        <v>46</v>
      </c>
      <c r="J8" s="18">
        <v>45</v>
      </c>
      <c r="K8" s="18">
        <v>45</v>
      </c>
      <c r="L8" s="18">
        <v>45</v>
      </c>
      <c r="M8" s="19">
        <v>45</v>
      </c>
      <c r="N8" s="18">
        <v>45</v>
      </c>
    </row>
    <row r="9" spans="1:15" ht="11.1" customHeight="1" x14ac:dyDescent="0.25">
      <c r="A9" s="16"/>
      <c r="B9" s="17">
        <v>2021</v>
      </c>
      <c r="C9" s="18">
        <v>45</v>
      </c>
      <c r="D9" s="18">
        <v>45</v>
      </c>
      <c r="E9" s="18">
        <v>45</v>
      </c>
      <c r="F9" s="18">
        <v>45</v>
      </c>
      <c r="G9" s="18">
        <v>45</v>
      </c>
      <c r="H9" s="18">
        <v>45</v>
      </c>
      <c r="I9" s="18">
        <v>46</v>
      </c>
      <c r="J9" s="18">
        <v>45</v>
      </c>
      <c r="K9" s="18">
        <v>45</v>
      </c>
      <c r="L9" s="18">
        <v>45</v>
      </c>
      <c r="M9" s="19">
        <v>45</v>
      </c>
      <c r="N9" s="18">
        <v>45</v>
      </c>
    </row>
    <row r="10" spans="1:15" ht="11.1" customHeight="1" x14ac:dyDescent="0.25">
      <c r="A10" s="16"/>
      <c r="B10" s="17">
        <v>2022</v>
      </c>
      <c r="C10" s="18">
        <v>45</v>
      </c>
      <c r="D10" s="18">
        <v>45</v>
      </c>
      <c r="E10" s="18">
        <v>45</v>
      </c>
      <c r="F10" s="18">
        <v>40</v>
      </c>
      <c r="G10" s="18">
        <v>45</v>
      </c>
      <c r="H10" s="18">
        <v>45</v>
      </c>
      <c r="I10" s="18">
        <v>40</v>
      </c>
      <c r="J10" s="18">
        <v>40</v>
      </c>
      <c r="K10" s="18">
        <v>40</v>
      </c>
      <c r="L10" s="18">
        <v>40</v>
      </c>
      <c r="M10" s="18">
        <v>40</v>
      </c>
      <c r="N10" s="18">
        <v>40</v>
      </c>
    </row>
    <row r="11" spans="1:15" ht="11.1" customHeight="1" x14ac:dyDescent="0.25">
      <c r="A11" s="16"/>
      <c r="B11" s="17">
        <v>2023</v>
      </c>
      <c r="C11" s="18" t="s">
        <v>4</v>
      </c>
      <c r="D11" s="18" t="s">
        <v>4</v>
      </c>
      <c r="E11" s="18" t="s">
        <v>4</v>
      </c>
      <c r="F11" s="18">
        <v>50</v>
      </c>
      <c r="G11" s="18">
        <v>50</v>
      </c>
      <c r="H11" s="18">
        <v>50</v>
      </c>
      <c r="I11" s="18">
        <v>50</v>
      </c>
      <c r="J11" s="18">
        <v>50</v>
      </c>
      <c r="K11" s="18">
        <v>50</v>
      </c>
      <c r="L11" s="18">
        <v>50</v>
      </c>
      <c r="M11" s="18">
        <v>50</v>
      </c>
      <c r="N11" s="18">
        <v>50</v>
      </c>
    </row>
    <row r="12" spans="1:15" ht="11.1" customHeight="1" x14ac:dyDescent="0.25">
      <c r="A12" s="16"/>
      <c r="B12" s="17">
        <v>2024</v>
      </c>
      <c r="C12" s="18">
        <v>50</v>
      </c>
      <c r="D12" s="18">
        <v>50</v>
      </c>
      <c r="E12" s="18">
        <v>56</v>
      </c>
      <c r="F12" s="18">
        <v>56</v>
      </c>
      <c r="G12" s="18">
        <v>55</v>
      </c>
      <c r="H12" s="18">
        <v>55</v>
      </c>
      <c r="I12" s="18">
        <v>55</v>
      </c>
      <c r="J12" s="18">
        <v>55</v>
      </c>
      <c r="K12" s="18">
        <v>55</v>
      </c>
      <c r="L12" s="18">
        <v>52.5</v>
      </c>
      <c r="M12" s="18">
        <v>51</v>
      </c>
      <c r="N12" s="18">
        <v>54</v>
      </c>
    </row>
    <row r="13" spans="1:15" ht="11.1" customHeight="1" x14ac:dyDescent="0.25">
      <c r="A13" s="20"/>
      <c r="B13" s="21">
        <v>2025</v>
      </c>
      <c r="C13" s="22">
        <v>54</v>
      </c>
      <c r="D13" s="22">
        <v>54</v>
      </c>
      <c r="E13" s="22">
        <v>52</v>
      </c>
      <c r="F13" s="22" t="s">
        <v>4</v>
      </c>
      <c r="G13" s="22" t="s">
        <v>4</v>
      </c>
      <c r="H13" s="22">
        <v>49</v>
      </c>
      <c r="I13" s="22">
        <v>55</v>
      </c>
      <c r="J13" s="22">
        <v>54</v>
      </c>
      <c r="K13" s="22">
        <v>48</v>
      </c>
      <c r="L13" s="22"/>
      <c r="M13" s="22"/>
      <c r="N13" s="22"/>
    </row>
    <row r="14" spans="1:15" ht="11.1" customHeight="1" x14ac:dyDescent="0.25">
      <c r="A14" s="23" t="s">
        <v>88</v>
      </c>
      <c r="B14" s="24">
        <v>2018</v>
      </c>
      <c r="C14" s="25">
        <v>39.4</v>
      </c>
      <c r="D14" s="25">
        <v>39.299999999999997</v>
      </c>
      <c r="E14" s="25">
        <v>39.299999999999997</v>
      </c>
      <c r="F14" s="25">
        <v>39.595238095238088</v>
      </c>
      <c r="G14" s="25">
        <v>38.5</v>
      </c>
      <c r="H14" s="25">
        <v>38.5</v>
      </c>
      <c r="I14" s="25">
        <v>40.200000000000003</v>
      </c>
      <c r="J14" s="25">
        <v>39.5</v>
      </c>
      <c r="K14" s="25">
        <v>39.5</v>
      </c>
      <c r="L14" s="25">
        <v>38.904761904761912</v>
      </c>
      <c r="M14" s="26">
        <v>38.904761904761912</v>
      </c>
      <c r="N14" s="25">
        <v>38.5</v>
      </c>
    </row>
    <row r="15" spans="1:15" ht="11.1" customHeight="1" x14ac:dyDescent="0.25">
      <c r="A15" s="27"/>
      <c r="B15" s="17">
        <v>2019</v>
      </c>
      <c r="C15" s="18">
        <v>36.595238095238088</v>
      </c>
      <c r="D15" s="18">
        <v>39</v>
      </c>
      <c r="E15" s="18">
        <v>40.5</v>
      </c>
      <c r="F15" s="18">
        <v>41</v>
      </c>
      <c r="G15" s="18">
        <v>40.5</v>
      </c>
      <c r="H15" s="18">
        <v>40.5</v>
      </c>
      <c r="I15" s="18">
        <v>40.5</v>
      </c>
      <c r="J15" s="18">
        <v>41</v>
      </c>
      <c r="K15" s="18">
        <v>48</v>
      </c>
      <c r="L15" s="18">
        <v>44</v>
      </c>
      <c r="M15" s="19">
        <v>46.5</v>
      </c>
      <c r="N15" s="18">
        <v>45</v>
      </c>
    </row>
    <row r="16" spans="1:15" ht="11.1" customHeight="1" x14ac:dyDescent="0.25">
      <c r="A16" s="27"/>
      <c r="B16" s="17">
        <v>2020</v>
      </c>
      <c r="C16" s="18">
        <v>51</v>
      </c>
      <c r="D16" s="18" t="s">
        <v>4</v>
      </c>
      <c r="E16" s="18" t="s">
        <v>4</v>
      </c>
      <c r="F16" s="18" t="s">
        <v>4</v>
      </c>
      <c r="G16" s="18" t="s">
        <v>4</v>
      </c>
      <c r="H16" s="18" t="s">
        <v>4</v>
      </c>
      <c r="I16" s="18" t="s">
        <v>4</v>
      </c>
      <c r="J16" s="18">
        <v>50</v>
      </c>
      <c r="K16" s="18">
        <v>50</v>
      </c>
      <c r="L16" s="18">
        <v>50</v>
      </c>
      <c r="M16" s="19">
        <v>50</v>
      </c>
      <c r="N16" s="18">
        <v>50</v>
      </c>
    </row>
    <row r="17" spans="1:14" ht="10.5" customHeight="1" x14ac:dyDescent="0.25">
      <c r="A17" s="27"/>
      <c r="B17" s="17">
        <v>2021</v>
      </c>
      <c r="C17" s="18">
        <v>52.5</v>
      </c>
      <c r="D17" s="18">
        <v>45</v>
      </c>
      <c r="E17" s="18">
        <v>50</v>
      </c>
      <c r="F17" s="18">
        <v>50</v>
      </c>
      <c r="G17" s="18">
        <v>50</v>
      </c>
      <c r="H17" s="18">
        <v>55</v>
      </c>
      <c r="I17" s="18">
        <v>55</v>
      </c>
      <c r="J17" s="18">
        <v>55</v>
      </c>
      <c r="K17" s="18">
        <v>55</v>
      </c>
      <c r="L17" s="18">
        <v>55</v>
      </c>
      <c r="M17" s="19">
        <v>60</v>
      </c>
      <c r="N17" s="18">
        <v>60</v>
      </c>
    </row>
    <row r="18" spans="1:14" ht="10.5" customHeight="1" x14ac:dyDescent="0.25">
      <c r="A18" s="27"/>
      <c r="B18" s="17">
        <v>2022</v>
      </c>
      <c r="C18" s="18">
        <v>60</v>
      </c>
      <c r="D18" s="18">
        <v>60</v>
      </c>
      <c r="E18" s="18">
        <v>60</v>
      </c>
      <c r="F18" s="18">
        <v>60</v>
      </c>
      <c r="G18" s="18">
        <v>60</v>
      </c>
      <c r="H18" s="18">
        <v>55</v>
      </c>
      <c r="I18" s="18">
        <v>55</v>
      </c>
      <c r="J18" s="18">
        <v>55</v>
      </c>
      <c r="K18" s="18">
        <v>55</v>
      </c>
      <c r="L18" s="18">
        <v>55</v>
      </c>
      <c r="M18" s="19">
        <v>55</v>
      </c>
      <c r="N18" s="18">
        <v>55</v>
      </c>
    </row>
    <row r="19" spans="1:14" ht="13.5" x14ac:dyDescent="0.25">
      <c r="A19" s="27"/>
      <c r="B19" s="17">
        <v>2023</v>
      </c>
      <c r="C19" s="18">
        <v>60</v>
      </c>
      <c r="D19" s="18">
        <v>62.5</v>
      </c>
      <c r="E19" s="18">
        <v>62.5</v>
      </c>
      <c r="F19" s="18">
        <v>62</v>
      </c>
      <c r="G19" s="18">
        <v>60</v>
      </c>
      <c r="H19" s="18">
        <v>60</v>
      </c>
      <c r="I19" s="18">
        <v>77</v>
      </c>
      <c r="J19" s="18">
        <v>73</v>
      </c>
      <c r="K19" s="18">
        <v>76</v>
      </c>
      <c r="L19" s="18">
        <v>70</v>
      </c>
      <c r="M19" s="18">
        <v>73</v>
      </c>
      <c r="N19" s="18">
        <v>77.5</v>
      </c>
    </row>
    <row r="20" spans="1:14" ht="11.1" customHeight="1" x14ac:dyDescent="0.25">
      <c r="A20" s="27"/>
      <c r="B20" s="17">
        <v>2024</v>
      </c>
      <c r="C20" s="18">
        <v>68</v>
      </c>
      <c r="D20" s="18">
        <v>83</v>
      </c>
      <c r="E20" s="18">
        <v>83</v>
      </c>
      <c r="F20" s="18">
        <v>79</v>
      </c>
      <c r="G20" s="18">
        <v>79</v>
      </c>
      <c r="H20" s="18">
        <v>95</v>
      </c>
      <c r="I20" s="18">
        <v>80</v>
      </c>
      <c r="J20" s="18">
        <v>80</v>
      </c>
      <c r="K20" s="18">
        <v>83</v>
      </c>
      <c r="L20" s="18">
        <v>65.5</v>
      </c>
      <c r="M20" s="18">
        <v>70</v>
      </c>
      <c r="N20" s="18">
        <v>74</v>
      </c>
    </row>
    <row r="21" spans="1:14" ht="11.1" customHeight="1" x14ac:dyDescent="0.2">
      <c r="A21" s="198"/>
      <c r="B21" s="21">
        <v>2025</v>
      </c>
      <c r="C21" s="22">
        <v>76</v>
      </c>
      <c r="D21" s="22">
        <v>77</v>
      </c>
      <c r="E21" s="22">
        <v>76</v>
      </c>
      <c r="F21" s="22">
        <v>80</v>
      </c>
      <c r="G21" s="22">
        <v>85</v>
      </c>
      <c r="H21" s="22">
        <v>86</v>
      </c>
      <c r="I21" s="22">
        <v>81</v>
      </c>
      <c r="J21" s="22">
        <v>80</v>
      </c>
      <c r="K21" s="22">
        <v>86</v>
      </c>
      <c r="L21" s="198"/>
      <c r="M21" s="198"/>
      <c r="N21" s="198"/>
    </row>
    <row r="22" spans="1:14" ht="11.1" customHeight="1" x14ac:dyDescent="0.2">
      <c r="A22" s="629" t="s">
        <v>593</v>
      </c>
      <c r="B22" s="630">
        <v>2025</v>
      </c>
      <c r="C22" s="631" t="s">
        <v>4</v>
      </c>
      <c r="D22" s="631" t="s">
        <v>4</v>
      </c>
      <c r="E22" s="631" t="s">
        <v>4</v>
      </c>
      <c r="F22" s="631" t="s">
        <v>4</v>
      </c>
      <c r="G22" s="631" t="s">
        <v>4</v>
      </c>
      <c r="H22" s="631" t="s">
        <v>4</v>
      </c>
      <c r="I22" s="631" t="s">
        <v>4</v>
      </c>
      <c r="J22" s="631" t="s">
        <v>4</v>
      </c>
      <c r="K22" s="631">
        <v>51</v>
      </c>
      <c r="L22" s="631" t="s">
        <v>4</v>
      </c>
      <c r="M22" s="631" t="s">
        <v>4</v>
      </c>
      <c r="N22" s="631" t="s">
        <v>4</v>
      </c>
    </row>
    <row r="23" spans="1:14" ht="11.1" customHeight="1" x14ac:dyDescent="0.2">
      <c r="A23" s="29" t="s">
        <v>106</v>
      </c>
      <c r="B23" s="17">
        <v>2024</v>
      </c>
      <c r="C23" s="18" t="s">
        <v>4</v>
      </c>
      <c r="D23" s="18" t="s">
        <v>4</v>
      </c>
      <c r="E23" s="18">
        <v>90</v>
      </c>
      <c r="F23" s="18">
        <v>90</v>
      </c>
      <c r="G23" s="18">
        <v>95</v>
      </c>
      <c r="H23" s="18">
        <v>95</v>
      </c>
      <c r="I23" s="18">
        <v>95</v>
      </c>
      <c r="J23" s="18">
        <v>100</v>
      </c>
      <c r="K23" s="18">
        <v>89.5</v>
      </c>
      <c r="L23" s="18">
        <v>87.5</v>
      </c>
      <c r="M23" s="18">
        <v>78.41</v>
      </c>
      <c r="N23" s="18">
        <v>78</v>
      </c>
    </row>
    <row r="24" spans="1:14" ht="11.1" customHeight="1" x14ac:dyDescent="0.2">
      <c r="B24" s="21">
        <v>2025</v>
      </c>
      <c r="C24" s="18">
        <v>87</v>
      </c>
      <c r="D24" s="18">
        <v>83</v>
      </c>
      <c r="E24" s="18">
        <v>87</v>
      </c>
      <c r="F24" s="18">
        <v>92</v>
      </c>
      <c r="G24" s="18">
        <v>85</v>
      </c>
      <c r="H24" s="18">
        <v>82</v>
      </c>
      <c r="I24" s="18">
        <v>82</v>
      </c>
      <c r="J24" s="18">
        <v>92</v>
      </c>
      <c r="K24" s="18">
        <v>90</v>
      </c>
    </row>
    <row r="25" spans="1:14" ht="11.1" customHeight="1" x14ac:dyDescent="0.25">
      <c r="A25" s="23" t="s">
        <v>107</v>
      </c>
      <c r="B25" s="17">
        <v>2018</v>
      </c>
      <c r="C25" s="25">
        <v>43</v>
      </c>
      <c r="D25" s="25">
        <v>42</v>
      </c>
      <c r="E25" s="25">
        <v>42.5</v>
      </c>
      <c r="F25" s="25">
        <v>40.5</v>
      </c>
      <c r="G25" s="25">
        <v>42</v>
      </c>
      <c r="H25" s="25">
        <v>42</v>
      </c>
      <c r="I25" s="25">
        <v>42</v>
      </c>
      <c r="J25" s="25">
        <v>43</v>
      </c>
      <c r="K25" s="25">
        <v>42.5</v>
      </c>
      <c r="L25" s="25">
        <v>44</v>
      </c>
      <c r="M25" s="26">
        <v>44</v>
      </c>
      <c r="N25" s="25">
        <v>44</v>
      </c>
    </row>
    <row r="26" spans="1:14" ht="11.1" customHeight="1" x14ac:dyDescent="0.25">
      <c r="A26" s="27"/>
      <c r="B26" s="17">
        <v>2019</v>
      </c>
      <c r="C26" s="18">
        <v>41.5</v>
      </c>
      <c r="D26" s="18">
        <v>43</v>
      </c>
      <c r="E26" s="18">
        <v>42.5</v>
      </c>
      <c r="F26" s="18">
        <v>43.5</v>
      </c>
      <c r="G26" s="18">
        <v>44</v>
      </c>
      <c r="H26" s="18">
        <v>43.5</v>
      </c>
      <c r="I26" s="18">
        <v>42.5</v>
      </c>
      <c r="J26" s="18">
        <v>44.5</v>
      </c>
      <c r="K26" s="18">
        <v>45</v>
      </c>
      <c r="L26" s="18">
        <v>47.5</v>
      </c>
      <c r="M26" s="19">
        <v>47.5</v>
      </c>
      <c r="N26" s="18">
        <v>45</v>
      </c>
    </row>
    <row r="27" spans="1:14" ht="11.1" customHeight="1" x14ac:dyDescent="0.25">
      <c r="A27" s="27"/>
      <c r="B27" s="17">
        <v>2020</v>
      </c>
      <c r="C27" s="18">
        <v>40</v>
      </c>
      <c r="D27" s="18">
        <v>40</v>
      </c>
      <c r="E27" s="18">
        <v>40</v>
      </c>
      <c r="F27" s="18">
        <v>40</v>
      </c>
      <c r="G27" s="18">
        <v>40</v>
      </c>
      <c r="H27" s="18">
        <v>45</v>
      </c>
      <c r="I27" s="18">
        <v>40</v>
      </c>
      <c r="J27" s="18">
        <v>40</v>
      </c>
      <c r="K27" s="18">
        <v>40</v>
      </c>
      <c r="L27" s="18">
        <v>40</v>
      </c>
      <c r="M27" s="19">
        <v>45</v>
      </c>
      <c r="N27" s="18">
        <v>45</v>
      </c>
    </row>
    <row r="28" spans="1:14" ht="11.1" customHeight="1" x14ac:dyDescent="0.25">
      <c r="A28" s="27"/>
      <c r="B28" s="17">
        <v>2021</v>
      </c>
      <c r="C28" s="18">
        <v>45</v>
      </c>
      <c r="D28" s="18">
        <v>52.5</v>
      </c>
      <c r="E28" s="18">
        <v>45</v>
      </c>
      <c r="F28" s="18">
        <v>52.5</v>
      </c>
      <c r="G28" s="18">
        <v>47.5</v>
      </c>
      <c r="H28" s="18">
        <v>55</v>
      </c>
      <c r="I28" s="18">
        <v>47.5</v>
      </c>
      <c r="J28" s="18">
        <v>50</v>
      </c>
      <c r="K28" s="18">
        <v>47.5</v>
      </c>
      <c r="L28" s="18">
        <v>52.5</v>
      </c>
      <c r="M28" s="19">
        <v>50</v>
      </c>
      <c r="N28" s="18">
        <v>47.5</v>
      </c>
    </row>
    <row r="29" spans="1:14" ht="11.1" customHeight="1" x14ac:dyDescent="0.25">
      <c r="A29" s="27"/>
      <c r="B29" s="17">
        <v>2022</v>
      </c>
      <c r="C29" s="18">
        <v>50</v>
      </c>
      <c r="D29" s="18">
        <v>50</v>
      </c>
      <c r="E29" s="18">
        <v>50</v>
      </c>
      <c r="F29" s="18">
        <v>50</v>
      </c>
      <c r="G29" s="18">
        <v>50</v>
      </c>
      <c r="H29" s="18">
        <v>50</v>
      </c>
      <c r="I29" s="18">
        <v>50</v>
      </c>
      <c r="J29" s="18">
        <v>50</v>
      </c>
      <c r="K29" s="18">
        <v>50</v>
      </c>
      <c r="L29" s="18">
        <v>55</v>
      </c>
      <c r="M29" s="19">
        <v>48</v>
      </c>
      <c r="N29" s="18">
        <v>55</v>
      </c>
    </row>
    <row r="30" spans="1:14" ht="11.1" customHeight="1" x14ac:dyDescent="0.25">
      <c r="A30" s="27"/>
      <c r="B30" s="17">
        <v>2023</v>
      </c>
      <c r="C30" s="18">
        <v>55</v>
      </c>
      <c r="D30" s="18">
        <v>55</v>
      </c>
      <c r="E30" s="18">
        <v>50</v>
      </c>
      <c r="F30" s="18">
        <v>52.5</v>
      </c>
      <c r="G30" s="18">
        <v>55</v>
      </c>
      <c r="H30" s="18">
        <v>60</v>
      </c>
      <c r="I30" s="18">
        <v>55</v>
      </c>
      <c r="J30" s="18">
        <v>60</v>
      </c>
      <c r="K30" s="18">
        <v>60</v>
      </c>
      <c r="L30" s="18">
        <v>70</v>
      </c>
      <c r="M30" s="18">
        <v>67.5</v>
      </c>
      <c r="N30" s="18">
        <v>67.5</v>
      </c>
    </row>
    <row r="31" spans="1:14" ht="11.1" customHeight="1" x14ac:dyDescent="0.25">
      <c r="A31" s="27"/>
      <c r="B31" s="17">
        <v>2024</v>
      </c>
      <c r="C31" s="18">
        <v>70</v>
      </c>
      <c r="D31" s="18">
        <v>68</v>
      </c>
      <c r="E31" s="18">
        <v>63</v>
      </c>
      <c r="F31" s="18">
        <v>63</v>
      </c>
      <c r="G31" s="18">
        <v>63</v>
      </c>
      <c r="H31" s="18">
        <v>65</v>
      </c>
      <c r="I31" s="18">
        <v>60</v>
      </c>
      <c r="J31" s="18">
        <v>63</v>
      </c>
      <c r="K31" s="18">
        <v>57</v>
      </c>
      <c r="L31" s="18">
        <v>51</v>
      </c>
      <c r="M31" s="18">
        <v>51</v>
      </c>
      <c r="N31" s="18">
        <v>50</v>
      </c>
    </row>
    <row r="32" spans="1:14" ht="11.1" customHeight="1" x14ac:dyDescent="0.25">
      <c r="A32" s="28"/>
      <c r="B32" s="21">
        <v>2025</v>
      </c>
      <c r="C32" s="18">
        <v>51</v>
      </c>
      <c r="D32" s="18">
        <v>52</v>
      </c>
      <c r="E32" s="18">
        <v>54</v>
      </c>
      <c r="F32" s="18">
        <v>54</v>
      </c>
      <c r="G32" s="18">
        <v>54</v>
      </c>
      <c r="H32" s="18">
        <v>51</v>
      </c>
      <c r="I32" s="18">
        <v>52</v>
      </c>
      <c r="J32" s="18">
        <v>54</v>
      </c>
      <c r="K32" s="18">
        <v>54</v>
      </c>
    </row>
    <row r="33" spans="1:15" ht="11.1" customHeight="1" x14ac:dyDescent="0.25">
      <c r="A33" s="23" t="s">
        <v>108</v>
      </c>
      <c r="B33" s="24">
        <v>2018</v>
      </c>
      <c r="C33" s="25">
        <v>32</v>
      </c>
      <c r="D33" s="25">
        <v>32</v>
      </c>
      <c r="E33" s="25">
        <v>31.5</v>
      </c>
      <c r="F33" s="25">
        <v>32</v>
      </c>
      <c r="G33" s="25">
        <v>32</v>
      </c>
      <c r="H33" s="25">
        <v>32</v>
      </c>
      <c r="I33" s="25">
        <v>32</v>
      </c>
      <c r="J33" s="25">
        <v>32</v>
      </c>
      <c r="K33" s="25">
        <v>32.5</v>
      </c>
      <c r="L33" s="25">
        <v>32.5</v>
      </c>
      <c r="M33" s="26">
        <v>32.5</v>
      </c>
      <c r="N33" s="25">
        <v>32.5</v>
      </c>
    </row>
    <row r="34" spans="1:15" ht="11.1" customHeight="1" x14ac:dyDescent="0.25">
      <c r="A34" s="27"/>
      <c r="B34" s="17">
        <v>2019</v>
      </c>
      <c r="C34" s="18">
        <v>31.5</v>
      </c>
      <c r="D34" s="18">
        <v>30.5</v>
      </c>
      <c r="E34" s="18">
        <v>30.5</v>
      </c>
      <c r="F34" s="18">
        <v>31</v>
      </c>
      <c r="G34" s="18">
        <v>34</v>
      </c>
      <c r="H34" s="18">
        <v>32</v>
      </c>
      <c r="I34" s="18">
        <v>32</v>
      </c>
      <c r="J34" s="18">
        <v>33</v>
      </c>
      <c r="K34" s="18">
        <v>33.5</v>
      </c>
      <c r="L34" s="18">
        <v>32.5</v>
      </c>
      <c r="M34" s="19">
        <v>33</v>
      </c>
      <c r="N34" s="18">
        <v>32.5</v>
      </c>
    </row>
    <row r="35" spans="1:15" ht="11.1" customHeight="1" x14ac:dyDescent="0.25">
      <c r="A35" s="27"/>
      <c r="B35" s="17">
        <v>2020</v>
      </c>
      <c r="C35" s="18">
        <v>32.5</v>
      </c>
      <c r="D35" s="18" t="s">
        <v>4</v>
      </c>
      <c r="E35" s="18" t="s">
        <v>4</v>
      </c>
      <c r="F35" s="18" t="s">
        <v>4</v>
      </c>
      <c r="G35" s="18" t="s">
        <v>4</v>
      </c>
      <c r="H35" s="18">
        <v>37.5</v>
      </c>
      <c r="I35" s="18">
        <v>37.5</v>
      </c>
      <c r="J35" s="18">
        <v>32.5</v>
      </c>
      <c r="K35" s="18">
        <v>37.5</v>
      </c>
      <c r="L35" s="18">
        <v>37.5</v>
      </c>
      <c r="M35" s="19">
        <v>40</v>
      </c>
      <c r="N35" s="18">
        <v>37.5</v>
      </c>
    </row>
    <row r="36" spans="1:15" ht="11.1" customHeight="1" x14ac:dyDescent="0.25">
      <c r="A36" s="27"/>
      <c r="B36" s="17">
        <v>2021</v>
      </c>
      <c r="C36" s="18">
        <v>37.5</v>
      </c>
      <c r="D36" s="18">
        <v>37.5</v>
      </c>
      <c r="E36" s="18">
        <v>37.5</v>
      </c>
      <c r="F36" s="18">
        <v>40</v>
      </c>
      <c r="G36" s="18">
        <v>37.5</v>
      </c>
      <c r="H36" s="18">
        <v>37.5</v>
      </c>
      <c r="I36" s="18">
        <v>37.5</v>
      </c>
      <c r="J36" s="18">
        <v>37.5</v>
      </c>
      <c r="K36" s="18">
        <v>37.5</v>
      </c>
      <c r="L36" s="18">
        <v>37.5</v>
      </c>
      <c r="M36" s="19">
        <v>37.5</v>
      </c>
      <c r="N36" s="18">
        <v>37.5</v>
      </c>
    </row>
    <row r="37" spans="1:15" ht="11.1" customHeight="1" x14ac:dyDescent="0.25">
      <c r="A37" s="27"/>
      <c r="B37" s="17">
        <v>2022</v>
      </c>
      <c r="C37" s="18">
        <v>37.5</v>
      </c>
      <c r="D37" s="18">
        <v>45</v>
      </c>
      <c r="E37" s="18">
        <v>45</v>
      </c>
      <c r="F37" s="18">
        <v>45</v>
      </c>
      <c r="G37" s="18">
        <v>45</v>
      </c>
      <c r="H37" s="18">
        <v>45</v>
      </c>
      <c r="I37" s="18">
        <v>47.5</v>
      </c>
      <c r="J37" s="18">
        <v>47.5</v>
      </c>
      <c r="K37" s="18">
        <v>50</v>
      </c>
      <c r="L37" s="18">
        <v>47.5</v>
      </c>
      <c r="M37" s="19">
        <v>47.5</v>
      </c>
      <c r="N37" s="18">
        <v>47.5</v>
      </c>
    </row>
    <row r="38" spans="1:15" ht="11.1" customHeight="1" x14ac:dyDescent="0.25">
      <c r="A38" s="27"/>
      <c r="B38" s="17">
        <v>2023</v>
      </c>
      <c r="C38" s="18">
        <v>47.5</v>
      </c>
      <c r="D38" s="18">
        <v>48</v>
      </c>
      <c r="E38" s="18">
        <v>48</v>
      </c>
      <c r="F38" s="18">
        <v>48</v>
      </c>
      <c r="G38" s="18">
        <v>48</v>
      </c>
      <c r="H38" s="18">
        <v>47</v>
      </c>
      <c r="I38" s="18">
        <v>50</v>
      </c>
      <c r="J38" s="18">
        <v>52</v>
      </c>
      <c r="K38" s="18">
        <v>50</v>
      </c>
      <c r="L38" s="18">
        <v>50</v>
      </c>
      <c r="M38" s="18">
        <v>50</v>
      </c>
      <c r="N38" s="18">
        <v>50</v>
      </c>
    </row>
    <row r="39" spans="1:15" ht="11.1" customHeight="1" x14ac:dyDescent="0.25">
      <c r="A39" s="27"/>
      <c r="B39" s="17">
        <v>2024</v>
      </c>
      <c r="C39" s="18">
        <v>45</v>
      </c>
      <c r="D39" s="18">
        <v>45</v>
      </c>
      <c r="E39" s="18">
        <v>48</v>
      </c>
      <c r="F39" s="18">
        <v>55</v>
      </c>
      <c r="G39" s="18">
        <v>70</v>
      </c>
      <c r="H39" s="18">
        <v>90</v>
      </c>
      <c r="I39" s="18">
        <v>60</v>
      </c>
      <c r="J39" s="18">
        <v>50</v>
      </c>
      <c r="K39" s="18">
        <v>49</v>
      </c>
      <c r="L39" s="18">
        <v>44</v>
      </c>
      <c r="M39" s="18">
        <v>44</v>
      </c>
      <c r="N39" s="18">
        <v>42</v>
      </c>
    </row>
    <row r="40" spans="1:15" ht="11.1" customHeight="1" x14ac:dyDescent="0.25">
      <c r="A40" s="28"/>
      <c r="B40" s="21">
        <v>2025</v>
      </c>
      <c r="C40" s="18">
        <v>45</v>
      </c>
      <c r="D40" s="18">
        <v>44</v>
      </c>
      <c r="E40" s="18">
        <v>46</v>
      </c>
      <c r="F40" s="18">
        <v>44</v>
      </c>
      <c r="G40" s="18">
        <v>40</v>
      </c>
      <c r="H40" s="18">
        <v>43</v>
      </c>
      <c r="I40" s="18">
        <v>44</v>
      </c>
      <c r="J40" s="18">
        <v>46</v>
      </c>
      <c r="K40" s="18">
        <v>45</v>
      </c>
    </row>
    <row r="41" spans="1:15" ht="11.1" customHeight="1" x14ac:dyDescent="0.25">
      <c r="A41" s="30" t="s">
        <v>109</v>
      </c>
      <c r="B41" s="24">
        <v>2018</v>
      </c>
      <c r="C41" s="25">
        <v>37</v>
      </c>
      <c r="D41" s="25">
        <v>34.5</v>
      </c>
      <c r="E41" s="25">
        <v>36</v>
      </c>
      <c r="F41" s="25">
        <v>35</v>
      </c>
      <c r="G41" s="25">
        <v>35</v>
      </c>
      <c r="H41" s="25">
        <v>35</v>
      </c>
      <c r="I41" s="25">
        <v>35</v>
      </c>
      <c r="J41" s="25">
        <v>35</v>
      </c>
      <c r="K41" s="25">
        <v>35.5</v>
      </c>
      <c r="L41" s="25">
        <v>35</v>
      </c>
      <c r="M41" s="26">
        <v>35</v>
      </c>
      <c r="N41" s="25">
        <v>36</v>
      </c>
    </row>
    <row r="42" spans="1:15" ht="11.1" customHeight="1" x14ac:dyDescent="0.25">
      <c r="A42" s="16"/>
      <c r="B42" s="17">
        <v>2019</v>
      </c>
      <c r="C42" s="18">
        <v>32.5</v>
      </c>
      <c r="D42" s="18">
        <v>34</v>
      </c>
      <c r="E42" s="18">
        <v>30</v>
      </c>
      <c r="F42" s="18">
        <v>38</v>
      </c>
      <c r="G42" s="18">
        <v>39.700000000000003</v>
      </c>
      <c r="H42" s="18">
        <v>40</v>
      </c>
      <c r="I42" s="18">
        <v>37</v>
      </c>
      <c r="J42" s="18">
        <v>40</v>
      </c>
      <c r="K42" s="18">
        <v>50</v>
      </c>
      <c r="L42" s="18">
        <v>50</v>
      </c>
      <c r="M42" s="19">
        <v>55</v>
      </c>
      <c r="N42" s="18">
        <v>55</v>
      </c>
    </row>
    <row r="43" spans="1:15" ht="11.1" customHeight="1" x14ac:dyDescent="0.25">
      <c r="A43" s="16"/>
      <c r="B43" s="17">
        <v>2020</v>
      </c>
      <c r="C43" s="18">
        <v>55</v>
      </c>
      <c r="D43" s="18" t="s">
        <v>4</v>
      </c>
      <c r="E43" s="18" t="s">
        <v>4</v>
      </c>
      <c r="F43" s="18" t="s">
        <v>4</v>
      </c>
      <c r="G43" s="18" t="s">
        <v>4</v>
      </c>
      <c r="H43" s="18" t="s">
        <v>4</v>
      </c>
      <c r="I43" s="18" t="s">
        <v>4</v>
      </c>
      <c r="J43" s="18" t="s">
        <v>4</v>
      </c>
      <c r="K43" s="18" t="s">
        <v>4</v>
      </c>
      <c r="L43" s="18" t="s">
        <v>4</v>
      </c>
      <c r="M43" s="19" t="s">
        <v>4</v>
      </c>
      <c r="N43" s="18" t="s">
        <v>4</v>
      </c>
    </row>
    <row r="44" spans="1:15" ht="11.1" customHeight="1" x14ac:dyDescent="0.25">
      <c r="A44" s="27"/>
      <c r="B44" s="17">
        <v>2021</v>
      </c>
      <c r="C44" s="18" t="s">
        <v>4</v>
      </c>
      <c r="D44" s="18" t="s">
        <v>4</v>
      </c>
      <c r="E44" s="18" t="s">
        <v>4</v>
      </c>
      <c r="F44" s="18" t="s">
        <v>4</v>
      </c>
      <c r="G44" s="18" t="s">
        <v>4</v>
      </c>
      <c r="H44" s="18" t="s">
        <v>4</v>
      </c>
      <c r="I44" s="18">
        <v>57.5</v>
      </c>
      <c r="J44" s="18">
        <v>57.5</v>
      </c>
      <c r="K44" s="18" t="s">
        <v>4</v>
      </c>
      <c r="L44" s="18" t="s">
        <v>4</v>
      </c>
      <c r="M44" s="19">
        <v>62.5</v>
      </c>
      <c r="N44" s="18" t="s">
        <v>4</v>
      </c>
    </row>
    <row r="45" spans="1:15" ht="11.1" customHeight="1" x14ac:dyDescent="0.25">
      <c r="A45" s="27"/>
      <c r="B45" s="17">
        <v>2022</v>
      </c>
      <c r="C45" s="18">
        <v>62.5</v>
      </c>
      <c r="D45" s="18">
        <v>57.5</v>
      </c>
      <c r="E45" s="18">
        <v>57.5</v>
      </c>
      <c r="F45" s="18">
        <v>57.5</v>
      </c>
      <c r="G45" s="18">
        <v>62.5</v>
      </c>
      <c r="H45" s="18">
        <v>62.5</v>
      </c>
      <c r="I45" s="18">
        <v>57.5</v>
      </c>
      <c r="J45" s="18">
        <v>57.5</v>
      </c>
      <c r="K45" s="18">
        <v>57.5</v>
      </c>
      <c r="L45" s="18">
        <v>57.5</v>
      </c>
      <c r="M45" s="19" t="s">
        <v>4</v>
      </c>
      <c r="N45" s="18">
        <v>57.5</v>
      </c>
    </row>
    <row r="46" spans="1:15" ht="11.1" customHeight="1" x14ac:dyDescent="0.25">
      <c r="A46" s="27"/>
      <c r="B46" s="17">
        <v>2023</v>
      </c>
      <c r="C46" s="18">
        <v>57.5</v>
      </c>
      <c r="D46" s="18">
        <v>57.5</v>
      </c>
      <c r="E46" s="18">
        <v>67.5</v>
      </c>
      <c r="F46" s="18">
        <v>67.5</v>
      </c>
      <c r="G46" s="18" t="s">
        <v>4</v>
      </c>
      <c r="H46" s="18" t="s">
        <v>4</v>
      </c>
      <c r="I46" s="18" t="s">
        <v>4</v>
      </c>
      <c r="J46" s="18" t="s">
        <v>4</v>
      </c>
      <c r="K46" s="18" t="s">
        <v>4</v>
      </c>
      <c r="L46" s="18">
        <v>57.5</v>
      </c>
      <c r="M46" s="18">
        <v>63</v>
      </c>
      <c r="N46" s="18">
        <v>64</v>
      </c>
    </row>
    <row r="47" spans="1:15" ht="11.1" customHeight="1" x14ac:dyDescent="0.25">
      <c r="A47" s="27"/>
      <c r="B47" s="17">
        <v>2024</v>
      </c>
      <c r="C47" s="18">
        <v>57.5</v>
      </c>
      <c r="D47" s="18">
        <v>54</v>
      </c>
      <c r="E47" s="18">
        <v>50</v>
      </c>
      <c r="F47" s="18">
        <v>53</v>
      </c>
      <c r="G47" s="18">
        <v>60</v>
      </c>
      <c r="H47" s="18">
        <v>60</v>
      </c>
      <c r="I47" s="18">
        <v>63</v>
      </c>
      <c r="J47" s="18">
        <v>63</v>
      </c>
      <c r="K47" s="18">
        <v>55</v>
      </c>
      <c r="L47" s="18" t="s">
        <v>4</v>
      </c>
      <c r="M47" s="18" t="s">
        <v>4</v>
      </c>
      <c r="N47" s="18">
        <v>56</v>
      </c>
      <c r="O47" s="199"/>
    </row>
    <row r="48" spans="1:15" ht="11.1" customHeight="1" x14ac:dyDescent="0.25">
      <c r="A48" s="28"/>
      <c r="B48" s="21">
        <v>2025</v>
      </c>
      <c r="C48" s="22" t="s">
        <v>4</v>
      </c>
      <c r="D48" s="22" t="s">
        <v>4</v>
      </c>
      <c r="E48" s="22" t="s">
        <v>4</v>
      </c>
      <c r="F48" s="22" t="s">
        <v>4</v>
      </c>
      <c r="G48" s="22" t="s">
        <v>4</v>
      </c>
      <c r="H48" s="22" t="s">
        <v>4</v>
      </c>
      <c r="I48" s="22" t="s">
        <v>4</v>
      </c>
      <c r="J48" s="22" t="s">
        <v>4</v>
      </c>
      <c r="K48" s="22" t="s">
        <v>4</v>
      </c>
    </row>
    <row r="49" spans="1:14" ht="11.1" customHeight="1" x14ac:dyDescent="0.25">
      <c r="A49" s="30" t="s">
        <v>15</v>
      </c>
      <c r="B49" s="24">
        <v>2018</v>
      </c>
      <c r="C49" s="25">
        <v>36.5</v>
      </c>
      <c r="D49" s="25">
        <v>36.5</v>
      </c>
      <c r="E49" s="25">
        <v>36.5</v>
      </c>
      <c r="F49" s="25">
        <v>36.799999999999997</v>
      </c>
      <c r="G49" s="25">
        <v>38</v>
      </c>
      <c r="H49" s="25">
        <v>38</v>
      </c>
      <c r="I49" s="25">
        <v>38</v>
      </c>
      <c r="J49" s="25">
        <v>34</v>
      </c>
      <c r="K49" s="25">
        <v>34</v>
      </c>
      <c r="L49" s="25">
        <v>34</v>
      </c>
      <c r="M49" s="26">
        <v>34</v>
      </c>
      <c r="N49" s="25">
        <v>36</v>
      </c>
    </row>
    <row r="50" spans="1:14" ht="11.1" customHeight="1" x14ac:dyDescent="0.25">
      <c r="A50" s="16"/>
      <c r="B50" s="17">
        <v>2019</v>
      </c>
      <c r="C50" s="18">
        <v>38</v>
      </c>
      <c r="D50" s="18">
        <v>38</v>
      </c>
      <c r="E50" s="18">
        <v>38</v>
      </c>
      <c r="F50" s="18">
        <v>38</v>
      </c>
      <c r="G50" s="18">
        <v>40</v>
      </c>
      <c r="H50" s="18">
        <v>40</v>
      </c>
      <c r="I50" s="18">
        <v>40</v>
      </c>
      <c r="J50" s="18">
        <v>40</v>
      </c>
      <c r="K50" s="18">
        <v>40</v>
      </c>
      <c r="L50" s="18">
        <v>40</v>
      </c>
      <c r="M50" s="19">
        <v>40</v>
      </c>
      <c r="N50" s="18">
        <v>40</v>
      </c>
    </row>
    <row r="51" spans="1:14" ht="11.1" customHeight="1" x14ac:dyDescent="0.25">
      <c r="A51" s="16"/>
      <c r="B51" s="17">
        <v>2020</v>
      </c>
      <c r="C51" s="18">
        <v>40</v>
      </c>
      <c r="D51" s="18" t="s">
        <v>4</v>
      </c>
      <c r="E51" s="18" t="s">
        <v>4</v>
      </c>
      <c r="F51" s="18" t="s">
        <v>4</v>
      </c>
      <c r="G51" s="18">
        <v>40</v>
      </c>
      <c r="H51" s="18">
        <v>40</v>
      </c>
      <c r="I51" s="18">
        <v>40</v>
      </c>
      <c r="J51" s="18">
        <v>40</v>
      </c>
      <c r="K51" s="18" t="s">
        <v>4</v>
      </c>
      <c r="L51" s="18">
        <v>40</v>
      </c>
      <c r="M51" s="19">
        <v>40</v>
      </c>
      <c r="N51" s="18">
        <v>40</v>
      </c>
    </row>
    <row r="52" spans="1:14" ht="11.1" customHeight="1" x14ac:dyDescent="0.25">
      <c r="A52" s="16"/>
      <c r="B52" s="17">
        <v>2021</v>
      </c>
      <c r="C52" s="18">
        <v>40</v>
      </c>
      <c r="D52" s="18">
        <v>40</v>
      </c>
      <c r="E52" s="18">
        <v>40</v>
      </c>
      <c r="F52" s="18">
        <v>40</v>
      </c>
      <c r="G52" s="18">
        <v>40</v>
      </c>
      <c r="H52" s="18">
        <v>40</v>
      </c>
      <c r="I52" s="18">
        <v>40</v>
      </c>
      <c r="J52" s="18">
        <v>40</v>
      </c>
      <c r="K52" s="18">
        <v>40</v>
      </c>
      <c r="L52" s="18">
        <v>40</v>
      </c>
      <c r="M52" s="19">
        <v>40</v>
      </c>
      <c r="N52" s="18">
        <v>42.5</v>
      </c>
    </row>
    <row r="53" spans="1:14" ht="11.1" customHeight="1" x14ac:dyDescent="0.25">
      <c r="A53" s="16"/>
      <c r="B53" s="17">
        <v>2022</v>
      </c>
      <c r="C53" s="18">
        <v>42.5</v>
      </c>
      <c r="D53" s="18">
        <v>42.5</v>
      </c>
      <c r="E53" s="18">
        <v>42.5</v>
      </c>
      <c r="F53" s="18">
        <v>43</v>
      </c>
      <c r="G53" s="18">
        <v>42.5</v>
      </c>
      <c r="H53" s="18">
        <v>43</v>
      </c>
      <c r="I53" s="18">
        <v>47.5</v>
      </c>
      <c r="J53" s="18">
        <v>47.5</v>
      </c>
      <c r="K53" s="18">
        <v>47.5</v>
      </c>
      <c r="L53" s="18">
        <v>47.5</v>
      </c>
      <c r="M53" s="19">
        <v>47.5</v>
      </c>
      <c r="N53" s="18">
        <v>47.5</v>
      </c>
    </row>
    <row r="54" spans="1:14" ht="11.1" customHeight="1" x14ac:dyDescent="0.25">
      <c r="A54" s="16"/>
      <c r="B54" s="17">
        <v>2023</v>
      </c>
      <c r="C54" s="18">
        <v>47.5</v>
      </c>
      <c r="D54" s="18">
        <v>47.5</v>
      </c>
      <c r="E54" s="18">
        <v>47.5</v>
      </c>
      <c r="F54" s="18">
        <v>47.5</v>
      </c>
      <c r="G54" s="18">
        <v>48</v>
      </c>
      <c r="H54" s="18">
        <v>47.5</v>
      </c>
      <c r="I54" s="18">
        <v>48</v>
      </c>
      <c r="J54" s="18">
        <v>48</v>
      </c>
      <c r="K54" s="18">
        <v>43</v>
      </c>
      <c r="L54" s="18">
        <v>48</v>
      </c>
      <c r="M54" s="18">
        <v>48</v>
      </c>
      <c r="N54" s="18">
        <v>48</v>
      </c>
    </row>
    <row r="55" spans="1:14" ht="11.1" customHeight="1" x14ac:dyDescent="0.25">
      <c r="A55" s="16"/>
      <c r="B55" s="17">
        <v>2024</v>
      </c>
      <c r="C55" s="18">
        <v>50</v>
      </c>
      <c r="D55" s="18">
        <v>58</v>
      </c>
      <c r="E55" s="18">
        <v>60</v>
      </c>
      <c r="F55" s="18">
        <v>58</v>
      </c>
      <c r="G55" s="18">
        <v>53</v>
      </c>
      <c r="H55" s="18">
        <v>53</v>
      </c>
      <c r="I55" s="18">
        <v>53</v>
      </c>
      <c r="J55" s="18">
        <v>53</v>
      </c>
      <c r="K55" s="18">
        <v>50</v>
      </c>
      <c r="L55" s="18">
        <v>49</v>
      </c>
      <c r="M55" s="18">
        <v>52.5</v>
      </c>
      <c r="N55" s="18">
        <v>54</v>
      </c>
    </row>
    <row r="56" spans="1:14" ht="11.1" customHeight="1" x14ac:dyDescent="0.25">
      <c r="A56" s="20"/>
      <c r="B56" s="21">
        <v>2025</v>
      </c>
      <c r="C56" s="18">
        <v>52</v>
      </c>
      <c r="D56" s="18">
        <v>50</v>
      </c>
      <c r="E56" s="18">
        <v>53</v>
      </c>
      <c r="F56" s="18">
        <v>54</v>
      </c>
      <c r="G56" s="18">
        <v>52</v>
      </c>
      <c r="H56" s="18">
        <v>53</v>
      </c>
      <c r="I56" s="18">
        <v>50</v>
      </c>
      <c r="J56" s="18">
        <v>52</v>
      </c>
      <c r="K56" s="18">
        <v>58</v>
      </c>
    </row>
    <row r="57" spans="1:14" ht="11.1" customHeight="1" x14ac:dyDescent="0.25">
      <c r="A57" s="30" t="s">
        <v>19</v>
      </c>
      <c r="B57" s="24">
        <v>2018</v>
      </c>
      <c r="C57" s="25">
        <v>32</v>
      </c>
      <c r="D57" s="25">
        <v>32</v>
      </c>
      <c r="E57" s="25">
        <v>33</v>
      </c>
      <c r="F57" s="25">
        <v>34</v>
      </c>
      <c r="G57" s="25">
        <v>34</v>
      </c>
      <c r="H57" s="25">
        <v>34</v>
      </c>
      <c r="I57" s="25">
        <v>34</v>
      </c>
      <c r="J57" s="25">
        <v>34</v>
      </c>
      <c r="K57" s="25">
        <v>34</v>
      </c>
      <c r="L57" s="25">
        <v>33</v>
      </c>
      <c r="M57" s="26">
        <v>33</v>
      </c>
      <c r="N57" s="25">
        <v>33</v>
      </c>
    </row>
    <row r="58" spans="1:14" ht="11.1" customHeight="1" x14ac:dyDescent="0.25">
      <c r="A58" s="16"/>
      <c r="B58" s="17">
        <v>2019</v>
      </c>
      <c r="C58" s="18">
        <v>33</v>
      </c>
      <c r="D58" s="18">
        <v>33.5</v>
      </c>
      <c r="E58" s="18">
        <v>33.5</v>
      </c>
      <c r="F58" s="18">
        <v>34</v>
      </c>
      <c r="G58" s="18">
        <v>34</v>
      </c>
      <c r="H58" s="18">
        <v>37</v>
      </c>
      <c r="I58" s="18">
        <v>37</v>
      </c>
      <c r="J58" s="18">
        <v>37</v>
      </c>
      <c r="K58" s="18">
        <v>38</v>
      </c>
      <c r="L58" s="18">
        <v>35</v>
      </c>
      <c r="M58" s="19">
        <v>38</v>
      </c>
      <c r="N58" s="18">
        <v>38</v>
      </c>
    </row>
    <row r="59" spans="1:14" ht="11.1" customHeight="1" x14ac:dyDescent="0.25">
      <c r="A59" s="16"/>
      <c r="B59" s="17">
        <v>2020</v>
      </c>
      <c r="C59" s="18">
        <v>43</v>
      </c>
      <c r="D59" s="18">
        <v>43</v>
      </c>
      <c r="E59" s="18" t="s">
        <v>4</v>
      </c>
      <c r="F59" s="18">
        <v>43</v>
      </c>
      <c r="G59" s="18">
        <v>43</v>
      </c>
      <c r="H59" s="18">
        <v>43</v>
      </c>
      <c r="I59" s="18">
        <v>43</v>
      </c>
      <c r="J59" s="18">
        <v>43</v>
      </c>
      <c r="K59" s="18">
        <v>43</v>
      </c>
      <c r="L59" s="18">
        <v>63</v>
      </c>
      <c r="M59" s="19">
        <v>63</v>
      </c>
      <c r="N59" s="18">
        <v>63</v>
      </c>
    </row>
    <row r="60" spans="1:14" ht="11.1" customHeight="1" x14ac:dyDescent="0.25">
      <c r="A60" s="16"/>
      <c r="B60" s="17">
        <v>2021</v>
      </c>
      <c r="C60" s="18">
        <v>62.5</v>
      </c>
      <c r="D60" s="18">
        <v>62.5</v>
      </c>
      <c r="E60" s="18">
        <v>62.5</v>
      </c>
      <c r="F60" s="18">
        <v>62.5</v>
      </c>
      <c r="G60" s="18">
        <v>62.5</v>
      </c>
      <c r="H60" s="18">
        <v>62.5</v>
      </c>
      <c r="I60" s="18">
        <v>62.5</v>
      </c>
      <c r="J60" s="18">
        <v>62.5</v>
      </c>
      <c r="K60" s="18">
        <v>62.5</v>
      </c>
      <c r="L60" s="18">
        <v>62.5</v>
      </c>
      <c r="M60" s="19">
        <v>62.5</v>
      </c>
      <c r="N60" s="18">
        <v>62.5</v>
      </c>
    </row>
    <row r="61" spans="1:14" ht="11.1" customHeight="1" x14ac:dyDescent="0.25">
      <c r="A61" s="16"/>
      <c r="B61" s="17">
        <v>2022</v>
      </c>
      <c r="C61" s="18">
        <v>62.5</v>
      </c>
      <c r="D61" s="18">
        <v>65</v>
      </c>
      <c r="E61" s="18">
        <v>75</v>
      </c>
      <c r="F61" s="18">
        <v>72.5</v>
      </c>
      <c r="G61" s="18">
        <v>62.5</v>
      </c>
      <c r="H61" s="18">
        <v>75</v>
      </c>
      <c r="I61" s="18">
        <v>67.5</v>
      </c>
      <c r="J61" s="18">
        <v>65</v>
      </c>
      <c r="K61" s="18">
        <v>62.5</v>
      </c>
      <c r="L61" s="18">
        <v>65</v>
      </c>
      <c r="M61" s="19">
        <v>75</v>
      </c>
      <c r="N61" s="18">
        <v>65</v>
      </c>
    </row>
    <row r="62" spans="1:14" ht="11.1" customHeight="1" x14ac:dyDescent="0.25">
      <c r="A62" s="16"/>
      <c r="B62" s="17">
        <v>2023</v>
      </c>
      <c r="C62" s="18">
        <v>65</v>
      </c>
      <c r="D62" s="18">
        <v>67.5</v>
      </c>
      <c r="E62" s="18">
        <v>50</v>
      </c>
      <c r="F62" s="18">
        <v>60</v>
      </c>
      <c r="G62" s="18">
        <v>65</v>
      </c>
      <c r="H62" s="18">
        <v>70</v>
      </c>
      <c r="I62" s="18">
        <v>65</v>
      </c>
      <c r="J62" s="18">
        <v>65</v>
      </c>
      <c r="K62" s="18">
        <v>68</v>
      </c>
      <c r="L62" s="18">
        <v>55</v>
      </c>
      <c r="M62" s="18">
        <v>55</v>
      </c>
      <c r="N62" s="18">
        <v>60</v>
      </c>
    </row>
    <row r="63" spans="1:14" ht="11.1" customHeight="1" x14ac:dyDescent="0.25">
      <c r="A63" s="16"/>
      <c r="B63" s="17">
        <v>2024</v>
      </c>
      <c r="C63" s="18">
        <v>55</v>
      </c>
      <c r="D63" s="18">
        <v>55</v>
      </c>
      <c r="E63" s="18">
        <v>55</v>
      </c>
      <c r="F63" s="18">
        <v>49</v>
      </c>
      <c r="G63" s="18">
        <v>58</v>
      </c>
      <c r="H63" s="18">
        <v>65</v>
      </c>
      <c r="I63" s="18">
        <v>60</v>
      </c>
      <c r="J63" s="18">
        <v>60</v>
      </c>
      <c r="K63" s="18">
        <v>51</v>
      </c>
      <c r="L63" s="18">
        <v>46</v>
      </c>
      <c r="M63" s="18">
        <v>45</v>
      </c>
      <c r="N63" s="18">
        <v>46</v>
      </c>
    </row>
    <row r="64" spans="1:14" ht="11.1" customHeight="1" x14ac:dyDescent="0.25">
      <c r="A64" s="20"/>
      <c r="B64" s="21">
        <v>2025</v>
      </c>
      <c r="C64" s="18">
        <v>47</v>
      </c>
      <c r="D64" s="18">
        <v>47</v>
      </c>
      <c r="E64" s="18">
        <v>49</v>
      </c>
      <c r="F64" s="18">
        <v>46</v>
      </c>
      <c r="G64" s="18">
        <v>41</v>
      </c>
      <c r="H64" s="18">
        <v>47</v>
      </c>
      <c r="I64" s="18">
        <v>46</v>
      </c>
      <c r="J64" s="18">
        <v>46</v>
      </c>
      <c r="K64" s="18">
        <v>46</v>
      </c>
    </row>
    <row r="65" spans="1:15" ht="11.1" customHeight="1" x14ac:dyDescent="0.2">
      <c r="A65" s="31"/>
      <c r="B65" s="32"/>
      <c r="C65" s="33"/>
      <c r="D65" s="33"/>
      <c r="E65" s="33"/>
      <c r="F65" s="33"/>
      <c r="G65" s="34"/>
      <c r="H65" s="34"/>
      <c r="I65" s="33"/>
      <c r="J65" s="33"/>
      <c r="K65" s="33"/>
      <c r="L65" s="34"/>
      <c r="M65" s="34"/>
      <c r="N65" s="35" t="s">
        <v>24</v>
      </c>
    </row>
    <row r="66" spans="1:15" ht="11.1" customHeight="1" x14ac:dyDescent="0.25">
      <c r="A66" s="729" t="s">
        <v>110</v>
      </c>
      <c r="B66" s="729"/>
      <c r="C66" s="729"/>
      <c r="D66" s="729"/>
      <c r="E66" s="729"/>
      <c r="F66" s="729"/>
      <c r="G66" s="36"/>
      <c r="H66" s="36"/>
      <c r="I66" s="37"/>
      <c r="J66" s="37"/>
      <c r="K66" s="18"/>
      <c r="L66" s="19"/>
      <c r="M66" s="19"/>
      <c r="N66" s="19"/>
    </row>
    <row r="67" spans="1:15" ht="15.95" customHeight="1" x14ac:dyDescent="0.2">
      <c r="A67" s="214" t="s">
        <v>92</v>
      </c>
      <c r="B67" s="214" t="s">
        <v>93</v>
      </c>
      <c r="C67" s="214" t="s">
        <v>94</v>
      </c>
      <c r="D67" s="214" t="s">
        <v>95</v>
      </c>
      <c r="E67" s="214" t="s">
        <v>96</v>
      </c>
      <c r="F67" s="214" t="s">
        <v>97</v>
      </c>
      <c r="G67" s="214" t="s">
        <v>98</v>
      </c>
      <c r="H67" s="214" t="s">
        <v>99</v>
      </c>
      <c r="I67" s="214" t="s">
        <v>100</v>
      </c>
      <c r="J67" s="215" t="s">
        <v>101</v>
      </c>
      <c r="K67" s="215" t="s">
        <v>102</v>
      </c>
      <c r="L67" s="214" t="s">
        <v>103</v>
      </c>
      <c r="M67" s="214" t="s">
        <v>104</v>
      </c>
      <c r="N67" s="214" t="s">
        <v>105</v>
      </c>
    </row>
    <row r="68" spans="1:15" ht="3" customHeight="1" x14ac:dyDescent="0.25">
      <c r="A68" s="16"/>
      <c r="B68" s="17"/>
      <c r="C68" s="18"/>
    </row>
    <row r="69" spans="1:15" ht="11.1" customHeight="1" x14ac:dyDescent="0.25">
      <c r="A69" s="16" t="s">
        <v>51</v>
      </c>
      <c r="B69" s="17">
        <v>2018</v>
      </c>
      <c r="C69" s="18">
        <v>49</v>
      </c>
      <c r="D69" s="18">
        <v>49</v>
      </c>
      <c r="E69" s="18">
        <v>49</v>
      </c>
      <c r="F69" s="18">
        <v>50</v>
      </c>
      <c r="G69" s="18">
        <v>50</v>
      </c>
      <c r="H69" s="18">
        <v>50</v>
      </c>
      <c r="I69" s="18">
        <v>44</v>
      </c>
      <c r="J69" s="18">
        <v>44</v>
      </c>
      <c r="K69" s="18">
        <v>50</v>
      </c>
      <c r="L69" s="18">
        <v>49</v>
      </c>
      <c r="M69" s="19">
        <v>49</v>
      </c>
      <c r="N69" s="18">
        <v>49</v>
      </c>
    </row>
    <row r="70" spans="1:15" ht="11.1" customHeight="1" x14ac:dyDescent="0.25">
      <c r="A70" s="16"/>
      <c r="B70" s="17">
        <v>2019</v>
      </c>
      <c r="C70" s="18">
        <v>43</v>
      </c>
      <c r="D70" s="18">
        <v>44</v>
      </c>
      <c r="E70" s="18">
        <v>50</v>
      </c>
      <c r="F70" s="18">
        <v>50</v>
      </c>
      <c r="G70" s="18">
        <v>45</v>
      </c>
      <c r="H70" s="18">
        <v>45</v>
      </c>
      <c r="I70" s="18">
        <v>40</v>
      </c>
      <c r="J70" s="18">
        <v>40</v>
      </c>
      <c r="K70" s="18">
        <v>40</v>
      </c>
      <c r="L70" s="18">
        <v>40</v>
      </c>
      <c r="M70" s="18">
        <v>40</v>
      </c>
      <c r="N70" s="18">
        <v>40</v>
      </c>
    </row>
    <row r="71" spans="1:15" ht="11.1" customHeight="1" x14ac:dyDescent="0.25">
      <c r="A71" s="16"/>
      <c r="B71" s="17">
        <v>2020</v>
      </c>
      <c r="C71" s="18">
        <v>40</v>
      </c>
      <c r="D71" s="18" t="s">
        <v>4</v>
      </c>
      <c r="E71" s="18" t="s">
        <v>4</v>
      </c>
      <c r="F71" s="18" t="s">
        <v>4</v>
      </c>
      <c r="G71" s="18" t="s">
        <v>4</v>
      </c>
      <c r="H71" s="18" t="s">
        <v>4</v>
      </c>
      <c r="I71" s="18" t="s">
        <v>4</v>
      </c>
      <c r="J71" s="18" t="s">
        <v>4</v>
      </c>
      <c r="K71" s="18" t="s">
        <v>4</v>
      </c>
      <c r="L71" s="18" t="s">
        <v>4</v>
      </c>
      <c r="M71" s="19" t="s">
        <v>4</v>
      </c>
      <c r="N71" s="18" t="s">
        <v>4</v>
      </c>
    </row>
    <row r="72" spans="1:15" ht="11.1" customHeight="1" x14ac:dyDescent="0.25">
      <c r="A72" s="16"/>
      <c r="B72" s="17">
        <v>2021</v>
      </c>
      <c r="C72" s="18">
        <v>42.5</v>
      </c>
      <c r="D72" s="18">
        <v>42.5</v>
      </c>
      <c r="E72" s="18">
        <v>47.5</v>
      </c>
      <c r="F72" s="18">
        <v>47.5</v>
      </c>
      <c r="G72" s="18">
        <v>50</v>
      </c>
      <c r="H72" s="18">
        <v>50</v>
      </c>
      <c r="I72" s="18">
        <v>47.5</v>
      </c>
      <c r="J72" s="18">
        <v>47.5</v>
      </c>
      <c r="K72" s="18">
        <v>46</v>
      </c>
      <c r="L72" s="18">
        <v>49</v>
      </c>
      <c r="M72" s="19">
        <v>47.5</v>
      </c>
      <c r="N72" s="18">
        <v>49</v>
      </c>
    </row>
    <row r="73" spans="1:15" ht="11.1" customHeight="1" x14ac:dyDescent="0.25">
      <c r="A73" s="16"/>
      <c r="B73" s="17">
        <v>2022</v>
      </c>
      <c r="C73" s="18">
        <v>57.5</v>
      </c>
      <c r="D73" s="18">
        <v>57.5</v>
      </c>
      <c r="E73" s="18">
        <v>57.5</v>
      </c>
      <c r="F73" s="18">
        <v>57.5</v>
      </c>
      <c r="G73" s="18">
        <v>53</v>
      </c>
      <c r="H73" s="18">
        <v>53</v>
      </c>
      <c r="I73" s="18">
        <v>60</v>
      </c>
      <c r="J73" s="18">
        <v>65</v>
      </c>
      <c r="K73" s="18">
        <v>60</v>
      </c>
      <c r="L73" s="18">
        <v>57.5</v>
      </c>
      <c r="M73" s="19" t="s">
        <v>4</v>
      </c>
      <c r="N73" s="19" t="s">
        <v>4</v>
      </c>
    </row>
    <row r="74" spans="1:15" ht="11.1" customHeight="1" x14ac:dyDescent="0.25">
      <c r="A74" s="16"/>
      <c r="B74" s="17">
        <v>2023</v>
      </c>
      <c r="C74" s="18" t="s">
        <v>4</v>
      </c>
      <c r="D74" s="18" t="s">
        <v>4</v>
      </c>
      <c r="E74" s="18" t="s">
        <v>4</v>
      </c>
      <c r="F74" s="18" t="s">
        <v>4</v>
      </c>
      <c r="G74" s="18" t="s">
        <v>4</v>
      </c>
      <c r="H74" s="18" t="s">
        <v>4</v>
      </c>
      <c r="I74" s="18">
        <v>55</v>
      </c>
      <c r="J74" s="18">
        <v>65</v>
      </c>
      <c r="K74" s="18">
        <v>57.5</v>
      </c>
      <c r="L74" s="18">
        <v>63</v>
      </c>
      <c r="M74" s="18">
        <v>61</v>
      </c>
      <c r="N74" s="18">
        <v>62</v>
      </c>
    </row>
    <row r="75" spans="1:15" ht="11.1" customHeight="1" x14ac:dyDescent="0.25">
      <c r="A75" s="16"/>
      <c r="B75" s="17">
        <v>2024</v>
      </c>
      <c r="C75" s="18">
        <v>67</v>
      </c>
      <c r="D75" s="18">
        <v>66</v>
      </c>
      <c r="E75" s="18">
        <v>65</v>
      </c>
      <c r="F75" s="18">
        <v>60</v>
      </c>
      <c r="G75" s="18">
        <v>63</v>
      </c>
      <c r="H75" s="18">
        <v>67</v>
      </c>
      <c r="I75" s="18">
        <v>66</v>
      </c>
      <c r="J75" s="18">
        <v>66</v>
      </c>
      <c r="K75" s="18">
        <v>60</v>
      </c>
      <c r="L75" s="18">
        <v>61</v>
      </c>
      <c r="M75" s="19">
        <v>61</v>
      </c>
      <c r="N75" s="18">
        <v>61</v>
      </c>
      <c r="O75" s="199"/>
    </row>
    <row r="76" spans="1:15" ht="11.1" customHeight="1" x14ac:dyDescent="0.25">
      <c r="A76" s="20"/>
      <c r="B76" s="17">
        <v>2025</v>
      </c>
      <c r="C76" s="18">
        <v>60</v>
      </c>
      <c r="D76" s="18">
        <v>66</v>
      </c>
      <c r="E76" s="18">
        <v>65</v>
      </c>
      <c r="F76" s="18">
        <v>66</v>
      </c>
      <c r="G76" s="18">
        <v>66</v>
      </c>
      <c r="H76" s="18">
        <v>66</v>
      </c>
      <c r="I76" s="18">
        <v>59</v>
      </c>
      <c r="J76" s="18">
        <v>66</v>
      </c>
      <c r="K76" s="18">
        <v>66</v>
      </c>
      <c r="L76" s="199"/>
      <c r="M76" s="199"/>
      <c r="N76" s="199"/>
    </row>
    <row r="77" spans="1:15" ht="11.1" customHeight="1" x14ac:dyDescent="0.25">
      <c r="A77" s="16" t="s">
        <v>25</v>
      </c>
      <c r="B77" s="24">
        <v>2018</v>
      </c>
      <c r="C77" s="25">
        <v>45.625</v>
      </c>
      <c r="D77" s="25">
        <v>45.625</v>
      </c>
      <c r="E77" s="25">
        <v>45.625</v>
      </c>
      <c r="F77" s="25">
        <v>45</v>
      </c>
      <c r="G77" s="25">
        <v>45</v>
      </c>
      <c r="H77" s="25">
        <v>45</v>
      </c>
      <c r="I77" s="25">
        <v>47.2</v>
      </c>
      <c r="J77" s="25">
        <v>47.2</v>
      </c>
      <c r="K77" s="25">
        <v>47.5</v>
      </c>
      <c r="L77" s="25">
        <v>47.5</v>
      </c>
      <c r="M77" s="26">
        <v>47.5</v>
      </c>
      <c r="N77" s="25">
        <v>47.5</v>
      </c>
    </row>
    <row r="78" spans="1:15" ht="11.1" customHeight="1" x14ac:dyDescent="0.25">
      <c r="A78" s="16"/>
      <c r="B78" s="17">
        <v>2019</v>
      </c>
      <c r="C78" s="18">
        <v>45</v>
      </c>
      <c r="D78" s="18">
        <v>47</v>
      </c>
      <c r="E78" s="18">
        <v>47</v>
      </c>
      <c r="F78" s="18">
        <v>46</v>
      </c>
      <c r="G78" s="18">
        <v>46</v>
      </c>
      <c r="H78" s="18">
        <v>46</v>
      </c>
      <c r="I78" s="18">
        <v>45.5</v>
      </c>
      <c r="J78" s="18">
        <v>45.7</v>
      </c>
      <c r="K78" s="18">
        <v>45</v>
      </c>
      <c r="L78" s="18">
        <v>45</v>
      </c>
      <c r="M78" s="19">
        <v>45</v>
      </c>
      <c r="N78" s="18">
        <v>45</v>
      </c>
    </row>
    <row r="79" spans="1:15" ht="11.1" customHeight="1" x14ac:dyDescent="0.25">
      <c r="A79" s="16"/>
      <c r="B79" s="17">
        <v>2020</v>
      </c>
      <c r="C79" s="18">
        <v>45</v>
      </c>
      <c r="D79" s="18">
        <v>45</v>
      </c>
      <c r="E79" s="18">
        <v>45</v>
      </c>
      <c r="F79" s="18">
        <v>47.5</v>
      </c>
      <c r="G79" s="18">
        <v>47.5</v>
      </c>
      <c r="H79" s="18">
        <v>47.5</v>
      </c>
      <c r="I79" s="18">
        <v>50</v>
      </c>
      <c r="J79" s="18">
        <v>47.5</v>
      </c>
      <c r="K79" s="18">
        <v>47.5</v>
      </c>
      <c r="L79" s="18">
        <v>50</v>
      </c>
      <c r="M79" s="19">
        <v>50</v>
      </c>
      <c r="N79" s="18">
        <v>47.5</v>
      </c>
    </row>
    <row r="80" spans="1:15" ht="11.1" customHeight="1" x14ac:dyDescent="0.25">
      <c r="A80" s="16"/>
      <c r="B80" s="17">
        <v>2021</v>
      </c>
      <c r="C80" s="18">
        <v>47.5</v>
      </c>
      <c r="D80" s="18">
        <v>47.5</v>
      </c>
      <c r="E80" s="18">
        <v>50</v>
      </c>
      <c r="F80" s="18">
        <v>50</v>
      </c>
      <c r="G80" s="18">
        <v>50</v>
      </c>
      <c r="H80" s="18">
        <v>50</v>
      </c>
      <c r="I80" s="18">
        <v>50</v>
      </c>
      <c r="J80" s="18">
        <v>50</v>
      </c>
      <c r="K80" s="18">
        <v>50</v>
      </c>
      <c r="L80" s="18">
        <v>50</v>
      </c>
      <c r="M80" s="19">
        <v>50</v>
      </c>
      <c r="N80" s="18">
        <v>50</v>
      </c>
    </row>
    <row r="81" spans="1:14" ht="11.1" customHeight="1" x14ac:dyDescent="0.25">
      <c r="A81" s="16"/>
      <c r="B81" s="17">
        <v>2022</v>
      </c>
      <c r="C81" s="18">
        <v>50</v>
      </c>
      <c r="D81" s="18">
        <v>50</v>
      </c>
      <c r="E81" s="18">
        <v>55</v>
      </c>
      <c r="F81" s="18">
        <v>55</v>
      </c>
      <c r="G81" s="18">
        <v>55</v>
      </c>
      <c r="H81" s="18">
        <v>55</v>
      </c>
      <c r="I81" s="18">
        <v>62</v>
      </c>
      <c r="J81" s="18">
        <v>60</v>
      </c>
      <c r="K81" s="18">
        <v>60</v>
      </c>
      <c r="L81" s="18">
        <v>60</v>
      </c>
      <c r="M81" s="19">
        <v>60</v>
      </c>
      <c r="N81" s="18">
        <v>60</v>
      </c>
    </row>
    <row r="82" spans="1:14" ht="11.1" customHeight="1" x14ac:dyDescent="0.25">
      <c r="A82" s="16"/>
      <c r="B82" s="17">
        <v>2023</v>
      </c>
      <c r="C82" s="18">
        <v>55</v>
      </c>
      <c r="D82" s="18">
        <v>50</v>
      </c>
      <c r="E82" s="18">
        <v>65</v>
      </c>
      <c r="F82" s="18">
        <v>60</v>
      </c>
      <c r="G82" s="18">
        <v>60</v>
      </c>
      <c r="H82" s="18">
        <v>60</v>
      </c>
      <c r="I82" s="18">
        <v>55</v>
      </c>
      <c r="J82" s="18">
        <v>55</v>
      </c>
      <c r="K82" s="18">
        <v>60</v>
      </c>
      <c r="L82" s="18">
        <v>60</v>
      </c>
      <c r="M82" s="18">
        <v>65</v>
      </c>
      <c r="N82" s="18">
        <v>60</v>
      </c>
    </row>
    <row r="83" spans="1:14" ht="11.1" customHeight="1" x14ac:dyDescent="0.25">
      <c r="A83" s="16"/>
      <c r="B83" s="17">
        <v>2024</v>
      </c>
      <c r="C83" s="18">
        <v>65</v>
      </c>
      <c r="D83" s="18">
        <v>60</v>
      </c>
      <c r="E83" s="18">
        <v>60</v>
      </c>
      <c r="F83" s="18">
        <v>62</v>
      </c>
      <c r="G83" s="18">
        <v>63</v>
      </c>
      <c r="H83" s="18">
        <v>75</v>
      </c>
      <c r="I83" s="18">
        <v>68</v>
      </c>
      <c r="J83" s="18">
        <v>65</v>
      </c>
      <c r="K83" s="18">
        <v>64</v>
      </c>
      <c r="L83" s="18">
        <v>64</v>
      </c>
      <c r="M83" s="18">
        <v>64</v>
      </c>
      <c r="N83" s="18">
        <v>58</v>
      </c>
    </row>
    <row r="84" spans="1:14" ht="11.1" customHeight="1" x14ac:dyDescent="0.25">
      <c r="A84" s="20"/>
      <c r="B84" s="21">
        <v>2025</v>
      </c>
      <c r="C84" s="22">
        <v>65</v>
      </c>
      <c r="D84" s="22">
        <v>56</v>
      </c>
      <c r="E84" s="22">
        <v>61</v>
      </c>
      <c r="F84" s="22">
        <v>70</v>
      </c>
      <c r="G84" s="22">
        <v>77</v>
      </c>
      <c r="H84" s="22">
        <v>80</v>
      </c>
      <c r="I84" s="22">
        <v>80</v>
      </c>
      <c r="J84" s="22">
        <v>67</v>
      </c>
      <c r="K84" s="22">
        <v>65</v>
      </c>
      <c r="L84" s="198"/>
      <c r="M84" s="198"/>
      <c r="N84" s="198"/>
    </row>
    <row r="85" spans="1:14" ht="11.1" customHeight="1" x14ac:dyDescent="0.25">
      <c r="A85" s="16" t="s">
        <v>111</v>
      </c>
      <c r="B85" s="17">
        <v>2018</v>
      </c>
      <c r="C85" s="18">
        <v>34</v>
      </c>
      <c r="D85" s="18">
        <v>35</v>
      </c>
      <c r="E85" s="18">
        <v>34</v>
      </c>
      <c r="F85" s="18">
        <v>34</v>
      </c>
      <c r="G85" s="18">
        <v>34</v>
      </c>
      <c r="H85" s="18">
        <v>34</v>
      </c>
      <c r="I85" s="18">
        <v>34</v>
      </c>
      <c r="J85" s="18">
        <v>34</v>
      </c>
      <c r="K85" s="18">
        <v>34</v>
      </c>
      <c r="L85" s="18">
        <v>34</v>
      </c>
      <c r="M85" s="19">
        <v>34</v>
      </c>
      <c r="N85" s="18">
        <v>34</v>
      </c>
    </row>
    <row r="86" spans="1:14" ht="11.1" customHeight="1" x14ac:dyDescent="0.25">
      <c r="A86" s="16"/>
      <c r="B86" s="17">
        <v>2019</v>
      </c>
      <c r="C86" s="18">
        <v>35</v>
      </c>
      <c r="D86" s="18">
        <v>35</v>
      </c>
      <c r="E86" s="18">
        <v>35</v>
      </c>
      <c r="F86" s="18">
        <v>35</v>
      </c>
      <c r="G86" s="18">
        <v>35</v>
      </c>
      <c r="H86" s="18">
        <v>35</v>
      </c>
      <c r="I86" s="18">
        <v>35</v>
      </c>
      <c r="J86" s="18">
        <v>36</v>
      </c>
      <c r="K86" s="18">
        <v>40</v>
      </c>
      <c r="L86" s="18">
        <v>38</v>
      </c>
      <c r="M86" s="19">
        <v>35</v>
      </c>
      <c r="N86" s="18">
        <v>38</v>
      </c>
    </row>
    <row r="87" spans="1:14" ht="11.1" customHeight="1" x14ac:dyDescent="0.25">
      <c r="A87" s="16"/>
      <c r="B87" s="17">
        <v>2020</v>
      </c>
      <c r="C87" s="18">
        <v>38</v>
      </c>
      <c r="D87" s="18" t="s">
        <v>4</v>
      </c>
      <c r="E87" s="18" t="s">
        <v>4</v>
      </c>
      <c r="F87" s="18" t="s">
        <v>4</v>
      </c>
      <c r="G87" s="18" t="s">
        <v>4</v>
      </c>
      <c r="H87" s="18" t="s">
        <v>4</v>
      </c>
      <c r="I87" s="18">
        <v>35</v>
      </c>
      <c r="J87" s="18">
        <v>30</v>
      </c>
      <c r="K87" s="18">
        <v>38</v>
      </c>
      <c r="L87" s="18">
        <v>38</v>
      </c>
      <c r="M87" s="19">
        <v>40</v>
      </c>
      <c r="N87" s="18">
        <v>40</v>
      </c>
    </row>
    <row r="88" spans="1:14" ht="11.1" customHeight="1" x14ac:dyDescent="0.25">
      <c r="A88" s="16"/>
      <c r="B88" s="17">
        <v>2021</v>
      </c>
      <c r="C88" s="18">
        <v>45</v>
      </c>
      <c r="D88" s="18">
        <v>43</v>
      </c>
      <c r="E88" s="18">
        <v>42.5</v>
      </c>
      <c r="F88" s="18">
        <v>42.5</v>
      </c>
      <c r="G88" s="18">
        <v>42.5</v>
      </c>
      <c r="H88" s="18">
        <v>42.5</v>
      </c>
      <c r="I88" s="18">
        <v>42.5</v>
      </c>
      <c r="J88" s="18">
        <v>42.5</v>
      </c>
      <c r="K88" s="18">
        <v>42.5</v>
      </c>
      <c r="L88" s="18">
        <v>42.5</v>
      </c>
      <c r="M88" s="19">
        <v>42.5</v>
      </c>
      <c r="N88" s="18">
        <v>42.5</v>
      </c>
    </row>
    <row r="89" spans="1:14" ht="11.1" customHeight="1" x14ac:dyDescent="0.25">
      <c r="A89" s="16"/>
      <c r="B89" s="17">
        <v>2022</v>
      </c>
      <c r="C89" s="18">
        <v>42.5</v>
      </c>
      <c r="D89" s="18">
        <v>42.5</v>
      </c>
      <c r="E89" s="18">
        <v>45</v>
      </c>
      <c r="F89" s="18">
        <v>45</v>
      </c>
      <c r="G89" s="18">
        <v>45</v>
      </c>
      <c r="H89" s="18">
        <v>45</v>
      </c>
      <c r="I89" s="18">
        <v>45</v>
      </c>
      <c r="J89" s="18">
        <v>45</v>
      </c>
      <c r="K89" s="18">
        <v>45</v>
      </c>
      <c r="L89" s="18">
        <v>47.5</v>
      </c>
      <c r="M89" s="19">
        <v>45</v>
      </c>
      <c r="N89" s="18">
        <v>47.5</v>
      </c>
    </row>
    <row r="90" spans="1:14" ht="11.1" customHeight="1" x14ac:dyDescent="0.25">
      <c r="A90" s="16"/>
      <c r="B90" s="17">
        <v>2023</v>
      </c>
      <c r="C90" s="18">
        <v>47.5</v>
      </c>
      <c r="D90" s="18">
        <v>50</v>
      </c>
      <c r="E90" s="18">
        <v>50</v>
      </c>
      <c r="F90" s="18">
        <v>50</v>
      </c>
      <c r="G90" s="18">
        <v>50</v>
      </c>
      <c r="H90" s="18">
        <v>50</v>
      </c>
      <c r="I90" s="18">
        <v>48</v>
      </c>
      <c r="J90" s="18">
        <v>48</v>
      </c>
      <c r="K90" s="18">
        <v>48</v>
      </c>
      <c r="L90" s="18">
        <v>45</v>
      </c>
      <c r="M90" s="18">
        <v>50</v>
      </c>
      <c r="N90" s="18">
        <v>50</v>
      </c>
    </row>
    <row r="91" spans="1:14" ht="11.1" customHeight="1" x14ac:dyDescent="0.25">
      <c r="A91" s="16"/>
      <c r="B91" s="17">
        <v>2024</v>
      </c>
      <c r="C91" s="18">
        <v>51</v>
      </c>
      <c r="D91" s="18">
        <v>59</v>
      </c>
      <c r="E91" s="18">
        <v>50</v>
      </c>
      <c r="F91" s="18">
        <v>45</v>
      </c>
      <c r="G91" s="18">
        <v>45</v>
      </c>
      <c r="H91" s="18">
        <v>45</v>
      </c>
      <c r="I91" s="18">
        <v>45</v>
      </c>
      <c r="J91" s="18">
        <v>50</v>
      </c>
      <c r="K91" s="18">
        <v>49</v>
      </c>
      <c r="L91" s="18">
        <v>48.5</v>
      </c>
      <c r="M91" s="18">
        <v>47</v>
      </c>
      <c r="N91" s="18">
        <v>45.5</v>
      </c>
    </row>
    <row r="92" spans="1:14" ht="11.1" customHeight="1" x14ac:dyDescent="0.25">
      <c r="A92" s="20"/>
      <c r="B92" s="21">
        <v>2025</v>
      </c>
      <c r="C92" s="22">
        <v>48</v>
      </c>
      <c r="D92" s="22">
        <v>49</v>
      </c>
      <c r="E92" s="22">
        <v>47</v>
      </c>
      <c r="F92" s="22">
        <v>48</v>
      </c>
      <c r="G92" s="22">
        <v>48</v>
      </c>
      <c r="H92" s="22">
        <v>48</v>
      </c>
      <c r="I92" s="22">
        <v>48</v>
      </c>
      <c r="J92" s="22">
        <v>49</v>
      </c>
      <c r="K92" s="22">
        <v>49</v>
      </c>
      <c r="L92" s="198"/>
      <c r="M92" s="198"/>
      <c r="N92" s="198"/>
    </row>
    <row r="93" spans="1:14" ht="11.1" customHeight="1" x14ac:dyDescent="0.25">
      <c r="A93" s="16" t="s">
        <v>36</v>
      </c>
      <c r="B93" s="17">
        <v>2018</v>
      </c>
      <c r="C93" s="18">
        <v>35</v>
      </c>
      <c r="D93" s="18">
        <v>41</v>
      </c>
      <c r="E93" s="18">
        <v>35</v>
      </c>
      <c r="F93" s="18">
        <v>35</v>
      </c>
      <c r="G93" s="18">
        <v>35</v>
      </c>
      <c r="H93" s="18">
        <v>35</v>
      </c>
      <c r="I93" s="18">
        <v>41</v>
      </c>
      <c r="J93" s="18">
        <v>41</v>
      </c>
      <c r="K93" s="18">
        <v>43</v>
      </c>
      <c r="L93" s="18">
        <v>44</v>
      </c>
      <c r="M93" s="19">
        <v>44</v>
      </c>
      <c r="N93" s="18">
        <v>44</v>
      </c>
    </row>
    <row r="94" spans="1:14" ht="11.1" customHeight="1" x14ac:dyDescent="0.25">
      <c r="A94" s="16"/>
      <c r="B94" s="17">
        <v>2019</v>
      </c>
      <c r="C94" s="18">
        <v>37</v>
      </c>
      <c r="D94" s="18">
        <v>39</v>
      </c>
      <c r="E94" s="18">
        <v>39</v>
      </c>
      <c r="F94" s="18">
        <v>37.5</v>
      </c>
      <c r="G94" s="18">
        <v>36</v>
      </c>
      <c r="H94" s="18">
        <v>34</v>
      </c>
      <c r="I94" s="18">
        <v>34</v>
      </c>
      <c r="J94" s="18">
        <v>34</v>
      </c>
      <c r="K94" s="18">
        <v>28</v>
      </c>
      <c r="L94" s="18">
        <v>28.8</v>
      </c>
      <c r="M94" s="19">
        <v>37.5</v>
      </c>
      <c r="N94" s="18">
        <v>35</v>
      </c>
    </row>
    <row r="95" spans="1:14" ht="11.1" customHeight="1" x14ac:dyDescent="0.25">
      <c r="A95" s="16"/>
      <c r="B95" s="17">
        <v>2020</v>
      </c>
      <c r="C95" s="18">
        <v>40</v>
      </c>
      <c r="D95" s="18">
        <v>41</v>
      </c>
      <c r="E95" s="18">
        <v>39</v>
      </c>
      <c r="F95" s="18" t="s">
        <v>4</v>
      </c>
      <c r="G95" s="18" t="s">
        <v>4</v>
      </c>
      <c r="H95" s="18">
        <v>33</v>
      </c>
      <c r="I95" s="18">
        <v>42</v>
      </c>
      <c r="J95" s="18">
        <v>33</v>
      </c>
      <c r="K95" s="18">
        <v>33</v>
      </c>
      <c r="L95" s="18" t="s">
        <v>4</v>
      </c>
      <c r="M95" s="19">
        <v>33</v>
      </c>
      <c r="N95" s="18">
        <v>33.5</v>
      </c>
    </row>
    <row r="96" spans="1:14" ht="11.1" customHeight="1" x14ac:dyDescent="0.25">
      <c r="A96" s="38"/>
      <c r="B96" s="17">
        <v>2021</v>
      </c>
      <c r="C96" s="18">
        <v>42.5</v>
      </c>
      <c r="D96" s="18">
        <v>45</v>
      </c>
      <c r="E96" s="18">
        <v>45</v>
      </c>
      <c r="F96" s="18">
        <v>40</v>
      </c>
      <c r="G96" s="18">
        <v>39</v>
      </c>
      <c r="H96" s="18">
        <v>37.5</v>
      </c>
      <c r="I96" s="18">
        <v>42.5</v>
      </c>
      <c r="J96" s="18">
        <v>37.5</v>
      </c>
      <c r="K96" s="18">
        <v>37.5</v>
      </c>
      <c r="L96" s="18">
        <v>38.5</v>
      </c>
      <c r="M96" s="19">
        <v>41</v>
      </c>
      <c r="N96" s="18">
        <v>42.5</v>
      </c>
    </row>
    <row r="97" spans="1:14" ht="11.1" customHeight="1" x14ac:dyDescent="0.25">
      <c r="A97" s="38"/>
      <c r="B97" s="17">
        <v>2022</v>
      </c>
      <c r="C97" s="18">
        <v>45</v>
      </c>
      <c r="D97" s="18">
        <v>45</v>
      </c>
      <c r="E97" s="18">
        <v>50</v>
      </c>
      <c r="F97" s="18">
        <v>50</v>
      </c>
      <c r="G97" s="18">
        <v>50</v>
      </c>
      <c r="H97" s="18">
        <v>55</v>
      </c>
      <c r="I97" s="18">
        <v>55</v>
      </c>
      <c r="J97" s="18">
        <v>55</v>
      </c>
      <c r="K97" s="18">
        <v>55</v>
      </c>
      <c r="L97" s="18">
        <v>60</v>
      </c>
      <c r="M97" s="19">
        <v>60</v>
      </c>
      <c r="N97" s="18">
        <v>60</v>
      </c>
    </row>
    <row r="98" spans="1:14" ht="11.1" customHeight="1" x14ac:dyDescent="0.25">
      <c r="A98" s="38"/>
      <c r="B98" s="17">
        <v>2023</v>
      </c>
      <c r="C98" s="18">
        <v>55</v>
      </c>
      <c r="D98" s="18">
        <v>55</v>
      </c>
      <c r="E98" s="18">
        <v>50</v>
      </c>
      <c r="F98" s="18">
        <v>50</v>
      </c>
      <c r="G98" s="18">
        <v>50</v>
      </c>
      <c r="H98" s="18">
        <v>50</v>
      </c>
      <c r="I98" s="18">
        <v>50</v>
      </c>
      <c r="J98" s="18">
        <v>50</v>
      </c>
      <c r="K98" s="18">
        <v>50</v>
      </c>
      <c r="L98" s="18">
        <v>50</v>
      </c>
      <c r="M98" s="18">
        <v>50</v>
      </c>
      <c r="N98" s="18">
        <v>50</v>
      </c>
    </row>
    <row r="99" spans="1:14" ht="11.1" customHeight="1" x14ac:dyDescent="0.25">
      <c r="A99" s="38"/>
      <c r="B99" s="17">
        <v>2024</v>
      </c>
      <c r="C99" s="18">
        <v>50</v>
      </c>
      <c r="D99" s="18">
        <v>50</v>
      </c>
      <c r="E99" s="18">
        <v>50</v>
      </c>
      <c r="F99" s="18">
        <v>50</v>
      </c>
      <c r="G99" s="18">
        <v>50</v>
      </c>
      <c r="H99" s="18">
        <v>50</v>
      </c>
      <c r="I99" s="18">
        <v>55</v>
      </c>
      <c r="J99" s="18">
        <v>50</v>
      </c>
      <c r="K99" s="18">
        <v>50</v>
      </c>
      <c r="L99" s="18">
        <v>50</v>
      </c>
      <c r="M99" s="18">
        <v>50</v>
      </c>
      <c r="N99" s="18">
        <v>50</v>
      </c>
    </row>
    <row r="100" spans="1:14" ht="11.1" customHeight="1" x14ac:dyDescent="0.25">
      <c r="A100" s="39"/>
      <c r="B100" s="21">
        <v>2025</v>
      </c>
      <c r="C100" s="22">
        <v>50</v>
      </c>
      <c r="D100" s="22">
        <v>50</v>
      </c>
      <c r="E100" s="22">
        <v>50</v>
      </c>
      <c r="F100" s="22">
        <v>50</v>
      </c>
      <c r="G100" s="22">
        <v>50</v>
      </c>
      <c r="H100" s="22">
        <v>50</v>
      </c>
      <c r="I100" s="22">
        <v>53</v>
      </c>
      <c r="J100" s="22">
        <v>53</v>
      </c>
      <c r="K100" s="22">
        <v>53</v>
      </c>
      <c r="L100" s="198"/>
      <c r="M100" s="198"/>
      <c r="N100" s="198"/>
    </row>
    <row r="101" spans="1:14" ht="11.1" customHeight="1" x14ac:dyDescent="0.25">
      <c r="A101" s="14" t="s">
        <v>112</v>
      </c>
      <c r="B101" s="10">
        <v>2018</v>
      </c>
      <c r="C101" s="19">
        <v>56</v>
      </c>
      <c r="D101" s="19">
        <v>56</v>
      </c>
      <c r="E101" s="19">
        <v>56</v>
      </c>
      <c r="F101" s="18">
        <v>56</v>
      </c>
      <c r="G101" s="18">
        <v>56</v>
      </c>
      <c r="H101" s="18">
        <v>56</v>
      </c>
      <c r="I101" s="18">
        <v>56</v>
      </c>
      <c r="J101" s="18">
        <v>56</v>
      </c>
      <c r="K101" s="18">
        <v>56</v>
      </c>
      <c r="L101" s="18">
        <v>56</v>
      </c>
      <c r="M101" s="19">
        <v>56</v>
      </c>
      <c r="N101" s="18">
        <v>56</v>
      </c>
    </row>
    <row r="102" spans="1:14" ht="11.1" customHeight="1" x14ac:dyDescent="0.25">
      <c r="A102" s="14"/>
      <c r="B102" s="10">
        <v>2019</v>
      </c>
      <c r="C102" s="19">
        <v>52.5</v>
      </c>
      <c r="D102" s="19">
        <v>52</v>
      </c>
      <c r="E102" s="19">
        <v>52.5</v>
      </c>
      <c r="F102" s="18">
        <v>52</v>
      </c>
      <c r="G102" s="18">
        <v>52</v>
      </c>
      <c r="H102" s="18">
        <v>50</v>
      </c>
      <c r="I102" s="18">
        <v>51</v>
      </c>
      <c r="J102" s="18">
        <v>51</v>
      </c>
      <c r="K102" s="18">
        <v>50</v>
      </c>
      <c r="L102" s="18">
        <v>55</v>
      </c>
      <c r="M102" s="19">
        <v>55</v>
      </c>
      <c r="N102" s="18">
        <v>55</v>
      </c>
    </row>
    <row r="103" spans="1:14" ht="11.1" customHeight="1" x14ac:dyDescent="0.25">
      <c r="A103" s="14"/>
      <c r="B103" s="10">
        <v>2020</v>
      </c>
      <c r="C103" s="19">
        <v>55</v>
      </c>
      <c r="D103" s="19">
        <v>55</v>
      </c>
      <c r="E103" s="19" t="s">
        <v>4</v>
      </c>
      <c r="F103" s="18" t="s">
        <v>4</v>
      </c>
      <c r="G103" s="18" t="s">
        <v>4</v>
      </c>
      <c r="H103" s="18" t="s">
        <v>4</v>
      </c>
      <c r="I103" s="18">
        <v>50</v>
      </c>
      <c r="J103" s="18">
        <v>50</v>
      </c>
      <c r="K103" s="18" t="s">
        <v>4</v>
      </c>
      <c r="L103" s="18">
        <v>50</v>
      </c>
      <c r="M103" s="19">
        <v>50</v>
      </c>
      <c r="N103" s="18">
        <v>52.5</v>
      </c>
    </row>
    <row r="104" spans="1:14" ht="11.1" customHeight="1" x14ac:dyDescent="0.25">
      <c r="A104" s="14"/>
      <c r="B104" s="10">
        <v>2021</v>
      </c>
      <c r="C104" s="19">
        <v>52.5</v>
      </c>
      <c r="D104" s="19" t="s">
        <v>4</v>
      </c>
      <c r="E104" s="19" t="s">
        <v>4</v>
      </c>
      <c r="F104" s="18" t="s">
        <v>4</v>
      </c>
      <c r="G104" s="18" t="s">
        <v>4</v>
      </c>
      <c r="H104" s="18">
        <v>65</v>
      </c>
      <c r="I104" s="18">
        <v>65</v>
      </c>
      <c r="J104" s="18">
        <v>65</v>
      </c>
      <c r="K104" s="18">
        <v>60</v>
      </c>
      <c r="L104" s="18">
        <v>60</v>
      </c>
      <c r="M104" s="19">
        <v>65</v>
      </c>
      <c r="N104" s="18">
        <v>65</v>
      </c>
    </row>
    <row r="105" spans="1:14" ht="11.1" customHeight="1" x14ac:dyDescent="0.25">
      <c r="A105" s="14"/>
      <c r="B105" s="10">
        <v>2022</v>
      </c>
      <c r="C105" s="19">
        <v>65</v>
      </c>
      <c r="D105" s="19">
        <v>65</v>
      </c>
      <c r="E105" s="19">
        <v>65</v>
      </c>
      <c r="F105" s="18">
        <v>60</v>
      </c>
      <c r="G105" s="18">
        <v>65</v>
      </c>
      <c r="H105" s="18">
        <v>65</v>
      </c>
      <c r="I105" s="18">
        <v>65</v>
      </c>
      <c r="J105" s="18">
        <v>65</v>
      </c>
      <c r="K105" s="18">
        <v>65</v>
      </c>
      <c r="L105" s="18">
        <v>65</v>
      </c>
      <c r="M105" s="19">
        <v>65</v>
      </c>
      <c r="N105" s="18">
        <v>65</v>
      </c>
    </row>
    <row r="106" spans="1:14" ht="11.1" customHeight="1" x14ac:dyDescent="0.25">
      <c r="A106" s="14"/>
      <c r="B106" s="10">
        <v>2023</v>
      </c>
      <c r="C106" s="18">
        <v>60</v>
      </c>
      <c r="D106" s="18">
        <v>60</v>
      </c>
      <c r="E106" s="18">
        <v>55</v>
      </c>
      <c r="F106" s="18">
        <v>55</v>
      </c>
      <c r="G106" s="18">
        <v>55</v>
      </c>
      <c r="H106" s="18">
        <v>55</v>
      </c>
      <c r="I106" s="18">
        <v>60</v>
      </c>
      <c r="J106" s="18">
        <v>60</v>
      </c>
      <c r="K106" s="18">
        <v>65</v>
      </c>
      <c r="L106" s="19">
        <v>85</v>
      </c>
      <c r="M106" s="18">
        <v>85</v>
      </c>
      <c r="N106" s="18">
        <v>75</v>
      </c>
    </row>
    <row r="107" spans="1:14" ht="11.1" customHeight="1" x14ac:dyDescent="0.25">
      <c r="A107" s="38"/>
      <c r="B107" s="17">
        <v>2024</v>
      </c>
      <c r="C107" s="18">
        <v>75</v>
      </c>
      <c r="D107" s="18">
        <v>65</v>
      </c>
      <c r="E107" s="18">
        <v>73</v>
      </c>
      <c r="F107" s="18">
        <v>75</v>
      </c>
      <c r="G107" s="18">
        <v>75</v>
      </c>
      <c r="H107" s="18">
        <v>75</v>
      </c>
      <c r="I107" s="18">
        <v>70</v>
      </c>
      <c r="J107" s="18">
        <v>70</v>
      </c>
      <c r="K107" s="18">
        <v>72.5</v>
      </c>
      <c r="L107" s="18" t="s">
        <v>4</v>
      </c>
      <c r="M107" s="18" t="s">
        <v>4</v>
      </c>
      <c r="N107" s="18" t="s">
        <v>4</v>
      </c>
    </row>
    <row r="108" spans="1:14" ht="11.1" customHeight="1" x14ac:dyDescent="0.25">
      <c r="A108" s="39"/>
      <c r="B108" s="21">
        <v>2025</v>
      </c>
      <c r="C108" s="22">
        <v>73</v>
      </c>
      <c r="D108" s="22">
        <v>73</v>
      </c>
      <c r="E108" s="22">
        <v>66</v>
      </c>
      <c r="F108" s="22">
        <v>70</v>
      </c>
      <c r="G108" s="22">
        <v>71</v>
      </c>
      <c r="H108" s="22">
        <v>53</v>
      </c>
      <c r="I108" s="22">
        <v>61</v>
      </c>
      <c r="J108" s="22">
        <v>62</v>
      </c>
      <c r="K108" s="22">
        <v>71</v>
      </c>
      <c r="L108" s="22"/>
      <c r="M108" s="22"/>
      <c r="N108" s="22"/>
    </row>
    <row r="109" spans="1:14" ht="11.1" customHeight="1" x14ac:dyDescent="0.25">
      <c r="A109" s="16" t="s">
        <v>183</v>
      </c>
      <c r="B109" s="17">
        <v>2018</v>
      </c>
      <c r="C109" s="18">
        <v>42</v>
      </c>
      <c r="D109" s="18">
        <v>42</v>
      </c>
      <c r="E109" s="18">
        <v>42</v>
      </c>
      <c r="F109" s="18">
        <v>42</v>
      </c>
      <c r="G109" s="18">
        <v>42</v>
      </c>
      <c r="H109" s="18">
        <v>42</v>
      </c>
      <c r="I109" s="18" t="s">
        <v>4</v>
      </c>
      <c r="J109" s="18" t="s">
        <v>4</v>
      </c>
      <c r="K109" s="18" t="s">
        <v>4</v>
      </c>
      <c r="L109" s="18" t="s">
        <v>4</v>
      </c>
      <c r="M109" s="19" t="s">
        <v>4</v>
      </c>
      <c r="N109" s="18" t="s">
        <v>4</v>
      </c>
    </row>
    <row r="110" spans="1:14" ht="11.1" customHeight="1" x14ac:dyDescent="0.25">
      <c r="A110" s="16"/>
      <c r="B110" s="17">
        <v>2019</v>
      </c>
      <c r="C110" s="18">
        <v>42</v>
      </c>
      <c r="D110" s="18">
        <v>42.5</v>
      </c>
      <c r="E110" s="18">
        <v>42.5</v>
      </c>
      <c r="F110" s="18">
        <v>42.5</v>
      </c>
      <c r="G110" s="18">
        <v>44</v>
      </c>
      <c r="H110" s="18">
        <v>44</v>
      </c>
      <c r="I110" s="18">
        <v>44</v>
      </c>
      <c r="J110" s="18">
        <v>45</v>
      </c>
      <c r="K110" s="18">
        <v>48</v>
      </c>
      <c r="L110" s="18">
        <v>47.5</v>
      </c>
      <c r="M110" s="19">
        <v>47.5</v>
      </c>
      <c r="N110" s="18">
        <v>47.5</v>
      </c>
    </row>
    <row r="111" spans="1:14" ht="11.1" customHeight="1" x14ac:dyDescent="0.25">
      <c r="A111" s="16"/>
      <c r="B111" s="17">
        <v>2020</v>
      </c>
      <c r="C111" s="18">
        <v>47.5</v>
      </c>
      <c r="D111" s="18">
        <v>40</v>
      </c>
      <c r="E111" s="18" t="s">
        <v>4</v>
      </c>
      <c r="F111" s="18" t="s">
        <v>4</v>
      </c>
      <c r="G111" s="18">
        <v>47.5</v>
      </c>
      <c r="H111" s="18">
        <v>47.5</v>
      </c>
      <c r="I111" s="18">
        <v>50</v>
      </c>
      <c r="J111" s="18">
        <v>47.5</v>
      </c>
      <c r="K111" s="18">
        <v>47.5</v>
      </c>
      <c r="L111" s="18">
        <v>47.5</v>
      </c>
      <c r="M111" s="19" t="s">
        <v>4</v>
      </c>
      <c r="N111" s="18">
        <v>47.5</v>
      </c>
    </row>
    <row r="112" spans="1:14" ht="11.1" customHeight="1" x14ac:dyDescent="0.25">
      <c r="A112" s="16"/>
      <c r="B112" s="17">
        <v>2021</v>
      </c>
      <c r="C112" s="18">
        <v>49</v>
      </c>
      <c r="D112" s="18">
        <v>47.5</v>
      </c>
      <c r="E112" s="18">
        <v>50</v>
      </c>
      <c r="F112" s="18">
        <v>50</v>
      </c>
      <c r="G112" s="18">
        <v>50</v>
      </c>
      <c r="H112" s="18">
        <v>50</v>
      </c>
      <c r="I112" s="18">
        <v>50</v>
      </c>
      <c r="J112" s="18">
        <v>50</v>
      </c>
      <c r="K112" s="18">
        <v>52</v>
      </c>
      <c r="L112" s="18" t="s">
        <v>114</v>
      </c>
      <c r="M112" s="19">
        <v>53</v>
      </c>
      <c r="N112" s="18" t="s">
        <v>114</v>
      </c>
    </row>
    <row r="113" spans="1:14" ht="11.1" customHeight="1" x14ac:dyDescent="0.25">
      <c r="A113" s="16"/>
      <c r="B113" s="17">
        <v>2022</v>
      </c>
      <c r="C113" s="18">
        <v>55</v>
      </c>
      <c r="D113" s="18">
        <v>52.5</v>
      </c>
      <c r="E113" s="18">
        <v>55</v>
      </c>
      <c r="F113" s="18">
        <v>55</v>
      </c>
      <c r="G113" s="18">
        <v>55</v>
      </c>
      <c r="H113" s="18">
        <v>57.5</v>
      </c>
      <c r="I113" s="18">
        <v>60</v>
      </c>
      <c r="J113" s="18">
        <v>60</v>
      </c>
      <c r="K113" s="18">
        <v>60</v>
      </c>
      <c r="L113" s="18">
        <v>60</v>
      </c>
      <c r="M113" s="19">
        <v>60</v>
      </c>
      <c r="N113" s="18">
        <v>60</v>
      </c>
    </row>
    <row r="114" spans="1:14" ht="11.1" customHeight="1" x14ac:dyDescent="0.25">
      <c r="A114" s="16"/>
      <c r="B114" s="17">
        <v>2023</v>
      </c>
      <c r="C114" s="18">
        <v>63</v>
      </c>
      <c r="D114" s="18">
        <v>53</v>
      </c>
      <c r="E114" s="18">
        <v>55</v>
      </c>
      <c r="F114" s="18">
        <v>55</v>
      </c>
      <c r="G114" s="18">
        <v>63</v>
      </c>
      <c r="H114" s="18">
        <v>57.5</v>
      </c>
      <c r="I114" s="18">
        <v>63</v>
      </c>
      <c r="J114" s="18">
        <v>63</v>
      </c>
      <c r="K114" s="18">
        <v>63</v>
      </c>
      <c r="L114" s="18">
        <v>63</v>
      </c>
      <c r="M114" s="18">
        <v>63</v>
      </c>
      <c r="N114" s="18">
        <v>64</v>
      </c>
    </row>
    <row r="115" spans="1:14" ht="11.1" customHeight="1" x14ac:dyDescent="0.25">
      <c r="A115" s="16"/>
      <c r="B115" s="17">
        <v>2024</v>
      </c>
      <c r="C115" s="18">
        <v>61</v>
      </c>
      <c r="D115" s="18">
        <v>60</v>
      </c>
      <c r="E115" s="18">
        <v>66</v>
      </c>
      <c r="F115" s="18">
        <v>61</v>
      </c>
      <c r="G115" s="18">
        <v>62</v>
      </c>
      <c r="H115" s="18">
        <v>67</v>
      </c>
      <c r="I115" s="18">
        <v>63</v>
      </c>
      <c r="J115" s="18">
        <v>62</v>
      </c>
      <c r="K115" s="18">
        <v>67</v>
      </c>
      <c r="L115" s="18">
        <v>60</v>
      </c>
      <c r="M115" s="18">
        <v>62</v>
      </c>
      <c r="N115" s="18">
        <v>62</v>
      </c>
    </row>
    <row r="116" spans="1:14" ht="11.1" customHeight="1" x14ac:dyDescent="0.25">
      <c r="A116" s="20"/>
      <c r="B116" s="21">
        <v>2025</v>
      </c>
      <c r="C116" s="22">
        <v>63</v>
      </c>
      <c r="D116" s="22">
        <v>65</v>
      </c>
      <c r="E116" s="22">
        <v>58</v>
      </c>
      <c r="F116" s="22">
        <v>62</v>
      </c>
      <c r="G116" s="22">
        <v>60</v>
      </c>
      <c r="H116" s="22" t="s">
        <v>4</v>
      </c>
      <c r="I116" s="22" t="s">
        <v>4</v>
      </c>
      <c r="J116" s="22" t="s">
        <v>4</v>
      </c>
      <c r="K116" s="22" t="s">
        <v>4</v>
      </c>
      <c r="L116" s="198"/>
      <c r="M116" s="198"/>
      <c r="N116" s="198"/>
    </row>
    <row r="117" spans="1:14" ht="11.1" customHeight="1" x14ac:dyDescent="0.25">
      <c r="A117" s="16" t="s">
        <v>115</v>
      </c>
      <c r="B117" s="17">
        <v>2018</v>
      </c>
      <c r="C117" s="18">
        <v>33</v>
      </c>
      <c r="D117" s="18">
        <v>33</v>
      </c>
      <c r="E117" s="18">
        <v>33</v>
      </c>
      <c r="F117" s="18">
        <v>33</v>
      </c>
      <c r="G117" s="18">
        <v>33</v>
      </c>
      <c r="H117" s="18">
        <v>33</v>
      </c>
      <c r="I117" s="18">
        <v>33</v>
      </c>
      <c r="J117" s="18">
        <v>33</v>
      </c>
      <c r="K117" s="18">
        <v>33</v>
      </c>
      <c r="L117" s="18">
        <v>33</v>
      </c>
      <c r="M117" s="19">
        <v>33</v>
      </c>
      <c r="N117" s="18">
        <v>33</v>
      </c>
    </row>
    <row r="118" spans="1:14" ht="11.1" customHeight="1" x14ac:dyDescent="0.25">
      <c r="A118" s="16"/>
      <c r="B118" s="17">
        <v>2019</v>
      </c>
      <c r="C118" s="18">
        <v>33</v>
      </c>
      <c r="D118" s="18">
        <v>33</v>
      </c>
      <c r="E118" s="18">
        <v>33</v>
      </c>
      <c r="F118" s="18">
        <v>33</v>
      </c>
      <c r="G118" s="18">
        <v>33</v>
      </c>
      <c r="H118" s="18">
        <v>33</v>
      </c>
      <c r="I118" s="18">
        <v>33</v>
      </c>
      <c r="J118" s="18">
        <v>34</v>
      </c>
      <c r="K118" s="18">
        <v>37.5</v>
      </c>
      <c r="L118" s="18">
        <v>37.5</v>
      </c>
      <c r="M118" s="19">
        <v>37.5</v>
      </c>
      <c r="N118" s="18">
        <v>37.5</v>
      </c>
    </row>
    <row r="119" spans="1:14" ht="11.1" customHeight="1" x14ac:dyDescent="0.25">
      <c r="A119" s="16"/>
      <c r="B119" s="17">
        <v>2020</v>
      </c>
      <c r="C119" s="18">
        <v>32.5</v>
      </c>
      <c r="D119" s="18" t="s">
        <v>4</v>
      </c>
      <c r="E119" s="18" t="s">
        <v>4</v>
      </c>
      <c r="F119" s="18" t="s">
        <v>4</v>
      </c>
      <c r="G119" s="18" t="s">
        <v>4</v>
      </c>
      <c r="H119" s="18" t="s">
        <v>4</v>
      </c>
      <c r="I119" s="18" t="s">
        <v>4</v>
      </c>
      <c r="J119" s="18" t="s">
        <v>4</v>
      </c>
      <c r="K119" s="18" t="s">
        <v>4</v>
      </c>
      <c r="L119" s="18" t="s">
        <v>4</v>
      </c>
      <c r="M119" s="19">
        <v>37.5</v>
      </c>
      <c r="N119" s="18">
        <v>37.5</v>
      </c>
    </row>
    <row r="120" spans="1:14" ht="11.1" customHeight="1" x14ac:dyDescent="0.25">
      <c r="A120" s="16"/>
      <c r="B120" s="17">
        <v>2021</v>
      </c>
      <c r="C120" s="18">
        <v>37.5</v>
      </c>
      <c r="D120" s="18">
        <v>40</v>
      </c>
      <c r="E120" s="18">
        <v>45</v>
      </c>
      <c r="F120" s="18">
        <v>37.5</v>
      </c>
      <c r="G120" s="18">
        <v>45</v>
      </c>
      <c r="H120" s="18">
        <v>37.5</v>
      </c>
      <c r="I120" s="18">
        <v>45</v>
      </c>
      <c r="J120" s="18">
        <v>37.5</v>
      </c>
      <c r="K120" s="18">
        <v>45</v>
      </c>
      <c r="L120" s="18">
        <v>38</v>
      </c>
      <c r="M120" s="19">
        <v>38</v>
      </c>
      <c r="N120" s="18">
        <v>37.5</v>
      </c>
    </row>
    <row r="121" spans="1:14" ht="11.1" customHeight="1" x14ac:dyDescent="0.25">
      <c r="A121" s="16"/>
      <c r="B121" s="17">
        <v>2022</v>
      </c>
      <c r="C121" s="18">
        <v>45</v>
      </c>
      <c r="D121" s="18">
        <v>45</v>
      </c>
      <c r="E121" s="18">
        <v>37.5</v>
      </c>
      <c r="F121" s="18">
        <v>45</v>
      </c>
      <c r="G121" s="18">
        <v>45</v>
      </c>
      <c r="H121" s="18">
        <v>45</v>
      </c>
      <c r="I121" s="18">
        <v>43</v>
      </c>
      <c r="J121" s="18">
        <v>45</v>
      </c>
      <c r="K121" s="18">
        <v>45</v>
      </c>
      <c r="L121" s="18">
        <v>55</v>
      </c>
      <c r="M121" s="19">
        <v>50</v>
      </c>
      <c r="N121" s="18">
        <v>50</v>
      </c>
    </row>
    <row r="122" spans="1:14" ht="11.1" customHeight="1" x14ac:dyDescent="0.25">
      <c r="A122" s="16"/>
      <c r="B122" s="17">
        <v>2023</v>
      </c>
      <c r="C122" s="18">
        <v>55</v>
      </c>
      <c r="D122" s="18">
        <v>50</v>
      </c>
      <c r="E122" s="18">
        <v>50</v>
      </c>
      <c r="F122" s="18">
        <v>50</v>
      </c>
      <c r="G122" s="18">
        <v>63</v>
      </c>
      <c r="H122" s="18">
        <v>50</v>
      </c>
      <c r="I122" s="18">
        <v>55</v>
      </c>
      <c r="J122" s="18">
        <v>55</v>
      </c>
      <c r="K122" s="18">
        <v>50</v>
      </c>
      <c r="L122" s="18">
        <v>60</v>
      </c>
      <c r="M122" s="18">
        <v>55</v>
      </c>
      <c r="N122" s="18">
        <v>55</v>
      </c>
    </row>
    <row r="123" spans="1:14" ht="11.1" customHeight="1" x14ac:dyDescent="0.25">
      <c r="A123" s="16"/>
      <c r="B123" s="17">
        <v>2024</v>
      </c>
      <c r="C123" s="18">
        <v>50</v>
      </c>
      <c r="D123" s="18">
        <v>50</v>
      </c>
      <c r="E123" s="18">
        <v>54</v>
      </c>
      <c r="F123" s="18">
        <v>50</v>
      </c>
      <c r="G123" s="18">
        <v>50</v>
      </c>
      <c r="H123" s="18">
        <v>50</v>
      </c>
      <c r="I123" s="18">
        <v>50</v>
      </c>
      <c r="J123" s="18">
        <v>50</v>
      </c>
      <c r="K123" s="18">
        <v>44</v>
      </c>
      <c r="L123" s="18" t="s">
        <v>4</v>
      </c>
      <c r="M123" s="18" t="s">
        <v>4</v>
      </c>
      <c r="N123" s="18" t="s">
        <v>4</v>
      </c>
    </row>
    <row r="124" spans="1:14" ht="11.1" customHeight="1" x14ac:dyDescent="0.25">
      <c r="A124" s="20"/>
      <c r="B124" s="21">
        <v>2025</v>
      </c>
      <c r="C124" s="22">
        <v>50</v>
      </c>
      <c r="D124" s="22">
        <v>59</v>
      </c>
      <c r="E124" s="22">
        <v>47</v>
      </c>
      <c r="F124" s="22">
        <v>42</v>
      </c>
      <c r="G124" s="22">
        <v>40</v>
      </c>
      <c r="H124" s="22">
        <v>39</v>
      </c>
      <c r="I124" s="22">
        <v>42</v>
      </c>
      <c r="J124" s="22">
        <v>30</v>
      </c>
      <c r="K124" s="22">
        <v>30</v>
      </c>
      <c r="L124" s="198"/>
      <c r="M124" s="198"/>
      <c r="N124" s="198"/>
    </row>
    <row r="125" spans="1:14" ht="11.1" customHeight="1" x14ac:dyDescent="0.25">
      <c r="A125" s="16" t="s">
        <v>116</v>
      </c>
      <c r="B125" s="17">
        <v>2018</v>
      </c>
      <c r="C125" s="18">
        <v>47</v>
      </c>
      <c r="D125" s="18">
        <v>47</v>
      </c>
      <c r="E125" s="18">
        <v>47</v>
      </c>
      <c r="F125" s="18">
        <v>47</v>
      </c>
      <c r="G125" s="18">
        <v>47</v>
      </c>
      <c r="H125" s="18">
        <v>47</v>
      </c>
      <c r="I125" s="18">
        <v>47</v>
      </c>
      <c r="J125" s="18">
        <v>47</v>
      </c>
      <c r="K125" s="18">
        <v>47</v>
      </c>
      <c r="L125" s="18">
        <v>47</v>
      </c>
      <c r="M125" s="19">
        <v>47</v>
      </c>
      <c r="N125" s="18">
        <v>47</v>
      </c>
    </row>
    <row r="126" spans="1:14" ht="11.1" customHeight="1" x14ac:dyDescent="0.25">
      <c r="A126" s="16"/>
      <c r="B126" s="17">
        <v>2019</v>
      </c>
      <c r="C126" s="18">
        <v>47</v>
      </c>
      <c r="D126" s="18">
        <v>47</v>
      </c>
      <c r="E126" s="18">
        <v>47</v>
      </c>
      <c r="F126" s="18">
        <v>47</v>
      </c>
      <c r="G126" s="18">
        <v>47</v>
      </c>
      <c r="H126" s="18">
        <v>47</v>
      </c>
      <c r="I126" s="18">
        <v>47</v>
      </c>
      <c r="J126" s="18">
        <v>50</v>
      </c>
      <c r="K126" s="18">
        <v>55</v>
      </c>
      <c r="L126" s="18">
        <v>50</v>
      </c>
      <c r="M126" s="19">
        <v>55</v>
      </c>
      <c r="N126" s="18">
        <v>52.5</v>
      </c>
    </row>
    <row r="127" spans="1:14" ht="11.1" customHeight="1" x14ac:dyDescent="0.25">
      <c r="A127" s="16"/>
      <c r="B127" s="17">
        <v>2020</v>
      </c>
      <c r="C127" s="18">
        <v>52.5</v>
      </c>
      <c r="D127" s="18">
        <v>52.5</v>
      </c>
      <c r="E127" s="18">
        <v>70</v>
      </c>
      <c r="F127" s="18" t="s">
        <v>4</v>
      </c>
      <c r="G127" s="18">
        <v>55</v>
      </c>
      <c r="H127" s="18">
        <v>55</v>
      </c>
      <c r="I127" s="18">
        <v>67.5</v>
      </c>
      <c r="J127" s="18" t="s">
        <v>4</v>
      </c>
      <c r="K127" s="18" t="s">
        <v>4</v>
      </c>
      <c r="L127" s="18" t="s">
        <v>4</v>
      </c>
      <c r="M127" s="19" t="s">
        <v>4</v>
      </c>
      <c r="N127" s="18" t="s">
        <v>4</v>
      </c>
    </row>
    <row r="128" spans="1:14" ht="11.1" customHeight="1" x14ac:dyDescent="0.25">
      <c r="A128" s="16"/>
      <c r="B128" s="17">
        <v>2021</v>
      </c>
      <c r="C128" s="18">
        <v>55</v>
      </c>
      <c r="D128" s="18">
        <v>55</v>
      </c>
      <c r="E128" s="18">
        <v>55</v>
      </c>
      <c r="F128" s="18">
        <v>55</v>
      </c>
      <c r="G128" s="18">
        <v>55</v>
      </c>
      <c r="H128" s="18">
        <v>55</v>
      </c>
      <c r="I128" s="18">
        <v>55</v>
      </c>
      <c r="J128" s="18">
        <v>55</v>
      </c>
      <c r="K128" s="18">
        <v>55</v>
      </c>
      <c r="L128" s="18">
        <v>55</v>
      </c>
      <c r="M128" s="19">
        <v>55</v>
      </c>
      <c r="N128" s="18">
        <v>57.5</v>
      </c>
    </row>
    <row r="129" spans="1:14" ht="11.1" customHeight="1" x14ac:dyDescent="0.25">
      <c r="A129" s="16"/>
      <c r="B129" s="17">
        <v>2022</v>
      </c>
      <c r="C129" s="18">
        <v>57.5</v>
      </c>
      <c r="D129" s="18">
        <v>57.5</v>
      </c>
      <c r="E129" s="18">
        <v>60</v>
      </c>
      <c r="F129" s="18">
        <v>60</v>
      </c>
      <c r="G129" s="18">
        <v>65</v>
      </c>
      <c r="H129" s="18">
        <v>65</v>
      </c>
      <c r="I129" s="18">
        <v>67.5</v>
      </c>
      <c r="J129" s="18">
        <v>67.5</v>
      </c>
      <c r="K129" s="18">
        <v>67.5</v>
      </c>
      <c r="L129" s="18">
        <v>72.5</v>
      </c>
      <c r="M129" s="19">
        <v>72.5</v>
      </c>
      <c r="N129" s="18">
        <v>72.5</v>
      </c>
    </row>
    <row r="130" spans="1:14" ht="11.1" customHeight="1" x14ac:dyDescent="0.25">
      <c r="A130" s="16"/>
      <c r="B130" s="17">
        <v>2023</v>
      </c>
      <c r="C130" s="18">
        <v>70</v>
      </c>
      <c r="D130" s="18">
        <v>70</v>
      </c>
      <c r="E130" s="18">
        <v>70</v>
      </c>
      <c r="F130" s="18">
        <v>65</v>
      </c>
      <c r="G130" s="18">
        <v>70</v>
      </c>
      <c r="H130" s="18">
        <v>65</v>
      </c>
      <c r="I130" s="18">
        <v>70</v>
      </c>
      <c r="J130" s="18">
        <v>75</v>
      </c>
      <c r="K130" s="19">
        <v>75</v>
      </c>
      <c r="L130" s="18">
        <v>65</v>
      </c>
      <c r="M130" s="18">
        <v>80</v>
      </c>
      <c r="N130" s="18">
        <v>75</v>
      </c>
    </row>
    <row r="131" spans="1:14" ht="11.1" customHeight="1" x14ac:dyDescent="0.25">
      <c r="A131" s="16"/>
      <c r="B131" s="17">
        <v>2024</v>
      </c>
      <c r="C131" s="18">
        <v>80</v>
      </c>
      <c r="D131" s="18">
        <v>80</v>
      </c>
      <c r="E131" s="18">
        <v>78</v>
      </c>
      <c r="F131" s="18">
        <v>80</v>
      </c>
      <c r="G131" s="18">
        <v>80</v>
      </c>
      <c r="H131" s="18">
        <v>80</v>
      </c>
      <c r="I131" s="18">
        <v>80</v>
      </c>
      <c r="J131" s="18">
        <v>80</v>
      </c>
      <c r="K131" s="18">
        <v>77</v>
      </c>
      <c r="L131" s="18">
        <v>70</v>
      </c>
      <c r="M131" s="18">
        <v>69</v>
      </c>
      <c r="N131" s="18" t="s">
        <v>4</v>
      </c>
    </row>
    <row r="132" spans="1:14" ht="11.1" customHeight="1" x14ac:dyDescent="0.25">
      <c r="A132" s="20"/>
      <c r="B132" s="21">
        <v>2025</v>
      </c>
      <c r="C132" s="22" t="s">
        <v>4</v>
      </c>
      <c r="D132" s="22" t="s">
        <v>4</v>
      </c>
      <c r="E132" s="22">
        <v>70</v>
      </c>
      <c r="F132" s="22">
        <v>65</v>
      </c>
      <c r="G132" s="22" t="s">
        <v>4</v>
      </c>
      <c r="H132" s="22" t="s">
        <v>4</v>
      </c>
      <c r="I132" s="22" t="s">
        <v>4</v>
      </c>
      <c r="J132" s="22">
        <v>90</v>
      </c>
      <c r="K132" s="22">
        <v>100</v>
      </c>
    </row>
    <row r="133" spans="1:14" ht="10.7" customHeight="1" x14ac:dyDescent="0.2">
      <c r="A133" s="31"/>
      <c r="B133" s="32"/>
      <c r="C133" s="33"/>
      <c r="D133" s="33"/>
      <c r="E133" s="33"/>
      <c r="F133" s="33"/>
      <c r="G133" s="34"/>
      <c r="H133" s="34"/>
      <c r="I133" s="33"/>
      <c r="J133" s="33"/>
      <c r="K133" s="33"/>
      <c r="L133" s="34"/>
      <c r="M133" s="34"/>
      <c r="N133" s="35" t="s">
        <v>24</v>
      </c>
    </row>
    <row r="134" spans="1:14" ht="10.7" customHeight="1" x14ac:dyDescent="0.25">
      <c r="A134" s="729" t="s">
        <v>110</v>
      </c>
      <c r="B134" s="729"/>
      <c r="C134" s="729"/>
      <c r="D134" s="729"/>
      <c r="E134" s="729"/>
      <c r="F134" s="729"/>
      <c r="G134" s="36"/>
      <c r="H134" s="36"/>
      <c r="I134" s="37"/>
      <c r="J134" s="37"/>
      <c r="K134" s="18"/>
      <c r="L134" s="19"/>
      <c r="M134" s="19"/>
      <c r="N134" s="19"/>
    </row>
    <row r="135" spans="1:14" ht="15.95" customHeight="1" x14ac:dyDescent="0.2">
      <c r="A135" s="214" t="s">
        <v>92</v>
      </c>
      <c r="B135" s="214" t="s">
        <v>93</v>
      </c>
      <c r="C135" s="214" t="s">
        <v>94</v>
      </c>
      <c r="D135" s="214" t="s">
        <v>95</v>
      </c>
      <c r="E135" s="214" t="s">
        <v>96</v>
      </c>
      <c r="F135" s="214" t="s">
        <v>97</v>
      </c>
      <c r="G135" s="214" t="s">
        <v>98</v>
      </c>
      <c r="H135" s="214" t="s">
        <v>99</v>
      </c>
      <c r="I135" s="214" t="s">
        <v>100</v>
      </c>
      <c r="J135" s="215" t="s">
        <v>101</v>
      </c>
      <c r="K135" s="215" t="s">
        <v>102</v>
      </c>
      <c r="L135" s="214" t="s">
        <v>103</v>
      </c>
      <c r="M135" s="214" t="s">
        <v>104</v>
      </c>
      <c r="N135" s="214" t="s">
        <v>105</v>
      </c>
    </row>
    <row r="136" spans="1:14" ht="3" customHeight="1" x14ac:dyDescent="0.25">
      <c r="A136" s="16"/>
      <c r="B136" s="17"/>
      <c r="C136" s="18"/>
    </row>
    <row r="137" spans="1:14" ht="11.1" customHeight="1" x14ac:dyDescent="0.25">
      <c r="A137" s="16" t="s">
        <v>117</v>
      </c>
      <c r="B137" s="17">
        <v>2018</v>
      </c>
      <c r="C137" s="18">
        <v>43</v>
      </c>
      <c r="D137" s="18">
        <v>46</v>
      </c>
      <c r="E137" s="18">
        <v>47.5</v>
      </c>
      <c r="F137" s="18">
        <v>47.5</v>
      </c>
      <c r="G137" s="18">
        <v>47.5</v>
      </c>
      <c r="H137" s="18">
        <v>47.5</v>
      </c>
      <c r="I137" s="18">
        <v>47.5</v>
      </c>
      <c r="J137" s="19">
        <v>47.5</v>
      </c>
      <c r="K137" s="18">
        <v>51</v>
      </c>
      <c r="L137" s="18">
        <v>50</v>
      </c>
      <c r="M137" s="19">
        <v>50</v>
      </c>
      <c r="N137" s="18">
        <v>50</v>
      </c>
    </row>
    <row r="138" spans="1:14" ht="11.1" customHeight="1" x14ac:dyDescent="0.25">
      <c r="A138" s="16"/>
      <c r="B138" s="17">
        <v>2019</v>
      </c>
      <c r="C138" s="18">
        <v>48</v>
      </c>
      <c r="D138" s="18">
        <v>48</v>
      </c>
      <c r="E138" s="18">
        <v>48</v>
      </c>
      <c r="F138" s="18">
        <v>48</v>
      </c>
      <c r="G138" s="18">
        <v>48</v>
      </c>
      <c r="H138" s="18">
        <v>48</v>
      </c>
      <c r="I138" s="18">
        <v>48</v>
      </c>
      <c r="J138" s="19">
        <v>48</v>
      </c>
      <c r="K138" s="18">
        <v>53</v>
      </c>
      <c r="L138" s="18">
        <v>52.5</v>
      </c>
      <c r="M138" s="19">
        <v>53</v>
      </c>
      <c r="N138" s="18">
        <v>52.5</v>
      </c>
    </row>
    <row r="139" spans="1:14" ht="11.1" customHeight="1" x14ac:dyDescent="0.25">
      <c r="A139" s="16"/>
      <c r="B139" s="17">
        <v>2020</v>
      </c>
      <c r="C139" s="18">
        <v>52.5</v>
      </c>
      <c r="D139" s="18" t="s">
        <v>4</v>
      </c>
      <c r="E139" s="18" t="s">
        <v>4</v>
      </c>
      <c r="F139" s="18" t="s">
        <v>4</v>
      </c>
      <c r="G139" s="18" t="s">
        <v>4</v>
      </c>
      <c r="H139" s="18" t="s">
        <v>4</v>
      </c>
      <c r="I139" s="18" t="s">
        <v>4</v>
      </c>
      <c r="J139" s="19" t="s">
        <v>4</v>
      </c>
      <c r="K139" s="18" t="s">
        <v>4</v>
      </c>
      <c r="L139" s="18" t="s">
        <v>4</v>
      </c>
      <c r="M139" s="19" t="s">
        <v>4</v>
      </c>
      <c r="N139" s="18" t="s">
        <v>4</v>
      </c>
    </row>
    <row r="140" spans="1:14" ht="11.1" customHeight="1" x14ac:dyDescent="0.25">
      <c r="A140" s="16"/>
      <c r="B140" s="17">
        <v>2021</v>
      </c>
      <c r="C140" s="18" t="s">
        <v>4</v>
      </c>
      <c r="D140" s="18" t="s">
        <v>4</v>
      </c>
      <c r="E140" s="18" t="s">
        <v>4</v>
      </c>
      <c r="F140" s="18" t="s">
        <v>4</v>
      </c>
      <c r="G140" s="18" t="s">
        <v>4</v>
      </c>
      <c r="H140" s="18">
        <v>57.5</v>
      </c>
      <c r="I140" s="18">
        <v>60</v>
      </c>
      <c r="J140" s="19">
        <v>60</v>
      </c>
      <c r="K140" s="18" t="s">
        <v>4</v>
      </c>
      <c r="L140" s="18">
        <v>65</v>
      </c>
      <c r="M140" s="19" t="s">
        <v>4</v>
      </c>
      <c r="N140" s="18" t="s">
        <v>4</v>
      </c>
    </row>
    <row r="141" spans="1:14" ht="11.1" customHeight="1" x14ac:dyDescent="0.25">
      <c r="A141" s="16"/>
      <c r="B141" s="17">
        <v>2022</v>
      </c>
      <c r="C141" s="18">
        <v>70</v>
      </c>
      <c r="D141" s="18">
        <v>70</v>
      </c>
      <c r="E141" s="18">
        <v>70</v>
      </c>
      <c r="F141" s="18">
        <v>70</v>
      </c>
      <c r="G141" s="18" t="s">
        <v>4</v>
      </c>
      <c r="H141" s="18">
        <v>70</v>
      </c>
      <c r="I141" s="18">
        <v>70</v>
      </c>
      <c r="J141" s="19">
        <v>70</v>
      </c>
      <c r="K141" s="18">
        <v>80</v>
      </c>
      <c r="L141" s="18">
        <v>80</v>
      </c>
      <c r="M141" s="19">
        <v>80</v>
      </c>
      <c r="N141" s="18">
        <v>80</v>
      </c>
    </row>
    <row r="142" spans="1:14" ht="11.1" customHeight="1" x14ac:dyDescent="0.25">
      <c r="A142" s="16"/>
      <c r="B142" s="17">
        <v>2023</v>
      </c>
      <c r="C142" s="18">
        <v>80</v>
      </c>
      <c r="D142" s="18">
        <v>80</v>
      </c>
      <c r="E142" s="18">
        <v>80</v>
      </c>
      <c r="F142" s="18" t="s">
        <v>4</v>
      </c>
      <c r="G142" s="18">
        <v>70</v>
      </c>
      <c r="H142" s="18">
        <v>80</v>
      </c>
      <c r="I142" s="18">
        <v>80</v>
      </c>
      <c r="J142" s="19">
        <v>80</v>
      </c>
      <c r="K142" s="19">
        <v>80</v>
      </c>
      <c r="L142" s="18">
        <v>80</v>
      </c>
      <c r="M142" s="18">
        <v>80</v>
      </c>
      <c r="N142" s="18">
        <v>80</v>
      </c>
    </row>
    <row r="143" spans="1:14" ht="11.1" customHeight="1" x14ac:dyDescent="0.25">
      <c r="A143" s="16"/>
      <c r="B143" s="17">
        <v>2024</v>
      </c>
      <c r="C143" s="18">
        <v>80</v>
      </c>
      <c r="D143" s="18">
        <v>80</v>
      </c>
      <c r="E143" s="18">
        <v>78</v>
      </c>
      <c r="F143" s="18">
        <v>80</v>
      </c>
      <c r="G143" s="18">
        <v>80</v>
      </c>
      <c r="H143" s="18">
        <v>85</v>
      </c>
      <c r="I143" s="18">
        <v>85</v>
      </c>
      <c r="J143" s="18">
        <v>85</v>
      </c>
      <c r="K143" s="19">
        <v>86</v>
      </c>
      <c r="L143" s="18">
        <v>89</v>
      </c>
      <c r="M143" s="18">
        <v>89.5</v>
      </c>
      <c r="N143" s="18">
        <v>93</v>
      </c>
    </row>
    <row r="144" spans="1:14" ht="11.1" customHeight="1" x14ac:dyDescent="0.25">
      <c r="A144" s="20"/>
      <c r="B144" s="21">
        <v>2025</v>
      </c>
      <c r="C144" s="22">
        <v>93</v>
      </c>
      <c r="D144" s="22">
        <v>90</v>
      </c>
      <c r="E144" s="22">
        <v>90</v>
      </c>
      <c r="F144" s="22">
        <v>91</v>
      </c>
      <c r="G144" s="22">
        <v>94</v>
      </c>
      <c r="H144" s="22">
        <v>94</v>
      </c>
      <c r="I144" s="22">
        <v>90</v>
      </c>
      <c r="J144" s="22">
        <v>94</v>
      </c>
      <c r="K144" s="22">
        <v>93</v>
      </c>
      <c r="L144" s="198"/>
      <c r="M144" s="198"/>
      <c r="N144" s="198"/>
    </row>
    <row r="145" spans="1:14" ht="11.1" customHeight="1" x14ac:dyDescent="0.25">
      <c r="A145" s="16" t="s">
        <v>39</v>
      </c>
      <c r="B145" s="17">
        <v>2018</v>
      </c>
      <c r="C145" s="18">
        <v>36</v>
      </c>
      <c r="D145" s="18">
        <v>37.5</v>
      </c>
      <c r="E145" s="18">
        <v>37.5</v>
      </c>
      <c r="F145" s="18">
        <v>37.5</v>
      </c>
      <c r="G145" s="18">
        <v>37.5</v>
      </c>
      <c r="H145" s="18">
        <v>37.5</v>
      </c>
      <c r="I145" s="18">
        <v>37.5</v>
      </c>
      <c r="J145" s="18">
        <v>37.5</v>
      </c>
      <c r="K145" s="18">
        <v>37.5</v>
      </c>
      <c r="L145" s="18">
        <v>37.5</v>
      </c>
      <c r="M145" s="19">
        <v>37.5</v>
      </c>
      <c r="N145" s="18">
        <v>37.5</v>
      </c>
    </row>
    <row r="146" spans="1:14" ht="11.1" customHeight="1" x14ac:dyDescent="0.25">
      <c r="A146" s="16"/>
      <c r="B146" s="17">
        <v>2019</v>
      </c>
      <c r="C146" s="18">
        <v>40</v>
      </c>
      <c r="D146" s="18">
        <v>40</v>
      </c>
      <c r="E146" s="18">
        <v>40</v>
      </c>
      <c r="F146" s="18">
        <v>40</v>
      </c>
      <c r="G146" s="18">
        <v>39</v>
      </c>
      <c r="H146" s="18">
        <v>40</v>
      </c>
      <c r="I146" s="18">
        <v>40</v>
      </c>
      <c r="J146" s="18">
        <v>40</v>
      </c>
      <c r="K146" s="18">
        <v>40</v>
      </c>
      <c r="L146" s="18">
        <v>40</v>
      </c>
      <c r="M146" s="19">
        <v>42.5</v>
      </c>
      <c r="N146" s="18">
        <v>42.5</v>
      </c>
    </row>
    <row r="147" spans="1:14" ht="11.1" customHeight="1" x14ac:dyDescent="0.25">
      <c r="A147" s="16"/>
      <c r="B147" s="17">
        <v>2020</v>
      </c>
      <c r="C147" s="18">
        <v>42.5</v>
      </c>
      <c r="D147" s="18">
        <v>40</v>
      </c>
      <c r="E147" s="18">
        <v>40</v>
      </c>
      <c r="F147" s="18" t="s">
        <v>4</v>
      </c>
      <c r="G147" s="18" t="s">
        <v>4</v>
      </c>
      <c r="H147" s="18" t="s">
        <v>4</v>
      </c>
      <c r="I147" s="18">
        <v>40</v>
      </c>
      <c r="J147" s="18">
        <v>45</v>
      </c>
      <c r="K147" s="18" t="s">
        <v>4</v>
      </c>
      <c r="L147" s="18" t="s">
        <v>4</v>
      </c>
      <c r="M147" s="19">
        <v>45</v>
      </c>
      <c r="N147" s="18">
        <v>45</v>
      </c>
    </row>
    <row r="148" spans="1:14" ht="11.1" customHeight="1" x14ac:dyDescent="0.25">
      <c r="A148" s="16"/>
      <c r="B148" s="17">
        <v>2021</v>
      </c>
      <c r="C148" s="18">
        <v>40</v>
      </c>
      <c r="D148" s="18">
        <v>40</v>
      </c>
      <c r="E148" s="18">
        <v>40</v>
      </c>
      <c r="F148" s="18">
        <v>37.5</v>
      </c>
      <c r="G148" s="18">
        <v>35</v>
      </c>
      <c r="H148" s="18">
        <v>40</v>
      </c>
      <c r="I148" s="18">
        <v>40</v>
      </c>
      <c r="J148" s="18">
        <v>40</v>
      </c>
      <c r="K148" s="18">
        <v>40</v>
      </c>
      <c r="L148" s="18">
        <v>40</v>
      </c>
      <c r="M148" s="19">
        <v>40</v>
      </c>
      <c r="N148" s="18">
        <v>37.5</v>
      </c>
    </row>
    <row r="149" spans="1:14" ht="11.1" customHeight="1" x14ac:dyDescent="0.25">
      <c r="A149" s="16"/>
      <c r="B149" s="17">
        <v>2022</v>
      </c>
      <c r="C149" s="18">
        <v>37.5</v>
      </c>
      <c r="D149" s="18">
        <v>42.5</v>
      </c>
      <c r="E149" s="18">
        <v>42.5</v>
      </c>
      <c r="F149" s="18">
        <v>42.5</v>
      </c>
      <c r="G149" s="18">
        <v>42.5</v>
      </c>
      <c r="H149" s="18">
        <v>42.5</v>
      </c>
      <c r="I149" s="18">
        <v>42.5</v>
      </c>
      <c r="J149" s="18">
        <v>42.5</v>
      </c>
      <c r="K149" s="18">
        <v>44.5</v>
      </c>
      <c r="L149" s="18">
        <v>45</v>
      </c>
      <c r="M149" s="19">
        <v>50</v>
      </c>
      <c r="N149" s="18">
        <v>47</v>
      </c>
    </row>
    <row r="150" spans="1:14" ht="11.1" customHeight="1" x14ac:dyDescent="0.25">
      <c r="A150" s="16"/>
      <c r="B150" s="17">
        <v>2023</v>
      </c>
      <c r="C150" s="18">
        <v>53</v>
      </c>
      <c r="D150" s="18">
        <v>46.5</v>
      </c>
      <c r="E150" s="18">
        <v>52</v>
      </c>
      <c r="F150" s="18">
        <v>52</v>
      </c>
      <c r="G150" s="18">
        <v>53</v>
      </c>
      <c r="H150" s="18">
        <v>52.5</v>
      </c>
      <c r="I150" s="18">
        <v>53</v>
      </c>
      <c r="J150" s="18">
        <v>53</v>
      </c>
      <c r="K150" s="19">
        <v>53</v>
      </c>
      <c r="L150" s="18">
        <v>53</v>
      </c>
      <c r="M150" s="18">
        <v>53</v>
      </c>
      <c r="N150" s="18">
        <v>51</v>
      </c>
    </row>
    <row r="151" spans="1:14" ht="11.1" customHeight="1" x14ac:dyDescent="0.25">
      <c r="A151" s="16"/>
      <c r="B151" s="17">
        <v>2024</v>
      </c>
      <c r="C151" s="18">
        <v>53</v>
      </c>
      <c r="D151" s="18">
        <v>53</v>
      </c>
      <c r="E151" s="18">
        <v>50</v>
      </c>
      <c r="F151" s="18">
        <v>53</v>
      </c>
      <c r="G151" s="18">
        <v>53</v>
      </c>
      <c r="H151" s="18">
        <v>53</v>
      </c>
      <c r="I151" s="18">
        <v>53</v>
      </c>
      <c r="J151" s="18">
        <v>53</v>
      </c>
      <c r="K151" s="19">
        <v>54</v>
      </c>
      <c r="L151" s="18">
        <v>56.666666666666664</v>
      </c>
      <c r="M151" s="18">
        <v>58.33</v>
      </c>
      <c r="N151" s="18">
        <v>59.2</v>
      </c>
    </row>
    <row r="152" spans="1:14" ht="11.1" customHeight="1" x14ac:dyDescent="0.25">
      <c r="A152" s="20"/>
      <c r="B152" s="21">
        <v>2025</v>
      </c>
      <c r="C152" s="18">
        <v>63</v>
      </c>
      <c r="D152" s="18">
        <v>60</v>
      </c>
      <c r="E152" s="18">
        <v>53</v>
      </c>
      <c r="F152" s="18">
        <v>59</v>
      </c>
      <c r="G152" s="18">
        <v>53</v>
      </c>
      <c r="H152" s="18">
        <v>55</v>
      </c>
      <c r="I152" s="18">
        <v>58</v>
      </c>
      <c r="J152" s="18">
        <v>56</v>
      </c>
      <c r="K152" s="18">
        <v>56</v>
      </c>
    </row>
    <row r="153" spans="1:14" ht="11.1" customHeight="1" x14ac:dyDescent="0.25">
      <c r="A153" s="30" t="s">
        <v>43</v>
      </c>
      <c r="B153" s="24">
        <v>2018</v>
      </c>
      <c r="C153" s="25">
        <v>32.5</v>
      </c>
      <c r="D153" s="25">
        <v>32.5</v>
      </c>
      <c r="E153" s="25">
        <v>32.5</v>
      </c>
      <c r="F153" s="25">
        <v>34</v>
      </c>
      <c r="G153" s="25">
        <v>34</v>
      </c>
      <c r="H153" s="25">
        <v>35</v>
      </c>
      <c r="I153" s="25">
        <v>39</v>
      </c>
      <c r="J153" s="25">
        <v>39</v>
      </c>
      <c r="K153" s="25">
        <v>39</v>
      </c>
      <c r="L153" s="25">
        <v>39</v>
      </c>
      <c r="M153" s="26">
        <v>39</v>
      </c>
      <c r="N153" s="25">
        <v>40</v>
      </c>
    </row>
    <row r="154" spans="1:14" ht="11.1" customHeight="1" x14ac:dyDescent="0.25">
      <c r="A154" s="16"/>
      <c r="B154" s="17">
        <v>2019</v>
      </c>
      <c r="C154" s="18">
        <v>38</v>
      </c>
      <c r="D154" s="18">
        <v>38</v>
      </c>
      <c r="E154" s="18">
        <v>38</v>
      </c>
      <c r="F154" s="18">
        <v>37</v>
      </c>
      <c r="G154" s="18">
        <v>38</v>
      </c>
      <c r="H154" s="18">
        <v>41</v>
      </c>
      <c r="I154" s="18">
        <v>41</v>
      </c>
      <c r="J154" s="18">
        <v>40</v>
      </c>
      <c r="K154" s="18">
        <v>35</v>
      </c>
      <c r="L154" s="18">
        <v>35</v>
      </c>
      <c r="M154" s="19">
        <v>35</v>
      </c>
      <c r="N154" s="18">
        <v>35</v>
      </c>
    </row>
    <row r="155" spans="1:14" ht="11.1" customHeight="1" x14ac:dyDescent="0.25">
      <c r="A155" s="16"/>
      <c r="B155" s="17">
        <v>2020</v>
      </c>
      <c r="C155" s="18">
        <v>37.5</v>
      </c>
      <c r="D155" s="18">
        <v>37.5</v>
      </c>
      <c r="E155" s="18">
        <v>37.5</v>
      </c>
      <c r="F155" s="18">
        <v>37.5</v>
      </c>
      <c r="G155" s="18">
        <v>37.5</v>
      </c>
      <c r="H155" s="18">
        <v>37.5</v>
      </c>
      <c r="I155" s="18">
        <v>37.5</v>
      </c>
      <c r="J155" s="18">
        <v>37.5</v>
      </c>
      <c r="K155" s="18">
        <v>35</v>
      </c>
      <c r="L155" s="18">
        <v>35</v>
      </c>
      <c r="M155" s="19">
        <v>35</v>
      </c>
      <c r="N155" s="18">
        <v>37.5</v>
      </c>
    </row>
    <row r="156" spans="1:14" ht="11.1" customHeight="1" x14ac:dyDescent="0.25">
      <c r="A156" s="16"/>
      <c r="B156" s="17">
        <v>2021</v>
      </c>
      <c r="C156" s="18">
        <v>37.5</v>
      </c>
      <c r="D156" s="18">
        <v>37.5</v>
      </c>
      <c r="E156" s="18">
        <v>37.5</v>
      </c>
      <c r="F156" s="18">
        <v>35</v>
      </c>
      <c r="G156" s="18">
        <v>37.5</v>
      </c>
      <c r="H156" s="18">
        <v>37.5</v>
      </c>
      <c r="I156" s="18">
        <v>35</v>
      </c>
      <c r="J156" s="18">
        <v>52.5</v>
      </c>
      <c r="K156" s="18">
        <v>52.5</v>
      </c>
      <c r="L156" s="18">
        <v>50</v>
      </c>
      <c r="M156" s="19">
        <v>52.5</v>
      </c>
      <c r="N156" s="18">
        <v>52.5</v>
      </c>
    </row>
    <row r="157" spans="1:14" ht="11.1" customHeight="1" x14ac:dyDescent="0.25">
      <c r="A157" s="16"/>
      <c r="B157" s="17">
        <v>2022</v>
      </c>
      <c r="C157" s="18">
        <v>52.5</v>
      </c>
      <c r="D157" s="18">
        <v>53</v>
      </c>
      <c r="E157" s="18">
        <v>53</v>
      </c>
      <c r="F157" s="18">
        <v>53</v>
      </c>
      <c r="G157" s="18">
        <v>53</v>
      </c>
      <c r="H157" s="18">
        <v>47.5</v>
      </c>
      <c r="I157" s="18">
        <v>47.5</v>
      </c>
      <c r="J157" s="18">
        <v>47.5</v>
      </c>
      <c r="K157" s="18">
        <v>47.5</v>
      </c>
      <c r="L157" s="18">
        <v>55</v>
      </c>
      <c r="M157" s="19">
        <v>48</v>
      </c>
      <c r="N157" s="18">
        <v>47.5</v>
      </c>
    </row>
    <row r="158" spans="1:14" ht="11.1" customHeight="1" x14ac:dyDescent="0.25">
      <c r="A158" s="16"/>
      <c r="B158" s="17">
        <v>2023</v>
      </c>
      <c r="C158" s="18">
        <v>47.5</v>
      </c>
      <c r="D158" s="18">
        <v>47.5</v>
      </c>
      <c r="E158" s="18">
        <v>47.5</v>
      </c>
      <c r="F158" s="18">
        <v>47.5</v>
      </c>
      <c r="G158" s="18">
        <v>52</v>
      </c>
      <c r="H158" s="18">
        <v>57.5</v>
      </c>
      <c r="I158" s="18">
        <v>55</v>
      </c>
      <c r="J158" s="18">
        <v>53</v>
      </c>
      <c r="K158" s="18">
        <v>53</v>
      </c>
      <c r="L158" s="18">
        <v>50</v>
      </c>
      <c r="M158" s="18">
        <v>50</v>
      </c>
      <c r="N158" s="18">
        <v>43</v>
      </c>
    </row>
    <row r="159" spans="1:14" ht="11.1" customHeight="1" x14ac:dyDescent="0.25">
      <c r="A159" s="16"/>
      <c r="B159" s="17">
        <v>2024</v>
      </c>
      <c r="C159" s="18">
        <v>48</v>
      </c>
      <c r="D159" s="18">
        <v>50</v>
      </c>
      <c r="E159" s="18">
        <v>52</v>
      </c>
      <c r="F159" s="18">
        <v>47.5</v>
      </c>
      <c r="G159" s="18">
        <v>48</v>
      </c>
      <c r="H159" s="18">
        <v>48</v>
      </c>
      <c r="I159" s="18">
        <v>48</v>
      </c>
      <c r="J159" s="18">
        <v>48</v>
      </c>
      <c r="K159" s="18">
        <v>51</v>
      </c>
      <c r="L159" s="18">
        <v>48.75</v>
      </c>
      <c r="M159" s="18">
        <v>50</v>
      </c>
      <c r="N159" s="18">
        <v>54</v>
      </c>
    </row>
    <row r="160" spans="1:14" ht="11.1" customHeight="1" x14ac:dyDescent="0.25">
      <c r="A160" s="20"/>
      <c r="B160" s="21">
        <v>2025</v>
      </c>
      <c r="C160" s="22">
        <v>48</v>
      </c>
      <c r="D160" s="22">
        <v>48</v>
      </c>
      <c r="E160" s="22">
        <v>50</v>
      </c>
      <c r="F160" s="22">
        <v>50</v>
      </c>
      <c r="G160" s="22">
        <v>50</v>
      </c>
      <c r="H160" s="22">
        <v>50</v>
      </c>
      <c r="I160" s="22">
        <v>47</v>
      </c>
      <c r="J160" s="22">
        <v>42</v>
      </c>
      <c r="K160" s="22">
        <v>40</v>
      </c>
      <c r="L160" s="198"/>
      <c r="M160" s="198"/>
      <c r="N160" s="198"/>
    </row>
    <row r="161" spans="1:14" ht="11.1" customHeight="1" x14ac:dyDescent="0.25">
      <c r="A161" s="30" t="s">
        <v>63</v>
      </c>
      <c r="B161" s="17">
        <v>2018</v>
      </c>
      <c r="C161" s="18">
        <v>37.5</v>
      </c>
      <c r="D161" s="18">
        <v>36.81818181818182</v>
      </c>
      <c r="E161" s="18">
        <v>38.18181818181818</v>
      </c>
      <c r="F161" s="18">
        <v>38.636363636363633</v>
      </c>
      <c r="G161" s="18">
        <v>38.5</v>
      </c>
      <c r="H161" s="19">
        <v>38.5</v>
      </c>
      <c r="I161" s="18">
        <v>38.636363636363633</v>
      </c>
      <c r="J161" s="18">
        <v>40.68181818181818</v>
      </c>
      <c r="K161" s="19">
        <v>40.227272727272727</v>
      </c>
      <c r="L161" s="19">
        <v>40.454545454545453</v>
      </c>
      <c r="M161" s="19">
        <v>40.454545454545453</v>
      </c>
      <c r="N161" s="18">
        <v>40.454545454545453</v>
      </c>
    </row>
    <row r="162" spans="1:14" ht="11.1" customHeight="1" x14ac:dyDescent="0.25">
      <c r="A162" s="16"/>
      <c r="B162" s="17">
        <v>2019</v>
      </c>
      <c r="C162" s="18">
        <v>40</v>
      </c>
      <c r="D162" s="18">
        <v>40</v>
      </c>
      <c r="E162" s="18">
        <v>41.8</v>
      </c>
      <c r="F162" s="18">
        <v>41.8</v>
      </c>
      <c r="G162" s="18">
        <v>41.8</v>
      </c>
      <c r="H162" s="19">
        <v>43.5</v>
      </c>
      <c r="I162" s="18">
        <v>43.8</v>
      </c>
      <c r="J162" s="18">
        <v>44.5</v>
      </c>
      <c r="K162" s="19">
        <v>45</v>
      </c>
      <c r="L162" s="19">
        <v>45</v>
      </c>
      <c r="M162" s="19">
        <v>45</v>
      </c>
      <c r="N162" s="18">
        <v>47.5</v>
      </c>
    </row>
    <row r="163" spans="1:14" ht="11.1" customHeight="1" x14ac:dyDescent="0.25">
      <c r="A163" s="16"/>
      <c r="B163" s="17">
        <v>2020</v>
      </c>
      <c r="C163" s="18">
        <v>45</v>
      </c>
      <c r="D163" s="18">
        <v>45</v>
      </c>
      <c r="E163" s="18" t="s">
        <v>4</v>
      </c>
      <c r="F163" s="18" t="s">
        <v>4</v>
      </c>
      <c r="G163" s="18">
        <v>47.5</v>
      </c>
      <c r="H163" s="19">
        <v>47.5</v>
      </c>
      <c r="I163" s="18" t="s">
        <v>4</v>
      </c>
      <c r="J163" s="18">
        <v>47.5</v>
      </c>
      <c r="K163" s="19">
        <v>47.5</v>
      </c>
      <c r="L163" s="19">
        <v>45</v>
      </c>
      <c r="M163" s="19">
        <v>45</v>
      </c>
      <c r="N163" s="18">
        <v>45</v>
      </c>
    </row>
    <row r="164" spans="1:14" ht="11.1" customHeight="1" x14ac:dyDescent="0.25">
      <c r="A164" s="16"/>
      <c r="B164" s="17">
        <v>2021</v>
      </c>
      <c r="C164" s="18">
        <v>45</v>
      </c>
      <c r="D164" s="18">
        <v>45</v>
      </c>
      <c r="E164" s="18">
        <v>45</v>
      </c>
      <c r="F164" s="18">
        <v>45</v>
      </c>
      <c r="G164" s="18">
        <v>45</v>
      </c>
      <c r="H164" s="19">
        <v>45</v>
      </c>
      <c r="I164" s="18">
        <v>45</v>
      </c>
      <c r="J164" s="18">
        <v>45</v>
      </c>
      <c r="K164" s="19">
        <v>45</v>
      </c>
      <c r="L164" s="19">
        <v>45</v>
      </c>
      <c r="M164" s="19">
        <v>45</v>
      </c>
      <c r="N164" s="18">
        <v>45</v>
      </c>
    </row>
    <row r="165" spans="1:14" ht="11.1" customHeight="1" x14ac:dyDescent="0.25">
      <c r="A165" s="16"/>
      <c r="B165" s="17">
        <v>2022</v>
      </c>
      <c r="C165" s="18">
        <v>47.5</v>
      </c>
      <c r="D165" s="18">
        <v>52.5</v>
      </c>
      <c r="E165" s="18">
        <v>57.5</v>
      </c>
      <c r="F165" s="18">
        <v>55</v>
      </c>
      <c r="G165" s="18">
        <v>55</v>
      </c>
      <c r="H165" s="19">
        <v>58</v>
      </c>
      <c r="I165" s="18">
        <v>58</v>
      </c>
      <c r="J165" s="18">
        <v>62.5</v>
      </c>
      <c r="K165" s="19">
        <v>75.5</v>
      </c>
      <c r="L165" s="19">
        <v>58</v>
      </c>
      <c r="M165" s="19">
        <v>58</v>
      </c>
      <c r="N165" s="18">
        <v>62.5</v>
      </c>
    </row>
    <row r="166" spans="1:14" ht="11.1" customHeight="1" x14ac:dyDescent="0.25">
      <c r="A166" s="16"/>
      <c r="B166" s="17">
        <v>2023</v>
      </c>
      <c r="C166" s="18">
        <v>65</v>
      </c>
      <c r="D166" s="18">
        <v>65</v>
      </c>
      <c r="E166" s="18">
        <v>65</v>
      </c>
      <c r="F166" s="18" t="s">
        <v>4</v>
      </c>
      <c r="G166" s="18" t="s">
        <v>4</v>
      </c>
      <c r="H166" s="19" t="s">
        <v>4</v>
      </c>
      <c r="I166" s="18" t="s">
        <v>4</v>
      </c>
      <c r="J166" s="18" t="s">
        <v>4</v>
      </c>
      <c r="K166" s="19" t="s">
        <v>4</v>
      </c>
      <c r="L166" s="19" t="s">
        <v>4</v>
      </c>
      <c r="M166" s="19" t="s">
        <v>4</v>
      </c>
      <c r="N166" s="19" t="s">
        <v>4</v>
      </c>
    </row>
    <row r="167" spans="1:14" ht="11.1" customHeight="1" x14ac:dyDescent="0.25">
      <c r="A167" s="16"/>
      <c r="B167" s="17">
        <v>2024</v>
      </c>
      <c r="C167" s="18" t="s">
        <v>4</v>
      </c>
      <c r="D167" s="18" t="s">
        <v>4</v>
      </c>
      <c r="E167" s="18">
        <v>62</v>
      </c>
      <c r="F167" s="18">
        <v>68</v>
      </c>
      <c r="G167" s="18">
        <v>63</v>
      </c>
      <c r="H167" s="19" t="s">
        <v>4</v>
      </c>
      <c r="I167" s="18" t="s">
        <v>4</v>
      </c>
      <c r="J167" s="18" t="s">
        <v>4</v>
      </c>
      <c r="K167" s="18" t="s">
        <v>4</v>
      </c>
      <c r="L167" s="18">
        <v>55.979909318323955</v>
      </c>
      <c r="M167" s="18">
        <v>60.83</v>
      </c>
      <c r="N167" s="18">
        <v>58</v>
      </c>
    </row>
    <row r="168" spans="1:14" ht="11.1" customHeight="1" x14ac:dyDescent="0.25">
      <c r="A168" s="20"/>
      <c r="B168" s="21">
        <v>2025</v>
      </c>
      <c r="C168" s="22">
        <v>55</v>
      </c>
      <c r="D168" s="22">
        <v>50</v>
      </c>
      <c r="E168" s="22" t="s">
        <v>4</v>
      </c>
      <c r="F168" s="22">
        <v>58</v>
      </c>
      <c r="G168" s="22">
        <v>58</v>
      </c>
      <c r="H168" s="22">
        <v>62</v>
      </c>
      <c r="I168" s="22">
        <v>56</v>
      </c>
      <c r="J168" s="22">
        <v>60</v>
      </c>
      <c r="K168" s="22">
        <v>58</v>
      </c>
      <c r="L168" s="198"/>
      <c r="M168" s="198"/>
      <c r="N168" s="198"/>
    </row>
    <row r="169" spans="1:14" ht="11.1" customHeight="1" x14ac:dyDescent="0.25">
      <c r="A169" s="16" t="s">
        <v>53</v>
      </c>
      <c r="B169" s="17">
        <v>2018</v>
      </c>
      <c r="C169" s="18">
        <v>35</v>
      </c>
      <c r="D169" s="18">
        <v>35</v>
      </c>
      <c r="E169" s="18">
        <v>35</v>
      </c>
      <c r="F169" s="18">
        <v>35</v>
      </c>
      <c r="G169" s="18">
        <v>35</v>
      </c>
      <c r="H169" s="18">
        <v>36</v>
      </c>
      <c r="I169" s="18">
        <v>35</v>
      </c>
      <c r="J169" s="18">
        <v>34</v>
      </c>
      <c r="K169" s="18">
        <v>35</v>
      </c>
      <c r="L169" s="18">
        <v>35</v>
      </c>
      <c r="M169" s="19">
        <v>35</v>
      </c>
      <c r="N169" s="18">
        <v>35</v>
      </c>
    </row>
    <row r="170" spans="1:14" ht="11.1" customHeight="1" x14ac:dyDescent="0.25">
      <c r="A170" s="16"/>
      <c r="B170" s="17">
        <v>2019</v>
      </c>
      <c r="C170" s="18">
        <v>34</v>
      </c>
      <c r="D170" s="18">
        <v>34</v>
      </c>
      <c r="E170" s="18">
        <v>34</v>
      </c>
      <c r="F170" s="18">
        <v>35</v>
      </c>
      <c r="G170" s="18">
        <v>35</v>
      </c>
      <c r="H170" s="18">
        <v>36</v>
      </c>
      <c r="I170" s="18">
        <v>35</v>
      </c>
      <c r="J170" s="18">
        <v>35</v>
      </c>
      <c r="K170" s="18">
        <v>37.5</v>
      </c>
      <c r="L170" s="18">
        <v>37.5</v>
      </c>
      <c r="M170" s="19">
        <v>40</v>
      </c>
      <c r="N170" s="18">
        <v>40</v>
      </c>
    </row>
    <row r="171" spans="1:14" ht="11.1" customHeight="1" x14ac:dyDescent="0.25">
      <c r="A171" s="16"/>
      <c r="B171" s="17">
        <v>2020</v>
      </c>
      <c r="C171" s="18">
        <v>40</v>
      </c>
      <c r="D171" s="18">
        <v>40</v>
      </c>
      <c r="E171" s="18">
        <v>40</v>
      </c>
      <c r="F171" s="18">
        <v>40</v>
      </c>
      <c r="G171" s="18">
        <v>40</v>
      </c>
      <c r="H171" s="18">
        <v>40</v>
      </c>
      <c r="I171" s="18">
        <v>40</v>
      </c>
      <c r="J171" s="18">
        <v>40</v>
      </c>
      <c r="K171" s="18">
        <v>40</v>
      </c>
      <c r="L171" s="18">
        <v>40</v>
      </c>
      <c r="M171" s="19">
        <v>40</v>
      </c>
      <c r="N171" s="18">
        <v>38</v>
      </c>
    </row>
    <row r="172" spans="1:14" ht="11.1" customHeight="1" x14ac:dyDescent="0.25">
      <c r="A172" s="16"/>
      <c r="B172" s="17">
        <v>2021</v>
      </c>
      <c r="C172" s="18">
        <v>40</v>
      </c>
      <c r="D172" s="18">
        <v>40</v>
      </c>
      <c r="E172" s="18">
        <v>40</v>
      </c>
      <c r="F172" s="18">
        <v>40</v>
      </c>
      <c r="G172" s="18">
        <v>40</v>
      </c>
      <c r="H172" s="18">
        <v>45</v>
      </c>
      <c r="I172" s="18">
        <v>45</v>
      </c>
      <c r="J172" s="18">
        <v>45</v>
      </c>
      <c r="K172" s="18">
        <v>45</v>
      </c>
      <c r="L172" s="18">
        <v>45</v>
      </c>
      <c r="M172" s="19">
        <v>45</v>
      </c>
      <c r="N172" s="18">
        <v>40</v>
      </c>
    </row>
    <row r="173" spans="1:14" ht="11.1" customHeight="1" x14ac:dyDescent="0.25">
      <c r="A173" s="16"/>
      <c r="B173" s="17">
        <v>2022</v>
      </c>
      <c r="C173" s="18">
        <v>40</v>
      </c>
      <c r="D173" s="18">
        <v>45</v>
      </c>
      <c r="E173" s="18">
        <v>45</v>
      </c>
      <c r="F173" s="18">
        <v>40</v>
      </c>
      <c r="G173" s="18">
        <v>40</v>
      </c>
      <c r="H173" s="18">
        <v>45</v>
      </c>
      <c r="I173" s="18">
        <v>52.5</v>
      </c>
      <c r="J173" s="18">
        <v>52.5</v>
      </c>
      <c r="K173" s="18">
        <v>52.5</v>
      </c>
      <c r="L173" s="18">
        <v>53</v>
      </c>
      <c r="M173" s="19">
        <v>57.5</v>
      </c>
      <c r="N173" s="18">
        <v>57.5</v>
      </c>
    </row>
    <row r="174" spans="1:14" ht="11.1" customHeight="1" x14ac:dyDescent="0.25">
      <c r="A174" s="16"/>
      <c r="B174" s="17">
        <v>2023</v>
      </c>
      <c r="C174" s="18" t="s">
        <v>4</v>
      </c>
      <c r="D174" s="18" t="s">
        <v>4</v>
      </c>
      <c r="E174" s="18" t="s">
        <v>4</v>
      </c>
      <c r="F174" s="18">
        <v>67.5</v>
      </c>
      <c r="G174" s="18">
        <v>60</v>
      </c>
      <c r="H174" s="18">
        <v>57.5</v>
      </c>
      <c r="I174" s="18">
        <v>60</v>
      </c>
      <c r="J174" s="18">
        <v>62</v>
      </c>
      <c r="K174" s="18">
        <v>60</v>
      </c>
      <c r="L174" s="18">
        <v>60</v>
      </c>
      <c r="M174" s="18">
        <v>60</v>
      </c>
      <c r="N174" s="18">
        <v>60</v>
      </c>
    </row>
    <row r="175" spans="1:14" ht="11.1" customHeight="1" x14ac:dyDescent="0.25">
      <c r="A175" s="16"/>
      <c r="B175" s="17">
        <v>2024</v>
      </c>
      <c r="C175" s="18">
        <v>60</v>
      </c>
      <c r="D175" s="18">
        <v>60</v>
      </c>
      <c r="E175" s="18">
        <v>56</v>
      </c>
      <c r="F175" s="18">
        <v>80</v>
      </c>
      <c r="G175" s="18">
        <v>80</v>
      </c>
      <c r="H175" s="18">
        <v>55</v>
      </c>
      <c r="I175" s="18">
        <v>53</v>
      </c>
      <c r="J175" s="18">
        <v>65</v>
      </c>
      <c r="K175" s="18">
        <v>58</v>
      </c>
      <c r="L175" s="18">
        <v>59.944444444444443</v>
      </c>
      <c r="M175" s="18">
        <v>55.17</v>
      </c>
      <c r="N175" s="18">
        <v>55</v>
      </c>
    </row>
    <row r="176" spans="1:14" ht="11.1" customHeight="1" x14ac:dyDescent="0.25">
      <c r="A176" s="20"/>
      <c r="B176" s="21">
        <v>2025</v>
      </c>
      <c r="C176" s="22">
        <v>51</v>
      </c>
      <c r="D176" s="22">
        <v>54</v>
      </c>
      <c r="E176" s="22">
        <v>58</v>
      </c>
      <c r="F176" s="22">
        <v>52</v>
      </c>
      <c r="G176" s="22">
        <v>46</v>
      </c>
      <c r="H176" s="22">
        <v>55</v>
      </c>
      <c r="I176" s="22">
        <v>60</v>
      </c>
      <c r="J176" s="22">
        <v>55</v>
      </c>
      <c r="K176" s="22">
        <v>58</v>
      </c>
      <c r="L176" s="198"/>
      <c r="M176" s="198"/>
      <c r="N176" s="198"/>
    </row>
    <row r="177" spans="1:14" ht="11.1" customHeight="1" x14ac:dyDescent="0.25">
      <c r="A177" s="16" t="s">
        <v>87</v>
      </c>
      <c r="B177" s="17">
        <v>2018</v>
      </c>
      <c r="C177" s="18">
        <v>57</v>
      </c>
      <c r="D177" s="18">
        <v>57</v>
      </c>
      <c r="E177" s="18">
        <v>57</v>
      </c>
      <c r="F177" s="18">
        <v>57</v>
      </c>
      <c r="G177" s="18">
        <v>57</v>
      </c>
      <c r="H177" s="18">
        <v>57</v>
      </c>
      <c r="I177" s="18">
        <v>54</v>
      </c>
      <c r="J177" s="18">
        <v>54.5</v>
      </c>
      <c r="K177" s="18">
        <v>55</v>
      </c>
      <c r="L177" s="18">
        <v>55</v>
      </c>
      <c r="M177" s="19">
        <v>55</v>
      </c>
      <c r="N177" s="18">
        <v>55</v>
      </c>
    </row>
    <row r="178" spans="1:14" ht="11.1" customHeight="1" x14ac:dyDescent="0.25">
      <c r="A178" s="16"/>
      <c r="B178" s="17">
        <v>2019</v>
      </c>
      <c r="C178" s="18">
        <v>57.5</v>
      </c>
      <c r="D178" s="18">
        <v>56</v>
      </c>
      <c r="E178" s="18">
        <v>56</v>
      </c>
      <c r="F178" s="18">
        <v>56</v>
      </c>
      <c r="G178" s="18">
        <v>59</v>
      </c>
      <c r="H178" s="18">
        <v>58</v>
      </c>
      <c r="I178" s="18">
        <v>57.5</v>
      </c>
      <c r="J178" s="18">
        <v>57.5</v>
      </c>
      <c r="K178" s="18">
        <v>57.5</v>
      </c>
      <c r="L178" s="18">
        <v>57.5</v>
      </c>
      <c r="M178" s="19">
        <v>57.5</v>
      </c>
      <c r="N178" s="18">
        <v>57.5</v>
      </c>
    </row>
    <row r="179" spans="1:14" ht="11.1" customHeight="1" x14ac:dyDescent="0.25">
      <c r="A179" s="16"/>
      <c r="B179" s="17">
        <v>2020</v>
      </c>
      <c r="C179" s="18">
        <v>57.5</v>
      </c>
      <c r="D179" s="18">
        <v>57.5</v>
      </c>
      <c r="E179" s="18">
        <v>59</v>
      </c>
      <c r="F179" s="18">
        <v>56.5</v>
      </c>
      <c r="G179" s="18">
        <v>56.5</v>
      </c>
      <c r="H179" s="18">
        <v>56.5</v>
      </c>
      <c r="I179" s="18">
        <v>59</v>
      </c>
      <c r="J179" s="18">
        <v>57.5</v>
      </c>
      <c r="K179" s="18">
        <v>57.5</v>
      </c>
      <c r="L179" s="18">
        <v>59</v>
      </c>
      <c r="M179" s="19">
        <v>62.5</v>
      </c>
      <c r="N179" s="18">
        <v>57.5</v>
      </c>
    </row>
    <row r="180" spans="1:14" ht="11.1" customHeight="1" x14ac:dyDescent="0.25">
      <c r="A180" s="16"/>
      <c r="B180" s="17">
        <v>2021</v>
      </c>
      <c r="C180" s="18" t="s">
        <v>4</v>
      </c>
      <c r="D180" s="18" t="s">
        <v>4</v>
      </c>
      <c r="E180" s="18" t="s">
        <v>4</v>
      </c>
      <c r="F180" s="18" t="s">
        <v>4</v>
      </c>
      <c r="G180" s="18" t="s">
        <v>4</v>
      </c>
      <c r="H180" s="18" t="s">
        <v>4</v>
      </c>
      <c r="I180" s="18" t="s">
        <v>4</v>
      </c>
      <c r="J180" s="18" t="s">
        <v>4</v>
      </c>
      <c r="K180" s="18" t="s">
        <v>4</v>
      </c>
      <c r="L180" s="18" t="s">
        <v>4</v>
      </c>
      <c r="M180" s="19" t="s">
        <v>4</v>
      </c>
      <c r="N180" s="18" t="s">
        <v>4</v>
      </c>
    </row>
    <row r="181" spans="1:14" ht="11.1" customHeight="1" x14ac:dyDescent="0.25">
      <c r="A181" s="16"/>
      <c r="B181" s="17">
        <v>2022</v>
      </c>
      <c r="C181" s="18">
        <v>63</v>
      </c>
      <c r="D181" s="18">
        <v>60</v>
      </c>
      <c r="E181" s="18">
        <v>60</v>
      </c>
      <c r="F181" s="18">
        <v>70</v>
      </c>
      <c r="G181" s="18">
        <v>70</v>
      </c>
      <c r="H181" s="18">
        <v>70</v>
      </c>
      <c r="I181" s="18">
        <v>70</v>
      </c>
      <c r="J181" s="18">
        <v>70</v>
      </c>
      <c r="K181" s="18">
        <v>70</v>
      </c>
      <c r="L181" s="18">
        <v>70</v>
      </c>
      <c r="M181" s="19">
        <v>75</v>
      </c>
      <c r="N181" s="18">
        <v>80</v>
      </c>
    </row>
    <row r="182" spans="1:14" ht="11.1" customHeight="1" x14ac:dyDescent="0.25">
      <c r="A182" s="16"/>
      <c r="B182" s="17">
        <v>2023</v>
      </c>
      <c r="C182" s="18">
        <v>80</v>
      </c>
      <c r="D182" s="18">
        <v>80</v>
      </c>
      <c r="E182" s="18">
        <v>82</v>
      </c>
      <c r="F182" s="18">
        <v>82</v>
      </c>
      <c r="G182" s="18">
        <v>83</v>
      </c>
      <c r="H182" s="18">
        <v>83</v>
      </c>
      <c r="I182" s="18">
        <v>85</v>
      </c>
      <c r="J182" s="18">
        <v>79</v>
      </c>
      <c r="K182" s="18">
        <v>78</v>
      </c>
      <c r="L182" s="18">
        <v>80</v>
      </c>
      <c r="M182" s="18">
        <v>80</v>
      </c>
      <c r="N182" s="18">
        <v>80</v>
      </c>
    </row>
    <row r="183" spans="1:14" ht="11.1" customHeight="1" x14ac:dyDescent="0.25">
      <c r="A183" s="16"/>
      <c r="B183" s="17">
        <v>2024</v>
      </c>
      <c r="C183" s="18">
        <v>80</v>
      </c>
      <c r="D183" s="18">
        <v>80</v>
      </c>
      <c r="E183" s="18">
        <v>80</v>
      </c>
      <c r="F183" s="18">
        <v>80</v>
      </c>
      <c r="G183" s="18">
        <v>80</v>
      </c>
      <c r="H183" s="18">
        <v>80</v>
      </c>
      <c r="I183" s="18">
        <v>80</v>
      </c>
      <c r="J183" s="18">
        <v>80</v>
      </c>
      <c r="K183" s="18">
        <v>81</v>
      </c>
      <c r="L183" s="18">
        <v>80.625</v>
      </c>
      <c r="M183" s="18">
        <v>80</v>
      </c>
      <c r="N183" s="18">
        <v>80</v>
      </c>
    </row>
    <row r="184" spans="1:14" ht="11.1" customHeight="1" x14ac:dyDescent="0.25">
      <c r="A184" s="20"/>
      <c r="B184" s="21">
        <v>2025</v>
      </c>
      <c r="C184" s="22">
        <v>78</v>
      </c>
      <c r="D184" s="22">
        <v>79</v>
      </c>
      <c r="E184" s="22">
        <v>80</v>
      </c>
      <c r="F184" s="22">
        <v>80</v>
      </c>
      <c r="G184" s="22">
        <v>80</v>
      </c>
      <c r="H184" s="22">
        <v>78</v>
      </c>
      <c r="I184" s="22">
        <v>72</v>
      </c>
      <c r="J184" s="22">
        <v>84</v>
      </c>
      <c r="K184" s="22">
        <v>77.5</v>
      </c>
    </row>
    <row r="185" spans="1:14" ht="11.1" customHeight="1" x14ac:dyDescent="0.25">
      <c r="A185" s="30" t="s">
        <v>70</v>
      </c>
      <c r="B185" s="24">
        <v>2018</v>
      </c>
      <c r="C185" s="25">
        <v>42.5</v>
      </c>
      <c r="D185" s="25">
        <v>42.5</v>
      </c>
      <c r="E185" s="25">
        <v>42</v>
      </c>
      <c r="F185" s="25">
        <v>42.5</v>
      </c>
      <c r="G185" s="25">
        <v>42.5</v>
      </c>
      <c r="H185" s="25">
        <v>42.5</v>
      </c>
      <c r="I185" s="25">
        <v>42.5</v>
      </c>
      <c r="J185" s="25">
        <v>42.5</v>
      </c>
      <c r="K185" s="25">
        <v>42.5</v>
      </c>
      <c r="L185" s="25">
        <v>43.5</v>
      </c>
      <c r="M185" s="26">
        <v>43.5</v>
      </c>
      <c r="N185" s="25">
        <v>43.5</v>
      </c>
    </row>
    <row r="186" spans="1:14" ht="11.1" customHeight="1" x14ac:dyDescent="0.25">
      <c r="A186" s="16"/>
      <c r="B186" s="17">
        <v>2019</v>
      </c>
      <c r="C186" s="18">
        <v>43</v>
      </c>
      <c r="D186" s="18">
        <v>42.5</v>
      </c>
      <c r="E186" s="18">
        <v>43.4</v>
      </c>
      <c r="F186" s="18">
        <v>43.4</v>
      </c>
      <c r="G186" s="18">
        <v>42.5</v>
      </c>
      <c r="H186" s="18">
        <v>44.5</v>
      </c>
      <c r="I186" s="18">
        <v>43.5</v>
      </c>
      <c r="J186" s="18">
        <v>42.5</v>
      </c>
      <c r="K186" s="18">
        <v>43</v>
      </c>
      <c r="L186" s="18">
        <v>45</v>
      </c>
      <c r="M186" s="19">
        <v>45</v>
      </c>
      <c r="N186" s="18">
        <v>45</v>
      </c>
    </row>
    <row r="187" spans="1:14" ht="11.1" customHeight="1" x14ac:dyDescent="0.25">
      <c r="A187" s="16"/>
      <c r="B187" s="17">
        <v>2020</v>
      </c>
      <c r="C187" s="18">
        <v>45</v>
      </c>
      <c r="D187" s="18">
        <v>45</v>
      </c>
      <c r="E187" s="18">
        <v>45</v>
      </c>
      <c r="F187" s="18">
        <v>45</v>
      </c>
      <c r="G187" s="18">
        <v>45</v>
      </c>
      <c r="H187" s="18">
        <v>50</v>
      </c>
      <c r="I187" s="18">
        <v>45</v>
      </c>
      <c r="J187" s="18">
        <v>45</v>
      </c>
      <c r="K187" s="18">
        <v>45</v>
      </c>
      <c r="L187" s="18">
        <v>45</v>
      </c>
      <c r="M187" s="19">
        <v>45</v>
      </c>
      <c r="N187" s="18">
        <v>45</v>
      </c>
    </row>
    <row r="188" spans="1:14" ht="11.1" customHeight="1" x14ac:dyDescent="0.25">
      <c r="A188" s="16"/>
      <c r="B188" s="17">
        <v>2021</v>
      </c>
      <c r="C188" s="18">
        <v>45</v>
      </c>
      <c r="D188" s="18">
        <v>45</v>
      </c>
      <c r="E188" s="18">
        <v>45</v>
      </c>
      <c r="F188" s="18">
        <v>50</v>
      </c>
      <c r="G188" s="18">
        <v>45</v>
      </c>
      <c r="H188" s="18">
        <v>47.5</v>
      </c>
      <c r="I188" s="18">
        <v>45</v>
      </c>
      <c r="J188" s="18">
        <v>45</v>
      </c>
      <c r="K188" s="18">
        <v>45</v>
      </c>
      <c r="L188" s="18">
        <v>45</v>
      </c>
      <c r="M188" s="19">
        <v>50</v>
      </c>
      <c r="N188" s="18">
        <v>50</v>
      </c>
    </row>
    <row r="189" spans="1:14" ht="11.1" customHeight="1" x14ac:dyDescent="0.25">
      <c r="A189" s="16"/>
      <c r="B189" s="17">
        <v>2022</v>
      </c>
      <c r="C189" s="18">
        <v>50</v>
      </c>
      <c r="D189" s="18">
        <v>60</v>
      </c>
      <c r="E189" s="18">
        <v>50</v>
      </c>
      <c r="F189" s="18">
        <v>62.5</v>
      </c>
      <c r="G189" s="18">
        <v>62.5</v>
      </c>
      <c r="H189" s="18">
        <v>65</v>
      </c>
      <c r="I189" s="18">
        <v>65</v>
      </c>
      <c r="J189" s="18">
        <v>65</v>
      </c>
      <c r="K189" s="18">
        <v>65</v>
      </c>
      <c r="L189" s="18">
        <v>65</v>
      </c>
      <c r="M189" s="19">
        <v>65</v>
      </c>
      <c r="N189" s="18">
        <v>65</v>
      </c>
    </row>
    <row r="190" spans="1:14" ht="11.1" customHeight="1" x14ac:dyDescent="0.25">
      <c r="A190" s="16"/>
      <c r="B190" s="17">
        <v>2023</v>
      </c>
      <c r="C190" s="18">
        <v>65</v>
      </c>
      <c r="D190" s="18">
        <v>65</v>
      </c>
      <c r="E190" s="18">
        <v>65</v>
      </c>
      <c r="F190" s="18">
        <v>65</v>
      </c>
      <c r="G190" s="18">
        <v>65</v>
      </c>
      <c r="H190" s="18">
        <v>65</v>
      </c>
      <c r="I190" s="18">
        <v>65</v>
      </c>
      <c r="J190" s="18">
        <v>65</v>
      </c>
      <c r="K190" s="18">
        <v>65</v>
      </c>
      <c r="L190" s="18">
        <v>65</v>
      </c>
      <c r="M190" s="18">
        <v>65</v>
      </c>
      <c r="N190" s="18">
        <v>65</v>
      </c>
    </row>
    <row r="191" spans="1:14" ht="11.1" customHeight="1" x14ac:dyDescent="0.25">
      <c r="A191" s="16"/>
      <c r="B191" s="17">
        <v>2024</v>
      </c>
      <c r="C191" s="18">
        <v>65</v>
      </c>
      <c r="D191" s="18">
        <v>65</v>
      </c>
      <c r="E191" s="18">
        <v>68</v>
      </c>
      <c r="F191" s="18">
        <v>65</v>
      </c>
      <c r="G191" s="18">
        <v>65</v>
      </c>
      <c r="H191" s="18">
        <v>65</v>
      </c>
      <c r="I191" s="18">
        <v>65</v>
      </c>
      <c r="J191" s="18">
        <v>65</v>
      </c>
      <c r="K191" s="18">
        <v>62</v>
      </c>
      <c r="L191" s="18">
        <v>80</v>
      </c>
      <c r="M191" s="19" t="s">
        <v>4</v>
      </c>
      <c r="N191" s="19" t="s">
        <v>4</v>
      </c>
    </row>
    <row r="192" spans="1:14" ht="11.1" customHeight="1" x14ac:dyDescent="0.25">
      <c r="A192" s="20"/>
      <c r="B192" s="21">
        <v>2025</v>
      </c>
      <c r="C192" s="22">
        <v>57</v>
      </c>
      <c r="D192" s="22">
        <v>57</v>
      </c>
      <c r="E192" s="22">
        <v>58</v>
      </c>
      <c r="F192" s="22">
        <v>57</v>
      </c>
      <c r="G192" s="22">
        <v>57</v>
      </c>
      <c r="H192" s="22">
        <v>53</v>
      </c>
      <c r="I192" s="22">
        <v>55</v>
      </c>
      <c r="J192" s="22">
        <v>55</v>
      </c>
      <c r="K192" s="22">
        <v>55</v>
      </c>
      <c r="L192" s="198"/>
      <c r="M192" s="198"/>
      <c r="N192" s="198"/>
    </row>
    <row r="193" spans="1:15" ht="11.1" customHeight="1" x14ac:dyDescent="0.25">
      <c r="A193" s="16" t="s">
        <v>74</v>
      </c>
      <c r="B193" s="17">
        <v>2018</v>
      </c>
      <c r="C193" s="18">
        <v>30</v>
      </c>
      <c r="D193" s="18">
        <v>30</v>
      </c>
      <c r="E193" s="18">
        <v>30</v>
      </c>
      <c r="F193" s="18">
        <v>30</v>
      </c>
      <c r="G193" s="18">
        <v>30.5</v>
      </c>
      <c r="H193" s="18">
        <v>31</v>
      </c>
      <c r="I193" s="18">
        <v>31</v>
      </c>
      <c r="J193" s="18">
        <v>31</v>
      </c>
      <c r="K193" s="18">
        <v>31</v>
      </c>
      <c r="L193" s="18">
        <v>31</v>
      </c>
      <c r="M193" s="19">
        <v>31</v>
      </c>
      <c r="N193" s="18">
        <v>32</v>
      </c>
    </row>
    <row r="194" spans="1:15" ht="11.1" customHeight="1" x14ac:dyDescent="0.25">
      <c r="A194" s="16"/>
      <c r="B194" s="17">
        <v>2019</v>
      </c>
      <c r="C194" s="18">
        <v>35</v>
      </c>
      <c r="D194" s="18">
        <v>35</v>
      </c>
      <c r="E194" s="18">
        <v>35</v>
      </c>
      <c r="F194" s="18">
        <v>35</v>
      </c>
      <c r="G194" s="18">
        <v>35</v>
      </c>
      <c r="H194" s="18">
        <v>30</v>
      </c>
      <c r="I194" s="18">
        <v>36.5</v>
      </c>
      <c r="J194" s="18">
        <v>37.5</v>
      </c>
      <c r="K194" s="18">
        <v>33</v>
      </c>
      <c r="L194" s="18">
        <v>32.5</v>
      </c>
      <c r="M194" s="19">
        <v>35</v>
      </c>
      <c r="N194" s="18">
        <v>32.5</v>
      </c>
    </row>
    <row r="195" spans="1:15" ht="11.1" customHeight="1" x14ac:dyDescent="0.25">
      <c r="A195" s="38"/>
      <c r="B195" s="17">
        <v>2020</v>
      </c>
      <c r="C195" s="18">
        <v>42.5</v>
      </c>
      <c r="D195" s="18" t="s">
        <v>4</v>
      </c>
      <c r="E195" s="18" t="s">
        <v>4</v>
      </c>
      <c r="F195" s="18" t="s">
        <v>4</v>
      </c>
      <c r="G195" s="18" t="s">
        <v>4</v>
      </c>
      <c r="H195" s="18" t="s">
        <v>4</v>
      </c>
      <c r="I195" s="18" t="s">
        <v>4</v>
      </c>
      <c r="J195" s="18" t="s">
        <v>4</v>
      </c>
      <c r="K195" s="18" t="s">
        <v>4</v>
      </c>
      <c r="L195" s="18" t="s">
        <v>4</v>
      </c>
      <c r="M195" s="19" t="s">
        <v>4</v>
      </c>
      <c r="N195" s="18" t="s">
        <v>4</v>
      </c>
    </row>
    <row r="196" spans="1:15" ht="11.1" customHeight="1" x14ac:dyDescent="0.25">
      <c r="A196" s="38"/>
      <c r="B196" s="17">
        <v>2021</v>
      </c>
      <c r="C196" s="18" t="s">
        <v>4</v>
      </c>
      <c r="D196" s="18">
        <v>37.5</v>
      </c>
      <c r="E196" s="18" t="s">
        <v>4</v>
      </c>
      <c r="F196" s="18">
        <v>37.5</v>
      </c>
      <c r="G196" s="18">
        <v>37.5</v>
      </c>
      <c r="H196" s="18">
        <v>40</v>
      </c>
      <c r="I196" s="18">
        <v>42.5</v>
      </c>
      <c r="J196" s="18">
        <v>42.5</v>
      </c>
      <c r="K196" s="18">
        <v>42.5</v>
      </c>
      <c r="L196" s="18">
        <v>45</v>
      </c>
      <c r="M196" s="19">
        <v>47.5</v>
      </c>
      <c r="N196" s="18">
        <v>47.5</v>
      </c>
    </row>
    <row r="197" spans="1:15" ht="11.1" customHeight="1" x14ac:dyDescent="0.25">
      <c r="A197" s="38"/>
      <c r="B197" s="17">
        <v>2022</v>
      </c>
      <c r="C197" s="18">
        <v>48</v>
      </c>
      <c r="D197" s="18">
        <v>48</v>
      </c>
      <c r="E197" s="18">
        <v>62</v>
      </c>
      <c r="F197" s="18">
        <v>57</v>
      </c>
      <c r="G197" s="18">
        <v>62.5</v>
      </c>
      <c r="H197" s="18">
        <v>42.5</v>
      </c>
      <c r="I197" s="18">
        <v>42.5</v>
      </c>
      <c r="J197" s="18">
        <v>47</v>
      </c>
      <c r="K197" s="18">
        <v>48</v>
      </c>
      <c r="L197" s="18">
        <v>48</v>
      </c>
      <c r="M197" s="19">
        <v>48</v>
      </c>
      <c r="N197" s="18">
        <v>52</v>
      </c>
    </row>
    <row r="198" spans="1:15" ht="11.1" customHeight="1" x14ac:dyDescent="0.25">
      <c r="A198" s="38"/>
      <c r="B198" s="17">
        <v>2023</v>
      </c>
      <c r="C198" s="18">
        <v>50</v>
      </c>
      <c r="D198" s="18">
        <v>50</v>
      </c>
      <c r="E198" s="18">
        <v>55</v>
      </c>
      <c r="F198" s="18">
        <v>62.5</v>
      </c>
      <c r="G198" s="18">
        <v>55</v>
      </c>
      <c r="H198" s="18">
        <v>55</v>
      </c>
      <c r="I198" s="18">
        <v>55</v>
      </c>
      <c r="J198" s="18">
        <v>53</v>
      </c>
      <c r="K198" s="18">
        <v>53</v>
      </c>
      <c r="L198" s="18">
        <v>53</v>
      </c>
      <c r="M198" s="18">
        <v>53</v>
      </c>
      <c r="N198" s="18">
        <v>53</v>
      </c>
    </row>
    <row r="199" spans="1:15" ht="11.1" customHeight="1" x14ac:dyDescent="0.25">
      <c r="A199" s="38"/>
      <c r="B199" s="17">
        <v>2024</v>
      </c>
      <c r="C199" s="18">
        <v>60</v>
      </c>
      <c r="D199" s="18">
        <v>53</v>
      </c>
      <c r="E199" s="18">
        <v>53</v>
      </c>
      <c r="F199" s="18">
        <v>55</v>
      </c>
      <c r="G199" s="18">
        <v>55</v>
      </c>
      <c r="H199" s="18">
        <v>55</v>
      </c>
      <c r="I199" s="18">
        <v>64</v>
      </c>
      <c r="J199" s="18">
        <v>58</v>
      </c>
      <c r="K199" s="18">
        <v>56</v>
      </c>
      <c r="L199" s="18">
        <v>50</v>
      </c>
      <c r="M199" s="18">
        <v>52.5</v>
      </c>
      <c r="N199" s="19" t="s">
        <v>4</v>
      </c>
      <c r="O199" s="199"/>
    </row>
    <row r="200" spans="1:15" ht="11.1" customHeight="1" x14ac:dyDescent="0.25">
      <c r="A200" s="39"/>
      <c r="B200" s="21">
        <v>2025</v>
      </c>
      <c r="C200" s="22">
        <v>50</v>
      </c>
      <c r="D200" s="22">
        <v>50</v>
      </c>
      <c r="E200" s="22">
        <v>50</v>
      </c>
      <c r="F200" s="22">
        <v>50</v>
      </c>
      <c r="G200" s="22">
        <v>50</v>
      </c>
      <c r="H200" s="22">
        <v>50</v>
      </c>
      <c r="I200" s="22">
        <v>50</v>
      </c>
      <c r="J200" s="22">
        <v>50</v>
      </c>
      <c r="K200" s="22">
        <v>50</v>
      </c>
    </row>
    <row r="201" spans="1:15" ht="9" customHeight="1" x14ac:dyDescent="0.25">
      <c r="A201" s="9" t="s">
        <v>84</v>
      </c>
      <c r="B201" s="40"/>
      <c r="C201" s="40"/>
      <c r="D201" s="40"/>
      <c r="E201" s="40"/>
      <c r="F201" s="40"/>
      <c r="G201" s="40"/>
      <c r="H201" s="41"/>
      <c r="I201" s="42"/>
      <c r="J201" s="41"/>
      <c r="K201" s="41"/>
      <c r="L201" s="41"/>
      <c r="M201" s="41"/>
      <c r="N201" s="41"/>
    </row>
    <row r="202" spans="1:15" ht="9" customHeight="1" x14ac:dyDescent="0.25">
      <c r="A202" s="43" t="s">
        <v>65</v>
      </c>
      <c r="B202" s="43"/>
      <c r="C202" s="43"/>
      <c r="D202" s="43"/>
      <c r="E202" s="43"/>
      <c r="F202" s="43"/>
      <c r="G202" s="43"/>
      <c r="H202" s="13"/>
      <c r="I202" s="44"/>
      <c r="J202" s="13"/>
      <c r="K202" s="13"/>
      <c r="L202" s="13"/>
      <c r="M202" s="13"/>
      <c r="N202" s="13"/>
    </row>
    <row r="203" spans="1:15" ht="9" customHeight="1" x14ac:dyDescent="0.2">
      <c r="A203" s="45" t="s">
        <v>66</v>
      </c>
      <c r="B203" s="45"/>
      <c r="C203" s="45"/>
      <c r="D203" s="45"/>
      <c r="E203" s="45"/>
      <c r="F203" s="45"/>
      <c r="G203" s="45"/>
      <c r="H203" s="11"/>
      <c r="I203" s="11"/>
      <c r="J203" s="11"/>
      <c r="K203" s="11"/>
      <c r="L203" s="11"/>
      <c r="M203" s="11"/>
      <c r="N203" s="11"/>
    </row>
    <row r="204" spans="1:15" ht="9" customHeight="1" x14ac:dyDescent="0.2">
      <c r="A204" s="45" t="s">
        <v>118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</row>
  </sheetData>
  <mergeCells count="4">
    <mergeCell ref="A1:N1"/>
    <mergeCell ref="A2:N2"/>
    <mergeCell ref="A66:F66"/>
    <mergeCell ref="A134:F134"/>
  </mergeCells>
  <pageMargins left="0.27559055118110237" right="0.27559055118110237" top="0.39370078740157483" bottom="0.39370078740157483" header="0" footer="0"/>
  <pageSetup paperSize="9" orientation="portrait" horizontalDpi="0" verticalDpi="0"/>
  <rowBreaks count="1" manualBreakCount="1">
    <brk id="65" max="14" man="1"/>
  </rowBreaks>
  <ignoredErrors>
    <ignoredError sqref="L112 N112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3"/>
  <dimension ref="A1:O83"/>
  <sheetViews>
    <sheetView showGridLines="0" zoomScaleNormal="100" workbookViewId="0">
      <selection activeCell="L27" sqref="L27"/>
    </sheetView>
  </sheetViews>
  <sheetFormatPr baseColWidth="10" defaultColWidth="11.42578125" defaultRowHeight="12.75" x14ac:dyDescent="0.2"/>
  <cols>
    <col min="1" max="1" width="16" style="116" customWidth="1"/>
    <col min="2" max="4" width="5.7109375" style="116" customWidth="1"/>
    <col min="5" max="5" width="1.85546875" style="116" customWidth="1"/>
    <col min="6" max="6" width="16" style="116" customWidth="1"/>
    <col min="7" max="9" width="5.7109375" style="116" customWidth="1"/>
    <col min="10" max="10" width="1.85546875" style="116" customWidth="1"/>
    <col min="11" max="11" width="16" style="116" customWidth="1"/>
    <col min="12" max="14" width="5.7109375" style="116" customWidth="1"/>
    <col min="15" max="16384" width="11.42578125" style="116"/>
  </cols>
  <sheetData>
    <row r="1" spans="1:15" ht="13.5" x14ac:dyDescent="0.25">
      <c r="A1" s="46" t="s">
        <v>559</v>
      </c>
      <c r="B1" s="13"/>
      <c r="C1" s="13"/>
      <c r="D1" s="47"/>
      <c r="E1" s="47"/>
      <c r="F1" s="13"/>
      <c r="G1" s="13"/>
      <c r="H1" s="13"/>
      <c r="I1" s="13"/>
      <c r="J1" s="13"/>
      <c r="K1" s="13"/>
      <c r="L1" s="13"/>
      <c r="M1" s="13"/>
      <c r="N1" s="7"/>
      <c r="O1" s="47"/>
    </row>
    <row r="2" spans="1:15" ht="13.5" x14ac:dyDescent="0.25">
      <c r="A2" s="48" t="s">
        <v>119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7"/>
      <c r="O2" s="13"/>
    </row>
    <row r="3" spans="1:15" ht="5.0999999999999996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7"/>
      <c r="O3" s="13"/>
    </row>
    <row r="4" spans="1:15" x14ac:dyDescent="0.2">
      <c r="A4" s="733" t="s">
        <v>120</v>
      </c>
      <c r="B4" s="730" t="s">
        <v>594</v>
      </c>
      <c r="C4" s="731"/>
      <c r="D4" s="732"/>
      <c r="E4" s="49"/>
      <c r="F4" s="733" t="s">
        <v>120</v>
      </c>
      <c r="G4" s="730" t="s">
        <v>594</v>
      </c>
      <c r="H4" s="731"/>
      <c r="I4" s="732"/>
      <c r="J4" s="49"/>
      <c r="K4" s="733" t="s">
        <v>120</v>
      </c>
      <c r="L4" s="730" t="s">
        <v>594</v>
      </c>
      <c r="M4" s="731"/>
      <c r="N4" s="732"/>
      <c r="O4" s="8"/>
    </row>
    <row r="5" spans="1:15" x14ac:dyDescent="0.2">
      <c r="A5" s="734"/>
      <c r="B5" s="214">
        <v>2024</v>
      </c>
      <c r="C5" s="214">
        <v>2025</v>
      </c>
      <c r="D5" s="214" t="s">
        <v>1</v>
      </c>
      <c r="E5" s="49"/>
      <c r="F5" s="734"/>
      <c r="G5" s="214">
        <v>2024</v>
      </c>
      <c r="H5" s="214">
        <v>2025</v>
      </c>
      <c r="I5" s="214" t="s">
        <v>1</v>
      </c>
      <c r="J5" s="49"/>
      <c r="K5" s="734"/>
      <c r="L5" s="214">
        <v>2024</v>
      </c>
      <c r="M5" s="214">
        <v>2025</v>
      </c>
      <c r="N5" s="214" t="s">
        <v>1</v>
      </c>
      <c r="O5" s="8"/>
    </row>
    <row r="6" spans="1:15" ht="3" customHeight="1" x14ac:dyDescent="0.2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</row>
    <row r="7" spans="1:15" ht="12" customHeight="1" x14ac:dyDescent="0.2">
      <c r="A7" s="221" t="s">
        <v>466</v>
      </c>
      <c r="B7" s="50"/>
      <c r="C7" s="50"/>
      <c r="D7" s="53"/>
      <c r="E7" s="49"/>
      <c r="F7" s="221" t="s">
        <v>16</v>
      </c>
      <c r="G7" s="199"/>
      <c r="H7" s="199"/>
      <c r="I7" s="199"/>
      <c r="J7" s="49"/>
      <c r="K7" s="221" t="s">
        <v>73</v>
      </c>
      <c r="L7" s="50"/>
      <c r="M7" s="50"/>
      <c r="N7" s="53"/>
      <c r="O7" s="49"/>
    </row>
    <row r="8" spans="1:15" ht="12" customHeight="1" x14ac:dyDescent="0.2">
      <c r="A8" s="63" t="s">
        <v>474</v>
      </c>
      <c r="B8" s="52" t="s">
        <v>121</v>
      </c>
      <c r="C8" s="52">
        <v>50</v>
      </c>
      <c r="D8" s="180" t="s">
        <v>4</v>
      </c>
      <c r="E8" s="49"/>
      <c r="F8" s="63" t="s">
        <v>17</v>
      </c>
      <c r="G8" s="52">
        <v>50</v>
      </c>
      <c r="H8" s="52">
        <v>50</v>
      </c>
      <c r="I8" s="180">
        <f t="shared" ref="I8:I16" si="0">((H8/G8)-    1)*100</f>
        <v>0</v>
      </c>
      <c r="K8" s="476" t="s">
        <v>463</v>
      </c>
      <c r="L8" s="54" t="s">
        <v>121</v>
      </c>
      <c r="M8" s="68">
        <v>30</v>
      </c>
      <c r="N8" s="181" t="s">
        <v>4</v>
      </c>
      <c r="O8" s="49"/>
    </row>
    <row r="9" spans="1:15" ht="12" customHeight="1" x14ac:dyDescent="0.2">
      <c r="A9" s="473" t="s">
        <v>469</v>
      </c>
      <c r="B9" s="54">
        <v>55</v>
      </c>
      <c r="C9" s="54">
        <v>46</v>
      </c>
      <c r="D9" s="181">
        <f t="shared" ref="D9" si="1">((C9/B9)-    1)*100</f>
        <v>-16.36363636363637</v>
      </c>
      <c r="E9" s="49"/>
      <c r="F9" s="63" t="s">
        <v>18</v>
      </c>
      <c r="G9" s="52">
        <v>45</v>
      </c>
      <c r="H9" s="52">
        <v>48.5</v>
      </c>
      <c r="I9" s="180">
        <f t="shared" si="0"/>
        <v>7.7777777777777724</v>
      </c>
      <c r="J9" s="49"/>
      <c r="K9" s="492" t="s">
        <v>518</v>
      </c>
      <c r="L9" s="493"/>
      <c r="M9" s="493"/>
      <c r="N9" s="53"/>
      <c r="O9" s="49"/>
    </row>
    <row r="10" spans="1:15" ht="12" customHeight="1" x14ac:dyDescent="0.2">
      <c r="A10" s="222" t="s">
        <v>75</v>
      </c>
      <c r="B10" s="55"/>
      <c r="C10" s="55"/>
      <c r="D10" s="56"/>
      <c r="E10" s="49"/>
      <c r="F10" s="63" t="s">
        <v>60</v>
      </c>
      <c r="G10" s="52">
        <v>42.5</v>
      </c>
      <c r="H10" s="52">
        <v>39</v>
      </c>
      <c r="I10" s="180">
        <f t="shared" si="0"/>
        <v>-8.2352941176470633</v>
      </c>
      <c r="J10" s="49"/>
      <c r="K10" s="490" t="s">
        <v>519</v>
      </c>
      <c r="L10" s="491">
        <v>77.5</v>
      </c>
      <c r="M10" s="491">
        <v>100</v>
      </c>
      <c r="N10" s="181">
        <f>((M10/L10)-    1)*100</f>
        <v>29.032258064516125</v>
      </c>
      <c r="O10" s="49"/>
    </row>
    <row r="11" spans="1:15" ht="12" customHeight="1" x14ac:dyDescent="0.2">
      <c r="A11" s="63" t="s">
        <v>151</v>
      </c>
      <c r="B11" s="52" t="s">
        <v>121</v>
      </c>
      <c r="C11" s="246">
        <v>85</v>
      </c>
      <c r="D11" s="180" t="s">
        <v>4</v>
      </c>
      <c r="E11" s="49"/>
      <c r="F11" s="63" t="s">
        <v>77</v>
      </c>
      <c r="G11" s="52">
        <v>45</v>
      </c>
      <c r="H11" s="52">
        <v>40</v>
      </c>
      <c r="I11" s="180">
        <f t="shared" si="0"/>
        <v>-11.111111111111116</v>
      </c>
      <c r="J11" s="49"/>
      <c r="K11" s="492" t="s">
        <v>190</v>
      </c>
      <c r="L11" s="493"/>
      <c r="M11" s="493"/>
      <c r="N11" s="53"/>
      <c r="O11" s="49"/>
    </row>
    <row r="12" spans="1:15" ht="12" customHeight="1" x14ac:dyDescent="0.2">
      <c r="A12" s="63" t="s">
        <v>490</v>
      </c>
      <c r="B12" s="52" t="s">
        <v>121</v>
      </c>
      <c r="C12" s="246">
        <v>85</v>
      </c>
      <c r="D12" s="180" t="s">
        <v>4</v>
      </c>
      <c r="E12" s="49"/>
      <c r="F12" s="63" t="s">
        <v>19</v>
      </c>
      <c r="G12" s="52">
        <v>70</v>
      </c>
      <c r="H12" s="52">
        <v>46</v>
      </c>
      <c r="I12" s="180">
        <f t="shared" si="0"/>
        <v>-34.285714285714285</v>
      </c>
      <c r="J12" s="49"/>
      <c r="K12" s="487" t="s">
        <v>191</v>
      </c>
      <c r="L12" s="246" t="s">
        <v>121</v>
      </c>
      <c r="M12" s="488">
        <v>80</v>
      </c>
      <c r="N12" s="180" t="s">
        <v>4</v>
      </c>
      <c r="O12" s="49"/>
    </row>
    <row r="13" spans="1:15" ht="12" customHeight="1" x14ac:dyDescent="0.2">
      <c r="A13" s="63" t="s">
        <v>152</v>
      </c>
      <c r="B13" s="52" t="s">
        <v>121</v>
      </c>
      <c r="C13" s="246">
        <v>85</v>
      </c>
      <c r="D13" s="180" t="s">
        <v>4</v>
      </c>
      <c r="E13" s="49"/>
      <c r="F13" s="63" t="s">
        <v>122</v>
      </c>
      <c r="G13" s="52">
        <v>47.5</v>
      </c>
      <c r="H13" s="52">
        <v>48</v>
      </c>
      <c r="I13" s="180">
        <f t="shared" si="0"/>
        <v>1.0526315789473717</v>
      </c>
      <c r="J13" s="49"/>
      <c r="K13" s="489" t="s">
        <v>192</v>
      </c>
      <c r="L13" s="488">
        <v>78.75</v>
      </c>
      <c r="M13" s="488">
        <v>85</v>
      </c>
      <c r="N13" s="180">
        <f>((M13/L13)-    1)*100</f>
        <v>7.9365079365079305</v>
      </c>
      <c r="O13" s="49"/>
    </row>
    <row r="14" spans="1:15" ht="12" customHeight="1" x14ac:dyDescent="0.2">
      <c r="A14" s="63" t="s">
        <v>154</v>
      </c>
      <c r="B14" s="52" t="s">
        <v>121</v>
      </c>
      <c r="C14" s="246">
        <v>95</v>
      </c>
      <c r="D14" s="180" t="s">
        <v>4</v>
      </c>
      <c r="E14" s="49"/>
      <c r="F14" s="63" t="s">
        <v>20</v>
      </c>
      <c r="G14" s="52">
        <v>52.5</v>
      </c>
      <c r="H14" s="52">
        <v>47</v>
      </c>
      <c r="I14" s="180">
        <f t="shared" si="0"/>
        <v>-10.476190476190473</v>
      </c>
      <c r="J14" s="49"/>
      <c r="K14" s="487" t="s">
        <v>201</v>
      </c>
      <c r="L14" s="246" t="s">
        <v>121</v>
      </c>
      <c r="M14" s="488">
        <v>85</v>
      </c>
      <c r="N14" s="180" t="s">
        <v>4</v>
      </c>
      <c r="O14" s="49"/>
    </row>
    <row r="15" spans="1:15" ht="12" customHeight="1" x14ac:dyDescent="0.2">
      <c r="A15" s="63" t="s">
        <v>155</v>
      </c>
      <c r="B15" s="52" t="s">
        <v>121</v>
      </c>
      <c r="C15" s="246">
        <v>85</v>
      </c>
      <c r="D15" s="180" t="s">
        <v>4</v>
      </c>
      <c r="E15" s="49"/>
      <c r="F15" s="63" t="s">
        <v>21</v>
      </c>
      <c r="G15" s="52">
        <v>45</v>
      </c>
      <c r="H15" s="52">
        <v>46</v>
      </c>
      <c r="I15" s="180">
        <f t="shared" si="0"/>
        <v>2.2222222222222143</v>
      </c>
      <c r="J15" s="49"/>
      <c r="K15" s="494" t="s">
        <v>193</v>
      </c>
      <c r="L15" s="491">
        <v>92.5</v>
      </c>
      <c r="M15" s="491">
        <v>120</v>
      </c>
      <c r="N15" s="181">
        <f>((M15/L15)-    1)*100</f>
        <v>29.729729729729737</v>
      </c>
      <c r="O15" s="49"/>
    </row>
    <row r="16" spans="1:15" ht="12" customHeight="1" x14ac:dyDescent="0.2">
      <c r="A16" s="63" t="s">
        <v>184</v>
      </c>
      <c r="B16" s="52" t="s">
        <v>121</v>
      </c>
      <c r="C16" s="246">
        <v>85</v>
      </c>
      <c r="D16" s="180" t="s">
        <v>4</v>
      </c>
      <c r="E16" s="49"/>
      <c r="F16" s="63" t="s">
        <v>22</v>
      </c>
      <c r="G16" s="52">
        <v>55</v>
      </c>
      <c r="H16" s="52">
        <v>43</v>
      </c>
      <c r="I16" s="180">
        <f t="shared" si="0"/>
        <v>-21.818181818181813</v>
      </c>
      <c r="J16" s="49"/>
      <c r="K16" s="492" t="s">
        <v>37</v>
      </c>
      <c r="L16" s="493"/>
      <c r="M16" s="493"/>
      <c r="N16" s="53"/>
      <c r="O16" s="49"/>
    </row>
    <row r="17" spans="1:15" ht="12" customHeight="1" x14ac:dyDescent="0.2">
      <c r="A17" s="64" t="s">
        <v>157</v>
      </c>
      <c r="B17" s="54" t="s">
        <v>121</v>
      </c>
      <c r="C17" s="251">
        <v>85</v>
      </c>
      <c r="D17" s="180" t="s">
        <v>4</v>
      </c>
      <c r="E17" s="49"/>
      <c r="F17" s="63" t="s">
        <v>123</v>
      </c>
      <c r="G17" s="52" t="s">
        <v>121</v>
      </c>
      <c r="H17" s="52">
        <v>61</v>
      </c>
      <c r="I17" s="180" t="s">
        <v>4</v>
      </c>
      <c r="J17" s="49"/>
      <c r="K17" s="487" t="s">
        <v>90</v>
      </c>
      <c r="L17" s="488">
        <v>52.5</v>
      </c>
      <c r="M17" s="488">
        <v>51</v>
      </c>
      <c r="N17" s="180">
        <f>((M17/L17)-    1)*100</f>
        <v>-2.8571428571428581</v>
      </c>
      <c r="O17" s="49"/>
    </row>
    <row r="18" spans="1:15" ht="12" customHeight="1" x14ac:dyDescent="0.2">
      <c r="A18" s="222" t="s">
        <v>419</v>
      </c>
      <c r="B18" s="55"/>
      <c r="C18" s="55"/>
      <c r="D18" s="56"/>
      <c r="E18" s="49"/>
      <c r="F18" s="64" t="s">
        <v>61</v>
      </c>
      <c r="G18" s="54">
        <v>37.5</v>
      </c>
      <c r="H18" s="54">
        <v>37.5</v>
      </c>
      <c r="I18" s="181">
        <f>((H18/G18)-    1)*100</f>
        <v>0</v>
      </c>
      <c r="J18" s="49"/>
      <c r="K18" s="489" t="s">
        <v>38</v>
      </c>
      <c r="L18" s="488">
        <v>55</v>
      </c>
      <c r="M18" s="488">
        <v>64</v>
      </c>
      <c r="N18" s="180">
        <f>((M18/L18)-    1)*100</f>
        <v>16.36363636363636</v>
      </c>
      <c r="O18" s="49"/>
    </row>
    <row r="19" spans="1:15" ht="12" customHeight="1" x14ac:dyDescent="0.2">
      <c r="A19" s="63" t="s">
        <v>420</v>
      </c>
      <c r="B19" s="52" t="s">
        <v>121</v>
      </c>
      <c r="C19" s="52">
        <v>55</v>
      </c>
      <c r="D19" s="180" t="s">
        <v>4</v>
      </c>
      <c r="E19" s="49"/>
      <c r="F19" s="486" t="s">
        <v>23</v>
      </c>
      <c r="G19" s="495"/>
      <c r="H19" s="495"/>
      <c r="I19" s="56"/>
      <c r="J19" s="49"/>
      <c r="K19" s="490" t="s">
        <v>39</v>
      </c>
      <c r="L19" s="491">
        <v>55</v>
      </c>
      <c r="M19" s="491">
        <v>53</v>
      </c>
      <c r="N19" s="181">
        <f>((M19/L19)-    1)*100</f>
        <v>-3.6363636363636376</v>
      </c>
      <c r="O19" s="49"/>
    </row>
    <row r="20" spans="1:15" ht="12" customHeight="1" x14ac:dyDescent="0.2">
      <c r="A20" s="63" t="s">
        <v>590</v>
      </c>
      <c r="B20" s="52" t="s">
        <v>121</v>
      </c>
      <c r="C20" s="52">
        <v>42.5</v>
      </c>
      <c r="D20" s="180" t="s">
        <v>4</v>
      </c>
      <c r="E20" s="49"/>
      <c r="F20" s="489" t="s">
        <v>520</v>
      </c>
      <c r="G20" s="246">
        <v>56</v>
      </c>
      <c r="H20" s="246">
        <v>65</v>
      </c>
      <c r="I20" s="180">
        <f>((H20/G20)-    1)*100</f>
        <v>16.07142857142858</v>
      </c>
      <c r="J20" s="49"/>
      <c r="K20" s="222" t="s">
        <v>40</v>
      </c>
      <c r="L20" s="62"/>
      <c r="M20" s="62"/>
      <c r="N20" s="56"/>
      <c r="O20" s="49"/>
    </row>
    <row r="21" spans="1:15" ht="12" customHeight="1" x14ac:dyDescent="0.2">
      <c r="A21" s="63" t="s">
        <v>595</v>
      </c>
      <c r="B21" s="52" t="s">
        <v>121</v>
      </c>
      <c r="C21" s="52">
        <v>50</v>
      </c>
      <c r="D21" s="180" t="s">
        <v>4</v>
      </c>
      <c r="E21" s="49"/>
      <c r="F21" s="489" t="s">
        <v>51</v>
      </c>
      <c r="G21" s="246">
        <v>44</v>
      </c>
      <c r="H21" s="246">
        <v>49.5</v>
      </c>
      <c r="I21" s="180">
        <f t="shared" ref="I21:I23" si="2">((H21/G21)-    1)*100</f>
        <v>12.5</v>
      </c>
      <c r="J21" s="49"/>
      <c r="K21" s="63" t="s">
        <v>42</v>
      </c>
      <c r="L21" s="52">
        <v>36.25</v>
      </c>
      <c r="M21" s="60">
        <v>37</v>
      </c>
      <c r="N21" s="180">
        <f t="shared" ref="N21:N22" si="3">((M21/L21)-    1)*100</f>
        <v>2.0689655172413834</v>
      </c>
      <c r="O21" s="49"/>
    </row>
    <row r="22" spans="1:15" ht="12" customHeight="1" x14ac:dyDescent="0.2">
      <c r="A22" s="63" t="s">
        <v>421</v>
      </c>
      <c r="B22" s="52" t="s">
        <v>121</v>
      </c>
      <c r="C22" s="52">
        <v>57</v>
      </c>
      <c r="D22" s="180" t="s">
        <v>4</v>
      </c>
      <c r="E22" s="49"/>
      <c r="F22" s="489" t="s">
        <v>521</v>
      </c>
      <c r="G22" s="246">
        <v>75</v>
      </c>
      <c r="H22" s="246">
        <v>85</v>
      </c>
      <c r="I22" s="180">
        <f t="shared" si="2"/>
        <v>13.33333333333333</v>
      </c>
      <c r="J22" s="49"/>
      <c r="K22" s="64" t="s">
        <v>406</v>
      </c>
      <c r="L22" s="54">
        <v>52.5</v>
      </c>
      <c r="M22" s="61">
        <v>42</v>
      </c>
      <c r="N22" s="181">
        <f t="shared" si="3"/>
        <v>-19.999999999999996</v>
      </c>
      <c r="O22" s="49"/>
    </row>
    <row r="23" spans="1:15" ht="12" customHeight="1" x14ac:dyDescent="0.2">
      <c r="A23" s="63" t="s">
        <v>534</v>
      </c>
      <c r="B23" s="52" t="s">
        <v>121</v>
      </c>
      <c r="C23" s="52">
        <v>40</v>
      </c>
      <c r="D23" s="180" t="s">
        <v>4</v>
      </c>
      <c r="E23" s="49"/>
      <c r="F23" s="489" t="s">
        <v>56</v>
      </c>
      <c r="G23" s="246">
        <v>70</v>
      </c>
      <c r="H23" s="246">
        <v>75</v>
      </c>
      <c r="I23" s="180">
        <f t="shared" si="2"/>
        <v>7.1428571428571397</v>
      </c>
      <c r="J23" s="49"/>
      <c r="K23" s="222" t="s">
        <v>194</v>
      </c>
      <c r="O23" s="49"/>
    </row>
    <row r="24" spans="1:15" ht="12" customHeight="1" x14ac:dyDescent="0.2">
      <c r="A24" s="63" t="s">
        <v>589</v>
      </c>
      <c r="B24" s="52" t="s">
        <v>121</v>
      </c>
      <c r="C24" s="52">
        <v>55</v>
      </c>
      <c r="D24" s="180" t="s">
        <v>4</v>
      </c>
      <c r="E24" s="49"/>
      <c r="F24" s="490" t="s">
        <v>522</v>
      </c>
      <c r="G24" s="251">
        <v>55</v>
      </c>
      <c r="H24" s="251">
        <v>55</v>
      </c>
      <c r="I24" s="181">
        <f>((H24/G24)-    1)*100</f>
        <v>0</v>
      </c>
      <c r="J24" s="49"/>
      <c r="K24" s="63" t="s">
        <v>198</v>
      </c>
      <c r="L24" s="52" t="s">
        <v>121</v>
      </c>
      <c r="M24" s="60">
        <v>60</v>
      </c>
      <c r="N24" s="180" t="s">
        <v>4</v>
      </c>
      <c r="O24" s="49"/>
    </row>
    <row r="25" spans="1:15" ht="12" customHeight="1" x14ac:dyDescent="0.2">
      <c r="A25" s="64" t="s">
        <v>573</v>
      </c>
      <c r="B25" s="54" t="s">
        <v>121</v>
      </c>
      <c r="C25" s="54">
        <v>60</v>
      </c>
      <c r="D25" s="181" t="s">
        <v>4</v>
      </c>
      <c r="E25" s="49"/>
      <c r="F25" s="221" t="s">
        <v>78</v>
      </c>
      <c r="G25" s="199"/>
      <c r="H25" s="199"/>
      <c r="I25" s="199"/>
      <c r="J25" s="49"/>
      <c r="K25" s="63" t="s">
        <v>515</v>
      </c>
      <c r="L25" s="52" t="s">
        <v>121</v>
      </c>
      <c r="M25" s="60">
        <v>84</v>
      </c>
      <c r="N25" s="180" t="s">
        <v>4</v>
      </c>
      <c r="O25" s="49"/>
    </row>
    <row r="26" spans="1:15" ht="12" customHeight="1" x14ac:dyDescent="0.2">
      <c r="A26" s="221" t="s">
        <v>2</v>
      </c>
      <c r="B26" s="52"/>
      <c r="C26" s="52"/>
      <c r="D26" s="180"/>
      <c r="E26" s="49"/>
      <c r="F26" s="66" t="s">
        <v>85</v>
      </c>
      <c r="G26" s="58">
        <v>77.5</v>
      </c>
      <c r="H26" s="58">
        <v>80</v>
      </c>
      <c r="I26" s="180">
        <f>((H26/G26)-    1)*100</f>
        <v>3.2258064516129004</v>
      </c>
      <c r="J26" s="49"/>
      <c r="K26" s="63" t="s">
        <v>475</v>
      </c>
      <c r="L26" s="52" t="s">
        <v>121</v>
      </c>
      <c r="M26" s="60">
        <v>60</v>
      </c>
      <c r="N26" s="180" t="s">
        <v>4</v>
      </c>
      <c r="O26" s="49"/>
    </row>
    <row r="27" spans="1:15" ht="12" customHeight="1" x14ac:dyDescent="0.2">
      <c r="A27" s="63" t="s">
        <v>5</v>
      </c>
      <c r="B27" s="52">
        <v>107.5</v>
      </c>
      <c r="C27" s="52">
        <v>102</v>
      </c>
      <c r="D27" s="180">
        <f>((C27/B27)-    1)*100</f>
        <v>-5.1162790697674376</v>
      </c>
      <c r="E27" s="49"/>
      <c r="F27" s="66" t="s">
        <v>512</v>
      </c>
      <c r="G27" s="58">
        <v>65</v>
      </c>
      <c r="H27" s="58">
        <v>71</v>
      </c>
      <c r="I27" s="180">
        <f t="shared" ref="I27:I28" si="4">((H27/G27)-    1)*100</f>
        <v>9.2307692307692193</v>
      </c>
      <c r="J27" s="49"/>
      <c r="K27" s="63" t="s">
        <v>197</v>
      </c>
      <c r="L27" s="52" t="s">
        <v>121</v>
      </c>
      <c r="M27" s="60">
        <v>48</v>
      </c>
      <c r="N27" s="180" t="s">
        <v>4</v>
      </c>
      <c r="O27" s="49"/>
    </row>
    <row r="28" spans="1:15" ht="12" customHeight="1" x14ac:dyDescent="0.2">
      <c r="A28" s="63" t="s">
        <v>76</v>
      </c>
      <c r="B28" s="52">
        <v>105</v>
      </c>
      <c r="C28" s="52">
        <v>105</v>
      </c>
      <c r="D28" s="180">
        <f>((C28/B28)-    1)*100</f>
        <v>0</v>
      </c>
      <c r="E28" s="49"/>
      <c r="F28" s="66" t="s">
        <v>25</v>
      </c>
      <c r="G28" s="58">
        <v>57.5</v>
      </c>
      <c r="H28" s="58">
        <v>50</v>
      </c>
      <c r="I28" s="180">
        <f t="shared" si="4"/>
        <v>-13.043478260869568</v>
      </c>
      <c r="J28" s="49"/>
      <c r="K28" s="63" t="s">
        <v>199</v>
      </c>
      <c r="L28" s="52" t="s">
        <v>121</v>
      </c>
      <c r="M28" s="60">
        <v>52</v>
      </c>
      <c r="N28" s="180" t="s">
        <v>4</v>
      </c>
      <c r="O28" s="49"/>
    </row>
    <row r="29" spans="1:15" ht="12" customHeight="1" x14ac:dyDescent="0.2">
      <c r="A29" s="63" t="s">
        <v>398</v>
      </c>
      <c r="B29" s="52">
        <v>95</v>
      </c>
      <c r="C29" s="52">
        <v>92</v>
      </c>
      <c r="D29" s="180">
        <f>((C29/B29)-    1)*100</f>
        <v>-3.157894736842104</v>
      </c>
      <c r="E29" s="218"/>
      <c r="F29" s="66" t="s">
        <v>514</v>
      </c>
      <c r="G29" s="58">
        <v>57.5</v>
      </c>
      <c r="H29" s="58">
        <v>60</v>
      </c>
      <c r="I29" s="180">
        <f t="shared" ref="I29" si="5">((H29/G29)-    1)*100</f>
        <v>4.3478260869565188</v>
      </c>
      <c r="J29" s="49"/>
      <c r="K29" s="64" t="s">
        <v>195</v>
      </c>
      <c r="L29" s="54" t="s">
        <v>121</v>
      </c>
      <c r="M29" s="61">
        <v>45</v>
      </c>
      <c r="N29" s="181" t="s">
        <v>4</v>
      </c>
      <c r="O29" s="7"/>
    </row>
    <row r="30" spans="1:15" ht="12" customHeight="1" x14ac:dyDescent="0.2">
      <c r="A30" s="63" t="s">
        <v>59</v>
      </c>
      <c r="B30" s="52">
        <v>86.25</v>
      </c>
      <c r="C30" s="52">
        <v>78</v>
      </c>
      <c r="D30" s="180">
        <f t="shared" ref="D30" si="6">((C30/B30)-    1)*100</f>
        <v>-9.5652173913043477</v>
      </c>
      <c r="E30" s="218"/>
      <c r="F30" s="222" t="s">
        <v>83</v>
      </c>
      <c r="G30" s="55"/>
      <c r="H30" s="55"/>
      <c r="I30" s="56"/>
      <c r="J30" s="51"/>
      <c r="K30" s="222" t="s">
        <v>81</v>
      </c>
      <c r="O30" s="7"/>
    </row>
    <row r="31" spans="1:15" ht="12" customHeight="1" x14ac:dyDescent="0.2">
      <c r="A31" s="63" t="s">
        <v>511</v>
      </c>
      <c r="B31" s="52">
        <v>70</v>
      </c>
      <c r="C31" s="52">
        <v>83</v>
      </c>
      <c r="D31" s="180">
        <f t="shared" ref="D31" si="7">((C31/B31)-    1)*100</f>
        <v>18.571428571428573</v>
      </c>
      <c r="E31" s="218"/>
      <c r="F31" s="63" t="s">
        <v>26</v>
      </c>
      <c r="G31" s="52">
        <v>47.5</v>
      </c>
      <c r="H31" s="246">
        <v>47.5</v>
      </c>
      <c r="I31" s="180">
        <f>((H31/G31)-    1)*100</f>
        <v>0</v>
      </c>
      <c r="J31" s="51"/>
      <c r="K31" s="63" t="s">
        <v>472</v>
      </c>
      <c r="L31" s="60">
        <v>60</v>
      </c>
      <c r="M31" s="60">
        <v>70</v>
      </c>
      <c r="N31" s="180">
        <f>((M31/L31)-    1)*100</f>
        <v>16.666666666666675</v>
      </c>
      <c r="O31" s="7"/>
    </row>
    <row r="32" spans="1:15" ht="12" customHeight="1" x14ac:dyDescent="0.2">
      <c r="A32" s="64" t="s">
        <v>125</v>
      </c>
      <c r="B32" s="54">
        <v>80</v>
      </c>
      <c r="C32" s="54">
        <v>80</v>
      </c>
      <c r="D32" s="181">
        <f>((C32/B32)-    1)*100</f>
        <v>0</v>
      </c>
      <c r="E32" s="218"/>
      <c r="F32" s="63" t="s">
        <v>79</v>
      </c>
      <c r="G32" s="52" t="s">
        <v>121</v>
      </c>
      <c r="H32" s="246">
        <v>42.5</v>
      </c>
      <c r="I32" s="180" t="s">
        <v>4</v>
      </c>
      <c r="J32" s="51"/>
      <c r="K32" s="63" t="s">
        <v>57</v>
      </c>
      <c r="L32" s="60">
        <v>50</v>
      </c>
      <c r="M32" s="60">
        <v>65</v>
      </c>
      <c r="N32" s="180">
        <f>((M32/L32)-    1)*100</f>
        <v>30.000000000000004</v>
      </c>
      <c r="O32" s="7"/>
    </row>
    <row r="33" spans="1:15" ht="12" customHeight="1" x14ac:dyDescent="0.2">
      <c r="A33" s="222" t="s">
        <v>6</v>
      </c>
      <c r="B33" s="55"/>
      <c r="C33" s="55"/>
      <c r="D33" s="56"/>
      <c r="E33" s="218"/>
      <c r="F33" s="63" t="s">
        <v>27</v>
      </c>
      <c r="G33" s="52">
        <v>47.5</v>
      </c>
      <c r="H33" s="246">
        <v>42.5</v>
      </c>
      <c r="I33" s="180">
        <f t="shared" ref="I33:I38" si="8">((H33/G33)-    1)*100</f>
        <v>-10.526315789473683</v>
      </c>
      <c r="J33" s="51"/>
      <c r="K33" s="63" t="s">
        <v>568</v>
      </c>
      <c r="L33" s="60">
        <v>50</v>
      </c>
      <c r="M33" s="60">
        <v>55</v>
      </c>
      <c r="N33" s="180">
        <f>((M33/L33)-    1)*100</f>
        <v>10.000000000000009</v>
      </c>
      <c r="O33" s="7"/>
    </row>
    <row r="34" spans="1:15" ht="12" customHeight="1" x14ac:dyDescent="0.2">
      <c r="A34" s="63" t="s">
        <v>124</v>
      </c>
      <c r="B34" s="52">
        <v>60</v>
      </c>
      <c r="C34" s="246">
        <v>52.5</v>
      </c>
      <c r="D34" s="180">
        <f>((C34/B34)-    1)*100</f>
        <v>-12.5</v>
      </c>
      <c r="E34" s="218"/>
      <c r="F34" s="63" t="s">
        <v>28</v>
      </c>
      <c r="G34" s="52">
        <v>45</v>
      </c>
      <c r="H34" s="246">
        <v>45</v>
      </c>
      <c r="I34" s="180">
        <f t="shared" si="8"/>
        <v>0</v>
      </c>
      <c r="J34" s="51"/>
      <c r="K34" s="63" t="s">
        <v>516</v>
      </c>
      <c r="L34" s="52">
        <v>55</v>
      </c>
      <c r="M34" s="60">
        <v>50</v>
      </c>
      <c r="N34" s="180">
        <f t="shared" ref="N34:N35" si="9">((M34/L34)-    1)*100</f>
        <v>-9.0909090909090935</v>
      </c>
      <c r="O34" s="7"/>
    </row>
    <row r="35" spans="1:15" ht="12" customHeight="1" x14ac:dyDescent="0.2">
      <c r="A35" s="63" t="s">
        <v>8</v>
      </c>
      <c r="B35" s="52">
        <v>52.5</v>
      </c>
      <c r="C35" s="246">
        <v>47</v>
      </c>
      <c r="D35" s="180">
        <f>((C35/B35)-    1)*100</f>
        <v>-10.476190476190473</v>
      </c>
      <c r="E35" s="218"/>
      <c r="F35" s="63" t="s">
        <v>62</v>
      </c>
      <c r="G35" s="52">
        <v>45</v>
      </c>
      <c r="H35" s="246">
        <v>40</v>
      </c>
      <c r="I35" s="180">
        <f t="shared" si="8"/>
        <v>-11.111111111111116</v>
      </c>
      <c r="J35" s="51"/>
      <c r="K35" s="64" t="s">
        <v>58</v>
      </c>
      <c r="L35" s="54">
        <v>65</v>
      </c>
      <c r="M35" s="61">
        <v>52</v>
      </c>
      <c r="N35" s="181">
        <f t="shared" si="9"/>
        <v>-19.999999999999996</v>
      </c>
      <c r="O35" s="7"/>
    </row>
    <row r="36" spans="1:15" ht="12" customHeight="1" x14ac:dyDescent="0.2">
      <c r="A36" s="63" t="s">
        <v>9</v>
      </c>
      <c r="B36" s="52">
        <v>56.25</v>
      </c>
      <c r="C36" s="246">
        <v>55</v>
      </c>
      <c r="D36" s="180">
        <f>((C36/B36)-    1)*100</f>
        <v>-2.2222222222222254</v>
      </c>
      <c r="E36" s="218"/>
      <c r="F36" s="63" t="s">
        <v>29</v>
      </c>
      <c r="G36" s="52">
        <v>50</v>
      </c>
      <c r="H36" s="246">
        <v>50</v>
      </c>
      <c r="I36" s="180">
        <f t="shared" si="8"/>
        <v>0</v>
      </c>
      <c r="J36" s="51"/>
      <c r="K36" s="221" t="s">
        <v>86</v>
      </c>
      <c r="L36" s="52"/>
      <c r="M36" s="60"/>
      <c r="N36" s="180"/>
      <c r="O36" s="7"/>
    </row>
    <row r="37" spans="1:15" ht="12" customHeight="1" x14ac:dyDescent="0.2">
      <c r="A37" s="63" t="s">
        <v>11</v>
      </c>
      <c r="B37" s="52">
        <v>75</v>
      </c>
      <c r="C37" s="246">
        <v>73</v>
      </c>
      <c r="D37" s="180">
        <f>((C37/B37)-    1)*100</f>
        <v>-2.6666666666666616</v>
      </c>
      <c r="E37" s="218"/>
      <c r="F37" s="63" t="s">
        <v>52</v>
      </c>
      <c r="G37" s="52">
        <v>52.5</v>
      </c>
      <c r="H37" s="246">
        <v>47.5</v>
      </c>
      <c r="I37" s="180">
        <f t="shared" si="8"/>
        <v>-9.5238095238095237</v>
      </c>
      <c r="J37" s="51"/>
      <c r="K37" s="64" t="s">
        <v>445</v>
      </c>
      <c r="L37" s="61">
        <v>77.5</v>
      </c>
      <c r="M37" s="61">
        <v>77.5</v>
      </c>
      <c r="N37" s="181">
        <f>((M37/L37)-    1)*100</f>
        <v>0</v>
      </c>
    </row>
    <row r="38" spans="1:15" ht="12" customHeight="1" x14ac:dyDescent="0.2">
      <c r="A38" s="64" t="s">
        <v>89</v>
      </c>
      <c r="B38" s="54">
        <v>52.5</v>
      </c>
      <c r="C38" s="251">
        <v>44</v>
      </c>
      <c r="D38" s="181">
        <f>((C38/B38)-    1)*100</f>
        <v>-16.19047619047619</v>
      </c>
      <c r="E38" s="218"/>
      <c r="F38" s="63" t="s">
        <v>80</v>
      </c>
      <c r="G38" s="52">
        <v>55</v>
      </c>
      <c r="H38" s="246">
        <v>55</v>
      </c>
      <c r="I38" s="180">
        <f t="shared" si="8"/>
        <v>0</v>
      </c>
      <c r="J38" s="51"/>
      <c r="K38" s="492" t="s">
        <v>69</v>
      </c>
      <c r="L38" s="246"/>
      <c r="M38" s="488"/>
      <c r="N38" s="180"/>
      <c r="O38" s="7"/>
    </row>
    <row r="39" spans="1:15" ht="12" customHeight="1" x14ac:dyDescent="0.2">
      <c r="A39" s="222" t="s">
        <v>13</v>
      </c>
      <c r="B39" s="55"/>
      <c r="C39" s="55"/>
      <c r="D39" s="56"/>
      <c r="E39" s="218"/>
      <c r="F39" s="66" t="s">
        <v>30</v>
      </c>
      <c r="G39" s="52" t="s">
        <v>121</v>
      </c>
      <c r="H39" s="246">
        <v>47.5</v>
      </c>
      <c r="I39" s="180" t="s">
        <v>4</v>
      </c>
      <c r="J39" s="51"/>
      <c r="K39" s="489" t="s">
        <v>72</v>
      </c>
      <c r="L39" s="246">
        <v>65</v>
      </c>
      <c r="M39" s="488">
        <v>50</v>
      </c>
      <c r="N39" s="180">
        <f>((M39/L39)-    1)*100</f>
        <v>-23.076923076923073</v>
      </c>
      <c r="O39" s="7"/>
    </row>
    <row r="40" spans="1:15" ht="12" customHeight="1" x14ac:dyDescent="0.2">
      <c r="A40" s="63" t="s">
        <v>187</v>
      </c>
      <c r="B40" s="57">
        <v>45</v>
      </c>
      <c r="C40" s="52">
        <v>44</v>
      </c>
      <c r="D40" s="180">
        <f>((C40/B40)-    1)*100</f>
        <v>-2.2222222222222254</v>
      </c>
      <c r="E40" s="218"/>
      <c r="F40" s="63" t="s">
        <v>31</v>
      </c>
      <c r="G40" s="52" t="s">
        <v>121</v>
      </c>
      <c r="H40" s="246">
        <v>62.5</v>
      </c>
      <c r="I40" s="180" t="s">
        <v>4</v>
      </c>
      <c r="J40" s="51"/>
      <c r="K40" s="489" t="s">
        <v>70</v>
      </c>
      <c r="L40" s="246">
        <v>65</v>
      </c>
      <c r="M40" s="488">
        <v>60</v>
      </c>
      <c r="N40" s="180">
        <f>((M40/L40)-    1)*100</f>
        <v>-7.6923076923076872</v>
      </c>
      <c r="O40" s="7"/>
    </row>
    <row r="41" spans="1:15" ht="12" customHeight="1" x14ac:dyDescent="0.2">
      <c r="A41" s="63" t="s">
        <v>68</v>
      </c>
      <c r="B41" s="52">
        <v>55</v>
      </c>
      <c r="C41" s="52">
        <v>50</v>
      </c>
      <c r="D41" s="180">
        <f>((C41/B41)-    1)*100</f>
        <v>-9.0909090909090935</v>
      </c>
      <c r="E41" s="218"/>
      <c r="F41" s="63" t="s">
        <v>32</v>
      </c>
      <c r="G41" s="52">
        <v>50</v>
      </c>
      <c r="H41" s="246">
        <v>50</v>
      </c>
      <c r="I41" s="180">
        <f>((H41/G41)-    1)*100</f>
        <v>0</v>
      </c>
      <c r="J41" s="51"/>
      <c r="K41" s="490" t="s">
        <v>71</v>
      </c>
      <c r="L41" s="251">
        <v>55</v>
      </c>
      <c r="M41" s="491">
        <v>55</v>
      </c>
      <c r="N41" s="181">
        <f>((M41/L41)-    1)*100</f>
        <v>0</v>
      </c>
      <c r="O41" s="7"/>
    </row>
    <row r="42" spans="1:15" ht="12" customHeight="1" x14ac:dyDescent="0.2">
      <c r="A42" s="64" t="s">
        <v>67</v>
      </c>
      <c r="B42" s="68">
        <v>55</v>
      </c>
      <c r="C42" s="54">
        <v>41</v>
      </c>
      <c r="D42" s="181">
        <f>((C42/B42)-    1)*100</f>
        <v>-25.454545454545453</v>
      </c>
      <c r="E42" s="218"/>
      <c r="F42" s="69" t="s">
        <v>64</v>
      </c>
      <c r="G42" s="54" t="s">
        <v>121</v>
      </c>
      <c r="H42" s="251">
        <v>55</v>
      </c>
      <c r="I42" s="181" t="s">
        <v>4</v>
      </c>
      <c r="J42" s="51"/>
      <c r="K42" s="222" t="s">
        <v>44</v>
      </c>
      <c r="L42" s="62"/>
      <c r="M42" s="62"/>
      <c r="N42" s="56"/>
    </row>
    <row r="43" spans="1:15" ht="12" customHeight="1" x14ac:dyDescent="0.2">
      <c r="A43" s="221" t="s">
        <v>14</v>
      </c>
      <c r="B43" s="50"/>
      <c r="C43" s="50"/>
      <c r="D43" s="53"/>
      <c r="E43" s="218"/>
      <c r="F43" s="222" t="s">
        <v>33</v>
      </c>
      <c r="G43" s="52"/>
      <c r="H43" s="52"/>
      <c r="I43" s="180"/>
      <c r="J43" s="51"/>
      <c r="K43" s="64" t="s">
        <v>45</v>
      </c>
      <c r="L43" s="54">
        <v>60</v>
      </c>
      <c r="M43" s="61">
        <v>50</v>
      </c>
      <c r="N43" s="181">
        <f>((M43/L43)-    1)*100</f>
        <v>-16.666666666666664</v>
      </c>
      <c r="O43" s="7"/>
    </row>
    <row r="44" spans="1:15" ht="12" customHeight="1" x14ac:dyDescent="0.2">
      <c r="A44" s="63" t="s">
        <v>465</v>
      </c>
      <c r="B44" s="52">
        <v>47.5</v>
      </c>
      <c r="C44" s="52">
        <v>54.5</v>
      </c>
      <c r="D44" s="180">
        <f>((C44/B44)-    1)*100</f>
        <v>14.736842105263159</v>
      </c>
      <c r="E44" s="218"/>
      <c r="F44" s="63" t="s">
        <v>34</v>
      </c>
      <c r="G44" s="52">
        <v>50</v>
      </c>
      <c r="H44" s="246">
        <v>52.5</v>
      </c>
      <c r="I44" s="180">
        <f>((H44/G44)-    1)*100</f>
        <v>5.0000000000000044</v>
      </c>
      <c r="O44" s="7"/>
    </row>
    <row r="45" spans="1:15" ht="12" customHeight="1" x14ac:dyDescent="0.2">
      <c r="A45" s="63" t="s">
        <v>470</v>
      </c>
      <c r="B45" s="52">
        <v>37.5</v>
      </c>
      <c r="C45" s="52">
        <v>50</v>
      </c>
      <c r="D45" s="180">
        <f>((C45/B45)-    1)*100</f>
        <v>33.333333333333329</v>
      </c>
      <c r="E45" s="218"/>
      <c r="F45" s="63" t="s">
        <v>35</v>
      </c>
      <c r="G45" s="52">
        <v>50</v>
      </c>
      <c r="H45" s="246">
        <v>52.5</v>
      </c>
      <c r="I45" s="180">
        <f>((H45/G45)-    1)*100</f>
        <v>5.0000000000000044</v>
      </c>
      <c r="J45" s="51"/>
      <c r="O45" s="7"/>
    </row>
    <row r="46" spans="1:15" ht="12" customHeight="1" x14ac:dyDescent="0.2">
      <c r="A46" s="63" t="s">
        <v>15</v>
      </c>
      <c r="B46" s="52">
        <v>57.5</v>
      </c>
      <c r="C46" s="52">
        <v>52</v>
      </c>
      <c r="D46" s="180">
        <f>((C46/B46)-    1)*100</f>
        <v>-9.5652173913043477</v>
      </c>
      <c r="E46" s="218"/>
      <c r="F46" s="64" t="s">
        <v>36</v>
      </c>
      <c r="G46" s="54">
        <v>50</v>
      </c>
      <c r="H46" s="251">
        <v>52.5</v>
      </c>
      <c r="I46" s="181">
        <f>((H46/G46)-    1)*100</f>
        <v>5.0000000000000044</v>
      </c>
      <c r="J46" s="51"/>
      <c r="O46" s="7"/>
    </row>
    <row r="47" spans="1:15" ht="12" customHeight="1" x14ac:dyDescent="0.2">
      <c r="A47" s="64" t="s">
        <v>188</v>
      </c>
      <c r="B47" s="54">
        <v>65</v>
      </c>
      <c r="C47" s="54">
        <v>75</v>
      </c>
      <c r="D47" s="181">
        <f>((C47/B47)-    1)*100</f>
        <v>15.384615384615374</v>
      </c>
      <c r="E47" s="218"/>
      <c r="F47" s="632" t="s">
        <v>185</v>
      </c>
      <c r="G47" s="54">
        <v>72.5</v>
      </c>
      <c r="H47" s="54">
        <v>71</v>
      </c>
      <c r="I47" s="181">
        <f>((H47/G47)-    1)*100</f>
        <v>-2.0689655172413834</v>
      </c>
      <c r="J47" s="51"/>
      <c r="O47" s="7"/>
    </row>
    <row r="48" spans="1:15" ht="12.95" customHeight="1" x14ac:dyDescent="0.2">
      <c r="D48" s="223" t="s">
        <v>24</v>
      </c>
      <c r="E48" s="218"/>
      <c r="F48" s="63"/>
      <c r="G48" s="52"/>
      <c r="H48" s="52"/>
      <c r="I48" s="223" t="s">
        <v>24</v>
      </c>
      <c r="J48" s="51"/>
      <c r="O48" s="7"/>
    </row>
    <row r="49" spans="1:15" ht="9" customHeight="1" x14ac:dyDescent="0.2">
      <c r="A49" s="220" t="s">
        <v>84</v>
      </c>
      <c r="E49" s="218"/>
      <c r="J49" s="51"/>
      <c r="O49" s="7"/>
    </row>
    <row r="50" spans="1:15" ht="9" customHeight="1" x14ac:dyDescent="0.2">
      <c r="A50" s="43" t="s">
        <v>65</v>
      </c>
      <c r="J50" s="51"/>
      <c r="O50" s="7"/>
    </row>
    <row r="51" spans="1:15" ht="9" customHeight="1" x14ac:dyDescent="0.2">
      <c r="A51" s="65" t="s">
        <v>66</v>
      </c>
      <c r="E51" s="218"/>
      <c r="J51" s="51"/>
      <c r="O51" s="7"/>
    </row>
    <row r="52" spans="1:15" ht="12.95" customHeight="1" x14ac:dyDescent="0.2">
      <c r="E52" s="218"/>
      <c r="J52" s="51"/>
      <c r="O52" s="7"/>
    </row>
    <row r="53" spans="1:15" x14ac:dyDescent="0.2">
      <c r="E53" s="218"/>
      <c r="J53" s="51"/>
      <c r="O53" s="7"/>
    </row>
    <row r="54" spans="1:15" x14ac:dyDescent="0.2">
      <c r="E54" s="218"/>
      <c r="J54" s="51"/>
      <c r="O54" s="7"/>
    </row>
    <row r="55" spans="1:15" x14ac:dyDescent="0.2">
      <c r="E55" s="218"/>
      <c r="J55" s="51"/>
    </row>
    <row r="56" spans="1:15" x14ac:dyDescent="0.2">
      <c r="E56" s="218"/>
      <c r="J56" s="51"/>
      <c r="O56" s="7"/>
    </row>
    <row r="57" spans="1:15" ht="12.95" customHeight="1" x14ac:dyDescent="0.2">
      <c r="E57" s="218"/>
      <c r="O57" s="7"/>
    </row>
    <row r="58" spans="1:15" ht="12.95" customHeight="1" x14ac:dyDescent="0.2">
      <c r="E58" s="218"/>
      <c r="J58" s="51"/>
      <c r="O58" s="7"/>
    </row>
    <row r="59" spans="1:15" ht="12.95" customHeight="1" x14ac:dyDescent="0.2">
      <c r="E59" s="218"/>
      <c r="J59" s="51"/>
      <c r="O59" s="7"/>
    </row>
    <row r="60" spans="1:15" ht="12.95" customHeight="1" x14ac:dyDescent="0.2">
      <c r="E60" s="218"/>
      <c r="J60" s="51"/>
      <c r="O60" s="7"/>
    </row>
    <row r="61" spans="1:15" ht="12.95" customHeight="1" x14ac:dyDescent="0.2">
      <c r="E61" s="218"/>
      <c r="J61" s="51"/>
    </row>
    <row r="62" spans="1:15" ht="12.95" customHeight="1" x14ac:dyDescent="0.2">
      <c r="E62" s="218"/>
      <c r="J62" s="51"/>
    </row>
    <row r="63" spans="1:15" ht="12.95" customHeight="1" x14ac:dyDescent="0.2">
      <c r="E63" s="218"/>
      <c r="J63" s="51"/>
    </row>
    <row r="64" spans="1:15" ht="12.95" customHeight="1" x14ac:dyDescent="0.2">
      <c r="E64" s="218"/>
      <c r="J64" s="51"/>
      <c r="O64" s="7"/>
    </row>
    <row r="65" spans="4:15" ht="12.95" customHeight="1" x14ac:dyDescent="0.2">
      <c r="E65" s="218"/>
      <c r="J65" s="51"/>
      <c r="O65" s="7"/>
    </row>
    <row r="66" spans="4:15" ht="12.95" customHeight="1" x14ac:dyDescent="0.2">
      <c r="E66" s="218"/>
      <c r="J66" s="51"/>
      <c r="O66" s="7"/>
    </row>
    <row r="67" spans="4:15" ht="12.95" customHeight="1" x14ac:dyDescent="0.2">
      <c r="E67" s="218"/>
      <c r="J67" s="51"/>
      <c r="O67" s="7"/>
    </row>
    <row r="68" spans="4:15" ht="12.95" customHeight="1" x14ac:dyDescent="0.2">
      <c r="E68" s="218"/>
      <c r="J68" s="51"/>
    </row>
    <row r="69" spans="4:15" ht="12.95" customHeight="1" x14ac:dyDescent="0.2">
      <c r="E69" s="218"/>
      <c r="J69" s="51"/>
      <c r="O69" s="7"/>
    </row>
    <row r="70" spans="4:15" ht="12.95" customHeight="1" x14ac:dyDescent="0.2">
      <c r="J70" s="51"/>
    </row>
    <row r="71" spans="4:15" ht="12.95" customHeight="1" x14ac:dyDescent="0.2">
      <c r="D71" s="223"/>
      <c r="E71" s="218"/>
      <c r="J71" s="51"/>
      <c r="O71" s="7"/>
    </row>
    <row r="72" spans="4:15" ht="9" customHeight="1" x14ac:dyDescent="0.2">
      <c r="E72" s="218"/>
      <c r="J72" s="51"/>
    </row>
    <row r="73" spans="4:15" ht="9" customHeight="1" x14ac:dyDescent="0.2">
      <c r="E73" s="218"/>
      <c r="J73" s="51"/>
    </row>
    <row r="74" spans="4:15" ht="9" customHeight="1" x14ac:dyDescent="0.2">
      <c r="J74" s="51"/>
    </row>
    <row r="75" spans="4:15" ht="12.95" customHeight="1" x14ac:dyDescent="0.2">
      <c r="E75" s="218"/>
      <c r="J75" s="51"/>
      <c r="O75" s="7"/>
    </row>
    <row r="76" spans="4:15" ht="9" customHeight="1" x14ac:dyDescent="0.2">
      <c r="E76" s="51"/>
      <c r="J76" s="7"/>
      <c r="O76" s="7"/>
    </row>
    <row r="77" spans="4:15" ht="9" customHeight="1" x14ac:dyDescent="0.2">
      <c r="E77" s="51"/>
      <c r="J77" s="7"/>
      <c r="O77" s="7"/>
    </row>
    <row r="78" spans="4:15" ht="9" customHeight="1" x14ac:dyDescent="0.2">
      <c r="E78" s="51"/>
      <c r="J78" s="7"/>
      <c r="O78" s="7"/>
    </row>
    <row r="79" spans="4:15" x14ac:dyDescent="0.2">
      <c r="E79" s="51"/>
      <c r="J79" s="7"/>
      <c r="O79" s="7"/>
    </row>
    <row r="80" spans="4:15" x14ac:dyDescent="0.2">
      <c r="E80" s="51"/>
      <c r="J80" s="7"/>
      <c r="O80" s="7"/>
    </row>
    <row r="83" spans="1:8" x14ac:dyDescent="0.2">
      <c r="A83" s="63"/>
      <c r="B83" s="52"/>
      <c r="C83" s="52"/>
      <c r="F83" s="63"/>
      <c r="G83" s="52"/>
      <c r="H83" s="52"/>
    </row>
  </sheetData>
  <mergeCells count="6">
    <mergeCell ref="L4:N4"/>
    <mergeCell ref="A4:A5"/>
    <mergeCell ref="B4:D4"/>
    <mergeCell ref="F4:F5"/>
    <mergeCell ref="G4:I4"/>
    <mergeCell ref="K4:K5"/>
  </mergeCells>
  <pageMargins left="0.27559055118110237" right="0.27559055118110237" top="0.39370078740157483" bottom="0.39370078740157483" header="0" footer="0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4"/>
  <dimension ref="A1:N206"/>
  <sheetViews>
    <sheetView showGridLines="0" zoomScaleNormal="100" workbookViewId="0">
      <selection activeCell="L27" sqref="L27"/>
    </sheetView>
  </sheetViews>
  <sheetFormatPr baseColWidth="10" defaultColWidth="11.42578125" defaultRowHeight="12.75" x14ac:dyDescent="0.2"/>
  <cols>
    <col min="1" max="1" width="10.140625" style="116" customWidth="1"/>
    <col min="2" max="2" width="4.140625" style="116" customWidth="1"/>
    <col min="3" max="14" width="5.85546875" style="116" customWidth="1"/>
    <col min="15" max="16384" width="11.42578125" style="116"/>
  </cols>
  <sheetData>
    <row r="1" spans="1:14" ht="13.5" x14ac:dyDescent="0.25">
      <c r="A1" s="726" t="s">
        <v>560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7"/>
      <c r="N1" s="727"/>
    </row>
    <row r="2" spans="1:14" ht="13.5" x14ac:dyDescent="0.25">
      <c r="A2" s="636" t="s">
        <v>605</v>
      </c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5"/>
      <c r="N2" s="635"/>
    </row>
    <row r="3" spans="1:14" ht="5.0999999999999996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.95" customHeight="1" x14ac:dyDescent="0.2">
      <c r="A4" s="214" t="s">
        <v>92</v>
      </c>
      <c r="B4" s="214" t="s">
        <v>137</v>
      </c>
      <c r="C4" s="214" t="s">
        <v>94</v>
      </c>
      <c r="D4" s="214" t="s">
        <v>95</v>
      </c>
      <c r="E4" s="214" t="s">
        <v>96</v>
      </c>
      <c r="F4" s="214" t="s">
        <v>97</v>
      </c>
      <c r="G4" s="214" t="s">
        <v>98</v>
      </c>
      <c r="H4" s="214" t="s">
        <v>99</v>
      </c>
      <c r="I4" s="214" t="s">
        <v>100</v>
      </c>
      <c r="J4" s="214" t="s">
        <v>101</v>
      </c>
      <c r="K4" s="214" t="s">
        <v>102</v>
      </c>
      <c r="L4" s="214" t="s">
        <v>103</v>
      </c>
      <c r="M4" s="214" t="s">
        <v>104</v>
      </c>
      <c r="N4" s="214" t="s">
        <v>105</v>
      </c>
    </row>
    <row r="5" spans="1:14" ht="3" customHeight="1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1.1" customHeight="1" x14ac:dyDescent="0.25">
      <c r="A6" s="14" t="s">
        <v>50</v>
      </c>
      <c r="B6" s="10">
        <v>2018</v>
      </c>
      <c r="C6" s="120">
        <v>97</v>
      </c>
      <c r="D6" s="120">
        <v>98.5</v>
      </c>
      <c r="E6" s="119">
        <v>100.5</v>
      </c>
      <c r="F6" s="118">
        <v>100.5</v>
      </c>
      <c r="G6" s="123">
        <v>100.5</v>
      </c>
      <c r="H6" s="118">
        <v>100</v>
      </c>
      <c r="I6" s="118">
        <v>102</v>
      </c>
      <c r="J6" s="118">
        <v>102</v>
      </c>
      <c r="K6" s="118">
        <v>102</v>
      </c>
      <c r="L6" s="118">
        <v>102</v>
      </c>
      <c r="M6" s="118">
        <v>102</v>
      </c>
      <c r="N6" s="123">
        <v>102</v>
      </c>
    </row>
    <row r="7" spans="1:14" ht="11.1" customHeight="1" x14ac:dyDescent="0.25">
      <c r="A7" s="14"/>
      <c r="B7" s="10">
        <v>2019</v>
      </c>
      <c r="C7" s="123">
        <v>101.5</v>
      </c>
      <c r="D7" s="123">
        <v>101.5</v>
      </c>
      <c r="E7" s="118">
        <v>100.5</v>
      </c>
      <c r="F7" s="118">
        <v>100.5</v>
      </c>
      <c r="G7" s="123">
        <v>100.5</v>
      </c>
      <c r="H7" s="118">
        <v>100.5</v>
      </c>
      <c r="I7" s="118">
        <v>100.5</v>
      </c>
      <c r="J7" s="118">
        <v>100.5</v>
      </c>
      <c r="K7" s="118">
        <v>102.5</v>
      </c>
      <c r="L7" s="118">
        <v>102.5</v>
      </c>
      <c r="M7" s="118">
        <v>102.5</v>
      </c>
      <c r="N7" s="120">
        <v>102.5</v>
      </c>
    </row>
    <row r="8" spans="1:14" ht="11.1" customHeight="1" x14ac:dyDescent="0.25">
      <c r="A8" s="14"/>
      <c r="B8" s="10">
        <v>2020</v>
      </c>
      <c r="C8" s="120">
        <v>102.5</v>
      </c>
      <c r="D8" s="123">
        <v>127</v>
      </c>
      <c r="E8" s="118">
        <v>130</v>
      </c>
      <c r="F8" s="118">
        <v>102.5</v>
      </c>
      <c r="G8" s="123">
        <v>129</v>
      </c>
      <c r="H8" s="118">
        <v>129</v>
      </c>
      <c r="I8" s="118">
        <v>129</v>
      </c>
      <c r="J8" s="118">
        <v>129</v>
      </c>
      <c r="K8" s="118">
        <v>129</v>
      </c>
      <c r="L8" s="118">
        <v>104</v>
      </c>
      <c r="M8" s="118">
        <v>129</v>
      </c>
      <c r="N8" s="123">
        <v>129</v>
      </c>
    </row>
    <row r="9" spans="1:14" ht="11.1" customHeight="1" x14ac:dyDescent="0.25">
      <c r="A9" s="14"/>
      <c r="B9" s="10">
        <v>2021</v>
      </c>
      <c r="C9" s="124">
        <v>102.5</v>
      </c>
      <c r="D9" s="120">
        <v>102.5</v>
      </c>
      <c r="E9" s="119">
        <v>102.5</v>
      </c>
      <c r="F9" s="119">
        <v>102.5</v>
      </c>
      <c r="G9" s="120">
        <v>102.5</v>
      </c>
      <c r="H9" s="119">
        <v>102.5</v>
      </c>
      <c r="I9" s="118">
        <v>129</v>
      </c>
      <c r="J9" s="119">
        <v>102.5</v>
      </c>
      <c r="K9" s="119">
        <v>102.5</v>
      </c>
      <c r="L9" s="119">
        <v>102.5</v>
      </c>
      <c r="M9" s="118">
        <v>107.5</v>
      </c>
      <c r="N9" s="120">
        <v>102.5</v>
      </c>
    </row>
    <row r="10" spans="1:14" ht="11.1" customHeight="1" x14ac:dyDescent="0.25">
      <c r="A10" s="14"/>
      <c r="B10" s="10">
        <v>2022</v>
      </c>
      <c r="C10" s="124">
        <v>117.5</v>
      </c>
      <c r="D10" s="120">
        <v>107.5</v>
      </c>
      <c r="E10" s="119">
        <v>107.5</v>
      </c>
      <c r="F10" s="119">
        <v>117.5</v>
      </c>
      <c r="G10" s="120">
        <v>107.5</v>
      </c>
      <c r="H10" s="119">
        <v>107.5</v>
      </c>
      <c r="I10" s="119">
        <v>107.5</v>
      </c>
      <c r="J10" s="119">
        <v>109</v>
      </c>
      <c r="K10" s="119">
        <v>119</v>
      </c>
      <c r="L10" s="119">
        <v>118</v>
      </c>
      <c r="M10" s="125" t="s">
        <v>138</v>
      </c>
      <c r="N10" s="120">
        <v>118</v>
      </c>
    </row>
    <row r="11" spans="1:14" ht="11.1" customHeight="1" x14ac:dyDescent="0.25">
      <c r="A11" s="14"/>
      <c r="B11" s="10">
        <v>2023</v>
      </c>
      <c r="C11" s="126" t="s">
        <v>4</v>
      </c>
      <c r="D11" s="126" t="s">
        <v>4</v>
      </c>
      <c r="E11" s="126" t="s">
        <v>4</v>
      </c>
      <c r="F11" s="119">
        <v>118</v>
      </c>
      <c r="G11" s="120">
        <v>115</v>
      </c>
      <c r="H11" s="119">
        <v>133</v>
      </c>
      <c r="I11" s="119">
        <v>152</v>
      </c>
      <c r="J11" s="119">
        <v>152</v>
      </c>
      <c r="K11" s="119">
        <v>155</v>
      </c>
      <c r="L11" s="119">
        <v>143</v>
      </c>
      <c r="M11" s="118">
        <v>123</v>
      </c>
      <c r="N11" s="119">
        <v>113</v>
      </c>
    </row>
    <row r="12" spans="1:14" ht="11.1" customHeight="1" x14ac:dyDescent="0.25">
      <c r="A12" s="14"/>
      <c r="B12" s="10">
        <v>2024</v>
      </c>
      <c r="C12" s="124">
        <v>113</v>
      </c>
      <c r="D12" s="124">
        <v>118</v>
      </c>
      <c r="E12" s="138" t="s">
        <v>4</v>
      </c>
      <c r="F12" s="119">
        <v>125</v>
      </c>
      <c r="G12" s="120">
        <v>133</v>
      </c>
      <c r="H12" s="119">
        <v>133</v>
      </c>
      <c r="I12" s="119">
        <v>135</v>
      </c>
      <c r="J12" s="119">
        <v>135</v>
      </c>
      <c r="K12" s="119">
        <v>139</v>
      </c>
      <c r="L12" s="119">
        <v>135.76805385556915</v>
      </c>
      <c r="M12" s="118">
        <v>133</v>
      </c>
      <c r="N12" s="119">
        <v>150</v>
      </c>
    </row>
    <row r="13" spans="1:14" ht="11.1" customHeight="1" x14ac:dyDescent="0.25">
      <c r="A13" s="127"/>
      <c r="B13" s="128">
        <v>2025</v>
      </c>
      <c r="C13" s="129">
        <v>149</v>
      </c>
      <c r="D13" s="129">
        <v>147</v>
      </c>
      <c r="E13" s="130">
        <v>121</v>
      </c>
      <c r="F13" s="144" t="s">
        <v>138</v>
      </c>
      <c r="G13" s="144" t="s">
        <v>138</v>
      </c>
      <c r="H13" s="121">
        <v>121</v>
      </c>
      <c r="I13" s="121">
        <v>131</v>
      </c>
      <c r="J13" s="121">
        <v>131</v>
      </c>
      <c r="K13" s="121">
        <v>101</v>
      </c>
      <c r="L13" s="121"/>
      <c r="M13" s="132"/>
      <c r="N13" s="121"/>
    </row>
    <row r="14" spans="1:14" ht="11.1" customHeight="1" x14ac:dyDescent="0.25">
      <c r="A14" s="133" t="s">
        <v>88</v>
      </c>
      <c r="B14" s="10">
        <v>2018</v>
      </c>
      <c r="C14" s="119">
        <v>73</v>
      </c>
      <c r="D14" s="120">
        <v>71</v>
      </c>
      <c r="E14" s="119">
        <v>70.5</v>
      </c>
      <c r="F14" s="119">
        <v>71</v>
      </c>
      <c r="G14" s="123">
        <v>71.5</v>
      </c>
      <c r="H14" s="118">
        <v>71.5</v>
      </c>
      <c r="I14" s="118">
        <v>71.5</v>
      </c>
      <c r="J14" s="118">
        <v>72</v>
      </c>
      <c r="K14" s="118">
        <v>71.5</v>
      </c>
      <c r="L14" s="118">
        <v>71.5</v>
      </c>
      <c r="M14" s="118">
        <v>71.5</v>
      </c>
      <c r="N14" s="123">
        <v>69.5</v>
      </c>
    </row>
    <row r="15" spans="1:14" ht="11.1" customHeight="1" x14ac:dyDescent="0.25">
      <c r="A15" s="133"/>
      <c r="B15" s="10">
        <v>2019</v>
      </c>
      <c r="C15" s="118">
        <v>68</v>
      </c>
      <c r="D15" s="123">
        <v>66</v>
      </c>
      <c r="E15" s="118">
        <v>67</v>
      </c>
      <c r="F15" s="118">
        <v>67</v>
      </c>
      <c r="G15" s="123">
        <v>67</v>
      </c>
      <c r="H15" s="118">
        <v>70</v>
      </c>
      <c r="I15" s="118">
        <v>69.599999999999994</v>
      </c>
      <c r="J15" s="119">
        <v>70.5</v>
      </c>
      <c r="K15" s="119">
        <v>70</v>
      </c>
      <c r="L15" s="119">
        <v>71</v>
      </c>
      <c r="M15" s="119">
        <v>71</v>
      </c>
      <c r="N15" s="120">
        <v>82.5</v>
      </c>
    </row>
    <row r="16" spans="1:14" ht="11.1" customHeight="1" x14ac:dyDescent="0.25">
      <c r="A16" s="133"/>
      <c r="B16" s="10">
        <v>2020</v>
      </c>
      <c r="C16" s="119">
        <v>82.5</v>
      </c>
      <c r="D16" s="134" t="s">
        <v>4</v>
      </c>
      <c r="E16" s="125" t="s">
        <v>138</v>
      </c>
      <c r="F16" s="125" t="s">
        <v>138</v>
      </c>
      <c r="G16" s="134" t="s">
        <v>138</v>
      </c>
      <c r="H16" s="125" t="s">
        <v>138</v>
      </c>
      <c r="I16" s="125" t="s">
        <v>4</v>
      </c>
      <c r="J16" s="118">
        <v>90</v>
      </c>
      <c r="K16" s="118">
        <v>90</v>
      </c>
      <c r="L16" s="119">
        <v>80</v>
      </c>
      <c r="M16" s="119">
        <v>80</v>
      </c>
      <c r="N16" s="120">
        <v>82.5</v>
      </c>
    </row>
    <row r="17" spans="1:14" ht="11.1" customHeight="1" x14ac:dyDescent="0.25">
      <c r="A17" s="133"/>
      <c r="B17" s="10">
        <v>2021</v>
      </c>
      <c r="C17" s="119">
        <v>82</v>
      </c>
      <c r="D17" s="123">
        <v>90</v>
      </c>
      <c r="E17" s="118">
        <v>90</v>
      </c>
      <c r="F17" s="118">
        <v>90</v>
      </c>
      <c r="G17" s="123">
        <v>90</v>
      </c>
      <c r="H17" s="122">
        <v>90</v>
      </c>
      <c r="I17" s="118">
        <v>90</v>
      </c>
      <c r="J17" s="118">
        <v>90</v>
      </c>
      <c r="K17" s="118">
        <v>95</v>
      </c>
      <c r="L17" s="118">
        <v>90</v>
      </c>
      <c r="M17" s="119">
        <v>95</v>
      </c>
      <c r="N17" s="120">
        <v>95</v>
      </c>
    </row>
    <row r="18" spans="1:14" ht="11.1" customHeight="1" x14ac:dyDescent="0.25">
      <c r="A18" s="133"/>
      <c r="B18" s="10">
        <v>2022</v>
      </c>
      <c r="C18" s="119">
        <v>95</v>
      </c>
      <c r="D18" s="123">
        <v>97.5</v>
      </c>
      <c r="E18" s="119">
        <v>95</v>
      </c>
      <c r="F18" s="119">
        <v>95</v>
      </c>
      <c r="G18" s="123">
        <v>95</v>
      </c>
      <c r="H18" s="122">
        <v>95</v>
      </c>
      <c r="I18" s="122">
        <v>95</v>
      </c>
      <c r="J18" s="118">
        <v>100</v>
      </c>
      <c r="K18" s="122">
        <v>95</v>
      </c>
      <c r="L18" s="118">
        <v>100</v>
      </c>
      <c r="M18" s="118">
        <v>100</v>
      </c>
      <c r="N18" s="123">
        <v>100</v>
      </c>
    </row>
    <row r="19" spans="1:14" ht="11.1" customHeight="1" x14ac:dyDescent="0.25">
      <c r="A19" s="133"/>
      <c r="B19" s="10">
        <v>2023</v>
      </c>
      <c r="C19" s="119">
        <v>95</v>
      </c>
      <c r="D19" s="118">
        <v>97.5</v>
      </c>
      <c r="E19" s="119">
        <v>100</v>
      </c>
      <c r="F19" s="119">
        <v>90</v>
      </c>
      <c r="G19" s="120">
        <v>90</v>
      </c>
      <c r="H19" s="119">
        <v>90</v>
      </c>
      <c r="I19" s="122">
        <v>88</v>
      </c>
      <c r="J19" s="122">
        <v>88</v>
      </c>
      <c r="K19" s="122">
        <v>89</v>
      </c>
      <c r="L19" s="118">
        <v>95</v>
      </c>
      <c r="M19" s="118">
        <v>105</v>
      </c>
      <c r="N19" s="118">
        <v>93</v>
      </c>
    </row>
    <row r="20" spans="1:14" ht="11.1" customHeight="1" x14ac:dyDescent="0.25">
      <c r="A20" s="133"/>
      <c r="B20" s="10">
        <v>2024</v>
      </c>
      <c r="C20" s="119">
        <v>90</v>
      </c>
      <c r="D20" s="118">
        <v>90</v>
      </c>
      <c r="E20" s="119">
        <v>90</v>
      </c>
      <c r="F20" s="119">
        <v>92</v>
      </c>
      <c r="G20" s="120">
        <v>93</v>
      </c>
      <c r="H20" s="119">
        <v>95</v>
      </c>
      <c r="I20" s="122">
        <v>95</v>
      </c>
      <c r="J20" s="122">
        <v>100</v>
      </c>
      <c r="K20" s="122">
        <v>83</v>
      </c>
      <c r="L20" s="118">
        <v>98.25</v>
      </c>
      <c r="M20" s="118">
        <v>95</v>
      </c>
      <c r="N20" s="118">
        <v>95</v>
      </c>
    </row>
    <row r="21" spans="1:14" ht="11.1" customHeight="1" x14ac:dyDescent="0.25">
      <c r="A21" s="135"/>
      <c r="B21" s="128">
        <v>2025</v>
      </c>
      <c r="C21" s="121">
        <v>96</v>
      </c>
      <c r="D21" s="132">
        <v>87</v>
      </c>
      <c r="E21" s="121">
        <v>95</v>
      </c>
      <c r="F21" s="121">
        <v>103</v>
      </c>
      <c r="G21" s="121">
        <v>101</v>
      </c>
      <c r="H21" s="121">
        <v>102</v>
      </c>
      <c r="I21" s="121">
        <v>99</v>
      </c>
      <c r="J21" s="121">
        <v>97</v>
      </c>
      <c r="K21" s="121">
        <v>106</v>
      </c>
      <c r="L21" s="132"/>
      <c r="M21" s="132"/>
      <c r="N21" s="132"/>
    </row>
    <row r="22" spans="1:14" ht="11.1" customHeight="1" x14ac:dyDescent="0.2">
      <c r="A22" s="629" t="s">
        <v>593</v>
      </c>
      <c r="B22" s="630">
        <v>2025</v>
      </c>
      <c r="C22" s="631" t="s">
        <v>4</v>
      </c>
      <c r="D22" s="631" t="s">
        <v>4</v>
      </c>
      <c r="E22" s="631" t="s">
        <v>4</v>
      </c>
      <c r="F22" s="631" t="s">
        <v>4</v>
      </c>
      <c r="G22" s="631" t="s">
        <v>4</v>
      </c>
      <c r="H22" s="631" t="s">
        <v>4</v>
      </c>
      <c r="I22" s="631" t="s">
        <v>4</v>
      </c>
      <c r="J22" s="631" t="s">
        <v>4</v>
      </c>
      <c r="K22" s="631">
        <v>168</v>
      </c>
      <c r="L22" s="631" t="s">
        <v>4</v>
      </c>
      <c r="M22" s="631" t="s">
        <v>4</v>
      </c>
      <c r="N22" s="631" t="s">
        <v>4</v>
      </c>
    </row>
    <row r="23" spans="1:14" ht="11.1" customHeight="1" x14ac:dyDescent="0.2">
      <c r="A23" s="156" t="s">
        <v>5</v>
      </c>
      <c r="B23" s="10">
        <v>2024</v>
      </c>
      <c r="C23" s="126" t="s">
        <v>4</v>
      </c>
      <c r="D23" s="126" t="s">
        <v>4</v>
      </c>
      <c r="E23" s="119">
        <v>110</v>
      </c>
      <c r="F23" s="119">
        <v>110</v>
      </c>
      <c r="G23" s="120">
        <v>115</v>
      </c>
      <c r="H23" s="119">
        <v>133</v>
      </c>
      <c r="I23" s="122">
        <v>128</v>
      </c>
      <c r="J23" s="122">
        <v>128</v>
      </c>
      <c r="K23" s="122">
        <v>117</v>
      </c>
      <c r="L23" s="118">
        <v>116.66666666666667</v>
      </c>
      <c r="M23" s="118">
        <v>85</v>
      </c>
      <c r="N23" s="118">
        <v>115</v>
      </c>
    </row>
    <row r="24" spans="1:14" ht="11.1" customHeight="1" x14ac:dyDescent="0.2">
      <c r="A24" s="155"/>
      <c r="B24" s="128">
        <v>2025</v>
      </c>
      <c r="C24" s="121">
        <v>110</v>
      </c>
      <c r="D24" s="139">
        <v>100</v>
      </c>
      <c r="E24" s="121">
        <v>106</v>
      </c>
      <c r="F24" s="121">
        <v>112</v>
      </c>
      <c r="G24" s="121">
        <v>110</v>
      </c>
      <c r="H24" s="121">
        <v>111</v>
      </c>
      <c r="I24" s="121">
        <v>115</v>
      </c>
      <c r="J24" s="121">
        <v>116</v>
      </c>
      <c r="K24" s="121">
        <v>112</v>
      </c>
      <c r="L24" s="132"/>
      <c r="M24" s="132"/>
      <c r="N24" s="132"/>
    </row>
    <row r="25" spans="1:14" ht="11.1" customHeight="1" x14ac:dyDescent="0.25">
      <c r="A25" s="133" t="s">
        <v>107</v>
      </c>
      <c r="B25" s="10">
        <v>2018</v>
      </c>
      <c r="C25" s="119">
        <v>73</v>
      </c>
      <c r="D25" s="118">
        <v>68</v>
      </c>
      <c r="E25" s="119">
        <v>70</v>
      </c>
      <c r="F25" s="119">
        <v>70</v>
      </c>
      <c r="G25" s="123">
        <v>71</v>
      </c>
      <c r="H25" s="118">
        <v>71</v>
      </c>
      <c r="I25" s="118">
        <v>72.3</v>
      </c>
      <c r="J25" s="118">
        <v>71</v>
      </c>
      <c r="K25" s="118">
        <v>71</v>
      </c>
      <c r="L25" s="118">
        <v>74.5</v>
      </c>
      <c r="M25" s="118">
        <v>74.5</v>
      </c>
      <c r="N25" s="123">
        <v>74.5</v>
      </c>
    </row>
    <row r="26" spans="1:14" ht="11.1" customHeight="1" x14ac:dyDescent="0.25">
      <c r="A26" s="133"/>
      <c r="B26" s="10">
        <v>2019</v>
      </c>
      <c r="C26" s="118">
        <v>71</v>
      </c>
      <c r="D26" s="118">
        <v>72</v>
      </c>
      <c r="E26" s="118">
        <v>74</v>
      </c>
      <c r="F26" s="118">
        <v>74</v>
      </c>
      <c r="G26" s="123">
        <v>75</v>
      </c>
      <c r="H26" s="118">
        <v>75</v>
      </c>
      <c r="I26" s="118">
        <v>74.45</v>
      </c>
      <c r="J26" s="119">
        <v>74.5</v>
      </c>
      <c r="K26" s="119">
        <v>82.5</v>
      </c>
      <c r="L26" s="119">
        <v>82.5</v>
      </c>
      <c r="M26" s="119">
        <v>82.5</v>
      </c>
      <c r="N26" s="120">
        <v>100</v>
      </c>
    </row>
    <row r="27" spans="1:14" ht="11.1" customHeight="1" x14ac:dyDescent="0.25">
      <c r="A27" s="133"/>
      <c r="B27" s="10">
        <v>2020</v>
      </c>
      <c r="C27" s="119">
        <v>120</v>
      </c>
      <c r="D27" s="118">
        <v>112.5</v>
      </c>
      <c r="E27" s="118">
        <v>117.5</v>
      </c>
      <c r="F27" s="118">
        <v>117.5</v>
      </c>
      <c r="G27" s="123">
        <v>117.5</v>
      </c>
      <c r="H27" s="118">
        <v>117.5</v>
      </c>
      <c r="I27" s="118">
        <v>95</v>
      </c>
      <c r="J27" s="118">
        <v>95</v>
      </c>
      <c r="K27" s="119">
        <v>112.5</v>
      </c>
      <c r="L27" s="119">
        <v>120</v>
      </c>
      <c r="M27" s="119">
        <v>112.5</v>
      </c>
      <c r="N27" s="120">
        <v>112.5</v>
      </c>
    </row>
    <row r="28" spans="1:14" ht="11.1" customHeight="1" x14ac:dyDescent="0.25">
      <c r="A28" s="133"/>
      <c r="B28" s="10">
        <v>2021</v>
      </c>
      <c r="C28" s="119">
        <v>112.5</v>
      </c>
      <c r="D28" s="119">
        <v>107.5</v>
      </c>
      <c r="E28" s="118">
        <v>72.5</v>
      </c>
      <c r="F28" s="118">
        <v>72.5</v>
      </c>
      <c r="G28" s="123">
        <v>80</v>
      </c>
      <c r="H28" s="118">
        <v>90</v>
      </c>
      <c r="I28" s="118">
        <v>77.5</v>
      </c>
      <c r="J28" s="118">
        <v>105</v>
      </c>
      <c r="K28" s="118">
        <v>80</v>
      </c>
      <c r="L28" s="118">
        <v>80</v>
      </c>
      <c r="M28" s="119">
        <v>110</v>
      </c>
      <c r="N28" s="120">
        <v>110</v>
      </c>
    </row>
    <row r="29" spans="1:14" ht="11.1" customHeight="1" x14ac:dyDescent="0.25">
      <c r="A29" s="133"/>
      <c r="B29" s="10">
        <v>2022</v>
      </c>
      <c r="C29" s="119">
        <v>102.5</v>
      </c>
      <c r="D29" s="118">
        <v>80</v>
      </c>
      <c r="E29" s="118">
        <v>85</v>
      </c>
      <c r="F29" s="118">
        <v>85</v>
      </c>
      <c r="G29" s="123">
        <v>85</v>
      </c>
      <c r="H29" s="118">
        <v>85</v>
      </c>
      <c r="I29" s="118">
        <v>85</v>
      </c>
      <c r="J29" s="118">
        <v>85</v>
      </c>
      <c r="K29" s="118">
        <v>105</v>
      </c>
      <c r="L29" s="118">
        <v>115</v>
      </c>
      <c r="M29" s="119">
        <v>90</v>
      </c>
      <c r="N29" s="120">
        <v>95</v>
      </c>
    </row>
    <row r="30" spans="1:14" ht="11.1" customHeight="1" x14ac:dyDescent="0.25">
      <c r="A30" s="133"/>
      <c r="B30" s="10">
        <v>2023</v>
      </c>
      <c r="C30" s="119">
        <v>100</v>
      </c>
      <c r="D30" s="118">
        <v>80</v>
      </c>
      <c r="E30" s="118">
        <v>80</v>
      </c>
      <c r="F30" s="118">
        <v>85</v>
      </c>
      <c r="G30" s="123">
        <v>90</v>
      </c>
      <c r="H30" s="118">
        <v>105</v>
      </c>
      <c r="I30" s="118">
        <v>105</v>
      </c>
      <c r="J30" s="118">
        <v>105</v>
      </c>
      <c r="K30" s="118">
        <v>105</v>
      </c>
      <c r="L30" s="118">
        <v>125</v>
      </c>
      <c r="M30" s="119">
        <v>120</v>
      </c>
      <c r="N30" s="119">
        <v>120</v>
      </c>
    </row>
    <row r="31" spans="1:14" ht="11.1" customHeight="1" x14ac:dyDescent="0.25">
      <c r="A31" s="133"/>
      <c r="B31" s="10">
        <v>2024</v>
      </c>
      <c r="C31" s="119">
        <v>115</v>
      </c>
      <c r="D31" s="118">
        <v>120</v>
      </c>
      <c r="E31" s="118">
        <v>130</v>
      </c>
      <c r="F31" s="118">
        <v>120</v>
      </c>
      <c r="G31" s="123">
        <v>120</v>
      </c>
      <c r="H31" s="118">
        <v>120</v>
      </c>
      <c r="I31" s="118">
        <v>120</v>
      </c>
      <c r="J31" s="118">
        <v>120</v>
      </c>
      <c r="K31" s="118">
        <v>106</v>
      </c>
      <c r="L31" s="118">
        <v>99.324362041467325</v>
      </c>
      <c r="M31" s="119">
        <v>84</v>
      </c>
      <c r="N31" s="119">
        <v>81</v>
      </c>
    </row>
    <row r="32" spans="1:14" ht="11.1" customHeight="1" x14ac:dyDescent="0.25">
      <c r="A32" s="135"/>
      <c r="B32" s="128">
        <v>2025</v>
      </c>
      <c r="C32" s="121">
        <v>85</v>
      </c>
      <c r="D32" s="132">
        <v>88</v>
      </c>
      <c r="E32" s="132">
        <v>86</v>
      </c>
      <c r="F32" s="132">
        <v>83</v>
      </c>
      <c r="G32" s="132">
        <v>81</v>
      </c>
      <c r="H32" s="132">
        <v>86</v>
      </c>
      <c r="I32" s="132">
        <v>89</v>
      </c>
      <c r="J32" s="132">
        <v>89</v>
      </c>
      <c r="K32" s="132">
        <v>85</v>
      </c>
      <c r="L32" s="132"/>
      <c r="M32" s="121"/>
      <c r="N32" s="121"/>
    </row>
    <row r="33" spans="1:14" ht="11.1" customHeight="1" x14ac:dyDescent="0.25">
      <c r="A33" s="27" t="s">
        <v>108</v>
      </c>
      <c r="B33" s="10">
        <v>2018</v>
      </c>
      <c r="C33" s="119">
        <v>60</v>
      </c>
      <c r="D33" s="119">
        <v>60</v>
      </c>
      <c r="E33" s="119">
        <v>60</v>
      </c>
      <c r="F33" s="119">
        <v>60</v>
      </c>
      <c r="G33" s="120">
        <v>60</v>
      </c>
      <c r="H33" s="119">
        <v>60</v>
      </c>
      <c r="I33" s="118">
        <v>60.269230769230766</v>
      </c>
      <c r="J33" s="119">
        <v>60</v>
      </c>
      <c r="K33" s="119">
        <v>60</v>
      </c>
      <c r="L33" s="119">
        <v>60</v>
      </c>
      <c r="M33" s="119">
        <v>60</v>
      </c>
      <c r="N33" s="120">
        <v>60</v>
      </c>
    </row>
    <row r="34" spans="1:14" ht="11.1" customHeight="1" x14ac:dyDescent="0.25">
      <c r="A34" s="133"/>
      <c r="B34" s="10">
        <v>2019</v>
      </c>
      <c r="C34" s="118">
        <v>61</v>
      </c>
      <c r="D34" s="118">
        <v>61</v>
      </c>
      <c r="E34" s="118">
        <v>61</v>
      </c>
      <c r="F34" s="118">
        <v>63</v>
      </c>
      <c r="G34" s="123">
        <v>69</v>
      </c>
      <c r="H34" s="118">
        <v>61</v>
      </c>
      <c r="I34" s="118">
        <v>60.653846153846153</v>
      </c>
      <c r="J34" s="119">
        <v>63</v>
      </c>
      <c r="K34" s="119">
        <v>60</v>
      </c>
      <c r="L34" s="118">
        <v>77.5</v>
      </c>
      <c r="M34" s="119">
        <v>72.5</v>
      </c>
      <c r="N34" s="120">
        <v>80</v>
      </c>
    </row>
    <row r="35" spans="1:14" ht="11.1" customHeight="1" x14ac:dyDescent="0.25">
      <c r="A35" s="133"/>
      <c r="B35" s="10">
        <v>2020</v>
      </c>
      <c r="C35" s="119">
        <v>102.5</v>
      </c>
      <c r="D35" s="125" t="s">
        <v>4</v>
      </c>
      <c r="E35" s="125" t="s">
        <v>138</v>
      </c>
      <c r="F35" s="125" t="s">
        <v>138</v>
      </c>
      <c r="G35" s="134" t="s">
        <v>138</v>
      </c>
      <c r="H35" s="118">
        <v>107</v>
      </c>
      <c r="I35" s="118">
        <v>100.25</v>
      </c>
      <c r="J35" s="119">
        <v>89</v>
      </c>
      <c r="K35" s="119">
        <v>102.5</v>
      </c>
      <c r="L35" s="119">
        <v>102.5</v>
      </c>
      <c r="M35" s="119">
        <v>80</v>
      </c>
      <c r="N35" s="120">
        <v>80</v>
      </c>
    </row>
    <row r="36" spans="1:14" ht="11.1" customHeight="1" x14ac:dyDescent="0.25">
      <c r="A36" s="133"/>
      <c r="B36" s="10">
        <v>2021</v>
      </c>
      <c r="C36" s="119">
        <v>100</v>
      </c>
      <c r="D36" s="119">
        <v>100</v>
      </c>
      <c r="E36" s="119">
        <v>100</v>
      </c>
      <c r="F36" s="118">
        <v>95</v>
      </c>
      <c r="G36" s="120">
        <v>100</v>
      </c>
      <c r="H36" s="125" t="s">
        <v>138</v>
      </c>
      <c r="I36" s="122">
        <v>112.5</v>
      </c>
      <c r="J36" s="118">
        <v>107.5</v>
      </c>
      <c r="K36" s="118">
        <v>107.5</v>
      </c>
      <c r="L36" s="118">
        <v>107.5</v>
      </c>
      <c r="M36" s="119">
        <v>95</v>
      </c>
      <c r="N36" s="119">
        <v>95</v>
      </c>
    </row>
    <row r="37" spans="1:14" ht="11.1" customHeight="1" x14ac:dyDescent="0.25">
      <c r="A37" s="133"/>
      <c r="B37" s="10">
        <v>2022</v>
      </c>
      <c r="C37" s="119">
        <v>122.5</v>
      </c>
      <c r="D37" s="119">
        <v>110.5</v>
      </c>
      <c r="E37" s="119">
        <v>107.5</v>
      </c>
      <c r="F37" s="118">
        <v>95</v>
      </c>
      <c r="G37" s="120">
        <v>106</v>
      </c>
      <c r="H37" s="118">
        <v>112.5</v>
      </c>
      <c r="I37" s="118">
        <v>113</v>
      </c>
      <c r="J37" s="118">
        <v>113</v>
      </c>
      <c r="K37" s="118">
        <v>112.5</v>
      </c>
      <c r="L37" s="118">
        <v>113</v>
      </c>
      <c r="M37" s="119">
        <v>120</v>
      </c>
      <c r="N37" s="120">
        <v>113</v>
      </c>
    </row>
    <row r="38" spans="1:14" ht="11.1" customHeight="1" x14ac:dyDescent="0.25">
      <c r="A38" s="133"/>
      <c r="B38" s="10">
        <v>2023</v>
      </c>
      <c r="C38" s="138" t="s">
        <v>4</v>
      </c>
      <c r="D38" s="119">
        <v>82</v>
      </c>
      <c r="E38" s="119">
        <v>82</v>
      </c>
      <c r="F38" s="119">
        <v>82</v>
      </c>
      <c r="G38" s="120">
        <v>82</v>
      </c>
      <c r="H38" s="118">
        <v>81</v>
      </c>
      <c r="I38" s="118">
        <v>86</v>
      </c>
      <c r="J38" s="118">
        <v>86</v>
      </c>
      <c r="K38" s="118">
        <v>90</v>
      </c>
      <c r="L38" s="118">
        <v>93</v>
      </c>
      <c r="M38" s="119">
        <v>91</v>
      </c>
      <c r="N38" s="119">
        <v>93</v>
      </c>
    </row>
    <row r="39" spans="1:14" ht="11.1" customHeight="1" x14ac:dyDescent="0.25">
      <c r="A39" s="133"/>
      <c r="B39" s="10">
        <v>2024</v>
      </c>
      <c r="C39" s="119">
        <v>93</v>
      </c>
      <c r="D39" s="119">
        <v>118</v>
      </c>
      <c r="E39" s="119">
        <v>106</v>
      </c>
      <c r="F39" s="119">
        <v>118</v>
      </c>
      <c r="G39" s="120">
        <v>100</v>
      </c>
      <c r="H39" s="118">
        <v>118</v>
      </c>
      <c r="I39" s="118">
        <v>118</v>
      </c>
      <c r="J39" s="118">
        <v>115</v>
      </c>
      <c r="K39" s="118">
        <v>96.5</v>
      </c>
      <c r="L39" s="118">
        <v>89.122340425531917</v>
      </c>
      <c r="M39" s="119">
        <v>85</v>
      </c>
      <c r="N39" s="120">
        <v>124</v>
      </c>
    </row>
    <row r="40" spans="1:14" ht="11.1" customHeight="1" x14ac:dyDescent="0.25">
      <c r="A40" s="135"/>
      <c r="B40" s="128">
        <v>2025</v>
      </c>
      <c r="C40" s="121">
        <v>112</v>
      </c>
      <c r="D40" s="121">
        <v>106</v>
      </c>
      <c r="E40" s="121">
        <v>97</v>
      </c>
      <c r="F40" s="121">
        <v>96</v>
      </c>
      <c r="G40" s="121">
        <v>104</v>
      </c>
      <c r="H40" s="132">
        <v>97</v>
      </c>
      <c r="I40" s="132">
        <v>95</v>
      </c>
      <c r="J40" s="132">
        <v>94</v>
      </c>
      <c r="K40" s="132">
        <v>91</v>
      </c>
      <c r="L40" s="132"/>
      <c r="M40" s="121"/>
      <c r="N40" s="131"/>
    </row>
    <row r="41" spans="1:14" ht="11.1" customHeight="1" x14ac:dyDescent="0.25">
      <c r="A41" s="133" t="s">
        <v>139</v>
      </c>
      <c r="B41" s="10">
        <v>2018</v>
      </c>
      <c r="C41" s="119">
        <v>64</v>
      </c>
      <c r="D41" s="120">
        <v>64</v>
      </c>
      <c r="E41" s="119">
        <v>62</v>
      </c>
      <c r="F41" s="118">
        <v>63</v>
      </c>
      <c r="G41" s="120">
        <v>62</v>
      </c>
      <c r="H41" s="118">
        <v>66</v>
      </c>
      <c r="I41" s="118">
        <v>65.13636363636364</v>
      </c>
      <c r="J41" s="118">
        <v>63</v>
      </c>
      <c r="K41" s="125" t="s">
        <v>138</v>
      </c>
      <c r="L41" s="118">
        <v>65</v>
      </c>
      <c r="M41" s="118">
        <v>65</v>
      </c>
      <c r="N41" s="123">
        <v>66</v>
      </c>
    </row>
    <row r="42" spans="1:14" ht="11.1" customHeight="1" x14ac:dyDescent="0.25">
      <c r="A42" s="133"/>
      <c r="B42" s="10">
        <v>2019</v>
      </c>
      <c r="C42" s="118">
        <v>72</v>
      </c>
      <c r="D42" s="123">
        <v>71</v>
      </c>
      <c r="E42" s="118">
        <v>71</v>
      </c>
      <c r="F42" s="118">
        <v>70</v>
      </c>
      <c r="G42" s="123">
        <v>68.5</v>
      </c>
      <c r="H42" s="118">
        <v>69.5</v>
      </c>
      <c r="I42" s="118">
        <v>69.5</v>
      </c>
      <c r="J42" s="119">
        <v>69</v>
      </c>
      <c r="K42" s="119">
        <v>82</v>
      </c>
      <c r="L42" s="119">
        <v>83</v>
      </c>
      <c r="M42" s="119">
        <v>83</v>
      </c>
      <c r="N42" s="120">
        <v>83</v>
      </c>
    </row>
    <row r="43" spans="1:14" ht="11.1" customHeight="1" x14ac:dyDescent="0.25">
      <c r="A43" s="133"/>
      <c r="B43" s="10">
        <v>2020</v>
      </c>
      <c r="C43" s="119">
        <v>83</v>
      </c>
      <c r="D43" s="134" t="s">
        <v>4</v>
      </c>
      <c r="E43" s="125" t="s">
        <v>138</v>
      </c>
      <c r="F43" s="125" t="s">
        <v>138</v>
      </c>
      <c r="G43" s="134" t="s">
        <v>138</v>
      </c>
      <c r="H43" s="125" t="s">
        <v>138</v>
      </c>
      <c r="I43" s="125" t="s">
        <v>4</v>
      </c>
      <c r="J43" s="125" t="s">
        <v>138</v>
      </c>
      <c r="K43" s="125" t="s">
        <v>138</v>
      </c>
      <c r="L43" s="125" t="s">
        <v>138</v>
      </c>
      <c r="M43" s="125" t="s">
        <v>138</v>
      </c>
      <c r="N43" s="134" t="s">
        <v>138</v>
      </c>
    </row>
    <row r="44" spans="1:14" ht="11.1" customHeight="1" x14ac:dyDescent="0.25">
      <c r="A44" s="133"/>
      <c r="B44" s="10">
        <v>2021</v>
      </c>
      <c r="C44" s="125" t="s">
        <v>138</v>
      </c>
      <c r="D44" s="134" t="s">
        <v>4</v>
      </c>
      <c r="E44" s="125" t="s">
        <v>138</v>
      </c>
      <c r="F44" s="125" t="s">
        <v>138</v>
      </c>
      <c r="G44" s="134" t="s">
        <v>138</v>
      </c>
      <c r="H44" s="125" t="s">
        <v>138</v>
      </c>
      <c r="I44" s="122">
        <v>77.5</v>
      </c>
      <c r="J44" s="122">
        <v>77.5</v>
      </c>
      <c r="K44" s="125" t="s">
        <v>138</v>
      </c>
      <c r="L44" s="125" t="s">
        <v>138</v>
      </c>
      <c r="M44" s="119">
        <v>77.5</v>
      </c>
      <c r="N44" s="134" t="s">
        <v>138</v>
      </c>
    </row>
    <row r="45" spans="1:14" ht="11.1" customHeight="1" x14ac:dyDescent="0.25">
      <c r="A45" s="133"/>
      <c r="B45" s="10">
        <v>2022</v>
      </c>
      <c r="C45" s="119">
        <v>75</v>
      </c>
      <c r="D45" s="120">
        <v>77.5</v>
      </c>
      <c r="E45" s="119">
        <v>90</v>
      </c>
      <c r="F45" s="118">
        <v>77.5</v>
      </c>
      <c r="G45" s="123">
        <v>77.5</v>
      </c>
      <c r="H45" s="118">
        <v>77.5</v>
      </c>
      <c r="I45" s="118">
        <v>77.5</v>
      </c>
      <c r="J45" s="118">
        <v>77.5</v>
      </c>
      <c r="K45" s="118">
        <v>77.5</v>
      </c>
      <c r="L45" s="118">
        <v>77.5</v>
      </c>
      <c r="M45" s="125" t="s">
        <v>138</v>
      </c>
      <c r="N45" s="123">
        <v>77.5</v>
      </c>
    </row>
    <row r="46" spans="1:14" ht="11.1" customHeight="1" x14ac:dyDescent="0.25">
      <c r="A46" s="133"/>
      <c r="B46" s="10">
        <v>2023</v>
      </c>
      <c r="C46" s="119">
        <v>77.5</v>
      </c>
      <c r="D46" s="119">
        <v>77.5</v>
      </c>
      <c r="E46" s="119">
        <v>77.5</v>
      </c>
      <c r="F46" s="125" t="s">
        <v>138</v>
      </c>
      <c r="G46" s="134" t="s">
        <v>138</v>
      </c>
      <c r="H46" s="118">
        <v>77.5</v>
      </c>
      <c r="I46" s="118">
        <v>78</v>
      </c>
      <c r="J46" s="118">
        <v>78</v>
      </c>
      <c r="K46" s="118">
        <v>78</v>
      </c>
      <c r="L46" s="118">
        <v>78</v>
      </c>
      <c r="M46" s="118">
        <v>78</v>
      </c>
      <c r="N46" s="118">
        <v>90</v>
      </c>
    </row>
    <row r="47" spans="1:14" ht="11.1" customHeight="1" x14ac:dyDescent="0.25">
      <c r="A47" s="133"/>
      <c r="B47" s="10">
        <v>2024</v>
      </c>
      <c r="C47" s="119">
        <v>90</v>
      </c>
      <c r="D47" s="119">
        <v>90</v>
      </c>
      <c r="E47" s="119">
        <v>90</v>
      </c>
      <c r="F47" s="118">
        <v>90</v>
      </c>
      <c r="G47" s="123">
        <v>90</v>
      </c>
      <c r="H47" s="118">
        <v>90</v>
      </c>
      <c r="I47" s="118">
        <v>85</v>
      </c>
      <c r="J47" s="118">
        <v>90</v>
      </c>
      <c r="K47" s="118">
        <v>86</v>
      </c>
      <c r="L47" s="126" t="s">
        <v>4</v>
      </c>
      <c r="M47" s="126" t="s">
        <v>4</v>
      </c>
      <c r="N47" s="126" t="s">
        <v>4</v>
      </c>
    </row>
    <row r="48" spans="1:14" ht="11.1" customHeight="1" x14ac:dyDescent="0.25">
      <c r="A48" s="135"/>
      <c r="B48" s="128">
        <v>2025</v>
      </c>
      <c r="C48" s="144" t="s">
        <v>138</v>
      </c>
      <c r="D48" s="144" t="s">
        <v>138</v>
      </c>
      <c r="E48" s="144" t="s">
        <v>138</v>
      </c>
      <c r="F48" s="144" t="s">
        <v>138</v>
      </c>
      <c r="G48" s="144" t="s">
        <v>138</v>
      </c>
      <c r="H48" s="144" t="s">
        <v>138</v>
      </c>
      <c r="I48" s="144" t="s">
        <v>138</v>
      </c>
      <c r="J48" s="144" t="s">
        <v>138</v>
      </c>
      <c r="K48" s="144" t="s">
        <v>138</v>
      </c>
      <c r="L48" s="139"/>
      <c r="M48" s="139"/>
      <c r="N48" s="132"/>
    </row>
    <row r="49" spans="1:14" ht="11.1" customHeight="1" x14ac:dyDescent="0.25">
      <c r="A49" s="14" t="s">
        <v>15</v>
      </c>
      <c r="B49" s="10">
        <v>2018</v>
      </c>
      <c r="C49" s="119">
        <v>70</v>
      </c>
      <c r="D49" s="120">
        <v>70</v>
      </c>
      <c r="E49" s="119">
        <v>70</v>
      </c>
      <c r="F49" s="118">
        <v>71</v>
      </c>
      <c r="G49" s="123">
        <v>73</v>
      </c>
      <c r="H49" s="118">
        <v>73</v>
      </c>
      <c r="I49" s="118">
        <v>72.900000000000006</v>
      </c>
      <c r="J49" s="118">
        <v>73</v>
      </c>
      <c r="K49" s="118">
        <v>73</v>
      </c>
      <c r="L49" s="118">
        <v>75</v>
      </c>
      <c r="M49" s="118">
        <v>75</v>
      </c>
      <c r="N49" s="123">
        <v>74</v>
      </c>
    </row>
    <row r="50" spans="1:14" ht="11.1" customHeight="1" x14ac:dyDescent="0.25">
      <c r="A50" s="14"/>
      <c r="B50" s="10">
        <v>2019</v>
      </c>
      <c r="C50" s="118">
        <v>74</v>
      </c>
      <c r="D50" s="123">
        <v>74</v>
      </c>
      <c r="E50" s="118">
        <v>74</v>
      </c>
      <c r="F50" s="118">
        <v>74</v>
      </c>
      <c r="G50" s="123">
        <v>74</v>
      </c>
      <c r="H50" s="118">
        <v>74</v>
      </c>
      <c r="I50" s="118">
        <v>74.285714285714292</v>
      </c>
      <c r="J50" s="118">
        <v>74</v>
      </c>
      <c r="K50" s="119">
        <v>75</v>
      </c>
      <c r="L50" s="119">
        <v>75</v>
      </c>
      <c r="M50" s="119">
        <v>75</v>
      </c>
      <c r="N50" s="120">
        <v>75</v>
      </c>
    </row>
    <row r="51" spans="1:14" ht="11.1" customHeight="1" x14ac:dyDescent="0.25">
      <c r="A51" s="14"/>
      <c r="B51" s="10">
        <v>2020</v>
      </c>
      <c r="C51" s="119">
        <v>75</v>
      </c>
      <c r="D51" s="134" t="s">
        <v>4</v>
      </c>
      <c r="E51" s="125" t="s">
        <v>138</v>
      </c>
      <c r="F51" s="125" t="s">
        <v>138</v>
      </c>
      <c r="G51" s="120">
        <v>75</v>
      </c>
      <c r="H51" s="119">
        <v>75</v>
      </c>
      <c r="I51" s="119">
        <v>75</v>
      </c>
      <c r="J51" s="122">
        <v>75</v>
      </c>
      <c r="K51" s="125" t="s">
        <v>138</v>
      </c>
      <c r="L51" s="119">
        <v>75</v>
      </c>
      <c r="M51" s="119">
        <v>75</v>
      </c>
      <c r="N51" s="120">
        <v>75</v>
      </c>
    </row>
    <row r="52" spans="1:14" ht="11.1" customHeight="1" x14ac:dyDescent="0.25">
      <c r="A52" s="14"/>
      <c r="B52" s="10">
        <v>2021</v>
      </c>
      <c r="C52" s="119">
        <v>75</v>
      </c>
      <c r="D52" s="120">
        <v>75</v>
      </c>
      <c r="E52" s="119">
        <v>75</v>
      </c>
      <c r="F52" s="119">
        <v>75</v>
      </c>
      <c r="G52" s="120">
        <v>75</v>
      </c>
      <c r="H52" s="119">
        <v>75</v>
      </c>
      <c r="I52" s="119">
        <v>75</v>
      </c>
      <c r="J52" s="119">
        <v>75</v>
      </c>
      <c r="K52" s="119">
        <v>75</v>
      </c>
      <c r="L52" s="119">
        <v>75</v>
      </c>
      <c r="M52" s="119">
        <v>75</v>
      </c>
      <c r="N52" s="120">
        <v>85</v>
      </c>
    </row>
    <row r="53" spans="1:14" ht="11.1" customHeight="1" x14ac:dyDescent="0.25">
      <c r="A53" s="14"/>
      <c r="B53" s="10">
        <v>2022</v>
      </c>
      <c r="C53" s="119">
        <v>85</v>
      </c>
      <c r="D53" s="120">
        <v>85</v>
      </c>
      <c r="E53" s="119">
        <v>85</v>
      </c>
      <c r="F53" s="119">
        <v>85</v>
      </c>
      <c r="G53" s="120">
        <v>85</v>
      </c>
      <c r="H53" s="119">
        <v>85</v>
      </c>
      <c r="I53" s="119">
        <v>85</v>
      </c>
      <c r="J53" s="119">
        <v>85</v>
      </c>
      <c r="K53" s="119">
        <v>85</v>
      </c>
      <c r="L53" s="119">
        <v>85</v>
      </c>
      <c r="M53" s="119">
        <v>85</v>
      </c>
      <c r="N53" s="120">
        <v>85</v>
      </c>
    </row>
    <row r="54" spans="1:14" ht="11.1" customHeight="1" x14ac:dyDescent="0.25">
      <c r="A54" s="14"/>
      <c r="B54" s="10">
        <v>2023</v>
      </c>
      <c r="C54" s="119">
        <v>85</v>
      </c>
      <c r="D54" s="119">
        <v>85</v>
      </c>
      <c r="E54" s="119">
        <v>85</v>
      </c>
      <c r="F54" s="119">
        <v>85</v>
      </c>
      <c r="G54" s="120">
        <v>85</v>
      </c>
      <c r="H54" s="119">
        <v>85</v>
      </c>
      <c r="I54" s="119">
        <v>85</v>
      </c>
      <c r="J54" s="119">
        <v>85</v>
      </c>
      <c r="K54" s="119">
        <v>85</v>
      </c>
      <c r="L54" s="119">
        <v>85</v>
      </c>
      <c r="M54" s="119">
        <v>85</v>
      </c>
      <c r="N54" s="119">
        <v>85</v>
      </c>
    </row>
    <row r="55" spans="1:14" ht="11.1" customHeight="1" x14ac:dyDescent="0.25">
      <c r="A55" s="14"/>
      <c r="B55" s="10">
        <v>2024</v>
      </c>
      <c r="C55" s="119">
        <v>85</v>
      </c>
      <c r="D55" s="119">
        <v>90</v>
      </c>
      <c r="E55" s="119">
        <v>90</v>
      </c>
      <c r="F55" s="119">
        <v>90</v>
      </c>
      <c r="G55" s="120">
        <v>90</v>
      </c>
      <c r="H55" s="119">
        <v>90</v>
      </c>
      <c r="I55" s="119">
        <v>90</v>
      </c>
      <c r="J55" s="119">
        <v>90</v>
      </c>
      <c r="K55" s="119">
        <v>84</v>
      </c>
      <c r="L55" s="119">
        <v>94.622107864552547</v>
      </c>
      <c r="M55" s="119">
        <v>90</v>
      </c>
      <c r="N55" s="119">
        <v>92</v>
      </c>
    </row>
    <row r="56" spans="1:14" ht="11.1" customHeight="1" x14ac:dyDescent="0.25">
      <c r="A56" s="127"/>
      <c r="B56" s="128">
        <v>2025</v>
      </c>
      <c r="C56" s="121">
        <v>104</v>
      </c>
      <c r="D56" s="121">
        <v>95</v>
      </c>
      <c r="E56" s="121">
        <v>106</v>
      </c>
      <c r="F56" s="121">
        <v>98</v>
      </c>
      <c r="G56" s="121">
        <v>91</v>
      </c>
      <c r="H56" s="121">
        <v>90</v>
      </c>
      <c r="I56" s="121">
        <v>89</v>
      </c>
      <c r="J56" s="121">
        <v>89</v>
      </c>
      <c r="K56" s="121">
        <v>94</v>
      </c>
      <c r="L56" s="121"/>
      <c r="M56" s="121"/>
      <c r="N56" s="121"/>
    </row>
    <row r="57" spans="1:14" ht="11.1" customHeight="1" x14ac:dyDescent="0.25">
      <c r="A57" s="14" t="s">
        <v>19</v>
      </c>
      <c r="B57" s="10">
        <v>2018</v>
      </c>
      <c r="C57" s="119">
        <v>86.571428571428569</v>
      </c>
      <c r="D57" s="120">
        <v>86.5</v>
      </c>
      <c r="E57" s="119">
        <v>82</v>
      </c>
      <c r="F57" s="118">
        <v>89</v>
      </c>
      <c r="G57" s="123">
        <v>89</v>
      </c>
      <c r="H57" s="118">
        <v>84</v>
      </c>
      <c r="I57" s="118">
        <v>83.357142857142861</v>
      </c>
      <c r="J57" s="118">
        <v>96</v>
      </c>
      <c r="K57" s="118">
        <v>96</v>
      </c>
      <c r="L57" s="118">
        <v>97</v>
      </c>
      <c r="M57" s="118">
        <v>97</v>
      </c>
      <c r="N57" s="123">
        <v>94.6</v>
      </c>
    </row>
    <row r="58" spans="1:14" ht="11.1" customHeight="1" x14ac:dyDescent="0.25">
      <c r="A58" s="14"/>
      <c r="B58" s="10">
        <v>2019</v>
      </c>
      <c r="C58" s="118">
        <v>95</v>
      </c>
      <c r="D58" s="123">
        <v>97</v>
      </c>
      <c r="E58" s="118">
        <v>98</v>
      </c>
      <c r="F58" s="118">
        <v>98</v>
      </c>
      <c r="G58" s="123">
        <v>99</v>
      </c>
      <c r="H58" s="118">
        <v>98</v>
      </c>
      <c r="I58" s="118">
        <v>97.055555555555557</v>
      </c>
      <c r="J58" s="119">
        <v>97</v>
      </c>
      <c r="K58" s="119">
        <v>100</v>
      </c>
      <c r="L58" s="119">
        <v>100</v>
      </c>
      <c r="M58" s="119">
        <v>100</v>
      </c>
      <c r="N58" s="120">
        <v>105</v>
      </c>
    </row>
    <row r="59" spans="1:14" ht="11.1" customHeight="1" x14ac:dyDescent="0.25">
      <c r="A59" s="14"/>
      <c r="B59" s="10">
        <v>2020</v>
      </c>
      <c r="C59" s="118">
        <v>100</v>
      </c>
      <c r="D59" s="123">
        <v>95</v>
      </c>
      <c r="E59" s="125" t="s">
        <v>138</v>
      </c>
      <c r="F59" s="118">
        <v>90</v>
      </c>
      <c r="G59" s="123">
        <v>100</v>
      </c>
      <c r="H59" s="118">
        <v>100</v>
      </c>
      <c r="I59" s="118">
        <v>100</v>
      </c>
      <c r="J59" s="118">
        <v>100</v>
      </c>
      <c r="K59" s="118">
        <v>100</v>
      </c>
      <c r="L59" s="118">
        <v>100</v>
      </c>
      <c r="M59" s="119">
        <v>95</v>
      </c>
      <c r="N59" s="120">
        <v>100</v>
      </c>
    </row>
    <row r="60" spans="1:14" ht="11.1" customHeight="1" x14ac:dyDescent="0.25">
      <c r="A60" s="14"/>
      <c r="B60" s="10">
        <v>2021</v>
      </c>
      <c r="C60" s="118">
        <v>105</v>
      </c>
      <c r="D60" s="123">
        <v>100</v>
      </c>
      <c r="E60" s="118">
        <v>105</v>
      </c>
      <c r="F60" s="118">
        <v>100</v>
      </c>
      <c r="G60" s="123">
        <v>100</v>
      </c>
      <c r="H60" s="118">
        <v>100</v>
      </c>
      <c r="I60" s="118">
        <v>100</v>
      </c>
      <c r="J60" s="118">
        <v>125</v>
      </c>
      <c r="K60" s="118">
        <v>110</v>
      </c>
      <c r="L60" s="119">
        <v>95</v>
      </c>
      <c r="M60" s="119">
        <v>100</v>
      </c>
      <c r="N60" s="120">
        <v>105</v>
      </c>
    </row>
    <row r="61" spans="1:14" ht="11.1" customHeight="1" x14ac:dyDescent="0.25">
      <c r="A61" s="14"/>
      <c r="B61" s="10">
        <v>2022</v>
      </c>
      <c r="C61" s="118">
        <v>125</v>
      </c>
      <c r="D61" s="123">
        <v>125</v>
      </c>
      <c r="E61" s="118">
        <v>150</v>
      </c>
      <c r="F61" s="118">
        <v>125</v>
      </c>
      <c r="G61" s="123">
        <v>117.5</v>
      </c>
      <c r="H61" s="118">
        <v>145</v>
      </c>
      <c r="I61" s="118">
        <v>145</v>
      </c>
      <c r="J61" s="118">
        <v>140</v>
      </c>
      <c r="K61" s="118">
        <v>140</v>
      </c>
      <c r="L61" s="119">
        <v>135</v>
      </c>
      <c r="M61" s="119">
        <v>135</v>
      </c>
      <c r="N61" s="120">
        <v>130</v>
      </c>
    </row>
    <row r="62" spans="1:14" ht="11.1" customHeight="1" x14ac:dyDescent="0.25">
      <c r="A62" s="14"/>
      <c r="B62" s="10">
        <v>2023</v>
      </c>
      <c r="C62" s="118">
        <v>130</v>
      </c>
      <c r="D62" s="118">
        <v>130</v>
      </c>
      <c r="E62" s="118">
        <v>130</v>
      </c>
      <c r="F62" s="118">
        <v>130</v>
      </c>
      <c r="G62" s="123">
        <v>140</v>
      </c>
      <c r="H62" s="118">
        <v>135</v>
      </c>
      <c r="I62" s="118">
        <v>125</v>
      </c>
      <c r="J62" s="118">
        <v>125</v>
      </c>
      <c r="K62" s="118">
        <v>130</v>
      </c>
      <c r="L62" s="119">
        <v>130</v>
      </c>
      <c r="M62" s="119">
        <v>130</v>
      </c>
      <c r="N62" s="119">
        <v>133</v>
      </c>
    </row>
    <row r="63" spans="1:14" ht="11.1" customHeight="1" x14ac:dyDescent="0.25">
      <c r="A63" s="14"/>
      <c r="B63" s="10">
        <v>2024</v>
      </c>
      <c r="C63" s="119">
        <v>133</v>
      </c>
      <c r="D63" s="118">
        <v>133</v>
      </c>
      <c r="E63" s="118">
        <v>135</v>
      </c>
      <c r="F63" s="118">
        <v>130</v>
      </c>
      <c r="G63" s="123">
        <v>135</v>
      </c>
      <c r="H63" s="118">
        <v>135</v>
      </c>
      <c r="I63" s="118">
        <v>135</v>
      </c>
      <c r="J63" s="118">
        <v>125</v>
      </c>
      <c r="K63" s="118">
        <v>134</v>
      </c>
      <c r="L63" s="119">
        <v>140.90105646847132</v>
      </c>
      <c r="M63" s="119">
        <v>138.5</v>
      </c>
      <c r="N63" s="119">
        <v>132</v>
      </c>
    </row>
    <row r="64" spans="1:14" ht="11.1" customHeight="1" x14ac:dyDescent="0.25">
      <c r="A64" s="127"/>
      <c r="B64" s="128">
        <v>2025</v>
      </c>
      <c r="C64" s="121">
        <v>147</v>
      </c>
      <c r="D64" s="132">
        <v>134</v>
      </c>
      <c r="E64" s="132">
        <v>137</v>
      </c>
      <c r="F64" s="132">
        <v>132</v>
      </c>
      <c r="G64" s="132">
        <v>128</v>
      </c>
      <c r="H64" s="132">
        <v>130</v>
      </c>
      <c r="I64" s="132">
        <v>128</v>
      </c>
      <c r="J64" s="132">
        <v>136</v>
      </c>
      <c r="K64" s="132">
        <v>129</v>
      </c>
      <c r="L64" s="121"/>
      <c r="M64" s="121"/>
      <c r="N64" s="121"/>
    </row>
    <row r="65" spans="1:14" ht="12" customHeight="1" x14ac:dyDescent="0.2">
      <c r="A65" s="157"/>
      <c r="B65" s="158"/>
      <c r="C65" s="36"/>
      <c r="D65" s="36"/>
      <c r="E65" s="36"/>
      <c r="F65" s="36"/>
      <c r="G65" s="36"/>
      <c r="H65" s="36"/>
      <c r="I65" s="140"/>
      <c r="J65" s="36"/>
      <c r="K65" s="36"/>
      <c r="L65" s="36"/>
      <c r="M65" s="36"/>
      <c r="N65" s="59" t="s">
        <v>24</v>
      </c>
    </row>
    <row r="66" spans="1:14" ht="12" customHeight="1" x14ac:dyDescent="0.25">
      <c r="A66" s="735" t="s">
        <v>140</v>
      </c>
      <c r="B66" s="735"/>
      <c r="C66" s="735"/>
      <c r="D66" s="735"/>
      <c r="E66" s="735"/>
      <c r="F66" s="735"/>
      <c r="G66" s="36"/>
      <c r="H66" s="36"/>
      <c r="I66" s="140"/>
      <c r="J66" s="141"/>
      <c r="K66" s="19"/>
      <c r="L66" s="19"/>
      <c r="M66" s="19"/>
      <c r="N66" s="19"/>
    </row>
    <row r="67" spans="1:14" ht="15.95" customHeight="1" x14ac:dyDescent="0.2">
      <c r="A67" s="214" t="s">
        <v>92</v>
      </c>
      <c r="B67" s="214" t="s">
        <v>137</v>
      </c>
      <c r="C67" s="214" t="s">
        <v>94</v>
      </c>
      <c r="D67" s="214" t="s">
        <v>95</v>
      </c>
      <c r="E67" s="214" t="s">
        <v>96</v>
      </c>
      <c r="F67" s="214" t="s">
        <v>97</v>
      </c>
      <c r="G67" s="214" t="s">
        <v>98</v>
      </c>
      <c r="H67" s="214" t="s">
        <v>99</v>
      </c>
      <c r="I67" s="214" t="s">
        <v>100</v>
      </c>
      <c r="J67" s="214" t="s">
        <v>101</v>
      </c>
      <c r="K67" s="214" t="s">
        <v>102</v>
      </c>
      <c r="L67" s="214" t="s">
        <v>103</v>
      </c>
      <c r="M67" s="214" t="s">
        <v>104</v>
      </c>
      <c r="N67" s="214" t="s">
        <v>105</v>
      </c>
    </row>
    <row r="68" spans="1:14" ht="3" customHeight="1" x14ac:dyDescent="0.25">
      <c r="A68" s="14"/>
      <c r="B68" s="10"/>
      <c r="C68" s="119"/>
      <c r="D68" s="118"/>
      <c r="E68" s="118"/>
      <c r="F68" s="118"/>
      <c r="G68" s="123"/>
      <c r="H68" s="118"/>
      <c r="I68" s="118"/>
      <c r="J68" s="118"/>
      <c r="K68" s="118"/>
      <c r="L68" s="119"/>
      <c r="M68" s="119"/>
      <c r="N68" s="119"/>
    </row>
    <row r="69" spans="1:14" ht="11.1" customHeight="1" x14ac:dyDescent="0.25">
      <c r="A69" s="14" t="s">
        <v>51</v>
      </c>
      <c r="B69" s="10">
        <v>2018</v>
      </c>
      <c r="C69" s="119">
        <v>88.49</v>
      </c>
      <c r="D69" s="120">
        <v>88.405000000000001</v>
      </c>
      <c r="E69" s="119">
        <v>88.474999999999994</v>
      </c>
      <c r="F69" s="118">
        <v>89.424999999999997</v>
      </c>
      <c r="G69" s="123">
        <v>89.575000000000003</v>
      </c>
      <c r="H69" s="118">
        <v>89.275000000000006</v>
      </c>
      <c r="I69" s="118">
        <v>91.22</v>
      </c>
      <c r="J69" s="118">
        <v>89.3</v>
      </c>
      <c r="K69" s="118">
        <v>89.26</v>
      </c>
      <c r="L69" s="118">
        <v>90.034999999999997</v>
      </c>
      <c r="M69" s="118">
        <v>90.034999999999997</v>
      </c>
      <c r="N69" s="123">
        <v>90.034999999999997</v>
      </c>
    </row>
    <row r="70" spans="1:14" ht="11.1" customHeight="1" x14ac:dyDescent="0.25">
      <c r="A70" s="14"/>
      <c r="B70" s="10">
        <v>2019</v>
      </c>
      <c r="C70" s="118">
        <v>101.25</v>
      </c>
      <c r="D70" s="123">
        <v>103.75</v>
      </c>
      <c r="E70" s="118">
        <v>104.375</v>
      </c>
      <c r="F70" s="118">
        <v>104.375</v>
      </c>
      <c r="G70" s="123">
        <v>103.75</v>
      </c>
      <c r="H70" s="118">
        <v>104.375</v>
      </c>
      <c r="I70" s="118">
        <v>104.375</v>
      </c>
      <c r="J70" s="119">
        <v>106.875</v>
      </c>
      <c r="K70" s="119">
        <v>125</v>
      </c>
      <c r="L70" s="119">
        <v>97.5</v>
      </c>
      <c r="M70" s="118">
        <v>95</v>
      </c>
      <c r="N70" s="123">
        <v>95</v>
      </c>
    </row>
    <row r="71" spans="1:14" ht="11.1" customHeight="1" x14ac:dyDescent="0.25">
      <c r="A71" s="14"/>
      <c r="B71" s="10">
        <v>2020</v>
      </c>
      <c r="C71" s="118">
        <v>95</v>
      </c>
      <c r="D71" s="134" t="s">
        <v>4</v>
      </c>
      <c r="E71" s="125" t="s">
        <v>138</v>
      </c>
      <c r="F71" s="134" t="s">
        <v>4</v>
      </c>
      <c r="G71" s="134" t="s">
        <v>4</v>
      </c>
      <c r="H71" s="134" t="s">
        <v>4</v>
      </c>
      <c r="I71" s="134" t="s">
        <v>4</v>
      </c>
      <c r="J71" s="134" t="s">
        <v>4</v>
      </c>
      <c r="K71" s="134" t="s">
        <v>4</v>
      </c>
      <c r="L71" s="134" t="s">
        <v>4</v>
      </c>
      <c r="M71" s="134" t="s">
        <v>4</v>
      </c>
      <c r="N71" s="134" t="s">
        <v>4</v>
      </c>
    </row>
    <row r="72" spans="1:14" ht="11.1" customHeight="1" x14ac:dyDescent="0.25">
      <c r="A72" s="14"/>
      <c r="B72" s="10">
        <v>2021</v>
      </c>
      <c r="C72" s="118">
        <v>85</v>
      </c>
      <c r="D72" s="123">
        <v>85</v>
      </c>
      <c r="E72" s="118">
        <v>90</v>
      </c>
      <c r="F72" s="118">
        <v>95</v>
      </c>
      <c r="G72" s="123">
        <v>100</v>
      </c>
      <c r="H72" s="118">
        <v>100</v>
      </c>
      <c r="I72" s="118">
        <v>100</v>
      </c>
      <c r="J72" s="118">
        <v>105</v>
      </c>
      <c r="K72" s="118">
        <v>105</v>
      </c>
      <c r="L72" s="118">
        <v>105</v>
      </c>
      <c r="M72" s="118">
        <v>105</v>
      </c>
      <c r="N72" s="123">
        <v>105</v>
      </c>
    </row>
    <row r="73" spans="1:14" ht="11.1" customHeight="1" x14ac:dyDescent="0.25">
      <c r="A73" s="14"/>
      <c r="B73" s="10">
        <v>2022</v>
      </c>
      <c r="C73" s="118">
        <v>105</v>
      </c>
      <c r="D73" s="123">
        <v>105</v>
      </c>
      <c r="E73" s="118">
        <v>117</v>
      </c>
      <c r="F73" s="118">
        <v>102</v>
      </c>
      <c r="G73" s="123">
        <v>115</v>
      </c>
      <c r="H73" s="118">
        <v>113</v>
      </c>
      <c r="I73" s="118">
        <v>113</v>
      </c>
      <c r="J73" s="118">
        <v>113</v>
      </c>
      <c r="K73" s="118">
        <v>105</v>
      </c>
      <c r="L73" s="118">
        <v>115</v>
      </c>
      <c r="M73" s="118">
        <v>115</v>
      </c>
      <c r="N73" s="134" t="s">
        <v>4</v>
      </c>
    </row>
    <row r="74" spans="1:14" ht="11.1" customHeight="1" x14ac:dyDescent="0.25">
      <c r="A74" s="14"/>
      <c r="B74" s="10">
        <v>2023</v>
      </c>
      <c r="C74" s="125" t="s">
        <v>138</v>
      </c>
      <c r="D74" s="134" t="s">
        <v>4</v>
      </c>
      <c r="E74" s="134" t="s">
        <v>138</v>
      </c>
      <c r="F74" s="125" t="s">
        <v>138</v>
      </c>
      <c r="G74" s="134" t="s">
        <v>138</v>
      </c>
      <c r="H74" s="125" t="s">
        <v>138</v>
      </c>
      <c r="I74" s="118">
        <v>130</v>
      </c>
      <c r="J74" s="118">
        <v>130</v>
      </c>
      <c r="K74" s="118">
        <v>131</v>
      </c>
      <c r="L74" s="118">
        <v>132</v>
      </c>
      <c r="M74" s="118">
        <v>131</v>
      </c>
      <c r="N74" s="123">
        <v>148</v>
      </c>
    </row>
    <row r="75" spans="1:14" ht="11.1" customHeight="1" x14ac:dyDescent="0.25">
      <c r="A75" s="14"/>
      <c r="B75" s="10">
        <v>2024</v>
      </c>
      <c r="C75" s="119">
        <v>148</v>
      </c>
      <c r="D75" s="119">
        <v>148</v>
      </c>
      <c r="E75" s="119">
        <v>150</v>
      </c>
      <c r="F75" s="119">
        <v>137</v>
      </c>
      <c r="G75" s="119">
        <v>146</v>
      </c>
      <c r="H75" s="119">
        <v>149</v>
      </c>
      <c r="I75" s="118">
        <v>150</v>
      </c>
      <c r="J75" s="118">
        <v>149</v>
      </c>
      <c r="K75" s="118">
        <v>137</v>
      </c>
      <c r="L75" s="118">
        <v>137.1</v>
      </c>
      <c r="M75" s="118">
        <v>137.1</v>
      </c>
      <c r="N75" s="123">
        <v>137.1</v>
      </c>
    </row>
    <row r="76" spans="1:14" ht="11.1" customHeight="1" x14ac:dyDescent="0.25">
      <c r="A76" s="127"/>
      <c r="B76" s="128">
        <v>2025</v>
      </c>
      <c r="C76" s="121">
        <v>135</v>
      </c>
      <c r="D76" s="121">
        <v>139</v>
      </c>
      <c r="E76" s="121">
        <v>139</v>
      </c>
      <c r="F76" s="121">
        <v>139</v>
      </c>
      <c r="G76" s="121">
        <v>139</v>
      </c>
      <c r="H76" s="121">
        <v>139</v>
      </c>
      <c r="I76" s="121">
        <v>140</v>
      </c>
      <c r="J76" s="121">
        <v>139</v>
      </c>
      <c r="K76" s="121">
        <v>139</v>
      </c>
      <c r="L76" s="132"/>
      <c r="M76" s="132"/>
      <c r="N76" s="137"/>
    </row>
    <row r="77" spans="1:14" ht="11.1" customHeight="1" x14ac:dyDescent="0.25">
      <c r="A77" s="14" t="s">
        <v>25</v>
      </c>
      <c r="B77" s="10">
        <v>2018</v>
      </c>
      <c r="C77" s="118">
        <v>97</v>
      </c>
      <c r="D77" s="123">
        <v>97</v>
      </c>
      <c r="E77" s="118">
        <v>98</v>
      </c>
      <c r="F77" s="118">
        <v>98</v>
      </c>
      <c r="G77" s="123">
        <v>98</v>
      </c>
      <c r="H77" s="118">
        <v>98</v>
      </c>
      <c r="I77" s="118">
        <v>97.9</v>
      </c>
      <c r="J77" s="119">
        <v>99.5</v>
      </c>
      <c r="K77" s="119">
        <v>99</v>
      </c>
      <c r="L77" s="119">
        <v>100</v>
      </c>
      <c r="M77" s="119">
        <v>100</v>
      </c>
      <c r="N77" s="123">
        <v>101</v>
      </c>
    </row>
    <row r="78" spans="1:14" ht="11.1" customHeight="1" x14ac:dyDescent="0.25">
      <c r="A78" s="14"/>
      <c r="B78" s="10">
        <v>2019</v>
      </c>
      <c r="C78" s="118">
        <v>103.5</v>
      </c>
      <c r="D78" s="123">
        <v>103.5</v>
      </c>
      <c r="E78" s="118">
        <v>104</v>
      </c>
      <c r="F78" s="118">
        <v>104</v>
      </c>
      <c r="G78" s="123">
        <v>104</v>
      </c>
      <c r="H78" s="118">
        <v>104</v>
      </c>
      <c r="I78" s="118">
        <v>104.38</v>
      </c>
      <c r="J78" s="119">
        <v>107</v>
      </c>
      <c r="K78" s="119">
        <v>125</v>
      </c>
      <c r="L78" s="119">
        <v>125</v>
      </c>
      <c r="M78" s="118">
        <v>125</v>
      </c>
      <c r="N78" s="123">
        <v>125</v>
      </c>
    </row>
    <row r="79" spans="1:14" ht="11.1" customHeight="1" x14ac:dyDescent="0.25">
      <c r="A79" s="14"/>
      <c r="B79" s="10">
        <v>2020</v>
      </c>
      <c r="C79" s="118">
        <v>125</v>
      </c>
      <c r="D79" s="123">
        <v>125</v>
      </c>
      <c r="E79" s="118">
        <v>125</v>
      </c>
      <c r="F79" s="118">
        <v>125</v>
      </c>
      <c r="G79" s="123">
        <v>125</v>
      </c>
      <c r="H79" s="118">
        <v>125</v>
      </c>
      <c r="I79" s="118">
        <v>125</v>
      </c>
      <c r="J79" s="118">
        <v>125</v>
      </c>
      <c r="K79" s="118">
        <v>125</v>
      </c>
      <c r="L79" s="118">
        <v>125</v>
      </c>
      <c r="M79" s="118">
        <v>125</v>
      </c>
      <c r="N79" s="123">
        <v>125</v>
      </c>
    </row>
    <row r="80" spans="1:14" ht="11.1" customHeight="1" x14ac:dyDescent="0.25">
      <c r="A80" s="14"/>
      <c r="B80" s="10">
        <v>2021</v>
      </c>
      <c r="C80" s="118">
        <v>125</v>
      </c>
      <c r="D80" s="123">
        <v>112.5</v>
      </c>
      <c r="E80" s="118">
        <v>125</v>
      </c>
      <c r="F80" s="118">
        <v>125</v>
      </c>
      <c r="G80" s="123">
        <v>132.5</v>
      </c>
      <c r="H80" s="118">
        <v>125</v>
      </c>
      <c r="I80" s="118">
        <v>125</v>
      </c>
      <c r="J80" s="118">
        <v>130</v>
      </c>
      <c r="K80" s="118">
        <v>130</v>
      </c>
      <c r="L80" s="118">
        <v>130</v>
      </c>
      <c r="M80" s="118">
        <v>150</v>
      </c>
      <c r="N80" s="123">
        <v>130</v>
      </c>
    </row>
    <row r="81" spans="1:14" ht="11.1" customHeight="1" x14ac:dyDescent="0.25">
      <c r="A81" s="14"/>
      <c r="B81" s="10">
        <v>2022</v>
      </c>
      <c r="C81" s="118">
        <v>150</v>
      </c>
      <c r="D81" s="123">
        <v>130</v>
      </c>
      <c r="E81" s="118">
        <v>130</v>
      </c>
      <c r="F81" s="118">
        <v>126</v>
      </c>
      <c r="G81" s="123">
        <v>130</v>
      </c>
      <c r="H81" s="118">
        <v>130</v>
      </c>
      <c r="I81" s="118">
        <v>113</v>
      </c>
      <c r="J81" s="118">
        <v>160</v>
      </c>
      <c r="K81" s="118">
        <v>130</v>
      </c>
      <c r="L81" s="118">
        <v>130</v>
      </c>
      <c r="M81" s="118">
        <v>130</v>
      </c>
      <c r="N81" s="123">
        <v>130</v>
      </c>
    </row>
    <row r="82" spans="1:14" ht="11.1" customHeight="1" x14ac:dyDescent="0.25">
      <c r="A82" s="14"/>
      <c r="B82" s="10">
        <v>2023</v>
      </c>
      <c r="C82" s="118">
        <v>133</v>
      </c>
      <c r="D82" s="118">
        <v>150</v>
      </c>
      <c r="E82" s="118">
        <v>150</v>
      </c>
      <c r="F82" s="118">
        <v>150</v>
      </c>
      <c r="G82" s="123">
        <v>150</v>
      </c>
      <c r="H82" s="118">
        <v>163</v>
      </c>
      <c r="I82" s="118">
        <v>175</v>
      </c>
      <c r="J82" s="118">
        <v>175</v>
      </c>
      <c r="K82" s="118">
        <v>200</v>
      </c>
      <c r="L82" s="118">
        <v>190</v>
      </c>
      <c r="M82" s="118">
        <v>210</v>
      </c>
      <c r="N82" s="118">
        <v>210</v>
      </c>
    </row>
    <row r="83" spans="1:14" ht="11.1" customHeight="1" x14ac:dyDescent="0.25">
      <c r="A83" s="14"/>
      <c r="B83" s="10">
        <v>2024</v>
      </c>
      <c r="C83" s="118">
        <v>200</v>
      </c>
      <c r="D83" s="118">
        <v>210</v>
      </c>
      <c r="E83" s="118">
        <v>210</v>
      </c>
      <c r="F83" s="118">
        <v>173</v>
      </c>
      <c r="G83" s="123">
        <v>200</v>
      </c>
      <c r="H83" s="118">
        <v>200</v>
      </c>
      <c r="I83" s="118">
        <v>200</v>
      </c>
      <c r="J83" s="118">
        <v>175</v>
      </c>
      <c r="K83" s="118">
        <v>145</v>
      </c>
      <c r="L83" s="126" t="s">
        <v>4</v>
      </c>
      <c r="M83" s="118">
        <v>131</v>
      </c>
      <c r="N83" s="118">
        <v>122</v>
      </c>
    </row>
    <row r="84" spans="1:14" ht="11.1" customHeight="1" x14ac:dyDescent="0.25">
      <c r="A84" s="127"/>
      <c r="B84" s="128">
        <v>2025</v>
      </c>
      <c r="C84" s="132">
        <v>138</v>
      </c>
      <c r="D84" s="132">
        <v>316</v>
      </c>
      <c r="E84" s="132">
        <v>210</v>
      </c>
      <c r="F84" s="132">
        <v>92</v>
      </c>
      <c r="G84" s="132">
        <v>93</v>
      </c>
      <c r="H84" s="132">
        <v>94</v>
      </c>
      <c r="I84" s="132">
        <v>92</v>
      </c>
      <c r="J84" s="132">
        <v>126</v>
      </c>
      <c r="K84" s="132">
        <v>117</v>
      </c>
      <c r="L84" s="139"/>
      <c r="M84" s="132"/>
      <c r="N84" s="132"/>
    </row>
    <row r="85" spans="1:14" ht="11.1" customHeight="1" x14ac:dyDescent="0.25">
      <c r="A85" s="14" t="s">
        <v>111</v>
      </c>
      <c r="B85" s="10">
        <v>2018</v>
      </c>
      <c r="C85" s="118">
        <v>94</v>
      </c>
      <c r="D85" s="123">
        <v>94</v>
      </c>
      <c r="E85" s="118">
        <v>95</v>
      </c>
      <c r="F85" s="118">
        <v>99</v>
      </c>
      <c r="G85" s="123">
        <v>99</v>
      </c>
      <c r="H85" s="118">
        <v>99.5</v>
      </c>
      <c r="I85" s="118">
        <v>100</v>
      </c>
      <c r="J85" s="118">
        <v>100</v>
      </c>
      <c r="K85" s="118">
        <v>100</v>
      </c>
      <c r="L85" s="118">
        <v>100.5</v>
      </c>
      <c r="M85" s="118">
        <v>100.5</v>
      </c>
      <c r="N85" s="123">
        <v>100.5</v>
      </c>
    </row>
    <row r="86" spans="1:14" ht="11.1" customHeight="1" x14ac:dyDescent="0.25">
      <c r="A86" s="14"/>
      <c r="B86" s="10">
        <v>2019</v>
      </c>
      <c r="C86" s="118">
        <v>100</v>
      </c>
      <c r="D86" s="123">
        <v>100</v>
      </c>
      <c r="E86" s="118">
        <v>99</v>
      </c>
      <c r="F86" s="118">
        <v>98</v>
      </c>
      <c r="G86" s="123">
        <v>98</v>
      </c>
      <c r="H86" s="118">
        <v>97</v>
      </c>
      <c r="I86" s="118">
        <v>94.318181818181813</v>
      </c>
      <c r="J86" s="119">
        <v>94</v>
      </c>
      <c r="K86" s="119">
        <v>115</v>
      </c>
      <c r="L86" s="119">
        <v>115</v>
      </c>
      <c r="M86" s="118">
        <v>110</v>
      </c>
      <c r="N86" s="123">
        <v>105</v>
      </c>
    </row>
    <row r="87" spans="1:14" ht="11.1" customHeight="1" x14ac:dyDescent="0.25">
      <c r="A87" s="14"/>
      <c r="B87" s="10">
        <v>2020</v>
      </c>
      <c r="C87" s="118">
        <v>110</v>
      </c>
      <c r="D87" s="134" t="s">
        <v>4</v>
      </c>
      <c r="E87" s="125" t="s">
        <v>138</v>
      </c>
      <c r="F87" s="125" t="s">
        <v>138</v>
      </c>
      <c r="G87" s="134" t="s">
        <v>138</v>
      </c>
      <c r="H87" s="125" t="s">
        <v>138</v>
      </c>
      <c r="I87" s="118">
        <v>115</v>
      </c>
      <c r="J87" s="118">
        <v>110</v>
      </c>
      <c r="K87" s="119">
        <v>115</v>
      </c>
      <c r="L87" s="119">
        <v>115</v>
      </c>
      <c r="M87" s="118">
        <v>100</v>
      </c>
      <c r="N87" s="123">
        <v>100</v>
      </c>
    </row>
    <row r="88" spans="1:14" ht="11.1" customHeight="1" x14ac:dyDescent="0.25">
      <c r="A88" s="14"/>
      <c r="B88" s="10">
        <v>2021</v>
      </c>
      <c r="C88" s="118">
        <v>110</v>
      </c>
      <c r="D88" s="123">
        <v>110</v>
      </c>
      <c r="E88" s="118">
        <v>110</v>
      </c>
      <c r="F88" s="118">
        <v>110</v>
      </c>
      <c r="G88" s="123">
        <v>110</v>
      </c>
      <c r="H88" s="118">
        <v>115</v>
      </c>
      <c r="I88" s="118">
        <v>120</v>
      </c>
      <c r="J88" s="118">
        <v>115</v>
      </c>
      <c r="K88" s="119">
        <v>117.5</v>
      </c>
      <c r="L88" s="119">
        <v>130</v>
      </c>
      <c r="M88" s="118">
        <v>120</v>
      </c>
      <c r="N88" s="123">
        <v>120</v>
      </c>
    </row>
    <row r="89" spans="1:14" ht="11.1" customHeight="1" x14ac:dyDescent="0.25">
      <c r="A89" s="14"/>
      <c r="B89" s="10">
        <v>2022</v>
      </c>
      <c r="C89" s="118">
        <v>120</v>
      </c>
      <c r="D89" s="123">
        <v>120</v>
      </c>
      <c r="E89" s="118">
        <v>130</v>
      </c>
      <c r="F89" s="118">
        <v>120</v>
      </c>
      <c r="G89" s="123">
        <v>130</v>
      </c>
      <c r="H89" s="118">
        <v>130</v>
      </c>
      <c r="I89" s="118">
        <v>130</v>
      </c>
      <c r="J89" s="118">
        <v>140</v>
      </c>
      <c r="K89" s="119">
        <v>147.5</v>
      </c>
      <c r="L89" s="119">
        <v>138</v>
      </c>
      <c r="M89" s="118">
        <v>147</v>
      </c>
      <c r="N89" s="123">
        <v>147</v>
      </c>
    </row>
    <row r="90" spans="1:14" ht="11.1" customHeight="1" x14ac:dyDescent="0.25">
      <c r="A90" s="14"/>
      <c r="B90" s="10">
        <v>2023</v>
      </c>
      <c r="C90" s="118">
        <v>155</v>
      </c>
      <c r="D90" s="118">
        <v>155</v>
      </c>
      <c r="E90" s="118">
        <v>155</v>
      </c>
      <c r="F90" s="118">
        <v>155</v>
      </c>
      <c r="G90" s="123">
        <v>140</v>
      </c>
      <c r="H90" s="118">
        <v>140</v>
      </c>
      <c r="I90" s="118">
        <v>160</v>
      </c>
      <c r="J90" s="118">
        <v>160</v>
      </c>
      <c r="K90" s="119">
        <v>155</v>
      </c>
      <c r="L90" s="119">
        <v>140</v>
      </c>
      <c r="M90" s="119">
        <v>140</v>
      </c>
      <c r="N90" s="119">
        <v>140</v>
      </c>
    </row>
    <row r="91" spans="1:14" ht="11.1" customHeight="1" x14ac:dyDescent="0.25">
      <c r="A91" s="14"/>
      <c r="B91" s="10">
        <v>2024</v>
      </c>
      <c r="C91" s="118">
        <v>140</v>
      </c>
      <c r="D91" s="118">
        <v>134</v>
      </c>
      <c r="E91" s="118">
        <v>131</v>
      </c>
      <c r="F91" s="118">
        <v>145</v>
      </c>
      <c r="G91" s="123">
        <v>160</v>
      </c>
      <c r="H91" s="118">
        <v>145</v>
      </c>
      <c r="I91" s="118">
        <v>150</v>
      </c>
      <c r="J91" s="118">
        <v>145</v>
      </c>
      <c r="K91" s="119">
        <v>126</v>
      </c>
      <c r="L91" s="119">
        <v>126.59090909090909</v>
      </c>
      <c r="M91" s="119">
        <v>175</v>
      </c>
      <c r="N91" s="119">
        <v>110</v>
      </c>
    </row>
    <row r="92" spans="1:14" ht="11.1" customHeight="1" x14ac:dyDescent="0.25">
      <c r="A92" s="127"/>
      <c r="B92" s="128">
        <v>2025</v>
      </c>
      <c r="C92" s="132">
        <v>100</v>
      </c>
      <c r="D92" s="132">
        <v>128</v>
      </c>
      <c r="E92" s="132">
        <v>127</v>
      </c>
      <c r="F92" s="132">
        <v>128</v>
      </c>
      <c r="G92" s="132">
        <v>128</v>
      </c>
      <c r="H92" s="132">
        <v>125</v>
      </c>
      <c r="I92" s="132">
        <v>129</v>
      </c>
      <c r="J92" s="132">
        <v>130</v>
      </c>
      <c r="K92" s="132">
        <v>129</v>
      </c>
      <c r="L92" s="121"/>
      <c r="M92" s="121"/>
      <c r="N92" s="121"/>
    </row>
    <row r="93" spans="1:14" ht="11.1" customHeight="1" x14ac:dyDescent="0.25">
      <c r="A93" s="14" t="s">
        <v>36</v>
      </c>
      <c r="B93" s="10">
        <v>2018</v>
      </c>
      <c r="C93" s="118">
        <v>144</v>
      </c>
      <c r="D93" s="123">
        <v>141</v>
      </c>
      <c r="E93" s="118">
        <v>141</v>
      </c>
      <c r="F93" s="118">
        <v>141</v>
      </c>
      <c r="G93" s="123">
        <v>141</v>
      </c>
      <c r="H93" s="118">
        <v>141</v>
      </c>
      <c r="I93" s="118">
        <v>147.5</v>
      </c>
      <c r="J93" s="118">
        <v>147.5</v>
      </c>
      <c r="K93" s="118">
        <v>149</v>
      </c>
      <c r="L93" s="118">
        <v>152</v>
      </c>
      <c r="M93" s="118">
        <v>152</v>
      </c>
      <c r="N93" s="123">
        <v>152</v>
      </c>
    </row>
    <row r="94" spans="1:14" ht="11.1" customHeight="1" x14ac:dyDescent="0.25">
      <c r="A94" s="14"/>
      <c r="B94" s="10">
        <v>2019</v>
      </c>
      <c r="C94" s="118">
        <v>139</v>
      </c>
      <c r="D94" s="123">
        <v>140</v>
      </c>
      <c r="E94" s="118">
        <v>142</v>
      </c>
      <c r="F94" s="118">
        <v>141</v>
      </c>
      <c r="G94" s="123">
        <v>137</v>
      </c>
      <c r="H94" s="118">
        <v>136</v>
      </c>
      <c r="I94" s="118">
        <v>145.29166666666666</v>
      </c>
      <c r="J94" s="119">
        <v>145</v>
      </c>
      <c r="K94" s="119">
        <v>140</v>
      </c>
      <c r="L94" s="118">
        <v>140</v>
      </c>
      <c r="M94" s="118">
        <v>140</v>
      </c>
      <c r="N94" s="123">
        <v>140</v>
      </c>
    </row>
    <row r="95" spans="1:14" ht="11.1" customHeight="1" x14ac:dyDescent="0.25">
      <c r="A95" s="15"/>
      <c r="B95" s="10">
        <v>2020</v>
      </c>
      <c r="C95" s="118">
        <v>140</v>
      </c>
      <c r="D95" s="142">
        <v>140</v>
      </c>
      <c r="E95" s="118">
        <v>140</v>
      </c>
      <c r="F95" s="118">
        <v>140</v>
      </c>
      <c r="G95" s="123">
        <v>140</v>
      </c>
      <c r="H95" s="118">
        <v>140</v>
      </c>
      <c r="I95" s="118">
        <v>140</v>
      </c>
      <c r="J95" s="118">
        <v>140</v>
      </c>
      <c r="K95" s="118">
        <v>140</v>
      </c>
      <c r="L95" s="138" t="s">
        <v>138</v>
      </c>
      <c r="M95" s="118">
        <v>155</v>
      </c>
      <c r="N95" s="123">
        <v>140</v>
      </c>
    </row>
    <row r="96" spans="1:14" ht="11.1" customHeight="1" x14ac:dyDescent="0.25">
      <c r="A96" s="15"/>
      <c r="B96" s="10">
        <v>2021</v>
      </c>
      <c r="C96" s="118">
        <v>140</v>
      </c>
      <c r="D96" s="142">
        <v>146</v>
      </c>
      <c r="E96" s="122">
        <v>140</v>
      </c>
      <c r="F96" s="118">
        <v>141.5</v>
      </c>
      <c r="G96" s="123">
        <v>140</v>
      </c>
      <c r="H96" s="118">
        <v>140</v>
      </c>
      <c r="I96" s="118">
        <v>135</v>
      </c>
      <c r="J96" s="118">
        <v>140</v>
      </c>
      <c r="K96" s="119">
        <v>147.5</v>
      </c>
      <c r="L96" s="119">
        <v>150</v>
      </c>
      <c r="M96" s="118">
        <v>155</v>
      </c>
      <c r="N96" s="120">
        <v>150</v>
      </c>
    </row>
    <row r="97" spans="1:14" ht="11.1" customHeight="1" x14ac:dyDescent="0.25">
      <c r="A97" s="15"/>
      <c r="B97" s="10">
        <v>2022</v>
      </c>
      <c r="C97" s="118">
        <v>150</v>
      </c>
      <c r="D97" s="123">
        <v>150</v>
      </c>
      <c r="E97" s="122">
        <v>175</v>
      </c>
      <c r="F97" s="118">
        <v>175</v>
      </c>
      <c r="G97" s="123">
        <v>175</v>
      </c>
      <c r="H97" s="118">
        <v>175</v>
      </c>
      <c r="I97" s="118">
        <v>175</v>
      </c>
      <c r="J97" s="118">
        <v>175</v>
      </c>
      <c r="K97" s="118">
        <v>175</v>
      </c>
      <c r="L97" s="119">
        <v>178</v>
      </c>
      <c r="M97" s="118">
        <v>178</v>
      </c>
      <c r="N97" s="120">
        <v>180</v>
      </c>
    </row>
    <row r="98" spans="1:14" ht="11.1" customHeight="1" x14ac:dyDescent="0.25">
      <c r="A98" s="15"/>
      <c r="B98" s="10">
        <v>2023</v>
      </c>
      <c r="C98" s="118">
        <v>180</v>
      </c>
      <c r="D98" s="118">
        <v>180</v>
      </c>
      <c r="E98" s="122">
        <v>172.5</v>
      </c>
      <c r="F98" s="118">
        <v>175</v>
      </c>
      <c r="G98" s="123">
        <v>175</v>
      </c>
      <c r="H98" s="118">
        <v>175</v>
      </c>
      <c r="I98" s="118">
        <v>175</v>
      </c>
      <c r="J98" s="118">
        <v>175</v>
      </c>
      <c r="K98" s="118">
        <v>175</v>
      </c>
      <c r="L98" s="119">
        <v>175</v>
      </c>
      <c r="M98" s="119">
        <v>175</v>
      </c>
      <c r="N98" s="119">
        <v>175</v>
      </c>
    </row>
    <row r="99" spans="1:14" ht="11.1" customHeight="1" x14ac:dyDescent="0.25">
      <c r="A99" s="15"/>
      <c r="B99" s="10">
        <v>2024</v>
      </c>
      <c r="C99" s="118">
        <v>178</v>
      </c>
      <c r="D99" s="118">
        <v>176</v>
      </c>
      <c r="E99" s="122">
        <v>176</v>
      </c>
      <c r="F99" s="118">
        <v>175</v>
      </c>
      <c r="G99" s="123">
        <v>176</v>
      </c>
      <c r="H99" s="118">
        <v>180</v>
      </c>
      <c r="I99" s="118">
        <v>195</v>
      </c>
      <c r="J99" s="118">
        <v>175</v>
      </c>
      <c r="K99" s="118">
        <v>176</v>
      </c>
      <c r="L99" s="119">
        <v>175.83333333333334</v>
      </c>
      <c r="M99" s="119">
        <v>175.84</v>
      </c>
      <c r="N99" s="119">
        <v>177</v>
      </c>
    </row>
    <row r="100" spans="1:14" ht="11.1" customHeight="1" x14ac:dyDescent="0.25">
      <c r="A100" s="143"/>
      <c r="B100" s="128">
        <v>2025</v>
      </c>
      <c r="C100" s="132">
        <v>176</v>
      </c>
      <c r="D100" s="132">
        <v>176</v>
      </c>
      <c r="E100" s="136">
        <v>176</v>
      </c>
      <c r="F100" s="132">
        <v>176</v>
      </c>
      <c r="G100" s="132">
        <v>176</v>
      </c>
      <c r="H100" s="132">
        <v>176</v>
      </c>
      <c r="I100" s="132">
        <v>178</v>
      </c>
      <c r="J100" s="132">
        <v>178</v>
      </c>
      <c r="K100" s="132">
        <v>178</v>
      </c>
      <c r="L100" s="121"/>
      <c r="M100" s="121"/>
      <c r="N100" s="121"/>
    </row>
    <row r="101" spans="1:14" ht="11.1" customHeight="1" x14ac:dyDescent="0.25">
      <c r="A101" s="14" t="s">
        <v>141</v>
      </c>
      <c r="B101" s="10">
        <v>2018</v>
      </c>
      <c r="C101" s="120">
        <v>97.5</v>
      </c>
      <c r="D101" s="124">
        <v>99</v>
      </c>
      <c r="E101" s="119">
        <v>99</v>
      </c>
      <c r="F101" s="119">
        <v>99</v>
      </c>
      <c r="G101" s="120">
        <v>99</v>
      </c>
      <c r="H101" s="119">
        <v>99</v>
      </c>
      <c r="I101" s="119">
        <v>99</v>
      </c>
      <c r="J101" s="118">
        <v>101</v>
      </c>
      <c r="K101" s="123">
        <v>101</v>
      </c>
      <c r="L101" s="142">
        <v>101</v>
      </c>
      <c r="M101" s="118">
        <v>101</v>
      </c>
      <c r="N101" s="123">
        <v>101</v>
      </c>
    </row>
    <row r="102" spans="1:14" ht="11.1" customHeight="1" x14ac:dyDescent="0.25">
      <c r="A102" s="14" t="s">
        <v>142</v>
      </c>
      <c r="B102" s="10">
        <v>2019</v>
      </c>
      <c r="C102" s="123">
        <v>101</v>
      </c>
      <c r="D102" s="142">
        <v>104</v>
      </c>
      <c r="E102" s="118">
        <v>101</v>
      </c>
      <c r="F102" s="118">
        <v>104</v>
      </c>
      <c r="G102" s="123">
        <v>101</v>
      </c>
      <c r="H102" s="118">
        <v>104</v>
      </c>
      <c r="I102" s="118">
        <v>101.25</v>
      </c>
      <c r="J102" s="118">
        <v>106</v>
      </c>
      <c r="K102" s="120">
        <v>108</v>
      </c>
      <c r="L102" s="142">
        <v>112.5</v>
      </c>
      <c r="M102" s="118">
        <v>113</v>
      </c>
      <c r="N102" s="123">
        <v>112.5</v>
      </c>
    </row>
    <row r="103" spans="1:14" ht="11.1" customHeight="1" x14ac:dyDescent="0.25">
      <c r="A103" s="14"/>
      <c r="B103" s="10">
        <v>2020</v>
      </c>
      <c r="C103" s="123">
        <v>112.5</v>
      </c>
      <c r="D103" s="142">
        <v>112.5</v>
      </c>
      <c r="E103" s="125" t="s">
        <v>138</v>
      </c>
      <c r="F103" s="125" t="s">
        <v>138</v>
      </c>
      <c r="G103" s="134" t="s">
        <v>138</v>
      </c>
      <c r="H103" s="125" t="s">
        <v>138</v>
      </c>
      <c r="I103" s="118">
        <v>112.5</v>
      </c>
      <c r="J103" s="118">
        <v>112.5</v>
      </c>
      <c r="K103" s="134" t="s">
        <v>138</v>
      </c>
      <c r="L103" s="142">
        <v>112.5</v>
      </c>
      <c r="M103" s="125" t="s">
        <v>138</v>
      </c>
      <c r="N103" s="134" t="s">
        <v>138</v>
      </c>
    </row>
    <row r="104" spans="1:14" ht="11.1" customHeight="1" x14ac:dyDescent="0.25">
      <c r="A104" s="14"/>
      <c r="B104" s="10">
        <v>2021</v>
      </c>
      <c r="C104" s="123">
        <v>112.5</v>
      </c>
      <c r="D104" s="134" t="s">
        <v>138</v>
      </c>
      <c r="E104" s="125" t="s">
        <v>138</v>
      </c>
      <c r="F104" s="125" t="s">
        <v>138</v>
      </c>
      <c r="G104" s="134" t="s">
        <v>138</v>
      </c>
      <c r="H104" s="125" t="s">
        <v>138</v>
      </c>
      <c r="I104" s="118">
        <v>112.5</v>
      </c>
      <c r="J104" s="118">
        <v>112.5</v>
      </c>
      <c r="K104" s="120">
        <v>120</v>
      </c>
      <c r="L104" s="142">
        <v>120</v>
      </c>
      <c r="M104" s="122">
        <v>120</v>
      </c>
      <c r="N104" s="142">
        <v>120</v>
      </c>
    </row>
    <row r="105" spans="1:14" ht="11.1" customHeight="1" x14ac:dyDescent="0.25">
      <c r="A105" s="14"/>
      <c r="B105" s="10">
        <v>2022</v>
      </c>
      <c r="C105" s="123">
        <v>100</v>
      </c>
      <c r="D105" s="142">
        <v>100</v>
      </c>
      <c r="E105" s="122">
        <v>100</v>
      </c>
      <c r="F105" s="118">
        <v>120</v>
      </c>
      <c r="G105" s="123">
        <v>100</v>
      </c>
      <c r="H105" s="118">
        <v>95</v>
      </c>
      <c r="I105" s="118">
        <v>100</v>
      </c>
      <c r="J105" s="118">
        <v>100</v>
      </c>
      <c r="K105" s="123">
        <v>100</v>
      </c>
      <c r="L105" s="142">
        <v>100</v>
      </c>
      <c r="M105" s="122">
        <v>100</v>
      </c>
      <c r="N105" s="142">
        <v>100</v>
      </c>
    </row>
    <row r="106" spans="1:14" ht="11.1" customHeight="1" x14ac:dyDescent="0.25">
      <c r="A106" s="14"/>
      <c r="B106" s="17">
        <v>2023</v>
      </c>
      <c r="C106" s="123">
        <v>120</v>
      </c>
      <c r="D106" s="118">
        <v>120</v>
      </c>
      <c r="E106" s="118">
        <v>120</v>
      </c>
      <c r="F106" s="118">
        <v>120</v>
      </c>
      <c r="G106" s="123">
        <v>120</v>
      </c>
      <c r="H106" s="118">
        <v>120</v>
      </c>
      <c r="I106" s="118">
        <v>120</v>
      </c>
      <c r="J106" s="118">
        <v>120</v>
      </c>
      <c r="K106" s="118">
        <v>100</v>
      </c>
      <c r="L106" s="134">
        <v>110</v>
      </c>
      <c r="M106" s="122">
        <v>110</v>
      </c>
      <c r="N106" s="122">
        <v>105</v>
      </c>
    </row>
    <row r="107" spans="1:14" ht="11.1" customHeight="1" x14ac:dyDescent="0.25">
      <c r="A107" s="15"/>
      <c r="B107" s="10">
        <v>2024</v>
      </c>
      <c r="C107" s="118">
        <v>105</v>
      </c>
      <c r="D107" s="118">
        <v>95</v>
      </c>
      <c r="E107" s="118">
        <v>95</v>
      </c>
      <c r="F107" s="118">
        <v>95</v>
      </c>
      <c r="G107" s="123">
        <v>95</v>
      </c>
      <c r="H107" s="118">
        <v>95</v>
      </c>
      <c r="I107" s="118">
        <v>95</v>
      </c>
      <c r="J107" s="118">
        <v>95</v>
      </c>
      <c r="K107" s="118">
        <v>92.5</v>
      </c>
      <c r="L107" s="126" t="s">
        <v>4</v>
      </c>
      <c r="M107" s="126" t="s">
        <v>4</v>
      </c>
      <c r="N107" s="126" t="s">
        <v>4</v>
      </c>
    </row>
    <row r="108" spans="1:14" ht="11.1" customHeight="1" x14ac:dyDescent="0.25">
      <c r="A108" s="143"/>
      <c r="B108" s="128">
        <v>2025</v>
      </c>
      <c r="C108" s="132">
        <v>155</v>
      </c>
      <c r="D108" s="132">
        <v>95</v>
      </c>
      <c r="E108" s="144" t="s">
        <v>138</v>
      </c>
      <c r="F108" s="132">
        <v>95</v>
      </c>
      <c r="G108" s="132">
        <v>78</v>
      </c>
      <c r="H108" s="132">
        <v>58</v>
      </c>
      <c r="I108" s="132">
        <v>167</v>
      </c>
      <c r="J108" s="132">
        <v>172</v>
      </c>
      <c r="K108" s="132">
        <v>78</v>
      </c>
      <c r="L108" s="139"/>
      <c r="M108" s="139"/>
      <c r="N108" s="139"/>
    </row>
    <row r="109" spans="1:14" ht="11.1" customHeight="1" x14ac:dyDescent="0.25">
      <c r="A109" s="14" t="s">
        <v>113</v>
      </c>
      <c r="B109" s="10">
        <v>2018</v>
      </c>
      <c r="C109" s="119">
        <v>98</v>
      </c>
      <c r="D109" s="124">
        <v>98</v>
      </c>
      <c r="E109" s="119">
        <v>98</v>
      </c>
      <c r="F109" s="118">
        <v>98</v>
      </c>
      <c r="G109" s="120">
        <v>98</v>
      </c>
      <c r="H109" s="118">
        <v>95</v>
      </c>
      <c r="I109" s="118" t="s">
        <v>3</v>
      </c>
      <c r="J109" s="118" t="s">
        <v>143</v>
      </c>
      <c r="K109" s="123" t="s">
        <v>143</v>
      </c>
      <c r="L109" s="134" t="s">
        <v>143</v>
      </c>
      <c r="M109" s="118" t="s">
        <v>143</v>
      </c>
      <c r="N109" s="123" t="s">
        <v>143</v>
      </c>
    </row>
    <row r="110" spans="1:14" ht="11.1" customHeight="1" x14ac:dyDescent="0.25">
      <c r="A110" s="14"/>
      <c r="B110" s="10">
        <v>2019</v>
      </c>
      <c r="C110" s="118">
        <v>100</v>
      </c>
      <c r="D110" s="142">
        <v>102</v>
      </c>
      <c r="E110" s="118">
        <v>110.5</v>
      </c>
      <c r="F110" s="118">
        <v>109.5</v>
      </c>
      <c r="G110" s="123">
        <v>110.5</v>
      </c>
      <c r="H110" s="118">
        <v>110.5</v>
      </c>
      <c r="I110" s="118">
        <v>108.125</v>
      </c>
      <c r="J110" s="119">
        <v>108</v>
      </c>
      <c r="K110" s="120">
        <v>110</v>
      </c>
      <c r="L110" s="124">
        <v>110</v>
      </c>
      <c r="M110" s="118">
        <v>110</v>
      </c>
      <c r="N110" s="123">
        <v>110</v>
      </c>
    </row>
    <row r="111" spans="1:14" ht="11.1" customHeight="1" x14ac:dyDescent="0.25">
      <c r="A111" s="14"/>
      <c r="B111" s="10">
        <v>2020</v>
      </c>
      <c r="C111" s="118">
        <v>110</v>
      </c>
      <c r="D111" s="142">
        <v>110</v>
      </c>
      <c r="E111" s="125" t="s">
        <v>138</v>
      </c>
      <c r="F111" s="125" t="s">
        <v>138</v>
      </c>
      <c r="G111" s="123">
        <v>110</v>
      </c>
      <c r="H111" s="118">
        <v>135</v>
      </c>
      <c r="I111" s="118">
        <v>125</v>
      </c>
      <c r="J111" s="118">
        <v>135</v>
      </c>
      <c r="K111" s="123">
        <v>135</v>
      </c>
      <c r="L111" s="142">
        <v>135</v>
      </c>
      <c r="M111" s="118" t="s">
        <v>143</v>
      </c>
      <c r="N111" s="123">
        <v>135</v>
      </c>
    </row>
    <row r="112" spans="1:14" ht="11.1" customHeight="1" x14ac:dyDescent="0.25">
      <c r="A112" s="14"/>
      <c r="B112" s="10">
        <v>2021</v>
      </c>
      <c r="C112" s="118">
        <v>135</v>
      </c>
      <c r="D112" s="142">
        <v>135</v>
      </c>
      <c r="E112" s="118">
        <v>125</v>
      </c>
      <c r="F112" s="118">
        <v>120</v>
      </c>
      <c r="G112" s="123">
        <v>140</v>
      </c>
      <c r="H112" s="118">
        <v>140</v>
      </c>
      <c r="I112" s="118">
        <v>140</v>
      </c>
      <c r="J112" s="119">
        <v>150</v>
      </c>
      <c r="K112" s="142">
        <v>175</v>
      </c>
      <c r="L112" s="142">
        <v>175</v>
      </c>
      <c r="M112" s="122">
        <v>150</v>
      </c>
      <c r="N112" s="142">
        <v>150</v>
      </c>
    </row>
    <row r="113" spans="1:14" ht="11.1" customHeight="1" x14ac:dyDescent="0.25">
      <c r="A113" s="14"/>
      <c r="B113" s="10">
        <v>2022</v>
      </c>
      <c r="C113" s="118">
        <v>150</v>
      </c>
      <c r="D113" s="142">
        <v>150</v>
      </c>
      <c r="E113" s="118">
        <v>175</v>
      </c>
      <c r="F113" s="118">
        <v>175</v>
      </c>
      <c r="G113" s="123">
        <v>205</v>
      </c>
      <c r="H113" s="118">
        <v>200</v>
      </c>
      <c r="I113" s="118">
        <v>250</v>
      </c>
      <c r="J113" s="118">
        <v>260</v>
      </c>
      <c r="K113" s="142">
        <v>250</v>
      </c>
      <c r="L113" s="142">
        <v>250</v>
      </c>
      <c r="M113" s="122">
        <v>250</v>
      </c>
      <c r="N113" s="142">
        <v>250</v>
      </c>
    </row>
    <row r="114" spans="1:14" ht="11.1" customHeight="1" x14ac:dyDescent="0.25">
      <c r="A114" s="14"/>
      <c r="B114" s="10">
        <v>2023</v>
      </c>
      <c r="C114" s="122">
        <v>150</v>
      </c>
      <c r="D114" s="122">
        <v>150</v>
      </c>
      <c r="E114" s="118">
        <v>140</v>
      </c>
      <c r="F114" s="118">
        <v>140</v>
      </c>
      <c r="G114" s="123">
        <v>130</v>
      </c>
      <c r="H114" s="118">
        <v>120</v>
      </c>
      <c r="I114" s="118">
        <v>120</v>
      </c>
      <c r="J114" s="118">
        <v>120</v>
      </c>
      <c r="K114" s="122">
        <v>155</v>
      </c>
      <c r="L114" s="122">
        <v>160</v>
      </c>
      <c r="M114" s="122">
        <v>165</v>
      </c>
      <c r="N114" s="122">
        <v>135</v>
      </c>
    </row>
    <row r="115" spans="1:14" ht="11.1" customHeight="1" x14ac:dyDescent="0.25">
      <c r="A115" s="15"/>
      <c r="B115" s="10">
        <v>2024</v>
      </c>
      <c r="C115" s="118">
        <v>140</v>
      </c>
      <c r="D115" s="118">
        <v>165</v>
      </c>
      <c r="E115" s="122">
        <v>156</v>
      </c>
      <c r="F115" s="118">
        <v>170</v>
      </c>
      <c r="G115" s="123">
        <v>190</v>
      </c>
      <c r="H115" s="118">
        <v>200</v>
      </c>
      <c r="I115" s="118">
        <v>210</v>
      </c>
      <c r="J115" s="118">
        <v>210</v>
      </c>
      <c r="K115" s="118">
        <v>172.5</v>
      </c>
      <c r="L115" s="119">
        <v>170.83333333333334</v>
      </c>
      <c r="M115" s="119">
        <v>202</v>
      </c>
      <c r="N115" s="119">
        <v>171</v>
      </c>
    </row>
    <row r="116" spans="1:14" ht="11.1" customHeight="1" x14ac:dyDescent="0.25">
      <c r="A116" s="143"/>
      <c r="B116" s="128">
        <v>2025</v>
      </c>
      <c r="C116" s="132">
        <v>232</v>
      </c>
      <c r="D116" s="132">
        <v>180</v>
      </c>
      <c r="E116" s="136">
        <v>180</v>
      </c>
      <c r="F116" s="144" t="s">
        <v>138</v>
      </c>
      <c r="G116" s="136">
        <v>120</v>
      </c>
      <c r="H116" s="144" t="s">
        <v>138</v>
      </c>
      <c r="I116" s="144" t="s">
        <v>138</v>
      </c>
      <c r="J116" s="144" t="s">
        <v>138</v>
      </c>
      <c r="K116" s="144" t="s">
        <v>138</v>
      </c>
      <c r="L116" s="121"/>
      <c r="M116" s="121"/>
      <c r="N116" s="121"/>
    </row>
    <row r="117" spans="1:14" ht="11.1" customHeight="1" x14ac:dyDescent="0.25">
      <c r="A117" s="14" t="s">
        <v>115</v>
      </c>
      <c r="B117" s="10">
        <v>2018</v>
      </c>
      <c r="C117" s="118">
        <v>102.5</v>
      </c>
      <c r="D117" s="142">
        <v>102.5</v>
      </c>
      <c r="E117" s="118">
        <v>102.5</v>
      </c>
      <c r="F117" s="118">
        <v>102.5</v>
      </c>
      <c r="G117" s="123">
        <v>102.5</v>
      </c>
      <c r="H117" s="118">
        <v>102.5</v>
      </c>
      <c r="I117" s="118">
        <v>102.5</v>
      </c>
      <c r="J117" s="118">
        <v>102.5</v>
      </c>
      <c r="K117" s="123">
        <v>102.5</v>
      </c>
      <c r="L117" s="142">
        <v>102.5</v>
      </c>
      <c r="M117" s="118">
        <v>102.5</v>
      </c>
      <c r="N117" s="123">
        <v>102.5</v>
      </c>
    </row>
    <row r="118" spans="1:14" ht="11.1" customHeight="1" x14ac:dyDescent="0.25">
      <c r="A118" s="14"/>
      <c r="B118" s="10">
        <v>2019</v>
      </c>
      <c r="C118" s="118">
        <v>102.5</v>
      </c>
      <c r="D118" s="142">
        <v>102.5</v>
      </c>
      <c r="E118" s="118">
        <v>102.5</v>
      </c>
      <c r="F118" s="118">
        <v>102.5</v>
      </c>
      <c r="G118" s="123">
        <v>102.5</v>
      </c>
      <c r="H118" s="118">
        <v>102.5</v>
      </c>
      <c r="I118" s="118">
        <v>102.5</v>
      </c>
      <c r="J118" s="118">
        <v>102.5</v>
      </c>
      <c r="K118" s="120">
        <v>100</v>
      </c>
      <c r="L118" s="124">
        <v>100</v>
      </c>
      <c r="M118" s="119">
        <v>100</v>
      </c>
      <c r="N118" s="120">
        <v>100</v>
      </c>
    </row>
    <row r="119" spans="1:14" ht="11.1" customHeight="1" x14ac:dyDescent="0.25">
      <c r="A119" s="14"/>
      <c r="B119" s="10">
        <v>2020</v>
      </c>
      <c r="C119" s="118">
        <v>100</v>
      </c>
      <c r="D119" s="134" t="s">
        <v>138</v>
      </c>
      <c r="E119" s="125" t="s">
        <v>138</v>
      </c>
      <c r="F119" s="125" t="s">
        <v>138</v>
      </c>
      <c r="G119" s="134" t="s">
        <v>138</v>
      </c>
      <c r="H119" s="125" t="s">
        <v>138</v>
      </c>
      <c r="I119" s="125" t="s">
        <v>4</v>
      </c>
      <c r="J119" s="125" t="s">
        <v>138</v>
      </c>
      <c r="K119" s="134" t="s">
        <v>138</v>
      </c>
      <c r="L119" s="134" t="s">
        <v>138</v>
      </c>
      <c r="M119" s="119">
        <v>125</v>
      </c>
      <c r="N119" s="120">
        <v>125</v>
      </c>
    </row>
    <row r="120" spans="1:14" ht="11.1" customHeight="1" x14ac:dyDescent="0.25">
      <c r="A120" s="14"/>
      <c r="B120" s="10">
        <v>2021</v>
      </c>
      <c r="C120" s="118">
        <v>125</v>
      </c>
      <c r="D120" s="142">
        <v>125</v>
      </c>
      <c r="E120" s="118">
        <v>125</v>
      </c>
      <c r="F120" s="118">
        <v>125</v>
      </c>
      <c r="G120" s="123">
        <v>125</v>
      </c>
      <c r="H120" s="118">
        <v>125</v>
      </c>
      <c r="I120" s="118">
        <v>125</v>
      </c>
      <c r="J120" s="118">
        <v>125</v>
      </c>
      <c r="K120" s="142">
        <v>125</v>
      </c>
      <c r="L120" s="142">
        <v>125</v>
      </c>
      <c r="M120" s="122">
        <v>125</v>
      </c>
      <c r="N120" s="142">
        <v>125</v>
      </c>
    </row>
    <row r="121" spans="1:14" ht="11.1" customHeight="1" x14ac:dyDescent="0.25">
      <c r="A121" s="14"/>
      <c r="B121" s="10">
        <v>2022</v>
      </c>
      <c r="C121" s="118">
        <v>125</v>
      </c>
      <c r="D121" s="142">
        <v>130</v>
      </c>
      <c r="E121" s="118">
        <v>125</v>
      </c>
      <c r="F121" s="118">
        <v>125</v>
      </c>
      <c r="G121" s="123">
        <v>125</v>
      </c>
      <c r="H121" s="118">
        <v>125</v>
      </c>
      <c r="I121" s="118">
        <v>125</v>
      </c>
      <c r="J121" s="118">
        <v>125</v>
      </c>
      <c r="K121" s="123">
        <v>125</v>
      </c>
      <c r="L121" s="142">
        <v>125</v>
      </c>
      <c r="M121" s="122">
        <v>125</v>
      </c>
      <c r="N121" s="142">
        <v>125</v>
      </c>
    </row>
    <row r="122" spans="1:14" ht="11.1" customHeight="1" x14ac:dyDescent="0.25">
      <c r="A122" s="14"/>
      <c r="B122" s="10">
        <v>2023</v>
      </c>
      <c r="C122" s="118">
        <v>140</v>
      </c>
      <c r="D122" s="122">
        <v>165</v>
      </c>
      <c r="E122" s="118">
        <v>150</v>
      </c>
      <c r="F122" s="118">
        <v>150</v>
      </c>
      <c r="G122" s="123">
        <v>140</v>
      </c>
      <c r="H122" s="118">
        <v>140</v>
      </c>
      <c r="I122" s="118">
        <v>140</v>
      </c>
      <c r="J122" s="118">
        <v>140</v>
      </c>
      <c r="K122" s="118">
        <v>140</v>
      </c>
      <c r="L122" s="122">
        <v>165</v>
      </c>
      <c r="M122" s="122">
        <v>165</v>
      </c>
      <c r="N122" s="122">
        <v>150</v>
      </c>
    </row>
    <row r="123" spans="1:14" ht="11.1" customHeight="1" x14ac:dyDescent="0.25">
      <c r="A123" s="15"/>
      <c r="B123" s="10">
        <v>2024</v>
      </c>
      <c r="C123" s="118">
        <v>140</v>
      </c>
      <c r="D123" s="118">
        <v>140</v>
      </c>
      <c r="E123" s="122">
        <v>137</v>
      </c>
      <c r="F123" s="118">
        <v>140</v>
      </c>
      <c r="G123" s="123">
        <v>140</v>
      </c>
      <c r="H123" s="118">
        <v>140</v>
      </c>
      <c r="I123" s="118">
        <v>140</v>
      </c>
      <c r="J123" s="118">
        <v>140</v>
      </c>
      <c r="K123" s="118">
        <v>137</v>
      </c>
      <c r="L123" s="126" t="s">
        <v>4</v>
      </c>
      <c r="M123" s="126" t="s">
        <v>4</v>
      </c>
      <c r="N123" s="126" t="s">
        <v>4</v>
      </c>
    </row>
    <row r="124" spans="1:14" ht="11.1" customHeight="1" x14ac:dyDescent="0.25">
      <c r="A124" s="143"/>
      <c r="B124" s="128">
        <v>2025</v>
      </c>
      <c r="C124" s="132">
        <v>140</v>
      </c>
      <c r="D124" s="132">
        <v>160</v>
      </c>
      <c r="E124" s="136">
        <v>160</v>
      </c>
      <c r="F124" s="132">
        <v>150</v>
      </c>
      <c r="G124" s="132">
        <v>150</v>
      </c>
      <c r="H124" s="144" t="s">
        <v>138</v>
      </c>
      <c r="I124" s="144" t="s">
        <v>138</v>
      </c>
      <c r="J124" s="144" t="s">
        <v>138</v>
      </c>
      <c r="K124" s="144" t="s">
        <v>138</v>
      </c>
      <c r="L124" s="139"/>
      <c r="M124" s="139"/>
      <c r="N124" s="139"/>
    </row>
    <row r="125" spans="1:14" ht="11.1" customHeight="1" x14ac:dyDescent="0.25">
      <c r="A125" s="14" t="s">
        <v>116</v>
      </c>
      <c r="B125" s="10">
        <v>2018</v>
      </c>
      <c r="C125" s="118">
        <v>75</v>
      </c>
      <c r="D125" s="142">
        <v>75</v>
      </c>
      <c r="E125" s="118">
        <v>75</v>
      </c>
      <c r="F125" s="118">
        <v>75</v>
      </c>
      <c r="G125" s="123">
        <v>75</v>
      </c>
      <c r="H125" s="118">
        <v>75</v>
      </c>
      <c r="I125" s="118">
        <v>75</v>
      </c>
      <c r="J125" s="118">
        <v>75</v>
      </c>
      <c r="K125" s="123">
        <v>75</v>
      </c>
      <c r="L125" s="142">
        <v>50</v>
      </c>
      <c r="M125" s="118">
        <v>50</v>
      </c>
      <c r="N125" s="123">
        <v>50</v>
      </c>
    </row>
    <row r="126" spans="1:14" ht="11.1" customHeight="1" x14ac:dyDescent="0.25">
      <c r="A126" s="14"/>
      <c r="B126" s="10">
        <v>2019</v>
      </c>
      <c r="C126" s="118">
        <v>50</v>
      </c>
      <c r="D126" s="142">
        <v>50</v>
      </c>
      <c r="E126" s="118">
        <v>75</v>
      </c>
      <c r="F126" s="118">
        <v>75</v>
      </c>
      <c r="G126" s="123">
        <v>75</v>
      </c>
      <c r="H126" s="118">
        <v>75</v>
      </c>
      <c r="I126" s="118">
        <v>75</v>
      </c>
      <c r="J126" s="118">
        <v>75</v>
      </c>
      <c r="K126" s="120">
        <v>75</v>
      </c>
      <c r="L126" s="142">
        <v>75</v>
      </c>
      <c r="M126" s="118">
        <v>75</v>
      </c>
      <c r="N126" s="123">
        <v>75</v>
      </c>
    </row>
    <row r="127" spans="1:14" ht="11.1" customHeight="1" x14ac:dyDescent="0.25">
      <c r="A127" s="14"/>
      <c r="B127" s="10">
        <v>2020</v>
      </c>
      <c r="C127" s="118">
        <v>75</v>
      </c>
      <c r="D127" s="142">
        <v>75</v>
      </c>
      <c r="E127" s="125" t="s">
        <v>138</v>
      </c>
      <c r="F127" s="125" t="s">
        <v>138</v>
      </c>
      <c r="G127" s="123">
        <v>75</v>
      </c>
      <c r="H127" s="125" t="s">
        <v>138</v>
      </c>
      <c r="I127" s="125" t="s">
        <v>4</v>
      </c>
      <c r="J127" s="125" t="s">
        <v>138</v>
      </c>
      <c r="K127" s="134" t="s">
        <v>138</v>
      </c>
      <c r="L127" s="134" t="s">
        <v>138</v>
      </c>
      <c r="M127" s="125" t="s">
        <v>138</v>
      </c>
      <c r="N127" s="134" t="s">
        <v>138</v>
      </c>
    </row>
    <row r="128" spans="1:14" ht="11.1" customHeight="1" x14ac:dyDescent="0.25">
      <c r="A128" s="14"/>
      <c r="B128" s="10">
        <v>2021</v>
      </c>
      <c r="C128" s="118">
        <v>75</v>
      </c>
      <c r="D128" s="142">
        <v>75</v>
      </c>
      <c r="E128" s="118">
        <v>75</v>
      </c>
      <c r="F128" s="118">
        <v>75</v>
      </c>
      <c r="G128" s="123">
        <v>75</v>
      </c>
      <c r="H128" s="118">
        <v>75</v>
      </c>
      <c r="I128" s="118">
        <v>75</v>
      </c>
      <c r="J128" s="118">
        <v>75</v>
      </c>
      <c r="K128" s="142">
        <v>75</v>
      </c>
      <c r="L128" s="142">
        <v>75</v>
      </c>
      <c r="M128" s="122">
        <v>75</v>
      </c>
      <c r="N128" s="142">
        <v>75</v>
      </c>
    </row>
    <row r="129" spans="1:14" ht="11.1" customHeight="1" x14ac:dyDescent="0.25">
      <c r="A129" s="14"/>
      <c r="B129" s="10">
        <v>2022</v>
      </c>
      <c r="C129" s="118">
        <v>75</v>
      </c>
      <c r="D129" s="142">
        <v>75</v>
      </c>
      <c r="E129" s="118">
        <v>75</v>
      </c>
      <c r="F129" s="118">
        <v>75</v>
      </c>
      <c r="G129" s="123">
        <v>75</v>
      </c>
      <c r="H129" s="118">
        <v>75</v>
      </c>
      <c r="I129" s="118">
        <v>75</v>
      </c>
      <c r="J129" s="118">
        <v>75</v>
      </c>
      <c r="K129" s="123">
        <v>75</v>
      </c>
      <c r="L129" s="142">
        <v>75</v>
      </c>
      <c r="M129" s="122">
        <v>75</v>
      </c>
      <c r="N129" s="142">
        <v>75</v>
      </c>
    </row>
    <row r="130" spans="1:14" ht="11.1" customHeight="1" x14ac:dyDescent="0.25">
      <c r="A130" s="14"/>
      <c r="B130" s="10">
        <v>2023</v>
      </c>
      <c r="C130" s="118">
        <v>121</v>
      </c>
      <c r="D130" s="122">
        <v>137.5</v>
      </c>
      <c r="E130" s="118">
        <v>123</v>
      </c>
      <c r="F130" s="118">
        <v>135</v>
      </c>
      <c r="G130" s="123">
        <v>120</v>
      </c>
      <c r="H130" s="118">
        <v>118</v>
      </c>
      <c r="I130" s="118">
        <v>113</v>
      </c>
      <c r="J130" s="118">
        <v>115</v>
      </c>
      <c r="K130" s="118">
        <v>118</v>
      </c>
      <c r="L130" s="118">
        <v>118</v>
      </c>
      <c r="M130" s="122">
        <v>118</v>
      </c>
      <c r="N130" s="122">
        <v>118</v>
      </c>
    </row>
    <row r="131" spans="1:14" ht="11.1" customHeight="1" x14ac:dyDescent="0.25">
      <c r="A131" s="15"/>
      <c r="B131" s="10">
        <v>2024</v>
      </c>
      <c r="C131" s="118">
        <v>155</v>
      </c>
      <c r="D131" s="118">
        <v>155</v>
      </c>
      <c r="E131" s="122">
        <v>155</v>
      </c>
      <c r="F131" s="118">
        <v>165</v>
      </c>
      <c r="G131" s="123">
        <v>165</v>
      </c>
      <c r="H131" s="118">
        <v>165</v>
      </c>
      <c r="I131" s="118">
        <v>150</v>
      </c>
      <c r="J131" s="118">
        <v>170</v>
      </c>
      <c r="K131" s="118">
        <v>168</v>
      </c>
      <c r="L131" s="119">
        <v>146.66666666666666</v>
      </c>
      <c r="M131" s="119">
        <v>159</v>
      </c>
      <c r="N131" s="126" t="s">
        <v>4</v>
      </c>
    </row>
    <row r="132" spans="1:14" ht="11.1" customHeight="1" x14ac:dyDescent="0.25">
      <c r="A132" s="143"/>
      <c r="B132" s="128">
        <v>2025</v>
      </c>
      <c r="C132" s="139" t="s">
        <v>4</v>
      </c>
      <c r="D132" s="139" t="s">
        <v>4</v>
      </c>
      <c r="E132" s="139" t="s">
        <v>4</v>
      </c>
      <c r="F132" s="132">
        <v>145</v>
      </c>
      <c r="G132" s="139" t="s">
        <v>4</v>
      </c>
      <c r="H132" s="144" t="s">
        <v>138</v>
      </c>
      <c r="I132" s="144" t="s">
        <v>138</v>
      </c>
      <c r="J132" s="132">
        <v>155</v>
      </c>
      <c r="K132" s="132">
        <v>155</v>
      </c>
      <c r="L132" s="121"/>
      <c r="M132" s="121"/>
      <c r="N132" s="139"/>
    </row>
    <row r="133" spans="1:14" ht="11.85" customHeight="1" x14ac:dyDescent="0.2">
      <c r="A133" s="157"/>
      <c r="B133" s="158"/>
      <c r="C133" s="36"/>
      <c r="D133" s="36"/>
      <c r="E133" s="36"/>
      <c r="F133" s="36"/>
      <c r="G133" s="36"/>
      <c r="H133" s="36"/>
      <c r="I133" s="140"/>
      <c r="J133" s="36"/>
      <c r="K133" s="36"/>
      <c r="L133" s="36"/>
      <c r="M133" s="36"/>
      <c r="N133" s="59" t="s">
        <v>24</v>
      </c>
    </row>
    <row r="134" spans="1:14" ht="11.85" customHeight="1" x14ac:dyDescent="0.25">
      <c r="A134" s="735" t="s">
        <v>140</v>
      </c>
      <c r="B134" s="735"/>
      <c r="C134" s="735"/>
      <c r="D134" s="735"/>
      <c r="E134" s="735"/>
      <c r="F134" s="735"/>
      <c r="G134" s="36"/>
      <c r="H134" s="36"/>
      <c r="I134" s="140"/>
      <c r="J134" s="141"/>
      <c r="K134" s="19"/>
      <c r="L134" s="19"/>
      <c r="M134" s="19"/>
      <c r="N134" s="19"/>
    </row>
    <row r="135" spans="1:14" ht="15.95" customHeight="1" x14ac:dyDescent="0.2">
      <c r="A135" s="214" t="s">
        <v>92</v>
      </c>
      <c r="B135" s="214" t="s">
        <v>137</v>
      </c>
      <c r="C135" s="214" t="s">
        <v>94</v>
      </c>
      <c r="D135" s="214" t="s">
        <v>95</v>
      </c>
      <c r="E135" s="214" t="s">
        <v>96</v>
      </c>
      <c r="F135" s="214" t="s">
        <v>97</v>
      </c>
      <c r="G135" s="214" t="s">
        <v>98</v>
      </c>
      <c r="H135" s="214" t="s">
        <v>99</v>
      </c>
      <c r="I135" s="214" t="s">
        <v>100</v>
      </c>
      <c r="J135" s="214" t="s">
        <v>101</v>
      </c>
      <c r="K135" s="214" t="s">
        <v>102</v>
      </c>
      <c r="L135" s="214" t="s">
        <v>103</v>
      </c>
      <c r="M135" s="214" t="s">
        <v>104</v>
      </c>
      <c r="N135" s="214" t="s">
        <v>105</v>
      </c>
    </row>
    <row r="136" spans="1:14" ht="3" customHeight="1" x14ac:dyDescent="0.25">
      <c r="A136" s="15"/>
      <c r="B136" s="10"/>
      <c r="C136" s="126"/>
      <c r="D136" s="118"/>
      <c r="E136" s="122"/>
      <c r="F136" s="118"/>
      <c r="G136" s="123"/>
      <c r="H136" s="118"/>
      <c r="I136" s="118"/>
      <c r="J136" s="118"/>
      <c r="K136" s="118"/>
      <c r="L136" s="119"/>
      <c r="M136" s="119"/>
      <c r="N136" s="126"/>
    </row>
    <row r="137" spans="1:14" ht="11.1" customHeight="1" x14ac:dyDescent="0.25">
      <c r="A137" s="14" t="s">
        <v>117</v>
      </c>
      <c r="B137" s="10">
        <v>2018</v>
      </c>
      <c r="C137" s="119">
        <v>58</v>
      </c>
      <c r="D137" s="124">
        <v>60</v>
      </c>
      <c r="E137" s="119">
        <v>59</v>
      </c>
      <c r="F137" s="119">
        <v>59</v>
      </c>
      <c r="G137" s="120">
        <v>59</v>
      </c>
      <c r="H137" s="119">
        <v>59</v>
      </c>
      <c r="I137" s="118">
        <v>59.75</v>
      </c>
      <c r="J137" s="118">
        <v>60</v>
      </c>
      <c r="K137" s="123">
        <v>60</v>
      </c>
      <c r="L137" s="142">
        <v>58</v>
      </c>
      <c r="M137" s="118">
        <v>57.5</v>
      </c>
      <c r="N137" s="123">
        <v>57.5</v>
      </c>
    </row>
    <row r="138" spans="1:14" ht="11.1" customHeight="1" x14ac:dyDescent="0.25">
      <c r="A138" s="14"/>
      <c r="B138" s="10">
        <v>2019</v>
      </c>
      <c r="C138" s="118">
        <v>57.5</v>
      </c>
      <c r="D138" s="142">
        <v>57.5</v>
      </c>
      <c r="E138" s="118">
        <v>57.5</v>
      </c>
      <c r="F138" s="118">
        <v>57.5</v>
      </c>
      <c r="G138" s="123">
        <v>57.5</v>
      </c>
      <c r="H138" s="118">
        <v>57.5</v>
      </c>
      <c r="I138" s="118">
        <v>57.5</v>
      </c>
      <c r="J138" s="119">
        <v>57.5</v>
      </c>
      <c r="K138" s="120">
        <v>66</v>
      </c>
      <c r="L138" s="142">
        <v>65.5</v>
      </c>
      <c r="M138" s="118">
        <v>65.5</v>
      </c>
      <c r="N138" s="123">
        <v>65.5</v>
      </c>
    </row>
    <row r="139" spans="1:14" ht="11.1" customHeight="1" x14ac:dyDescent="0.25">
      <c r="A139" s="14"/>
      <c r="B139" s="10">
        <v>2020</v>
      </c>
      <c r="C139" s="118">
        <v>65.5</v>
      </c>
      <c r="D139" s="134" t="s">
        <v>138</v>
      </c>
      <c r="E139" s="125" t="s">
        <v>138</v>
      </c>
      <c r="F139" s="125" t="s">
        <v>138</v>
      </c>
      <c r="G139" s="134" t="s">
        <v>138</v>
      </c>
      <c r="H139" s="125" t="s">
        <v>138</v>
      </c>
      <c r="I139" s="125" t="s">
        <v>4</v>
      </c>
      <c r="J139" s="125" t="s">
        <v>138</v>
      </c>
      <c r="K139" s="134" t="s">
        <v>138</v>
      </c>
      <c r="L139" s="134" t="s">
        <v>138</v>
      </c>
      <c r="M139" s="125" t="s">
        <v>138</v>
      </c>
      <c r="N139" s="134" t="s">
        <v>138</v>
      </c>
    </row>
    <row r="140" spans="1:14" ht="11.1" customHeight="1" x14ac:dyDescent="0.25">
      <c r="A140" s="14"/>
      <c r="B140" s="10">
        <v>2021</v>
      </c>
      <c r="C140" s="125" t="s">
        <v>138</v>
      </c>
      <c r="D140" s="134" t="s">
        <v>138</v>
      </c>
      <c r="E140" s="125" t="s">
        <v>138</v>
      </c>
      <c r="F140" s="125" t="s">
        <v>138</v>
      </c>
      <c r="G140" s="134" t="s">
        <v>138</v>
      </c>
      <c r="H140" s="118">
        <v>70</v>
      </c>
      <c r="I140" s="118">
        <v>70</v>
      </c>
      <c r="J140" s="118">
        <v>70</v>
      </c>
      <c r="K140" s="134" t="s">
        <v>138</v>
      </c>
      <c r="L140" s="123">
        <v>92.5</v>
      </c>
      <c r="M140" s="125" t="s">
        <v>138</v>
      </c>
      <c r="N140" s="134" t="s">
        <v>138</v>
      </c>
    </row>
    <row r="141" spans="1:14" ht="11.1" customHeight="1" x14ac:dyDescent="0.25">
      <c r="A141" s="14"/>
      <c r="B141" s="10">
        <v>2022</v>
      </c>
      <c r="C141" s="118">
        <v>93</v>
      </c>
      <c r="D141" s="120">
        <v>95</v>
      </c>
      <c r="E141" s="118">
        <v>93</v>
      </c>
      <c r="F141" s="118">
        <v>95</v>
      </c>
      <c r="G141" s="123">
        <v>95</v>
      </c>
      <c r="H141" s="118">
        <v>95</v>
      </c>
      <c r="I141" s="118">
        <v>90</v>
      </c>
      <c r="J141" s="118">
        <v>90</v>
      </c>
      <c r="K141" s="123">
        <v>90</v>
      </c>
      <c r="L141" s="123">
        <v>90</v>
      </c>
      <c r="M141" s="118">
        <v>90</v>
      </c>
      <c r="N141" s="123">
        <v>90</v>
      </c>
    </row>
    <row r="142" spans="1:14" ht="11.1" customHeight="1" x14ac:dyDescent="0.25">
      <c r="A142" s="14"/>
      <c r="B142" s="10">
        <v>2023</v>
      </c>
      <c r="C142" s="118">
        <v>90</v>
      </c>
      <c r="D142" s="119">
        <v>92.5</v>
      </c>
      <c r="E142" s="118">
        <v>93</v>
      </c>
      <c r="F142" s="125" t="s">
        <v>138</v>
      </c>
      <c r="G142" s="123">
        <v>95</v>
      </c>
      <c r="H142" s="118">
        <v>95</v>
      </c>
      <c r="I142" s="118">
        <v>95</v>
      </c>
      <c r="J142" s="118">
        <v>95</v>
      </c>
      <c r="K142" s="123">
        <v>95</v>
      </c>
      <c r="L142" s="118">
        <v>95</v>
      </c>
      <c r="M142" s="118">
        <v>95</v>
      </c>
      <c r="N142" s="118">
        <v>95</v>
      </c>
    </row>
    <row r="143" spans="1:14" ht="11.1" customHeight="1" x14ac:dyDescent="0.25">
      <c r="A143" s="15"/>
      <c r="B143" s="10">
        <v>2024</v>
      </c>
      <c r="C143" s="118">
        <v>95</v>
      </c>
      <c r="D143" s="118">
        <v>95</v>
      </c>
      <c r="E143" s="122">
        <v>91</v>
      </c>
      <c r="F143" s="118">
        <v>103</v>
      </c>
      <c r="G143" s="123">
        <v>103</v>
      </c>
      <c r="H143" s="118">
        <v>103</v>
      </c>
      <c r="I143" s="118">
        <v>103</v>
      </c>
      <c r="J143" s="118">
        <v>103</v>
      </c>
      <c r="K143" s="118">
        <v>91</v>
      </c>
      <c r="L143" s="118">
        <v>91.2</v>
      </c>
      <c r="M143" s="118">
        <v>91.25</v>
      </c>
      <c r="N143" s="119">
        <v>102</v>
      </c>
    </row>
    <row r="144" spans="1:14" ht="11.1" customHeight="1" x14ac:dyDescent="0.25">
      <c r="A144" s="143"/>
      <c r="B144" s="128">
        <v>2025</v>
      </c>
      <c r="C144" s="132">
        <v>102</v>
      </c>
      <c r="D144" s="132">
        <v>102</v>
      </c>
      <c r="E144" s="139" t="s">
        <v>4</v>
      </c>
      <c r="F144" s="132">
        <v>102</v>
      </c>
      <c r="G144" s="132">
        <v>102</v>
      </c>
      <c r="H144" s="132">
        <v>102</v>
      </c>
      <c r="I144" s="132">
        <v>107</v>
      </c>
      <c r="J144" s="132">
        <v>91</v>
      </c>
      <c r="K144" s="132">
        <v>91</v>
      </c>
      <c r="L144" s="132"/>
      <c r="M144" s="132"/>
      <c r="N144" s="121"/>
    </row>
    <row r="145" spans="1:14" ht="11.1" customHeight="1" x14ac:dyDescent="0.25">
      <c r="A145" s="14" t="s">
        <v>39</v>
      </c>
      <c r="B145" s="10">
        <v>2018</v>
      </c>
      <c r="C145" s="119">
        <v>87.5</v>
      </c>
      <c r="D145" s="120">
        <v>82</v>
      </c>
      <c r="E145" s="119">
        <v>89</v>
      </c>
      <c r="F145" s="119">
        <v>89</v>
      </c>
      <c r="G145" s="123">
        <v>87.5</v>
      </c>
      <c r="H145" s="118">
        <v>87.5</v>
      </c>
      <c r="I145" s="118">
        <v>87.5</v>
      </c>
      <c r="J145" s="123">
        <v>87.5</v>
      </c>
      <c r="K145" s="123">
        <v>92.5</v>
      </c>
      <c r="L145" s="123">
        <v>92.5</v>
      </c>
      <c r="M145" s="118">
        <v>92.5</v>
      </c>
      <c r="N145" s="123">
        <v>92.5</v>
      </c>
    </row>
    <row r="146" spans="1:14" ht="11.1" customHeight="1" x14ac:dyDescent="0.25">
      <c r="A146" s="14"/>
      <c r="B146" s="10">
        <v>2019</v>
      </c>
      <c r="C146" s="118">
        <v>94</v>
      </c>
      <c r="D146" s="123">
        <v>94</v>
      </c>
      <c r="E146" s="118">
        <v>94</v>
      </c>
      <c r="F146" s="118">
        <v>94</v>
      </c>
      <c r="G146" s="123">
        <v>94</v>
      </c>
      <c r="H146" s="118">
        <v>94</v>
      </c>
      <c r="I146" s="118">
        <v>94.2</v>
      </c>
      <c r="J146" s="123">
        <v>94</v>
      </c>
      <c r="K146" s="120">
        <v>108</v>
      </c>
      <c r="L146" s="123">
        <v>107.5</v>
      </c>
      <c r="M146" s="118">
        <v>107.5</v>
      </c>
      <c r="N146" s="123">
        <v>107.5</v>
      </c>
    </row>
    <row r="147" spans="1:14" ht="11.1" customHeight="1" x14ac:dyDescent="0.25">
      <c r="A147" s="14"/>
      <c r="B147" s="10">
        <v>2020</v>
      </c>
      <c r="C147" s="118">
        <v>107.5</v>
      </c>
      <c r="D147" s="123">
        <v>105</v>
      </c>
      <c r="E147" s="125" t="s">
        <v>138</v>
      </c>
      <c r="F147" s="125" t="s">
        <v>138</v>
      </c>
      <c r="G147" s="134" t="s">
        <v>138</v>
      </c>
      <c r="H147" s="122">
        <v>105</v>
      </c>
      <c r="I147" s="122">
        <v>105</v>
      </c>
      <c r="J147" s="142">
        <v>105</v>
      </c>
      <c r="K147" s="134" t="s">
        <v>138</v>
      </c>
      <c r="L147" s="134" t="s">
        <v>138</v>
      </c>
      <c r="M147" s="118">
        <v>112.5</v>
      </c>
      <c r="N147" s="123">
        <v>107.5</v>
      </c>
    </row>
    <row r="148" spans="1:14" ht="11.1" customHeight="1" x14ac:dyDescent="0.25">
      <c r="A148" s="14"/>
      <c r="B148" s="10">
        <v>2021</v>
      </c>
      <c r="C148" s="118">
        <v>95</v>
      </c>
      <c r="D148" s="123">
        <v>100</v>
      </c>
      <c r="E148" s="118">
        <v>95</v>
      </c>
      <c r="F148" s="118">
        <v>85</v>
      </c>
      <c r="G148" s="123">
        <v>80</v>
      </c>
      <c r="H148" s="118">
        <v>100</v>
      </c>
      <c r="I148" s="118">
        <v>100</v>
      </c>
      <c r="J148" s="123">
        <v>100</v>
      </c>
      <c r="K148" s="123">
        <v>100</v>
      </c>
      <c r="L148" s="123">
        <v>97.5</v>
      </c>
      <c r="M148" s="118">
        <v>97.5</v>
      </c>
      <c r="N148" s="123">
        <v>110</v>
      </c>
    </row>
    <row r="149" spans="1:14" ht="11.1" customHeight="1" x14ac:dyDescent="0.25">
      <c r="A149" s="14"/>
      <c r="B149" s="10">
        <v>2022</v>
      </c>
      <c r="C149" s="118">
        <v>117.5</v>
      </c>
      <c r="D149" s="123">
        <v>117</v>
      </c>
      <c r="E149" s="118">
        <v>117.5</v>
      </c>
      <c r="F149" s="118">
        <v>120</v>
      </c>
      <c r="G149" s="123">
        <v>120</v>
      </c>
      <c r="H149" s="118">
        <v>120</v>
      </c>
      <c r="I149" s="118">
        <v>125</v>
      </c>
      <c r="J149" s="123">
        <v>125</v>
      </c>
      <c r="K149" s="123">
        <v>135</v>
      </c>
      <c r="L149" s="123">
        <v>135</v>
      </c>
      <c r="M149" s="118">
        <v>135</v>
      </c>
      <c r="N149" s="123">
        <v>135</v>
      </c>
    </row>
    <row r="150" spans="1:14" ht="11.1" customHeight="1" x14ac:dyDescent="0.25">
      <c r="A150" s="14"/>
      <c r="B150" s="10">
        <v>2023</v>
      </c>
      <c r="C150" s="118">
        <v>135</v>
      </c>
      <c r="D150" s="118">
        <v>135</v>
      </c>
      <c r="E150" s="118">
        <v>145</v>
      </c>
      <c r="F150" s="118">
        <v>130</v>
      </c>
      <c r="G150" s="123">
        <v>130</v>
      </c>
      <c r="H150" s="118">
        <v>130</v>
      </c>
      <c r="I150" s="118">
        <v>136</v>
      </c>
      <c r="J150" s="118">
        <v>136</v>
      </c>
      <c r="K150" s="118">
        <v>136</v>
      </c>
      <c r="L150" s="118">
        <v>130</v>
      </c>
      <c r="M150" s="118">
        <v>140</v>
      </c>
      <c r="N150" s="118">
        <v>150</v>
      </c>
    </row>
    <row r="151" spans="1:14" ht="11.1" customHeight="1" x14ac:dyDescent="0.25">
      <c r="A151" s="15"/>
      <c r="B151" s="10">
        <v>2024</v>
      </c>
      <c r="C151" s="118">
        <v>143</v>
      </c>
      <c r="D151" s="118">
        <v>143</v>
      </c>
      <c r="E151" s="122">
        <v>135</v>
      </c>
      <c r="F151" s="118">
        <v>145</v>
      </c>
      <c r="G151" s="123">
        <v>145</v>
      </c>
      <c r="H151" s="118">
        <v>145</v>
      </c>
      <c r="I151" s="118">
        <v>145</v>
      </c>
      <c r="J151" s="118">
        <v>145</v>
      </c>
      <c r="K151" s="118">
        <v>135</v>
      </c>
      <c r="L151" s="119">
        <v>135</v>
      </c>
      <c r="M151" s="119">
        <v>138.33000000000001</v>
      </c>
      <c r="N151" s="119">
        <v>142</v>
      </c>
    </row>
    <row r="152" spans="1:14" ht="11.1" customHeight="1" x14ac:dyDescent="0.25">
      <c r="A152" s="143"/>
      <c r="B152" s="128">
        <v>2025</v>
      </c>
      <c r="C152" s="132">
        <v>149</v>
      </c>
      <c r="D152" s="132">
        <v>138</v>
      </c>
      <c r="E152" s="136">
        <v>145</v>
      </c>
      <c r="F152" s="132">
        <v>138</v>
      </c>
      <c r="G152" s="132">
        <v>143</v>
      </c>
      <c r="H152" s="132">
        <v>145</v>
      </c>
      <c r="I152" s="132">
        <v>150</v>
      </c>
      <c r="J152" s="132">
        <v>141</v>
      </c>
      <c r="K152" s="132">
        <v>152</v>
      </c>
      <c r="L152" s="121"/>
      <c r="M152" s="121"/>
      <c r="N152" s="121"/>
    </row>
    <row r="153" spans="1:14" ht="11.1" customHeight="1" x14ac:dyDescent="0.25">
      <c r="A153" s="14" t="s">
        <v>43</v>
      </c>
      <c r="B153" s="10">
        <v>2018</v>
      </c>
      <c r="C153" s="119">
        <v>102.5</v>
      </c>
      <c r="D153" s="120">
        <v>102.5</v>
      </c>
      <c r="E153" s="119">
        <v>102.5</v>
      </c>
      <c r="F153" s="118">
        <v>110</v>
      </c>
      <c r="G153" s="123">
        <v>110</v>
      </c>
      <c r="H153" s="118">
        <v>110</v>
      </c>
      <c r="I153" s="118">
        <v>110.83333333333333</v>
      </c>
      <c r="J153" s="118">
        <v>111</v>
      </c>
      <c r="K153" s="123">
        <v>111</v>
      </c>
      <c r="L153" s="123">
        <v>111</v>
      </c>
      <c r="M153" s="118">
        <v>111</v>
      </c>
      <c r="N153" s="123">
        <v>111</v>
      </c>
    </row>
    <row r="154" spans="1:14" ht="11.1" customHeight="1" x14ac:dyDescent="0.25">
      <c r="A154" s="14"/>
      <c r="B154" s="10">
        <v>2019</v>
      </c>
      <c r="C154" s="118">
        <v>104</v>
      </c>
      <c r="D154" s="123">
        <v>104</v>
      </c>
      <c r="E154" s="118">
        <v>104</v>
      </c>
      <c r="F154" s="118">
        <v>104</v>
      </c>
      <c r="G154" s="123">
        <v>104</v>
      </c>
      <c r="H154" s="118">
        <v>112</v>
      </c>
      <c r="I154" s="118">
        <v>111.66666666666667</v>
      </c>
      <c r="J154" s="119">
        <v>135</v>
      </c>
      <c r="K154" s="120">
        <v>113</v>
      </c>
      <c r="L154" s="123">
        <v>108</v>
      </c>
      <c r="M154" s="118">
        <v>113</v>
      </c>
      <c r="N154" s="123">
        <v>115</v>
      </c>
    </row>
    <row r="155" spans="1:14" ht="11.1" customHeight="1" x14ac:dyDescent="0.25">
      <c r="A155" s="14"/>
      <c r="B155" s="10">
        <v>2020</v>
      </c>
      <c r="C155" s="118">
        <v>115</v>
      </c>
      <c r="D155" s="123">
        <v>115</v>
      </c>
      <c r="E155" s="118">
        <v>115</v>
      </c>
      <c r="F155" s="118">
        <v>120</v>
      </c>
      <c r="G155" s="123">
        <v>115</v>
      </c>
      <c r="H155" s="118">
        <v>120</v>
      </c>
      <c r="I155" s="118">
        <v>115</v>
      </c>
      <c r="J155" s="118">
        <v>115</v>
      </c>
      <c r="K155" s="120">
        <v>115</v>
      </c>
      <c r="L155" s="123">
        <v>115</v>
      </c>
      <c r="M155" s="119">
        <v>115</v>
      </c>
      <c r="N155" s="120">
        <v>115</v>
      </c>
    </row>
    <row r="156" spans="1:14" ht="11.1" customHeight="1" x14ac:dyDescent="0.25">
      <c r="A156" s="14"/>
      <c r="B156" s="10">
        <v>2021</v>
      </c>
      <c r="C156" s="118">
        <v>120</v>
      </c>
      <c r="D156" s="123">
        <v>120</v>
      </c>
      <c r="E156" s="118">
        <v>120</v>
      </c>
      <c r="F156" s="118">
        <v>120</v>
      </c>
      <c r="G156" s="123">
        <v>120</v>
      </c>
      <c r="H156" s="118">
        <v>120</v>
      </c>
      <c r="I156" s="118">
        <v>110</v>
      </c>
      <c r="J156" s="118">
        <v>115</v>
      </c>
      <c r="K156" s="123">
        <v>115</v>
      </c>
      <c r="L156" s="123">
        <v>115</v>
      </c>
      <c r="M156" s="119">
        <v>115</v>
      </c>
      <c r="N156" s="120">
        <v>120</v>
      </c>
    </row>
    <row r="157" spans="1:14" ht="11.1" customHeight="1" x14ac:dyDescent="0.25">
      <c r="A157" s="14"/>
      <c r="B157" s="10">
        <v>2022</v>
      </c>
      <c r="C157" s="118">
        <v>120</v>
      </c>
      <c r="D157" s="123">
        <v>140</v>
      </c>
      <c r="E157" s="118">
        <v>137</v>
      </c>
      <c r="F157" s="118">
        <v>130</v>
      </c>
      <c r="G157" s="123">
        <v>130</v>
      </c>
      <c r="H157" s="118">
        <v>130</v>
      </c>
      <c r="I157" s="118">
        <v>150</v>
      </c>
      <c r="J157" s="118">
        <v>140</v>
      </c>
      <c r="K157" s="123">
        <v>130</v>
      </c>
      <c r="L157" s="123">
        <v>135</v>
      </c>
      <c r="M157" s="119">
        <v>140</v>
      </c>
      <c r="N157" s="123">
        <v>135</v>
      </c>
    </row>
    <row r="158" spans="1:14" ht="11.1" customHeight="1" x14ac:dyDescent="0.25">
      <c r="A158" s="14"/>
      <c r="B158" s="10">
        <v>2023</v>
      </c>
      <c r="C158" s="118">
        <v>135</v>
      </c>
      <c r="D158" s="118">
        <v>145</v>
      </c>
      <c r="E158" s="118">
        <v>145</v>
      </c>
      <c r="F158" s="118">
        <v>145</v>
      </c>
      <c r="G158" s="123">
        <v>145</v>
      </c>
      <c r="H158" s="118">
        <v>150</v>
      </c>
      <c r="I158" s="118">
        <v>160</v>
      </c>
      <c r="J158" s="118">
        <v>150</v>
      </c>
      <c r="K158" s="118">
        <v>150</v>
      </c>
      <c r="L158" s="118">
        <v>150</v>
      </c>
      <c r="M158" s="119">
        <v>150</v>
      </c>
      <c r="N158" s="119">
        <v>150</v>
      </c>
    </row>
    <row r="159" spans="1:14" ht="11.1" customHeight="1" x14ac:dyDescent="0.25">
      <c r="A159" s="15"/>
      <c r="B159" s="10">
        <v>2024</v>
      </c>
      <c r="C159" s="118">
        <v>145</v>
      </c>
      <c r="D159" s="118">
        <v>145</v>
      </c>
      <c r="E159" s="122">
        <v>165</v>
      </c>
      <c r="F159" s="118">
        <v>145</v>
      </c>
      <c r="G159" s="123">
        <v>145</v>
      </c>
      <c r="H159" s="118">
        <v>165</v>
      </c>
      <c r="I159" s="118">
        <v>145</v>
      </c>
      <c r="J159" s="118">
        <v>145</v>
      </c>
      <c r="K159" s="118">
        <v>165</v>
      </c>
      <c r="L159" s="119">
        <v>165</v>
      </c>
      <c r="M159" s="126" t="s">
        <v>4</v>
      </c>
      <c r="N159" s="119">
        <v>163</v>
      </c>
    </row>
    <row r="160" spans="1:14" ht="11.1" customHeight="1" x14ac:dyDescent="0.25">
      <c r="A160" s="143"/>
      <c r="B160" s="128">
        <v>2025</v>
      </c>
      <c r="C160" s="132">
        <v>162</v>
      </c>
      <c r="D160" s="132">
        <v>158</v>
      </c>
      <c r="E160" s="136">
        <v>157</v>
      </c>
      <c r="F160" s="132">
        <v>161</v>
      </c>
      <c r="G160" s="132">
        <v>161</v>
      </c>
      <c r="H160" s="132">
        <v>160</v>
      </c>
      <c r="I160" s="132">
        <v>142</v>
      </c>
      <c r="J160" s="132">
        <v>130</v>
      </c>
      <c r="K160" s="132">
        <v>141</v>
      </c>
      <c r="L160" s="121"/>
      <c r="M160" s="139"/>
      <c r="N160" s="121"/>
    </row>
    <row r="161" spans="1:14" ht="11.1" customHeight="1" x14ac:dyDescent="0.25">
      <c r="A161" s="14" t="s">
        <v>63</v>
      </c>
      <c r="B161" s="10">
        <v>2018</v>
      </c>
      <c r="C161" s="120">
        <v>53.5</v>
      </c>
      <c r="D161" s="120">
        <v>54</v>
      </c>
      <c r="E161" s="119">
        <v>53</v>
      </c>
      <c r="F161" s="118">
        <v>50</v>
      </c>
      <c r="G161" s="120">
        <v>53</v>
      </c>
      <c r="H161" s="120">
        <v>53</v>
      </c>
      <c r="I161" s="118">
        <v>56.111111111111114</v>
      </c>
      <c r="J161" s="118">
        <v>56</v>
      </c>
      <c r="K161" s="123">
        <v>56</v>
      </c>
      <c r="L161" s="123">
        <v>55</v>
      </c>
      <c r="M161" s="123">
        <v>55</v>
      </c>
      <c r="N161" s="123">
        <v>55.5</v>
      </c>
    </row>
    <row r="162" spans="1:14" ht="11.1" customHeight="1" x14ac:dyDescent="0.25">
      <c r="A162" s="14"/>
      <c r="B162" s="10">
        <v>2019</v>
      </c>
      <c r="C162" s="123">
        <v>55</v>
      </c>
      <c r="D162" s="123">
        <v>55</v>
      </c>
      <c r="E162" s="118">
        <v>56</v>
      </c>
      <c r="F162" s="118">
        <v>56</v>
      </c>
      <c r="G162" s="123">
        <v>56</v>
      </c>
      <c r="H162" s="123">
        <v>55</v>
      </c>
      <c r="I162" s="118">
        <v>55.9375</v>
      </c>
      <c r="J162" s="119">
        <v>56</v>
      </c>
      <c r="K162" s="120">
        <v>60</v>
      </c>
      <c r="L162" s="123">
        <v>60</v>
      </c>
      <c r="M162" s="123">
        <v>60</v>
      </c>
      <c r="N162" s="123">
        <v>60</v>
      </c>
    </row>
    <row r="163" spans="1:14" ht="11.1" customHeight="1" x14ac:dyDescent="0.25">
      <c r="A163" s="14"/>
      <c r="B163" s="10">
        <v>2020</v>
      </c>
      <c r="C163" s="123">
        <v>57.5</v>
      </c>
      <c r="D163" s="123">
        <v>57.5</v>
      </c>
      <c r="E163" s="125" t="s">
        <v>138</v>
      </c>
      <c r="F163" s="125" t="s">
        <v>138</v>
      </c>
      <c r="G163" s="123">
        <v>50</v>
      </c>
      <c r="H163" s="123">
        <v>50</v>
      </c>
      <c r="I163" s="125" t="s">
        <v>4</v>
      </c>
      <c r="J163" s="118">
        <v>53</v>
      </c>
      <c r="K163" s="120">
        <v>53</v>
      </c>
      <c r="L163" s="123">
        <v>53</v>
      </c>
      <c r="M163" s="120">
        <v>53</v>
      </c>
      <c r="N163" s="120">
        <v>53</v>
      </c>
    </row>
    <row r="164" spans="1:14" ht="11.1" customHeight="1" x14ac:dyDescent="0.25">
      <c r="A164" s="14"/>
      <c r="B164" s="10">
        <v>2021</v>
      </c>
      <c r="C164" s="123">
        <v>62.5</v>
      </c>
      <c r="D164" s="123">
        <v>57.5</v>
      </c>
      <c r="E164" s="118">
        <v>57.5</v>
      </c>
      <c r="F164" s="118">
        <v>57.5</v>
      </c>
      <c r="G164" s="123">
        <v>62.5</v>
      </c>
      <c r="H164" s="123">
        <v>57.5</v>
      </c>
      <c r="I164" s="118">
        <v>57.5</v>
      </c>
      <c r="J164" s="118">
        <v>57.5</v>
      </c>
      <c r="K164" s="123">
        <v>57.5</v>
      </c>
      <c r="L164" s="123">
        <v>57.5</v>
      </c>
      <c r="M164" s="120">
        <v>60</v>
      </c>
      <c r="N164" s="120">
        <v>60</v>
      </c>
    </row>
    <row r="165" spans="1:14" ht="11.1" customHeight="1" x14ac:dyDescent="0.25">
      <c r="A165" s="14"/>
      <c r="B165" s="10">
        <v>2022</v>
      </c>
      <c r="C165" s="123">
        <v>60</v>
      </c>
      <c r="D165" s="123">
        <v>60</v>
      </c>
      <c r="E165" s="118">
        <v>60</v>
      </c>
      <c r="F165" s="118">
        <v>60</v>
      </c>
      <c r="G165" s="123">
        <v>60</v>
      </c>
      <c r="H165" s="123">
        <v>60</v>
      </c>
      <c r="I165" s="118">
        <v>60</v>
      </c>
      <c r="J165" s="118">
        <v>62.5</v>
      </c>
      <c r="K165" s="123">
        <v>62.5</v>
      </c>
      <c r="L165" s="123">
        <v>65</v>
      </c>
      <c r="M165" s="123">
        <v>65</v>
      </c>
      <c r="N165" s="123">
        <v>62.5</v>
      </c>
    </row>
    <row r="166" spans="1:14" ht="11.1" customHeight="1" x14ac:dyDescent="0.25">
      <c r="A166" s="14"/>
      <c r="B166" s="10">
        <v>2023</v>
      </c>
      <c r="C166" s="118">
        <v>70</v>
      </c>
      <c r="D166" s="118">
        <v>73</v>
      </c>
      <c r="E166" s="118">
        <v>85</v>
      </c>
      <c r="F166" s="125" t="s">
        <v>138</v>
      </c>
      <c r="G166" s="134" t="s">
        <v>138</v>
      </c>
      <c r="H166" s="125" t="s">
        <v>138</v>
      </c>
      <c r="I166" s="125" t="s">
        <v>138</v>
      </c>
      <c r="J166" s="125" t="s">
        <v>138</v>
      </c>
      <c r="K166" s="125" t="s">
        <v>138</v>
      </c>
      <c r="L166" s="125" t="s">
        <v>138</v>
      </c>
      <c r="M166" s="125" t="s">
        <v>138</v>
      </c>
      <c r="N166" s="125" t="s">
        <v>138</v>
      </c>
    </row>
    <row r="167" spans="1:14" ht="11.1" customHeight="1" x14ac:dyDescent="0.25">
      <c r="A167" s="14"/>
      <c r="B167" s="10">
        <v>2024</v>
      </c>
      <c r="C167" s="19" t="s">
        <v>4</v>
      </c>
      <c r="D167" s="19" t="s">
        <v>4</v>
      </c>
      <c r="E167" s="122">
        <v>70</v>
      </c>
      <c r="F167" s="118">
        <v>95</v>
      </c>
      <c r="G167" s="123">
        <v>95</v>
      </c>
      <c r="H167" s="123">
        <v>95</v>
      </c>
      <c r="I167" s="125" t="s">
        <v>138</v>
      </c>
      <c r="J167" s="125" t="s">
        <v>138</v>
      </c>
      <c r="K167" s="125" t="s">
        <v>138</v>
      </c>
      <c r="L167" s="119">
        <v>70.080484330484339</v>
      </c>
      <c r="M167" s="119">
        <v>72.8</v>
      </c>
      <c r="N167" s="119">
        <v>71.400000000000006</v>
      </c>
    </row>
    <row r="168" spans="1:14" ht="11.1" customHeight="1" x14ac:dyDescent="0.25">
      <c r="A168" s="127"/>
      <c r="B168" s="128">
        <v>2025</v>
      </c>
      <c r="C168" s="132">
        <v>65</v>
      </c>
      <c r="D168" s="145">
        <v>78</v>
      </c>
      <c r="E168" s="139" t="s">
        <v>4</v>
      </c>
      <c r="F168" s="132">
        <v>68</v>
      </c>
      <c r="G168" s="132">
        <v>70</v>
      </c>
      <c r="H168" s="137">
        <v>73</v>
      </c>
      <c r="I168" s="137">
        <v>66</v>
      </c>
      <c r="J168" s="137">
        <v>74</v>
      </c>
      <c r="K168" s="137">
        <v>61</v>
      </c>
      <c r="L168" s="121"/>
      <c r="M168" s="121"/>
      <c r="N168" s="121"/>
    </row>
    <row r="169" spans="1:14" ht="11.1" customHeight="1" x14ac:dyDescent="0.25">
      <c r="A169" s="14" t="s">
        <v>53</v>
      </c>
      <c r="B169" s="10">
        <v>2018</v>
      </c>
      <c r="C169" s="118">
        <v>133.5</v>
      </c>
      <c r="D169" s="123">
        <v>133.5</v>
      </c>
      <c r="E169" s="118">
        <v>134.5</v>
      </c>
      <c r="F169" s="118">
        <v>134.5</v>
      </c>
      <c r="G169" s="118">
        <v>134.5</v>
      </c>
      <c r="H169" s="118">
        <v>134.5</v>
      </c>
      <c r="I169" s="118">
        <v>132.22222222222223</v>
      </c>
      <c r="J169" s="118">
        <v>131</v>
      </c>
      <c r="K169" s="123">
        <v>131</v>
      </c>
      <c r="L169" s="123">
        <v>129</v>
      </c>
      <c r="M169" s="118">
        <v>129</v>
      </c>
      <c r="N169" s="123">
        <v>129</v>
      </c>
    </row>
    <row r="170" spans="1:14" ht="11.1" customHeight="1" x14ac:dyDescent="0.25">
      <c r="A170" s="14"/>
      <c r="B170" s="10">
        <v>2019</v>
      </c>
      <c r="C170" s="118">
        <v>129</v>
      </c>
      <c r="D170" s="123">
        <v>129</v>
      </c>
      <c r="E170" s="118">
        <v>129</v>
      </c>
      <c r="F170" s="118">
        <v>131</v>
      </c>
      <c r="G170" s="118">
        <v>128.75</v>
      </c>
      <c r="H170" s="118">
        <v>129</v>
      </c>
      <c r="I170" s="118">
        <v>130.25</v>
      </c>
      <c r="J170" s="119">
        <v>130.25</v>
      </c>
      <c r="K170" s="120">
        <v>135</v>
      </c>
      <c r="L170" s="123">
        <v>145</v>
      </c>
      <c r="M170" s="118">
        <v>145</v>
      </c>
      <c r="N170" s="123">
        <v>145</v>
      </c>
    </row>
    <row r="171" spans="1:14" ht="11.1" customHeight="1" x14ac:dyDescent="0.25">
      <c r="A171" s="14"/>
      <c r="B171" s="10">
        <v>2020</v>
      </c>
      <c r="C171" s="118">
        <v>145</v>
      </c>
      <c r="D171" s="123">
        <v>135</v>
      </c>
      <c r="E171" s="125" t="s">
        <v>138</v>
      </c>
      <c r="F171" s="118">
        <v>145</v>
      </c>
      <c r="G171" s="118">
        <v>145</v>
      </c>
      <c r="H171" s="118">
        <v>145</v>
      </c>
      <c r="I171" s="118">
        <v>145</v>
      </c>
      <c r="J171" s="118">
        <v>145</v>
      </c>
      <c r="K171" s="123">
        <v>145</v>
      </c>
      <c r="L171" s="123">
        <v>145</v>
      </c>
      <c r="M171" s="118">
        <v>145</v>
      </c>
      <c r="N171" s="123">
        <v>145</v>
      </c>
    </row>
    <row r="172" spans="1:14" ht="11.1" customHeight="1" x14ac:dyDescent="0.25">
      <c r="A172" s="14"/>
      <c r="B172" s="10">
        <v>2021</v>
      </c>
      <c r="C172" s="118">
        <v>145</v>
      </c>
      <c r="D172" s="123">
        <v>145</v>
      </c>
      <c r="E172" s="118">
        <v>145</v>
      </c>
      <c r="F172" s="118">
        <v>150</v>
      </c>
      <c r="G172" s="118">
        <v>150</v>
      </c>
      <c r="H172" s="118">
        <v>130</v>
      </c>
      <c r="I172" s="118">
        <v>135</v>
      </c>
      <c r="J172" s="118">
        <v>145</v>
      </c>
      <c r="K172" s="123">
        <v>145</v>
      </c>
      <c r="L172" s="123">
        <v>145</v>
      </c>
      <c r="M172" s="118">
        <v>150</v>
      </c>
      <c r="N172" s="123">
        <v>150</v>
      </c>
    </row>
    <row r="173" spans="1:14" ht="11.1" customHeight="1" x14ac:dyDescent="0.25">
      <c r="A173" s="14"/>
      <c r="B173" s="10">
        <v>2022</v>
      </c>
      <c r="C173" s="118">
        <v>140</v>
      </c>
      <c r="D173" s="123">
        <v>140</v>
      </c>
      <c r="E173" s="118">
        <v>147</v>
      </c>
      <c r="F173" s="118">
        <v>150</v>
      </c>
      <c r="G173" s="118">
        <v>150</v>
      </c>
      <c r="H173" s="118">
        <v>150</v>
      </c>
      <c r="I173" s="118">
        <v>150</v>
      </c>
      <c r="J173" s="118">
        <v>150</v>
      </c>
      <c r="K173" s="123">
        <v>150</v>
      </c>
      <c r="L173" s="123">
        <v>150</v>
      </c>
      <c r="M173" s="118">
        <v>140</v>
      </c>
      <c r="N173" s="123">
        <v>140</v>
      </c>
    </row>
    <row r="174" spans="1:14" ht="11.1" customHeight="1" x14ac:dyDescent="0.25">
      <c r="A174" s="16"/>
      <c r="B174" s="17">
        <v>2023</v>
      </c>
      <c r="C174" s="125" t="s">
        <v>138</v>
      </c>
      <c r="D174" s="125" t="s">
        <v>138</v>
      </c>
      <c r="E174" s="125" t="s">
        <v>138</v>
      </c>
      <c r="F174" s="118">
        <v>112.5</v>
      </c>
      <c r="G174" s="118">
        <v>140</v>
      </c>
      <c r="H174" s="118">
        <v>140</v>
      </c>
      <c r="I174" s="118">
        <v>160</v>
      </c>
      <c r="J174" s="118">
        <v>138</v>
      </c>
      <c r="K174" s="118">
        <v>140</v>
      </c>
      <c r="L174" s="118">
        <v>162</v>
      </c>
      <c r="M174" s="118">
        <v>163</v>
      </c>
      <c r="N174" s="118">
        <v>160</v>
      </c>
    </row>
    <row r="175" spans="1:14" ht="11.1" customHeight="1" x14ac:dyDescent="0.25">
      <c r="A175" s="15"/>
      <c r="B175" s="10">
        <v>2024</v>
      </c>
      <c r="C175" s="118">
        <v>155</v>
      </c>
      <c r="D175" s="118">
        <v>155</v>
      </c>
      <c r="E175" s="122">
        <v>155</v>
      </c>
      <c r="F175" s="118">
        <v>145</v>
      </c>
      <c r="G175" s="118">
        <v>145</v>
      </c>
      <c r="H175" s="118">
        <v>145</v>
      </c>
      <c r="I175" s="118">
        <v>175</v>
      </c>
      <c r="J175" s="118">
        <v>165</v>
      </c>
      <c r="K175" s="118">
        <v>160.5</v>
      </c>
      <c r="L175" s="119">
        <v>151.77248677248679</v>
      </c>
      <c r="M175" s="119">
        <v>193.33</v>
      </c>
      <c r="N175" s="119">
        <v>145</v>
      </c>
    </row>
    <row r="176" spans="1:14" ht="11.1" customHeight="1" x14ac:dyDescent="0.25">
      <c r="A176" s="143"/>
      <c r="B176" s="128">
        <v>2025</v>
      </c>
      <c r="C176" s="132">
        <v>152</v>
      </c>
      <c r="D176" s="132">
        <v>160</v>
      </c>
      <c r="E176" s="136">
        <v>158</v>
      </c>
      <c r="F176" s="132">
        <v>158</v>
      </c>
      <c r="G176" s="132">
        <v>158</v>
      </c>
      <c r="H176" s="132">
        <v>141</v>
      </c>
      <c r="I176" s="132">
        <v>139</v>
      </c>
      <c r="J176" s="132">
        <v>124</v>
      </c>
      <c r="K176" s="132">
        <v>137</v>
      </c>
      <c r="L176" s="121"/>
      <c r="M176" s="121"/>
      <c r="N176" s="121"/>
    </row>
    <row r="177" spans="1:14" ht="11.1" customHeight="1" x14ac:dyDescent="0.25">
      <c r="A177" s="16" t="s">
        <v>87</v>
      </c>
      <c r="B177" s="17">
        <v>2018</v>
      </c>
      <c r="C177" s="118">
        <v>61.5</v>
      </c>
      <c r="D177" s="118">
        <v>61.5</v>
      </c>
      <c r="E177" s="118">
        <v>61.5</v>
      </c>
      <c r="F177" s="118">
        <v>61.5</v>
      </c>
      <c r="G177" s="118">
        <v>61.5</v>
      </c>
      <c r="H177" s="118">
        <v>61.5</v>
      </c>
      <c r="I177" s="118">
        <v>60.25</v>
      </c>
      <c r="J177" s="118">
        <v>64</v>
      </c>
      <c r="K177" s="118">
        <v>65</v>
      </c>
      <c r="L177" s="118">
        <v>65</v>
      </c>
      <c r="M177" s="118">
        <v>65</v>
      </c>
      <c r="N177" s="118">
        <v>65</v>
      </c>
    </row>
    <row r="178" spans="1:14" ht="11.1" customHeight="1" x14ac:dyDescent="0.25">
      <c r="A178" s="16"/>
      <c r="B178" s="17">
        <v>2019</v>
      </c>
      <c r="C178" s="118">
        <v>68</v>
      </c>
      <c r="D178" s="118">
        <v>63.541249999999998</v>
      </c>
      <c r="E178" s="118">
        <v>63.541249999999998</v>
      </c>
      <c r="F178" s="118">
        <v>68.125</v>
      </c>
      <c r="G178" s="118">
        <v>68.125</v>
      </c>
      <c r="H178" s="118">
        <v>68.125</v>
      </c>
      <c r="I178" s="118">
        <v>68.125</v>
      </c>
      <c r="J178" s="119">
        <v>63.125</v>
      </c>
      <c r="K178" s="119">
        <v>70</v>
      </c>
      <c r="L178" s="118">
        <v>60</v>
      </c>
      <c r="M178" s="118">
        <v>55</v>
      </c>
      <c r="N178" s="118">
        <v>55</v>
      </c>
    </row>
    <row r="179" spans="1:14" ht="11.1" customHeight="1" x14ac:dyDescent="0.25">
      <c r="A179" s="16"/>
      <c r="B179" s="17">
        <v>2020</v>
      </c>
      <c r="C179" s="118">
        <v>56.5</v>
      </c>
      <c r="D179" s="122">
        <v>67.5</v>
      </c>
      <c r="E179" s="118">
        <v>56.5</v>
      </c>
      <c r="F179" s="118">
        <v>56.5</v>
      </c>
      <c r="G179" s="118">
        <v>56.5</v>
      </c>
      <c r="H179" s="118">
        <v>56.5</v>
      </c>
      <c r="I179" s="118">
        <v>56.5</v>
      </c>
      <c r="J179" s="118">
        <v>56.5</v>
      </c>
      <c r="K179" s="118">
        <v>56.5</v>
      </c>
      <c r="L179" s="118">
        <v>56.5</v>
      </c>
      <c r="M179" s="118">
        <v>62.5</v>
      </c>
      <c r="N179" s="118">
        <v>56.5</v>
      </c>
    </row>
    <row r="180" spans="1:14" ht="11.1" customHeight="1" x14ac:dyDescent="0.25">
      <c r="A180" s="16"/>
      <c r="B180" s="17">
        <v>2021</v>
      </c>
      <c r="C180" s="125" t="s">
        <v>138</v>
      </c>
      <c r="D180" s="125" t="s">
        <v>4</v>
      </c>
      <c r="E180" s="125" t="s">
        <v>138</v>
      </c>
      <c r="F180" s="125" t="s">
        <v>138</v>
      </c>
      <c r="G180" s="125" t="s">
        <v>138</v>
      </c>
      <c r="H180" s="125" t="s">
        <v>138</v>
      </c>
      <c r="I180" s="125" t="s">
        <v>4</v>
      </c>
      <c r="J180" s="125" t="s">
        <v>138</v>
      </c>
      <c r="K180" s="125" t="s">
        <v>138</v>
      </c>
      <c r="L180" s="125" t="s">
        <v>138</v>
      </c>
      <c r="M180" s="125" t="s">
        <v>138</v>
      </c>
      <c r="N180" s="125" t="s">
        <v>138</v>
      </c>
    </row>
    <row r="181" spans="1:14" ht="11.1" customHeight="1" x14ac:dyDescent="0.25">
      <c r="A181" s="16"/>
      <c r="B181" s="17">
        <v>2022</v>
      </c>
      <c r="C181" s="118">
        <v>70</v>
      </c>
      <c r="D181" s="122">
        <v>60</v>
      </c>
      <c r="E181" s="122">
        <v>60</v>
      </c>
      <c r="F181" s="118">
        <v>70</v>
      </c>
      <c r="G181" s="118">
        <v>75</v>
      </c>
      <c r="H181" s="118">
        <v>105</v>
      </c>
      <c r="I181" s="118">
        <v>105</v>
      </c>
      <c r="J181" s="118">
        <v>78</v>
      </c>
      <c r="K181" s="118">
        <v>88</v>
      </c>
      <c r="L181" s="122">
        <v>88</v>
      </c>
      <c r="M181" s="122">
        <v>88</v>
      </c>
      <c r="N181" s="118">
        <v>90</v>
      </c>
    </row>
    <row r="182" spans="1:14" ht="11.1" customHeight="1" x14ac:dyDescent="0.25">
      <c r="A182" s="16"/>
      <c r="B182" s="17">
        <v>2023</v>
      </c>
      <c r="C182" s="118">
        <v>85</v>
      </c>
      <c r="D182" s="122">
        <v>85</v>
      </c>
      <c r="E182" s="122">
        <v>85</v>
      </c>
      <c r="F182" s="122">
        <v>85</v>
      </c>
      <c r="G182" s="118">
        <v>85</v>
      </c>
      <c r="H182" s="118">
        <v>85</v>
      </c>
      <c r="I182" s="118">
        <v>112</v>
      </c>
      <c r="J182" s="118">
        <v>115</v>
      </c>
      <c r="K182" s="118">
        <v>115</v>
      </c>
      <c r="L182" s="122">
        <v>115</v>
      </c>
      <c r="M182" s="122">
        <v>115</v>
      </c>
      <c r="N182" s="118">
        <v>115</v>
      </c>
    </row>
    <row r="183" spans="1:14" ht="11.1" customHeight="1" x14ac:dyDescent="0.25">
      <c r="A183" s="15"/>
      <c r="B183" s="10">
        <v>2024</v>
      </c>
      <c r="C183" s="118">
        <v>115</v>
      </c>
      <c r="D183" s="118">
        <v>115</v>
      </c>
      <c r="E183" s="122">
        <v>83</v>
      </c>
      <c r="F183" s="118">
        <v>80</v>
      </c>
      <c r="G183" s="123">
        <v>90</v>
      </c>
      <c r="H183" s="118">
        <v>96</v>
      </c>
      <c r="I183" s="118">
        <v>93</v>
      </c>
      <c r="J183" s="118">
        <v>100</v>
      </c>
      <c r="K183" s="118">
        <v>94</v>
      </c>
      <c r="L183" s="119">
        <v>90.833333333333329</v>
      </c>
      <c r="M183" s="119">
        <v>90.83</v>
      </c>
      <c r="N183" s="119">
        <v>63</v>
      </c>
    </row>
    <row r="184" spans="1:14" ht="11.1" customHeight="1" x14ac:dyDescent="0.25">
      <c r="A184" s="143"/>
      <c r="B184" s="128">
        <v>2025</v>
      </c>
      <c r="C184" s="132">
        <v>80</v>
      </c>
      <c r="D184" s="132">
        <v>90</v>
      </c>
      <c r="E184" s="136">
        <v>100</v>
      </c>
      <c r="F184" s="144" t="s">
        <v>138</v>
      </c>
      <c r="G184" s="132">
        <v>90</v>
      </c>
      <c r="H184" s="132">
        <v>85</v>
      </c>
      <c r="I184" s="132">
        <v>93</v>
      </c>
      <c r="J184" s="132">
        <v>92</v>
      </c>
      <c r="K184" s="132">
        <v>80</v>
      </c>
      <c r="L184" s="121"/>
      <c r="M184" s="121"/>
      <c r="N184" s="121"/>
    </row>
    <row r="185" spans="1:14" ht="11.1" customHeight="1" x14ac:dyDescent="0.25">
      <c r="A185" s="16" t="s">
        <v>70</v>
      </c>
      <c r="B185" s="17">
        <v>2018</v>
      </c>
      <c r="C185" s="118">
        <v>113</v>
      </c>
      <c r="D185" s="122">
        <v>122</v>
      </c>
      <c r="E185" s="118">
        <v>113</v>
      </c>
      <c r="F185" s="118">
        <v>113</v>
      </c>
      <c r="G185" s="123">
        <v>113</v>
      </c>
      <c r="H185" s="118">
        <v>122</v>
      </c>
      <c r="I185" s="118">
        <v>118.33333333333333</v>
      </c>
      <c r="J185" s="118">
        <v>122</v>
      </c>
      <c r="K185" s="118">
        <v>115</v>
      </c>
      <c r="L185" s="122">
        <v>122</v>
      </c>
      <c r="M185" s="118">
        <v>122</v>
      </c>
      <c r="N185" s="118">
        <v>122</v>
      </c>
    </row>
    <row r="186" spans="1:14" ht="11.1" customHeight="1" x14ac:dyDescent="0.25">
      <c r="A186" s="16"/>
      <c r="B186" s="17">
        <v>2019</v>
      </c>
      <c r="C186" s="118">
        <v>122</v>
      </c>
      <c r="D186" s="122">
        <v>122</v>
      </c>
      <c r="E186" s="118">
        <v>122</v>
      </c>
      <c r="F186" s="118">
        <v>122</v>
      </c>
      <c r="G186" s="123">
        <v>105</v>
      </c>
      <c r="H186" s="118">
        <v>103</v>
      </c>
      <c r="I186" s="118">
        <v>96.666666666666671</v>
      </c>
      <c r="J186" s="119">
        <v>102</v>
      </c>
      <c r="K186" s="119">
        <v>120</v>
      </c>
      <c r="L186" s="122">
        <v>105</v>
      </c>
      <c r="M186" s="118">
        <v>105</v>
      </c>
      <c r="N186" s="118">
        <v>100</v>
      </c>
    </row>
    <row r="187" spans="1:14" ht="11.1" customHeight="1" x14ac:dyDescent="0.25">
      <c r="A187" s="16"/>
      <c r="B187" s="17">
        <v>2020</v>
      </c>
      <c r="C187" s="118">
        <v>105</v>
      </c>
      <c r="D187" s="122">
        <v>105</v>
      </c>
      <c r="E187" s="118">
        <v>105</v>
      </c>
      <c r="F187" s="118">
        <v>100</v>
      </c>
      <c r="G187" s="123">
        <v>100</v>
      </c>
      <c r="H187" s="118">
        <v>105</v>
      </c>
      <c r="I187" s="118">
        <v>100</v>
      </c>
      <c r="J187" s="119">
        <v>105</v>
      </c>
      <c r="K187" s="118">
        <v>100</v>
      </c>
      <c r="L187" s="122">
        <v>105</v>
      </c>
      <c r="M187" s="119">
        <v>105</v>
      </c>
      <c r="N187" s="119">
        <v>105</v>
      </c>
    </row>
    <row r="188" spans="1:14" ht="11.1" customHeight="1" x14ac:dyDescent="0.25">
      <c r="A188" s="16"/>
      <c r="B188" s="17">
        <v>2021</v>
      </c>
      <c r="C188" s="118">
        <v>100</v>
      </c>
      <c r="D188" s="122">
        <v>100</v>
      </c>
      <c r="E188" s="118">
        <v>100</v>
      </c>
      <c r="F188" s="118">
        <v>100</v>
      </c>
      <c r="G188" s="123">
        <v>100</v>
      </c>
      <c r="H188" s="118">
        <v>100</v>
      </c>
      <c r="I188" s="118">
        <v>105</v>
      </c>
      <c r="J188" s="119">
        <v>105</v>
      </c>
      <c r="K188" s="119">
        <v>105</v>
      </c>
      <c r="L188" s="122">
        <v>105</v>
      </c>
      <c r="M188" s="119">
        <v>105</v>
      </c>
      <c r="N188" s="119">
        <v>115</v>
      </c>
    </row>
    <row r="189" spans="1:14" ht="11.1" customHeight="1" x14ac:dyDescent="0.25">
      <c r="A189" s="16"/>
      <c r="B189" s="17">
        <v>2022</v>
      </c>
      <c r="C189" s="118">
        <v>115</v>
      </c>
      <c r="D189" s="118">
        <v>115</v>
      </c>
      <c r="E189" s="118">
        <v>105</v>
      </c>
      <c r="F189" s="118">
        <v>100</v>
      </c>
      <c r="G189" s="123">
        <v>115</v>
      </c>
      <c r="H189" s="118">
        <v>115</v>
      </c>
      <c r="I189" s="118">
        <v>115</v>
      </c>
      <c r="J189" s="119">
        <v>115</v>
      </c>
      <c r="K189" s="119">
        <v>115</v>
      </c>
      <c r="L189" s="146">
        <v>115</v>
      </c>
      <c r="M189" s="146">
        <v>115</v>
      </c>
      <c r="N189" s="146">
        <v>115</v>
      </c>
    </row>
    <row r="190" spans="1:14" ht="11.1" customHeight="1" x14ac:dyDescent="0.25">
      <c r="A190" s="16"/>
      <c r="B190" s="17">
        <v>2023</v>
      </c>
      <c r="C190" s="118">
        <v>115</v>
      </c>
      <c r="D190" s="118">
        <v>115</v>
      </c>
      <c r="E190" s="118">
        <v>115</v>
      </c>
      <c r="F190" s="118">
        <v>145</v>
      </c>
      <c r="G190" s="123">
        <v>145</v>
      </c>
      <c r="H190" s="118">
        <v>145</v>
      </c>
      <c r="I190" s="118">
        <v>145</v>
      </c>
      <c r="J190" s="119">
        <v>150</v>
      </c>
      <c r="K190" s="119">
        <v>150</v>
      </c>
      <c r="L190" s="146">
        <v>150</v>
      </c>
      <c r="M190" s="146">
        <v>150</v>
      </c>
      <c r="N190" s="146">
        <v>150</v>
      </c>
    </row>
    <row r="191" spans="1:14" ht="11.1" customHeight="1" x14ac:dyDescent="0.25">
      <c r="A191" s="15"/>
      <c r="B191" s="10">
        <v>2024</v>
      </c>
      <c r="C191" s="118">
        <v>155</v>
      </c>
      <c r="D191" s="118">
        <v>150</v>
      </c>
      <c r="E191" s="122">
        <v>147</v>
      </c>
      <c r="F191" s="118">
        <v>150</v>
      </c>
      <c r="G191" s="123">
        <v>155</v>
      </c>
      <c r="H191" s="118">
        <v>155</v>
      </c>
      <c r="I191" s="118">
        <v>155</v>
      </c>
      <c r="J191" s="118">
        <v>140</v>
      </c>
      <c r="K191" s="118">
        <v>150</v>
      </c>
      <c r="L191" s="119">
        <v>140</v>
      </c>
      <c r="M191" s="126" t="s">
        <v>4</v>
      </c>
      <c r="N191" s="119">
        <v>153.30000000000001</v>
      </c>
    </row>
    <row r="192" spans="1:14" ht="11.1" customHeight="1" x14ac:dyDescent="0.25">
      <c r="A192" s="143"/>
      <c r="B192" s="128">
        <v>2025</v>
      </c>
      <c r="C192" s="132">
        <v>152</v>
      </c>
      <c r="D192" s="132">
        <v>152</v>
      </c>
      <c r="E192" s="136">
        <v>152</v>
      </c>
      <c r="F192" s="132">
        <v>155</v>
      </c>
      <c r="G192" s="132">
        <v>155</v>
      </c>
      <c r="H192" s="132">
        <v>158</v>
      </c>
      <c r="I192" s="132">
        <v>160</v>
      </c>
      <c r="J192" s="132">
        <v>160</v>
      </c>
      <c r="K192" s="132">
        <v>160</v>
      </c>
      <c r="L192" s="121"/>
      <c r="M192" s="139"/>
      <c r="N192" s="121"/>
    </row>
    <row r="193" spans="1:14" ht="11.1" customHeight="1" x14ac:dyDescent="0.25">
      <c r="A193" s="16" t="s">
        <v>74</v>
      </c>
      <c r="B193" s="17">
        <v>2018</v>
      </c>
      <c r="C193" s="118">
        <v>155</v>
      </c>
      <c r="D193" s="122">
        <v>155</v>
      </c>
      <c r="E193" s="118">
        <v>155</v>
      </c>
      <c r="F193" s="118">
        <v>155</v>
      </c>
      <c r="G193" s="123">
        <v>155</v>
      </c>
      <c r="H193" s="118">
        <v>170</v>
      </c>
      <c r="I193" s="118">
        <v>170</v>
      </c>
      <c r="J193" s="118">
        <v>170</v>
      </c>
      <c r="K193" s="118">
        <v>170</v>
      </c>
      <c r="L193" s="122">
        <v>170</v>
      </c>
      <c r="M193" s="118">
        <v>170</v>
      </c>
      <c r="N193" s="146">
        <v>140</v>
      </c>
    </row>
    <row r="194" spans="1:14" ht="11.1" customHeight="1" x14ac:dyDescent="0.25">
      <c r="A194" s="16"/>
      <c r="B194" s="17">
        <v>2019</v>
      </c>
      <c r="C194" s="118">
        <v>115</v>
      </c>
      <c r="D194" s="122">
        <v>115</v>
      </c>
      <c r="E194" s="118">
        <v>115</v>
      </c>
      <c r="F194" s="118">
        <v>115</v>
      </c>
      <c r="G194" s="123">
        <v>115</v>
      </c>
      <c r="H194" s="118">
        <v>115</v>
      </c>
      <c r="I194" s="118">
        <v>115</v>
      </c>
      <c r="J194" s="119">
        <v>115</v>
      </c>
      <c r="K194" s="119">
        <v>115</v>
      </c>
      <c r="L194" s="122">
        <v>115</v>
      </c>
      <c r="M194" s="118">
        <v>115</v>
      </c>
      <c r="N194" s="146">
        <v>115</v>
      </c>
    </row>
    <row r="195" spans="1:14" ht="11.1" customHeight="1" x14ac:dyDescent="0.25">
      <c r="A195" s="38"/>
      <c r="B195" s="17">
        <v>2020</v>
      </c>
      <c r="C195" s="118">
        <v>115</v>
      </c>
      <c r="D195" s="125" t="s">
        <v>4</v>
      </c>
      <c r="E195" s="125" t="s">
        <v>138</v>
      </c>
      <c r="F195" s="125" t="s">
        <v>138</v>
      </c>
      <c r="G195" s="134" t="s">
        <v>138</v>
      </c>
      <c r="H195" s="125" t="s">
        <v>138</v>
      </c>
      <c r="I195" s="125" t="s">
        <v>4</v>
      </c>
      <c r="J195" s="125" t="s">
        <v>138</v>
      </c>
      <c r="K195" s="125" t="s">
        <v>138</v>
      </c>
      <c r="L195" s="125" t="s">
        <v>138</v>
      </c>
      <c r="M195" s="125" t="s">
        <v>138</v>
      </c>
      <c r="N195" s="146" t="s">
        <v>138</v>
      </c>
    </row>
    <row r="196" spans="1:14" ht="11.1" customHeight="1" x14ac:dyDescent="0.25">
      <c r="A196" s="38"/>
      <c r="B196" s="17">
        <v>2021</v>
      </c>
      <c r="C196" s="125" t="s">
        <v>138</v>
      </c>
      <c r="D196" s="122">
        <v>115</v>
      </c>
      <c r="E196" s="125" t="s">
        <v>138</v>
      </c>
      <c r="F196" s="118">
        <v>120</v>
      </c>
      <c r="G196" s="123">
        <v>120</v>
      </c>
      <c r="H196" s="118">
        <v>120</v>
      </c>
      <c r="I196" s="118">
        <v>120</v>
      </c>
      <c r="J196" s="118">
        <v>120</v>
      </c>
      <c r="K196" s="125" t="s">
        <v>138</v>
      </c>
      <c r="L196" s="122">
        <v>145</v>
      </c>
      <c r="M196" s="118">
        <v>145</v>
      </c>
      <c r="N196" s="146">
        <v>145</v>
      </c>
    </row>
    <row r="197" spans="1:14" ht="11.1" customHeight="1" x14ac:dyDescent="0.25">
      <c r="A197" s="38"/>
      <c r="B197" s="17">
        <v>2022</v>
      </c>
      <c r="C197" s="147">
        <v>145</v>
      </c>
      <c r="D197" s="118">
        <v>145</v>
      </c>
      <c r="E197" s="118">
        <v>145</v>
      </c>
      <c r="F197" s="118">
        <v>130</v>
      </c>
      <c r="G197" s="123">
        <v>130</v>
      </c>
      <c r="H197" s="118">
        <v>130</v>
      </c>
      <c r="I197" s="118">
        <v>130</v>
      </c>
      <c r="J197" s="118">
        <v>130</v>
      </c>
      <c r="K197" s="125">
        <v>130</v>
      </c>
      <c r="L197" s="122">
        <v>130</v>
      </c>
      <c r="M197" s="122">
        <v>130</v>
      </c>
      <c r="N197" s="146">
        <v>135</v>
      </c>
    </row>
    <row r="198" spans="1:14" ht="11.1" customHeight="1" x14ac:dyDescent="0.25">
      <c r="A198" s="38"/>
      <c r="B198" s="17">
        <v>2023</v>
      </c>
      <c r="C198" s="147">
        <v>135</v>
      </c>
      <c r="D198" s="118">
        <v>135</v>
      </c>
      <c r="E198" s="118">
        <v>135</v>
      </c>
      <c r="F198" s="118">
        <v>130</v>
      </c>
      <c r="G198" s="123">
        <v>135</v>
      </c>
      <c r="H198" s="118">
        <v>135</v>
      </c>
      <c r="I198" s="118">
        <v>130</v>
      </c>
      <c r="J198" s="118">
        <v>130</v>
      </c>
      <c r="K198" s="118">
        <v>130</v>
      </c>
      <c r="L198" s="118">
        <v>130</v>
      </c>
      <c r="M198" s="122">
        <v>130</v>
      </c>
      <c r="N198" s="146">
        <v>125</v>
      </c>
    </row>
    <row r="199" spans="1:14" ht="11.1" customHeight="1" x14ac:dyDescent="0.25">
      <c r="A199" s="38"/>
      <c r="B199" s="17">
        <v>2024</v>
      </c>
      <c r="C199" s="147">
        <v>135</v>
      </c>
      <c r="D199" s="118">
        <v>130</v>
      </c>
      <c r="E199" s="118">
        <v>140</v>
      </c>
      <c r="F199" s="118">
        <v>150</v>
      </c>
      <c r="G199" s="123">
        <v>150</v>
      </c>
      <c r="H199" s="118">
        <v>150</v>
      </c>
      <c r="I199" s="118">
        <v>150</v>
      </c>
      <c r="J199" s="118">
        <v>150</v>
      </c>
      <c r="K199" s="118">
        <v>137</v>
      </c>
      <c r="L199" s="118">
        <v>115</v>
      </c>
      <c r="M199" s="122">
        <v>115</v>
      </c>
      <c r="N199" s="122">
        <v>115</v>
      </c>
    </row>
    <row r="200" spans="1:14" ht="11.1" customHeight="1" x14ac:dyDescent="0.25">
      <c r="A200" s="39"/>
      <c r="B200" s="21">
        <v>2025</v>
      </c>
      <c r="C200" s="139" t="s">
        <v>4</v>
      </c>
      <c r="D200" s="132">
        <v>115</v>
      </c>
      <c r="E200" s="132">
        <v>115</v>
      </c>
      <c r="F200" s="132">
        <v>115</v>
      </c>
      <c r="G200" s="132">
        <v>120</v>
      </c>
      <c r="H200" s="132">
        <v>120</v>
      </c>
      <c r="I200" s="132">
        <v>120</v>
      </c>
      <c r="J200" s="132">
        <v>120</v>
      </c>
      <c r="K200" s="132">
        <v>120</v>
      </c>
      <c r="L200" s="132"/>
      <c r="M200" s="136"/>
      <c r="N200" s="136"/>
    </row>
    <row r="201" spans="1:14" ht="9" customHeight="1" x14ac:dyDescent="0.25">
      <c r="A201" s="9" t="s">
        <v>84</v>
      </c>
      <c r="B201" s="148"/>
      <c r="C201" s="149"/>
      <c r="D201" s="149"/>
      <c r="E201" s="149"/>
      <c r="F201" s="149"/>
      <c r="G201" s="150"/>
      <c r="H201" s="149"/>
      <c r="I201" s="149"/>
      <c r="J201" s="149"/>
      <c r="K201" s="149"/>
      <c r="L201" s="149"/>
      <c r="M201" s="149"/>
      <c r="N201" s="149"/>
    </row>
    <row r="202" spans="1:14" ht="9" customHeight="1" x14ac:dyDescent="0.25">
      <c r="A202" s="113" t="s">
        <v>65</v>
      </c>
      <c r="B202" s="151"/>
      <c r="C202" s="152"/>
      <c r="D202" s="152"/>
      <c r="E202" s="152"/>
      <c r="F202" s="152"/>
      <c r="G202" s="153"/>
      <c r="H202" s="152"/>
      <c r="I202" s="149"/>
      <c r="J202" s="149"/>
      <c r="K202" s="149"/>
      <c r="L202" s="149"/>
      <c r="M202" s="149"/>
      <c r="N202" s="149"/>
    </row>
    <row r="203" spans="1:14" ht="9" customHeight="1" x14ac:dyDescent="0.2">
      <c r="A203" s="115" t="s">
        <v>66</v>
      </c>
      <c r="B203" s="11"/>
      <c r="C203" s="11"/>
      <c r="D203" s="11"/>
      <c r="E203" s="11"/>
      <c r="F203" s="11"/>
      <c r="G203" s="154"/>
      <c r="H203" s="11"/>
      <c r="I203" s="11"/>
      <c r="J203" s="11"/>
      <c r="K203" s="11"/>
      <c r="L203" s="11"/>
      <c r="M203" s="11"/>
      <c r="N203" s="11"/>
    </row>
    <row r="204" spans="1:14" ht="9" customHeight="1" x14ac:dyDescent="0.2">
      <c r="A204" s="115" t="s">
        <v>483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</row>
    <row r="205" spans="1:14" ht="10.5" customHeight="1" x14ac:dyDescent="0.2">
      <c r="A205" s="113"/>
    </row>
    <row r="206" spans="1:14" ht="6.75" customHeight="1" x14ac:dyDescent="0.2">
      <c r="A206" s="113"/>
    </row>
  </sheetData>
  <mergeCells count="3">
    <mergeCell ref="A1:N1"/>
    <mergeCell ref="A66:F66"/>
    <mergeCell ref="A134:F134"/>
  </mergeCells>
  <pageMargins left="0.27559055118110237" right="0.27559055118110237" top="0.39370078740157483" bottom="0.39370078740157483" header="0" footer="0"/>
  <pageSetup paperSize="9" orientation="portrait" horizontalDpi="0" verticalDpi="0"/>
  <rowBreaks count="1" manualBreakCount="1">
    <brk id="65" max="1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5"/>
  <dimension ref="A1:N174"/>
  <sheetViews>
    <sheetView showGridLines="0" zoomScaleNormal="100" workbookViewId="0">
      <selection activeCell="L27" sqref="L27"/>
    </sheetView>
  </sheetViews>
  <sheetFormatPr baseColWidth="10" defaultColWidth="11.42578125" defaultRowHeight="12.75" x14ac:dyDescent="0.2"/>
  <cols>
    <col min="1" max="1" width="13.140625" style="116" customWidth="1"/>
    <col min="2" max="2" width="5.42578125" style="116" customWidth="1"/>
    <col min="3" max="14" width="5.85546875" style="116" customWidth="1"/>
    <col min="15" max="16384" width="11.42578125" style="116"/>
  </cols>
  <sheetData>
    <row r="1" spans="1:14" ht="13.5" x14ac:dyDescent="0.25">
      <c r="A1" s="736" t="s">
        <v>561</v>
      </c>
      <c r="B1" s="736"/>
      <c r="C1" s="736"/>
      <c r="D1" s="736"/>
      <c r="E1" s="736"/>
      <c r="F1" s="736"/>
      <c r="G1" s="736"/>
      <c r="H1" s="736"/>
      <c r="I1" s="736"/>
      <c r="J1" s="736"/>
      <c r="K1" s="736"/>
      <c r="L1" s="736"/>
      <c r="M1" s="736"/>
      <c r="N1" s="736"/>
    </row>
    <row r="2" spans="1:14" ht="12" customHeight="1" x14ac:dyDescent="0.25">
      <c r="A2" s="636" t="s">
        <v>119</v>
      </c>
      <c r="B2" s="635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635"/>
    </row>
    <row r="3" spans="1:14" ht="5.0999999999999996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8" customHeight="1" x14ac:dyDescent="0.2">
      <c r="A4" s="214" t="s">
        <v>92</v>
      </c>
      <c r="B4" s="214" t="s">
        <v>137</v>
      </c>
      <c r="C4" s="214" t="s">
        <v>94</v>
      </c>
      <c r="D4" s="214" t="s">
        <v>95</v>
      </c>
      <c r="E4" s="214" t="s">
        <v>96</v>
      </c>
      <c r="F4" s="214" t="s">
        <v>97</v>
      </c>
      <c r="G4" s="214" t="s">
        <v>98</v>
      </c>
      <c r="H4" s="214" t="s">
        <v>99</v>
      </c>
      <c r="I4" s="214" t="s">
        <v>100</v>
      </c>
      <c r="J4" s="214" t="s">
        <v>101</v>
      </c>
      <c r="K4" s="214" t="s">
        <v>102</v>
      </c>
      <c r="L4" s="214" t="s">
        <v>103</v>
      </c>
      <c r="M4" s="214" t="s">
        <v>104</v>
      </c>
      <c r="N4" s="214" t="s">
        <v>105</v>
      </c>
    </row>
    <row r="5" spans="1:14" ht="3" customHeight="1" x14ac:dyDescent="0.25">
      <c r="A5" s="13"/>
      <c r="B5" s="13"/>
      <c r="C5" s="13"/>
      <c r="D5" s="13"/>
      <c r="E5" s="13"/>
      <c r="F5" s="13"/>
      <c r="G5" s="13"/>
      <c r="H5" s="13"/>
      <c r="I5" s="13"/>
      <c r="J5" s="44"/>
      <c r="K5" s="13"/>
      <c r="L5" s="13"/>
      <c r="M5" s="13"/>
      <c r="N5" s="13"/>
    </row>
    <row r="6" spans="1:14" ht="11.1" customHeight="1" x14ac:dyDescent="0.25">
      <c r="A6" s="14" t="s">
        <v>50</v>
      </c>
      <c r="B6" s="10">
        <v>2018</v>
      </c>
      <c r="C6" s="160">
        <v>80</v>
      </c>
      <c r="D6" s="160">
        <v>81</v>
      </c>
      <c r="E6" s="160">
        <v>82</v>
      </c>
      <c r="F6" s="159">
        <v>82</v>
      </c>
      <c r="G6" s="159">
        <v>82</v>
      </c>
      <c r="H6" s="159">
        <v>82</v>
      </c>
      <c r="I6" s="160">
        <v>83</v>
      </c>
      <c r="J6" s="159">
        <v>82.5</v>
      </c>
      <c r="K6" s="159">
        <v>82.5</v>
      </c>
      <c r="L6" s="160">
        <v>82.5</v>
      </c>
      <c r="M6" s="159">
        <v>82.5</v>
      </c>
      <c r="N6" s="160">
        <v>82.5</v>
      </c>
    </row>
    <row r="7" spans="1:14" ht="11.1" customHeight="1" x14ac:dyDescent="0.25">
      <c r="A7" s="14"/>
      <c r="B7" s="10">
        <v>2019</v>
      </c>
      <c r="C7" s="160">
        <v>84.166666666666671</v>
      </c>
      <c r="D7" s="160">
        <v>84.2</v>
      </c>
      <c r="E7" s="160">
        <v>84.2</v>
      </c>
      <c r="F7" s="159">
        <v>85.9</v>
      </c>
      <c r="G7" s="159">
        <v>85.9</v>
      </c>
      <c r="H7" s="159">
        <v>85.9</v>
      </c>
      <c r="I7" s="160">
        <v>89.2</v>
      </c>
      <c r="J7" s="159">
        <v>89.2</v>
      </c>
      <c r="K7" s="159">
        <v>100</v>
      </c>
      <c r="L7" s="160">
        <v>100</v>
      </c>
      <c r="M7" s="159">
        <v>100</v>
      </c>
      <c r="N7" s="160">
        <v>105</v>
      </c>
    </row>
    <row r="8" spans="1:14" ht="11.1" customHeight="1" x14ac:dyDescent="0.25">
      <c r="A8" s="14"/>
      <c r="B8" s="10">
        <v>2020</v>
      </c>
      <c r="C8" s="160">
        <v>110</v>
      </c>
      <c r="D8" s="160">
        <v>109</v>
      </c>
      <c r="E8" s="160">
        <v>112.5</v>
      </c>
      <c r="F8" s="159">
        <v>110</v>
      </c>
      <c r="G8" s="159">
        <v>109</v>
      </c>
      <c r="H8" s="159">
        <v>109</v>
      </c>
      <c r="I8" s="160">
        <v>112.5</v>
      </c>
      <c r="J8" s="159">
        <v>109</v>
      </c>
      <c r="K8" s="159">
        <v>112.5</v>
      </c>
      <c r="L8" s="160">
        <v>109</v>
      </c>
      <c r="M8" s="159">
        <v>109</v>
      </c>
      <c r="N8" s="160">
        <v>109</v>
      </c>
    </row>
    <row r="9" spans="1:14" ht="11.1" customHeight="1" x14ac:dyDescent="0.25">
      <c r="A9" s="14"/>
      <c r="B9" s="10">
        <v>2021</v>
      </c>
      <c r="C9" s="160">
        <v>110</v>
      </c>
      <c r="D9" s="160">
        <v>110</v>
      </c>
      <c r="E9" s="160">
        <v>110</v>
      </c>
      <c r="F9" s="159">
        <v>112.5</v>
      </c>
      <c r="G9" s="159">
        <v>112.5</v>
      </c>
      <c r="H9" s="159">
        <v>112.5</v>
      </c>
      <c r="I9" s="160">
        <v>112.5</v>
      </c>
      <c r="J9" s="159">
        <v>112.5</v>
      </c>
      <c r="K9" s="159">
        <v>112.5</v>
      </c>
      <c r="L9" s="160">
        <v>112.5</v>
      </c>
      <c r="M9" s="159">
        <v>112.5</v>
      </c>
      <c r="N9" s="160">
        <v>112.5</v>
      </c>
    </row>
    <row r="10" spans="1:14" ht="11.1" customHeight="1" x14ac:dyDescent="0.25">
      <c r="A10" s="14"/>
      <c r="B10" s="10">
        <v>2022</v>
      </c>
      <c r="C10" s="160">
        <v>112.5</v>
      </c>
      <c r="D10" s="160">
        <v>112</v>
      </c>
      <c r="E10" s="160">
        <v>112</v>
      </c>
      <c r="F10" s="159">
        <v>112</v>
      </c>
      <c r="G10" s="159">
        <v>112.5</v>
      </c>
      <c r="H10" s="159">
        <v>112.5</v>
      </c>
      <c r="I10" s="160">
        <v>112.5</v>
      </c>
      <c r="J10" s="159">
        <v>112.5</v>
      </c>
      <c r="K10" s="159">
        <v>112.5</v>
      </c>
      <c r="L10" s="160">
        <v>112.5</v>
      </c>
      <c r="M10" s="159" t="s">
        <v>47</v>
      </c>
      <c r="N10" s="160">
        <v>101</v>
      </c>
    </row>
    <row r="11" spans="1:14" ht="11.1" customHeight="1" x14ac:dyDescent="0.25">
      <c r="A11" s="14"/>
      <c r="B11" s="10">
        <v>2023</v>
      </c>
      <c r="C11" s="161" t="s">
        <v>4</v>
      </c>
      <c r="D11" s="161" t="s">
        <v>4</v>
      </c>
      <c r="E11" s="161" t="s">
        <v>4</v>
      </c>
      <c r="F11" s="159">
        <v>120</v>
      </c>
      <c r="G11" s="159">
        <v>120</v>
      </c>
      <c r="H11" s="159">
        <v>100</v>
      </c>
      <c r="I11" s="159">
        <v>130</v>
      </c>
      <c r="J11" s="159">
        <v>130</v>
      </c>
      <c r="K11" s="159">
        <v>115</v>
      </c>
      <c r="L11" s="159">
        <v>120</v>
      </c>
      <c r="M11" s="159">
        <v>120</v>
      </c>
      <c r="N11" s="159">
        <v>120</v>
      </c>
    </row>
    <row r="12" spans="1:14" ht="11.1" customHeight="1" x14ac:dyDescent="0.25">
      <c r="A12" s="14"/>
      <c r="B12" s="10">
        <v>2024</v>
      </c>
      <c r="C12" s="160">
        <v>120</v>
      </c>
      <c r="D12" s="160">
        <v>120</v>
      </c>
      <c r="E12" s="5" t="s">
        <v>4</v>
      </c>
      <c r="F12" s="159">
        <v>105</v>
      </c>
      <c r="G12" s="160">
        <v>118</v>
      </c>
      <c r="H12" s="159">
        <v>118</v>
      </c>
      <c r="I12" s="159">
        <v>118</v>
      </c>
      <c r="J12" s="159">
        <v>118</v>
      </c>
      <c r="K12" s="159">
        <v>121</v>
      </c>
      <c r="L12" s="159">
        <v>112.734375</v>
      </c>
      <c r="M12" s="159">
        <v>94.49</v>
      </c>
      <c r="N12" s="159">
        <v>95</v>
      </c>
    </row>
    <row r="13" spans="1:14" ht="11.1" customHeight="1" x14ac:dyDescent="0.25">
      <c r="A13" s="127"/>
      <c r="B13" s="128">
        <v>2025</v>
      </c>
      <c r="C13" s="162">
        <v>110</v>
      </c>
      <c r="D13" s="162">
        <v>93</v>
      </c>
      <c r="E13" s="164">
        <v>110</v>
      </c>
      <c r="F13" s="164" t="s">
        <v>47</v>
      </c>
      <c r="G13" s="164" t="s">
        <v>47</v>
      </c>
      <c r="H13" s="164">
        <v>104</v>
      </c>
      <c r="I13" s="164">
        <v>110.4</v>
      </c>
      <c r="J13" s="164">
        <v>111</v>
      </c>
      <c r="K13" s="164">
        <v>96</v>
      </c>
      <c r="L13" s="164"/>
      <c r="M13" s="164"/>
      <c r="N13" s="164"/>
    </row>
    <row r="14" spans="1:14" ht="11.1" customHeight="1" x14ac:dyDescent="0.25">
      <c r="A14" s="133" t="s">
        <v>88</v>
      </c>
      <c r="B14" s="10">
        <v>2018</v>
      </c>
      <c r="C14" s="165">
        <v>95.5</v>
      </c>
      <c r="D14" s="165">
        <v>92</v>
      </c>
      <c r="E14" s="165">
        <v>92</v>
      </c>
      <c r="F14" s="159">
        <v>91</v>
      </c>
      <c r="G14" s="159">
        <v>87</v>
      </c>
      <c r="H14" s="159">
        <v>87</v>
      </c>
      <c r="I14" s="159">
        <v>87</v>
      </c>
      <c r="J14" s="159">
        <v>87</v>
      </c>
      <c r="K14" s="159">
        <v>87</v>
      </c>
      <c r="L14" s="160">
        <v>87</v>
      </c>
      <c r="M14" s="159">
        <v>87</v>
      </c>
      <c r="N14" s="160">
        <v>83</v>
      </c>
    </row>
    <row r="15" spans="1:14" ht="11.1" customHeight="1" x14ac:dyDescent="0.25">
      <c r="A15" s="133"/>
      <c r="B15" s="10">
        <v>2019</v>
      </c>
      <c r="C15" s="160">
        <v>92</v>
      </c>
      <c r="D15" s="160">
        <v>86</v>
      </c>
      <c r="E15" s="160">
        <v>86</v>
      </c>
      <c r="F15" s="159">
        <v>86</v>
      </c>
      <c r="G15" s="159">
        <v>88</v>
      </c>
      <c r="H15" s="159">
        <v>84</v>
      </c>
      <c r="I15" s="159">
        <v>83</v>
      </c>
      <c r="J15" s="159">
        <v>84</v>
      </c>
      <c r="K15" s="166">
        <v>80</v>
      </c>
      <c r="L15" s="165">
        <v>85</v>
      </c>
      <c r="M15" s="166">
        <v>85</v>
      </c>
      <c r="N15" s="165">
        <v>95</v>
      </c>
    </row>
    <row r="16" spans="1:14" ht="11.1" customHeight="1" x14ac:dyDescent="0.25">
      <c r="A16" s="133"/>
      <c r="B16" s="10">
        <v>2020</v>
      </c>
      <c r="C16" s="160">
        <v>82</v>
      </c>
      <c r="D16" s="160" t="s">
        <v>47</v>
      </c>
      <c r="E16" s="160" t="s">
        <v>47</v>
      </c>
      <c r="F16" s="159" t="s">
        <v>47</v>
      </c>
      <c r="G16" s="159" t="s">
        <v>47</v>
      </c>
      <c r="H16" s="159" t="s">
        <v>47</v>
      </c>
      <c r="I16" s="159" t="s">
        <v>47</v>
      </c>
      <c r="J16" s="166">
        <v>95</v>
      </c>
      <c r="K16" s="166">
        <v>92.5</v>
      </c>
      <c r="L16" s="165">
        <v>92.5</v>
      </c>
      <c r="M16" s="166">
        <v>94</v>
      </c>
      <c r="N16" s="165">
        <v>95</v>
      </c>
    </row>
    <row r="17" spans="1:14" ht="11.1" customHeight="1" x14ac:dyDescent="0.25">
      <c r="A17" s="133"/>
      <c r="B17" s="10">
        <v>2021</v>
      </c>
      <c r="C17" s="160">
        <v>87.5</v>
      </c>
      <c r="D17" s="160">
        <v>100</v>
      </c>
      <c r="E17" s="160">
        <v>100</v>
      </c>
      <c r="F17" s="159">
        <v>100</v>
      </c>
      <c r="G17" s="159">
        <v>100</v>
      </c>
      <c r="H17" s="159">
        <v>90</v>
      </c>
      <c r="I17" s="159">
        <v>90</v>
      </c>
      <c r="J17" s="166">
        <v>85</v>
      </c>
      <c r="K17" s="166">
        <v>90</v>
      </c>
      <c r="L17" s="165">
        <v>95</v>
      </c>
      <c r="M17" s="166">
        <v>100</v>
      </c>
      <c r="N17" s="165">
        <v>95</v>
      </c>
    </row>
    <row r="18" spans="1:14" ht="11.1" customHeight="1" x14ac:dyDescent="0.25">
      <c r="A18" s="133"/>
      <c r="B18" s="10">
        <v>2022</v>
      </c>
      <c r="C18" s="160">
        <v>102.5</v>
      </c>
      <c r="D18" s="160">
        <v>100</v>
      </c>
      <c r="E18" s="160">
        <v>96</v>
      </c>
      <c r="F18" s="159">
        <v>96</v>
      </c>
      <c r="G18" s="159">
        <v>96</v>
      </c>
      <c r="H18" s="159">
        <v>98</v>
      </c>
      <c r="I18" s="159">
        <v>96</v>
      </c>
      <c r="J18" s="166">
        <v>90</v>
      </c>
      <c r="K18" s="166">
        <v>100</v>
      </c>
      <c r="L18" s="165">
        <v>105</v>
      </c>
      <c r="M18" s="166">
        <v>100</v>
      </c>
      <c r="N18" s="165">
        <v>100</v>
      </c>
    </row>
    <row r="19" spans="1:14" ht="11.1" customHeight="1" x14ac:dyDescent="0.25">
      <c r="A19" s="133"/>
      <c r="B19" s="10">
        <v>2023</v>
      </c>
      <c r="C19" s="159">
        <v>140</v>
      </c>
      <c r="D19" s="159">
        <v>138</v>
      </c>
      <c r="E19" s="159">
        <v>140</v>
      </c>
      <c r="F19" s="159">
        <v>120</v>
      </c>
      <c r="G19" s="159">
        <v>110</v>
      </c>
      <c r="H19" s="159">
        <v>100</v>
      </c>
      <c r="I19" s="159">
        <v>138</v>
      </c>
      <c r="J19" s="166">
        <v>118</v>
      </c>
      <c r="K19" s="166">
        <v>120</v>
      </c>
      <c r="L19" s="166">
        <v>120</v>
      </c>
      <c r="M19" s="166">
        <v>120</v>
      </c>
      <c r="N19" s="166">
        <v>155</v>
      </c>
    </row>
    <row r="20" spans="1:14" ht="11.1" customHeight="1" x14ac:dyDescent="0.25">
      <c r="A20" s="14"/>
      <c r="B20" s="10">
        <v>2024</v>
      </c>
      <c r="C20" s="159">
        <v>160</v>
      </c>
      <c r="D20" s="159">
        <v>165</v>
      </c>
      <c r="E20" s="159">
        <v>158</v>
      </c>
      <c r="F20" s="159">
        <v>138</v>
      </c>
      <c r="G20" s="160">
        <v>138</v>
      </c>
      <c r="H20" s="159">
        <v>138</v>
      </c>
      <c r="I20" s="159">
        <v>155</v>
      </c>
      <c r="J20" s="159">
        <v>155</v>
      </c>
      <c r="K20" s="159">
        <v>137</v>
      </c>
      <c r="L20" s="159">
        <v>149</v>
      </c>
      <c r="M20" s="159">
        <v>135</v>
      </c>
      <c r="N20" s="159">
        <v>132</v>
      </c>
    </row>
    <row r="21" spans="1:14" ht="11.1" customHeight="1" x14ac:dyDescent="0.25">
      <c r="A21" s="127"/>
      <c r="B21" s="128">
        <v>2025</v>
      </c>
      <c r="C21" s="164">
        <v>140</v>
      </c>
      <c r="D21" s="164">
        <v>132</v>
      </c>
      <c r="E21" s="164">
        <v>133</v>
      </c>
      <c r="F21" s="164">
        <v>135</v>
      </c>
      <c r="G21" s="164">
        <v>137</v>
      </c>
      <c r="H21" s="164">
        <v>143</v>
      </c>
      <c r="I21" s="164">
        <v>118</v>
      </c>
      <c r="J21" s="164">
        <v>128</v>
      </c>
      <c r="K21" s="164">
        <v>128</v>
      </c>
      <c r="L21" s="164"/>
      <c r="M21" s="164"/>
      <c r="N21" s="164"/>
    </row>
    <row r="22" spans="1:14" ht="12.75" customHeight="1" x14ac:dyDescent="0.2">
      <c r="A22" s="629" t="s">
        <v>593</v>
      </c>
      <c r="B22" s="630">
        <v>2025</v>
      </c>
      <c r="C22" s="631" t="s">
        <v>4</v>
      </c>
      <c r="D22" s="631" t="s">
        <v>4</v>
      </c>
      <c r="E22" s="631" t="s">
        <v>4</v>
      </c>
      <c r="F22" s="631" t="s">
        <v>4</v>
      </c>
      <c r="G22" s="631" t="s">
        <v>4</v>
      </c>
      <c r="H22" s="631" t="s">
        <v>4</v>
      </c>
      <c r="I22" s="631" t="s">
        <v>4</v>
      </c>
      <c r="J22" s="631" t="s">
        <v>4</v>
      </c>
      <c r="K22" s="631">
        <v>147</v>
      </c>
      <c r="L22" s="631"/>
      <c r="M22" s="631"/>
      <c r="N22" s="631"/>
    </row>
    <row r="23" spans="1:14" ht="11.1" customHeight="1" x14ac:dyDescent="0.2">
      <c r="A23" s="67" t="s">
        <v>5</v>
      </c>
      <c r="B23" s="10">
        <v>2024</v>
      </c>
      <c r="C23" s="5" t="s">
        <v>4</v>
      </c>
      <c r="D23" s="5" t="s">
        <v>4</v>
      </c>
      <c r="E23" s="159">
        <v>195</v>
      </c>
      <c r="F23" s="159">
        <v>195</v>
      </c>
      <c r="G23" s="160">
        <v>195</v>
      </c>
      <c r="H23" s="159">
        <v>195</v>
      </c>
      <c r="I23" s="159">
        <v>195</v>
      </c>
      <c r="J23" s="159">
        <v>200</v>
      </c>
      <c r="K23" s="159">
        <v>201.66666666666666</v>
      </c>
      <c r="L23" s="159">
        <v>192.5</v>
      </c>
      <c r="M23" s="159">
        <v>190.95</v>
      </c>
      <c r="N23" s="159">
        <v>160</v>
      </c>
    </row>
    <row r="24" spans="1:14" ht="11.1" customHeight="1" x14ac:dyDescent="0.2">
      <c r="A24" s="174"/>
      <c r="B24" s="128">
        <v>2025</v>
      </c>
      <c r="C24" s="164">
        <v>177</v>
      </c>
      <c r="D24" s="164">
        <v>164</v>
      </c>
      <c r="E24" s="164">
        <v>164</v>
      </c>
      <c r="F24" s="164">
        <v>167</v>
      </c>
      <c r="G24" s="164">
        <v>148</v>
      </c>
      <c r="H24" s="164">
        <v>130</v>
      </c>
      <c r="I24" s="164">
        <v>146</v>
      </c>
      <c r="J24" s="164">
        <v>180</v>
      </c>
      <c r="K24" s="164">
        <v>146</v>
      </c>
      <c r="L24" s="164"/>
      <c r="M24" s="164"/>
      <c r="N24" s="164"/>
    </row>
    <row r="25" spans="1:14" ht="11.1" customHeight="1" x14ac:dyDescent="0.25">
      <c r="A25" s="133" t="s">
        <v>107</v>
      </c>
      <c r="B25" s="10">
        <v>2018</v>
      </c>
      <c r="C25" s="166">
        <v>88</v>
      </c>
      <c r="D25" s="165">
        <v>74</v>
      </c>
      <c r="E25" s="166">
        <v>76</v>
      </c>
      <c r="F25" s="159">
        <v>72</v>
      </c>
      <c r="G25" s="160">
        <v>74</v>
      </c>
      <c r="H25" s="159">
        <v>76</v>
      </c>
      <c r="I25" s="159">
        <v>76</v>
      </c>
      <c r="J25" s="159">
        <v>75</v>
      </c>
      <c r="K25" s="159">
        <v>75</v>
      </c>
      <c r="L25" s="160">
        <v>78</v>
      </c>
      <c r="M25" s="159">
        <v>82</v>
      </c>
      <c r="N25" s="160">
        <v>82</v>
      </c>
    </row>
    <row r="26" spans="1:14" ht="11.1" customHeight="1" x14ac:dyDescent="0.25">
      <c r="A26" s="133"/>
      <c r="B26" s="10">
        <v>2019</v>
      </c>
      <c r="C26" s="159">
        <v>77</v>
      </c>
      <c r="D26" s="160">
        <v>75</v>
      </c>
      <c r="E26" s="159">
        <v>76.5</v>
      </c>
      <c r="F26" s="159">
        <v>74</v>
      </c>
      <c r="G26" s="160">
        <v>76</v>
      </c>
      <c r="H26" s="159">
        <v>82</v>
      </c>
      <c r="I26" s="159">
        <v>80</v>
      </c>
      <c r="J26" s="166">
        <v>83.5</v>
      </c>
      <c r="K26" s="166">
        <v>100</v>
      </c>
      <c r="L26" s="165">
        <v>90</v>
      </c>
      <c r="M26" s="166">
        <v>90</v>
      </c>
      <c r="N26" s="165">
        <v>90</v>
      </c>
    </row>
    <row r="27" spans="1:14" ht="11.1" customHeight="1" x14ac:dyDescent="0.25">
      <c r="A27" s="133"/>
      <c r="B27" s="10">
        <v>2020</v>
      </c>
      <c r="C27" s="159">
        <v>90</v>
      </c>
      <c r="D27" s="160">
        <v>85</v>
      </c>
      <c r="E27" s="159">
        <v>95</v>
      </c>
      <c r="F27" s="159">
        <v>95</v>
      </c>
      <c r="G27" s="160">
        <v>90</v>
      </c>
      <c r="H27" s="159">
        <v>100</v>
      </c>
      <c r="I27" s="159">
        <v>95</v>
      </c>
      <c r="J27" s="159">
        <v>102.5</v>
      </c>
      <c r="K27" s="159">
        <v>100</v>
      </c>
      <c r="L27" s="160">
        <v>100</v>
      </c>
      <c r="M27" s="159">
        <v>100</v>
      </c>
      <c r="N27" s="160">
        <v>100</v>
      </c>
    </row>
    <row r="28" spans="1:14" ht="11.1" customHeight="1" x14ac:dyDescent="0.25">
      <c r="A28" s="133"/>
      <c r="B28" s="10">
        <v>2021</v>
      </c>
      <c r="C28" s="159">
        <v>105</v>
      </c>
      <c r="D28" s="160">
        <v>100</v>
      </c>
      <c r="E28" s="159">
        <v>110</v>
      </c>
      <c r="F28" s="159">
        <v>112.5</v>
      </c>
      <c r="G28" s="160">
        <v>95</v>
      </c>
      <c r="H28" s="159">
        <v>95</v>
      </c>
      <c r="I28" s="159">
        <v>125</v>
      </c>
      <c r="J28" s="159">
        <v>125</v>
      </c>
      <c r="K28" s="159">
        <v>115</v>
      </c>
      <c r="L28" s="160">
        <v>125</v>
      </c>
      <c r="M28" s="159">
        <v>125</v>
      </c>
      <c r="N28" s="160">
        <v>115</v>
      </c>
    </row>
    <row r="29" spans="1:14" ht="11.1" customHeight="1" x14ac:dyDescent="0.25">
      <c r="A29" s="133"/>
      <c r="B29" s="10">
        <v>2022</v>
      </c>
      <c r="C29" s="159">
        <v>122.5</v>
      </c>
      <c r="D29" s="160">
        <v>95</v>
      </c>
      <c r="E29" s="159">
        <v>95</v>
      </c>
      <c r="F29" s="159">
        <v>100</v>
      </c>
      <c r="G29" s="160">
        <v>95</v>
      </c>
      <c r="H29" s="159">
        <v>97.5</v>
      </c>
      <c r="I29" s="159">
        <v>100</v>
      </c>
      <c r="J29" s="159">
        <v>95</v>
      </c>
      <c r="K29" s="159">
        <v>85</v>
      </c>
      <c r="L29" s="160">
        <v>105</v>
      </c>
      <c r="M29" s="159">
        <v>100</v>
      </c>
      <c r="N29" s="160">
        <v>90</v>
      </c>
    </row>
    <row r="30" spans="1:14" ht="11.1" customHeight="1" x14ac:dyDescent="0.25">
      <c r="A30" s="133"/>
      <c r="B30" s="10">
        <v>2023</v>
      </c>
      <c r="C30" s="159">
        <v>90</v>
      </c>
      <c r="D30" s="159">
        <v>115</v>
      </c>
      <c r="E30" s="159">
        <v>105</v>
      </c>
      <c r="F30" s="159">
        <v>120</v>
      </c>
      <c r="G30" s="160">
        <v>105</v>
      </c>
      <c r="H30" s="159">
        <v>100</v>
      </c>
      <c r="I30" s="159">
        <v>120</v>
      </c>
      <c r="J30" s="159">
        <v>110</v>
      </c>
      <c r="K30" s="159">
        <v>125</v>
      </c>
      <c r="L30" s="159">
        <v>125</v>
      </c>
      <c r="M30" s="159">
        <v>125</v>
      </c>
      <c r="N30" s="159">
        <v>115</v>
      </c>
    </row>
    <row r="31" spans="1:14" ht="11.1" customHeight="1" x14ac:dyDescent="0.25">
      <c r="A31" s="14"/>
      <c r="B31" s="10">
        <v>2024</v>
      </c>
      <c r="C31" s="159">
        <v>123</v>
      </c>
      <c r="D31" s="159">
        <v>113</v>
      </c>
      <c r="E31" s="159">
        <v>120</v>
      </c>
      <c r="F31" s="159">
        <v>118</v>
      </c>
      <c r="G31" s="160">
        <v>135</v>
      </c>
      <c r="H31" s="159">
        <v>118</v>
      </c>
      <c r="I31" s="159">
        <v>130</v>
      </c>
      <c r="J31" s="159">
        <v>130</v>
      </c>
      <c r="K31" s="159">
        <v>122</v>
      </c>
      <c r="L31" s="159">
        <v>124.72447160682454</v>
      </c>
      <c r="M31" s="159">
        <v>126.52</v>
      </c>
      <c r="N31" s="159">
        <v>133</v>
      </c>
    </row>
    <row r="32" spans="1:14" ht="11.1" customHeight="1" x14ac:dyDescent="0.25">
      <c r="A32" s="127"/>
      <c r="B32" s="128">
        <v>2025</v>
      </c>
      <c r="C32" s="164">
        <v>124</v>
      </c>
      <c r="D32" s="164">
        <v>127</v>
      </c>
      <c r="E32" s="164">
        <v>125</v>
      </c>
      <c r="F32" s="164">
        <v>126</v>
      </c>
      <c r="G32" s="164">
        <v>135</v>
      </c>
      <c r="H32" s="164">
        <v>132</v>
      </c>
      <c r="I32" s="164">
        <v>140</v>
      </c>
      <c r="J32" s="164">
        <v>126</v>
      </c>
      <c r="K32" s="164">
        <v>163</v>
      </c>
      <c r="L32" s="164"/>
      <c r="M32" s="164"/>
      <c r="N32" s="164"/>
    </row>
    <row r="33" spans="1:14" ht="11.1" customHeight="1" x14ac:dyDescent="0.25">
      <c r="A33" s="133" t="s">
        <v>108</v>
      </c>
      <c r="B33" s="10">
        <v>2018</v>
      </c>
      <c r="C33" s="159">
        <v>66.2</v>
      </c>
      <c r="D33" s="160">
        <v>66.2</v>
      </c>
      <c r="E33" s="159">
        <v>66.2</v>
      </c>
      <c r="F33" s="159">
        <v>66.2</v>
      </c>
      <c r="G33" s="160">
        <v>66.2</v>
      </c>
      <c r="H33" s="159">
        <v>66.2</v>
      </c>
      <c r="I33" s="159">
        <v>66.2</v>
      </c>
      <c r="J33" s="159">
        <v>66.2</v>
      </c>
      <c r="K33" s="159">
        <v>66.2</v>
      </c>
      <c r="L33" s="160">
        <v>66.2</v>
      </c>
      <c r="M33" s="159">
        <v>66.2</v>
      </c>
      <c r="N33" s="160">
        <v>66.2</v>
      </c>
    </row>
    <row r="34" spans="1:14" ht="11.1" customHeight="1" x14ac:dyDescent="0.25">
      <c r="A34" s="133"/>
      <c r="B34" s="10">
        <v>2019</v>
      </c>
      <c r="C34" s="159">
        <v>61</v>
      </c>
      <c r="D34" s="160">
        <v>61</v>
      </c>
      <c r="E34" s="159">
        <v>61</v>
      </c>
      <c r="F34" s="159">
        <v>65</v>
      </c>
      <c r="G34" s="160">
        <v>54</v>
      </c>
      <c r="H34" s="159">
        <v>64.5</v>
      </c>
      <c r="I34" s="159">
        <v>64.5</v>
      </c>
      <c r="J34" s="166">
        <v>70</v>
      </c>
      <c r="K34" s="166">
        <v>70</v>
      </c>
      <c r="L34" s="160">
        <v>75</v>
      </c>
      <c r="M34" s="166">
        <v>72</v>
      </c>
      <c r="N34" s="165">
        <v>75</v>
      </c>
    </row>
    <row r="35" spans="1:14" ht="11.1" customHeight="1" x14ac:dyDescent="0.25">
      <c r="A35" s="133"/>
      <c r="B35" s="10">
        <v>2020</v>
      </c>
      <c r="C35" s="166">
        <v>75</v>
      </c>
      <c r="D35" s="160" t="s">
        <v>47</v>
      </c>
      <c r="E35" s="159" t="s">
        <v>47</v>
      </c>
      <c r="F35" s="159" t="s">
        <v>47</v>
      </c>
      <c r="G35" s="160" t="s">
        <v>47</v>
      </c>
      <c r="H35" s="159">
        <v>75</v>
      </c>
      <c r="I35" s="159">
        <v>75</v>
      </c>
      <c r="J35" s="159">
        <v>75</v>
      </c>
      <c r="K35" s="159">
        <v>75</v>
      </c>
      <c r="L35" s="160">
        <v>75</v>
      </c>
      <c r="M35" s="159">
        <v>75</v>
      </c>
      <c r="N35" s="160">
        <v>75</v>
      </c>
    </row>
    <row r="36" spans="1:14" ht="11.1" customHeight="1" x14ac:dyDescent="0.25">
      <c r="A36" s="133"/>
      <c r="B36" s="10">
        <v>2021</v>
      </c>
      <c r="C36" s="166">
        <v>77.5</v>
      </c>
      <c r="D36" s="160">
        <v>72.5</v>
      </c>
      <c r="E36" s="159">
        <v>75</v>
      </c>
      <c r="F36" s="159">
        <v>75</v>
      </c>
      <c r="G36" s="160">
        <v>75</v>
      </c>
      <c r="H36" s="159" t="s">
        <v>47</v>
      </c>
      <c r="I36" s="159">
        <v>75</v>
      </c>
      <c r="J36" s="159">
        <v>75</v>
      </c>
      <c r="K36" s="159">
        <v>75</v>
      </c>
      <c r="L36" s="160">
        <v>75</v>
      </c>
      <c r="M36" s="159">
        <v>80</v>
      </c>
      <c r="N36" s="160" t="s">
        <v>47</v>
      </c>
    </row>
    <row r="37" spans="1:14" ht="11.1" customHeight="1" x14ac:dyDescent="0.25">
      <c r="A37" s="133"/>
      <c r="B37" s="10">
        <v>2022</v>
      </c>
      <c r="C37" s="166">
        <v>95</v>
      </c>
      <c r="D37" s="160">
        <v>100</v>
      </c>
      <c r="E37" s="159">
        <v>97.5</v>
      </c>
      <c r="F37" s="159">
        <v>97.5</v>
      </c>
      <c r="G37" s="160">
        <v>97.5</v>
      </c>
      <c r="H37" s="159">
        <v>97.5</v>
      </c>
      <c r="I37" s="159">
        <v>100</v>
      </c>
      <c r="J37" s="159">
        <v>105</v>
      </c>
      <c r="K37" s="159">
        <v>100</v>
      </c>
      <c r="L37" s="160">
        <v>100</v>
      </c>
      <c r="M37" s="159">
        <v>105</v>
      </c>
      <c r="N37" s="160">
        <v>105</v>
      </c>
    </row>
    <row r="38" spans="1:14" ht="11.1" customHeight="1" x14ac:dyDescent="0.25">
      <c r="A38" s="133"/>
      <c r="B38" s="10">
        <v>2023</v>
      </c>
      <c r="C38" s="167" t="s">
        <v>4</v>
      </c>
      <c r="D38" s="159">
        <v>91</v>
      </c>
      <c r="E38" s="159">
        <v>100</v>
      </c>
      <c r="F38" s="159">
        <v>100</v>
      </c>
      <c r="G38" s="160">
        <v>100</v>
      </c>
      <c r="H38" s="159">
        <v>100</v>
      </c>
      <c r="I38" s="159">
        <v>100</v>
      </c>
      <c r="J38" s="159">
        <v>100</v>
      </c>
      <c r="K38" s="159">
        <v>100</v>
      </c>
      <c r="L38" s="159">
        <v>100</v>
      </c>
      <c r="M38" s="159">
        <v>100</v>
      </c>
      <c r="N38" s="159">
        <v>100</v>
      </c>
    </row>
    <row r="39" spans="1:14" ht="11.1" customHeight="1" x14ac:dyDescent="0.25">
      <c r="A39" s="14"/>
      <c r="B39" s="10">
        <v>2024</v>
      </c>
      <c r="C39" s="166">
        <v>108</v>
      </c>
      <c r="D39" s="159">
        <v>108</v>
      </c>
      <c r="E39" s="159">
        <v>98</v>
      </c>
      <c r="F39" s="159">
        <v>93</v>
      </c>
      <c r="G39" s="160">
        <v>107</v>
      </c>
      <c r="H39" s="159">
        <v>100</v>
      </c>
      <c r="I39" s="159">
        <v>98</v>
      </c>
      <c r="J39" s="159">
        <v>98</v>
      </c>
      <c r="K39" s="159">
        <v>105</v>
      </c>
      <c r="L39" s="159">
        <v>128.83333333333334</v>
      </c>
      <c r="M39" s="159">
        <v>119.23</v>
      </c>
      <c r="N39" s="159">
        <v>120</v>
      </c>
    </row>
    <row r="40" spans="1:14" ht="11.1" customHeight="1" x14ac:dyDescent="0.25">
      <c r="A40" s="127"/>
      <c r="B40" s="128">
        <v>2025</v>
      </c>
      <c r="C40" s="168">
        <v>130</v>
      </c>
      <c r="D40" s="164">
        <v>125</v>
      </c>
      <c r="E40" s="164">
        <v>117</v>
      </c>
      <c r="F40" s="164">
        <v>122</v>
      </c>
      <c r="G40" s="164">
        <v>121</v>
      </c>
      <c r="H40" s="164">
        <v>126</v>
      </c>
      <c r="I40" s="164">
        <v>126</v>
      </c>
      <c r="J40" s="164">
        <v>128</v>
      </c>
      <c r="K40" s="164">
        <v>127</v>
      </c>
      <c r="L40" s="164"/>
      <c r="M40" s="164"/>
      <c r="N40" s="164"/>
    </row>
    <row r="41" spans="1:14" ht="11.1" customHeight="1" x14ac:dyDescent="0.25">
      <c r="A41" s="133" t="s">
        <v>109</v>
      </c>
      <c r="B41" s="10">
        <v>2018</v>
      </c>
      <c r="C41" s="166">
        <v>74</v>
      </c>
      <c r="D41" s="165">
        <v>74</v>
      </c>
      <c r="E41" s="166">
        <v>77</v>
      </c>
      <c r="F41" s="159">
        <v>71</v>
      </c>
      <c r="G41" s="160">
        <v>77</v>
      </c>
      <c r="H41" s="159">
        <v>70</v>
      </c>
      <c r="I41" s="159">
        <v>71</v>
      </c>
      <c r="J41" s="159">
        <v>68</v>
      </c>
      <c r="K41" s="159">
        <v>70</v>
      </c>
      <c r="L41" s="160">
        <v>71</v>
      </c>
      <c r="M41" s="159">
        <v>70</v>
      </c>
      <c r="N41" s="160">
        <v>68</v>
      </c>
    </row>
    <row r="42" spans="1:14" ht="11.1" customHeight="1" x14ac:dyDescent="0.25">
      <c r="A42" s="133"/>
      <c r="B42" s="10">
        <v>2019</v>
      </c>
      <c r="C42" s="159">
        <v>71</v>
      </c>
      <c r="D42" s="160">
        <v>71</v>
      </c>
      <c r="E42" s="159">
        <v>74</v>
      </c>
      <c r="F42" s="159">
        <v>68</v>
      </c>
      <c r="G42" s="160">
        <v>69</v>
      </c>
      <c r="H42" s="159">
        <v>69</v>
      </c>
      <c r="I42" s="159">
        <v>72</v>
      </c>
      <c r="J42" s="166">
        <v>90</v>
      </c>
      <c r="K42" s="166">
        <v>90</v>
      </c>
      <c r="L42" s="165">
        <v>90</v>
      </c>
      <c r="M42" s="166">
        <v>90</v>
      </c>
      <c r="N42" s="165">
        <v>90</v>
      </c>
    </row>
    <row r="43" spans="1:14" ht="11.1" customHeight="1" x14ac:dyDescent="0.25">
      <c r="A43" s="133"/>
      <c r="B43" s="10">
        <v>2020</v>
      </c>
      <c r="C43" s="166">
        <v>90</v>
      </c>
      <c r="D43" s="160" t="s">
        <v>47</v>
      </c>
      <c r="E43" s="159" t="s">
        <v>47</v>
      </c>
      <c r="F43" s="159" t="s">
        <v>47</v>
      </c>
      <c r="G43" s="160" t="s">
        <v>47</v>
      </c>
      <c r="H43" s="159" t="s">
        <v>47</v>
      </c>
      <c r="I43" s="159" t="s">
        <v>47</v>
      </c>
      <c r="J43" s="159" t="s">
        <v>47</v>
      </c>
      <c r="K43" s="159" t="s">
        <v>47</v>
      </c>
      <c r="L43" s="160" t="s">
        <v>47</v>
      </c>
      <c r="M43" s="159" t="s">
        <v>47</v>
      </c>
      <c r="N43" s="160" t="s">
        <v>47</v>
      </c>
    </row>
    <row r="44" spans="1:14" ht="11.1" customHeight="1" x14ac:dyDescent="0.25">
      <c r="A44" s="133"/>
      <c r="B44" s="10">
        <v>2021</v>
      </c>
      <c r="C44" s="159" t="s">
        <v>47</v>
      </c>
      <c r="D44" s="160" t="s">
        <v>47</v>
      </c>
      <c r="E44" s="159" t="s">
        <v>47</v>
      </c>
      <c r="F44" s="159" t="s">
        <v>47</v>
      </c>
      <c r="G44" s="160" t="s">
        <v>47</v>
      </c>
      <c r="H44" s="159" t="s">
        <v>47</v>
      </c>
      <c r="I44" s="159">
        <v>95</v>
      </c>
      <c r="J44" s="159">
        <v>95</v>
      </c>
      <c r="K44" s="159" t="s">
        <v>47</v>
      </c>
      <c r="L44" s="160" t="s">
        <v>47</v>
      </c>
      <c r="M44" s="159">
        <v>95</v>
      </c>
      <c r="N44" s="160" t="s">
        <v>47</v>
      </c>
    </row>
    <row r="45" spans="1:14" ht="11.1" customHeight="1" x14ac:dyDescent="0.25">
      <c r="A45" s="133"/>
      <c r="B45" s="10">
        <v>2022</v>
      </c>
      <c r="C45" s="159">
        <v>100</v>
      </c>
      <c r="D45" s="159">
        <v>95</v>
      </c>
      <c r="E45" s="159">
        <v>95</v>
      </c>
      <c r="F45" s="159">
        <v>95</v>
      </c>
      <c r="G45" s="160">
        <v>95</v>
      </c>
      <c r="H45" s="159">
        <v>95</v>
      </c>
      <c r="I45" s="159">
        <v>95</v>
      </c>
      <c r="J45" s="159">
        <v>95</v>
      </c>
      <c r="K45" s="159">
        <v>95</v>
      </c>
      <c r="L45" s="160">
        <v>95</v>
      </c>
      <c r="M45" s="159" t="s">
        <v>47</v>
      </c>
      <c r="N45" s="160">
        <v>95</v>
      </c>
    </row>
    <row r="46" spans="1:14" ht="11.1" customHeight="1" x14ac:dyDescent="0.25">
      <c r="A46" s="133"/>
      <c r="B46" s="10">
        <v>2023</v>
      </c>
      <c r="C46" s="159">
        <v>100</v>
      </c>
      <c r="D46" s="159">
        <v>100</v>
      </c>
      <c r="E46" s="159">
        <v>100</v>
      </c>
      <c r="F46" s="159" t="s">
        <v>47</v>
      </c>
      <c r="G46" s="160" t="s">
        <v>47</v>
      </c>
      <c r="H46" s="159">
        <v>100</v>
      </c>
      <c r="I46" s="159">
        <v>100</v>
      </c>
      <c r="J46" s="159">
        <v>100</v>
      </c>
      <c r="K46" s="159">
        <v>100</v>
      </c>
      <c r="L46" s="159">
        <v>100</v>
      </c>
      <c r="M46" s="159">
        <v>100</v>
      </c>
      <c r="N46" s="159">
        <v>100</v>
      </c>
    </row>
    <row r="47" spans="1:14" ht="11.1" customHeight="1" x14ac:dyDescent="0.25">
      <c r="A47" s="14"/>
      <c r="B47" s="10">
        <v>2024</v>
      </c>
      <c r="C47" s="159">
        <v>100</v>
      </c>
      <c r="D47" s="159">
        <v>100</v>
      </c>
      <c r="E47" s="159">
        <v>100</v>
      </c>
      <c r="F47" s="159">
        <v>100</v>
      </c>
      <c r="G47" s="160">
        <v>100</v>
      </c>
      <c r="H47" s="159">
        <v>90</v>
      </c>
      <c r="I47" s="159">
        <v>95</v>
      </c>
      <c r="J47" s="159">
        <v>95</v>
      </c>
      <c r="K47" s="159">
        <v>89</v>
      </c>
      <c r="L47" s="5" t="s">
        <v>4</v>
      </c>
      <c r="M47" s="5" t="s">
        <v>4</v>
      </c>
      <c r="N47" s="159">
        <v>81</v>
      </c>
    </row>
    <row r="48" spans="1:14" ht="11.1" customHeight="1" x14ac:dyDescent="0.25">
      <c r="A48" s="127"/>
      <c r="B48" s="128">
        <v>2025</v>
      </c>
      <c r="C48" s="164" t="s">
        <v>47</v>
      </c>
      <c r="D48" s="164" t="s">
        <v>47</v>
      </c>
      <c r="E48" s="164" t="s">
        <v>47</v>
      </c>
      <c r="F48" s="164" t="s">
        <v>47</v>
      </c>
      <c r="G48" s="164" t="s">
        <v>47</v>
      </c>
      <c r="H48" s="164" t="s">
        <v>47</v>
      </c>
      <c r="I48" s="164" t="s">
        <v>47</v>
      </c>
      <c r="J48" s="164" t="s">
        <v>47</v>
      </c>
      <c r="K48" s="164" t="s">
        <v>47</v>
      </c>
      <c r="L48" s="163"/>
      <c r="M48" s="163"/>
      <c r="N48" s="164"/>
    </row>
    <row r="49" spans="1:14" ht="11.1" customHeight="1" x14ac:dyDescent="0.25">
      <c r="A49" s="14" t="s">
        <v>15</v>
      </c>
      <c r="B49" s="10">
        <v>2018</v>
      </c>
      <c r="C49" s="166">
        <v>59</v>
      </c>
      <c r="D49" s="165">
        <v>59</v>
      </c>
      <c r="E49" s="166">
        <v>59</v>
      </c>
      <c r="F49" s="166">
        <v>59</v>
      </c>
      <c r="G49" s="160">
        <v>67</v>
      </c>
      <c r="H49" s="159">
        <v>67</v>
      </c>
      <c r="I49" s="159">
        <v>65.5</v>
      </c>
      <c r="J49" s="159">
        <v>65.5</v>
      </c>
      <c r="K49" s="159">
        <v>67</v>
      </c>
      <c r="L49" s="160">
        <v>67</v>
      </c>
      <c r="M49" s="159">
        <v>67</v>
      </c>
      <c r="N49" s="160">
        <v>67</v>
      </c>
    </row>
    <row r="50" spans="1:14" ht="11.1" customHeight="1" x14ac:dyDescent="0.25">
      <c r="A50" s="14"/>
      <c r="B50" s="10">
        <v>2019</v>
      </c>
      <c r="C50" s="159">
        <v>67</v>
      </c>
      <c r="D50" s="160">
        <v>67</v>
      </c>
      <c r="E50" s="159">
        <v>71</v>
      </c>
      <c r="F50" s="159">
        <v>71</v>
      </c>
      <c r="G50" s="160">
        <v>72.5</v>
      </c>
      <c r="H50" s="159">
        <v>72.5</v>
      </c>
      <c r="I50" s="159">
        <v>72.5</v>
      </c>
      <c r="J50" s="166">
        <v>72.5</v>
      </c>
      <c r="K50" s="166">
        <v>70</v>
      </c>
      <c r="L50" s="165">
        <v>70</v>
      </c>
      <c r="M50" s="166">
        <v>70</v>
      </c>
      <c r="N50" s="165">
        <v>70</v>
      </c>
    </row>
    <row r="51" spans="1:14" ht="11.1" customHeight="1" x14ac:dyDescent="0.25">
      <c r="A51" s="14"/>
      <c r="B51" s="10">
        <v>2020</v>
      </c>
      <c r="C51" s="166">
        <v>70</v>
      </c>
      <c r="D51" s="160" t="s">
        <v>47</v>
      </c>
      <c r="E51" s="159" t="s">
        <v>47</v>
      </c>
      <c r="F51" s="159" t="s">
        <v>47</v>
      </c>
      <c r="G51" s="160">
        <v>70</v>
      </c>
      <c r="H51" s="159">
        <v>70</v>
      </c>
      <c r="I51" s="159">
        <v>70</v>
      </c>
      <c r="J51" s="159">
        <v>70</v>
      </c>
      <c r="K51" s="159" t="s">
        <v>47</v>
      </c>
      <c r="L51" s="165">
        <v>72.5</v>
      </c>
      <c r="M51" s="166">
        <v>72.5</v>
      </c>
      <c r="N51" s="165">
        <v>72.5</v>
      </c>
    </row>
    <row r="52" spans="1:14" ht="11.1" customHeight="1" x14ac:dyDescent="0.25">
      <c r="A52" s="14"/>
      <c r="B52" s="10">
        <v>2021</v>
      </c>
      <c r="C52" s="166">
        <v>72.5</v>
      </c>
      <c r="D52" s="165">
        <v>72.5</v>
      </c>
      <c r="E52" s="166">
        <v>72.5</v>
      </c>
      <c r="F52" s="166">
        <v>72.5</v>
      </c>
      <c r="G52" s="165">
        <v>72.5</v>
      </c>
      <c r="H52" s="166">
        <v>72.5</v>
      </c>
      <c r="I52" s="166">
        <v>72.5</v>
      </c>
      <c r="J52" s="159">
        <v>80</v>
      </c>
      <c r="K52" s="166">
        <v>82.5</v>
      </c>
      <c r="L52" s="165">
        <v>72.5</v>
      </c>
      <c r="M52" s="166">
        <v>72.5</v>
      </c>
      <c r="N52" s="165">
        <v>87.5</v>
      </c>
    </row>
    <row r="53" spans="1:14" ht="11.1" customHeight="1" x14ac:dyDescent="0.25">
      <c r="A53" s="14"/>
      <c r="B53" s="10">
        <v>2022</v>
      </c>
      <c r="C53" s="166">
        <v>102.5</v>
      </c>
      <c r="D53" s="165">
        <v>102.5</v>
      </c>
      <c r="E53" s="166">
        <v>102.5</v>
      </c>
      <c r="F53" s="166">
        <v>103</v>
      </c>
      <c r="G53" s="165">
        <v>100</v>
      </c>
      <c r="H53" s="166">
        <v>102.5</v>
      </c>
      <c r="I53" s="166">
        <v>102.5</v>
      </c>
      <c r="J53" s="166">
        <v>102.5</v>
      </c>
      <c r="K53" s="166">
        <v>102.5</v>
      </c>
      <c r="L53" s="165">
        <v>103</v>
      </c>
      <c r="M53" s="166">
        <v>103</v>
      </c>
      <c r="N53" s="165">
        <v>103</v>
      </c>
    </row>
    <row r="54" spans="1:14" ht="11.1" customHeight="1" x14ac:dyDescent="0.25">
      <c r="A54" s="14"/>
      <c r="B54" s="10">
        <v>2023</v>
      </c>
      <c r="C54" s="166">
        <v>103</v>
      </c>
      <c r="D54" s="166">
        <v>103</v>
      </c>
      <c r="E54" s="166">
        <v>103</v>
      </c>
      <c r="F54" s="166">
        <v>103</v>
      </c>
      <c r="G54" s="165">
        <v>103</v>
      </c>
      <c r="H54" s="166">
        <v>105</v>
      </c>
      <c r="I54" s="166">
        <v>103</v>
      </c>
      <c r="J54" s="166">
        <v>103</v>
      </c>
      <c r="K54" s="166">
        <v>103</v>
      </c>
      <c r="L54" s="166">
        <v>103</v>
      </c>
      <c r="M54" s="166">
        <v>103</v>
      </c>
      <c r="N54" s="166">
        <v>103</v>
      </c>
    </row>
    <row r="55" spans="1:14" ht="11.1" customHeight="1" x14ac:dyDescent="0.25">
      <c r="A55" s="14"/>
      <c r="B55" s="10">
        <v>2024</v>
      </c>
      <c r="C55" s="166">
        <v>103</v>
      </c>
      <c r="D55" s="166">
        <v>103</v>
      </c>
      <c r="E55" s="166">
        <v>110</v>
      </c>
      <c r="F55" s="159">
        <v>108</v>
      </c>
      <c r="G55" s="160">
        <v>108</v>
      </c>
      <c r="H55" s="159">
        <v>115</v>
      </c>
      <c r="I55" s="159">
        <v>120</v>
      </c>
      <c r="J55" s="159">
        <v>108</v>
      </c>
      <c r="K55" s="159">
        <v>100</v>
      </c>
      <c r="L55" s="159">
        <v>118.46618357487922</v>
      </c>
      <c r="M55" s="159">
        <v>100.28</v>
      </c>
      <c r="N55" s="159">
        <v>111.25</v>
      </c>
    </row>
    <row r="56" spans="1:14" ht="11.1" customHeight="1" x14ac:dyDescent="0.25">
      <c r="A56" s="127"/>
      <c r="B56" s="128">
        <v>2025</v>
      </c>
      <c r="C56" s="168">
        <v>116</v>
      </c>
      <c r="D56" s="168">
        <v>112</v>
      </c>
      <c r="E56" s="168">
        <v>116</v>
      </c>
      <c r="F56" s="164">
        <v>210</v>
      </c>
      <c r="G56" s="164">
        <v>192</v>
      </c>
      <c r="H56" s="164">
        <v>118</v>
      </c>
      <c r="I56" s="164">
        <v>164</v>
      </c>
      <c r="J56" s="164">
        <v>120</v>
      </c>
      <c r="K56" s="164">
        <v>101</v>
      </c>
      <c r="L56" s="164"/>
      <c r="M56" s="164"/>
      <c r="N56" s="164"/>
    </row>
    <row r="57" spans="1:14" ht="12" customHeight="1" x14ac:dyDescent="0.2">
      <c r="A57" s="157"/>
      <c r="B57" s="158"/>
      <c r="C57" s="36"/>
      <c r="D57" s="36"/>
      <c r="E57" s="140"/>
      <c r="F57" s="36"/>
      <c r="G57" s="36"/>
      <c r="H57" s="36"/>
      <c r="I57" s="140"/>
      <c r="J57" s="36"/>
      <c r="K57" s="36"/>
      <c r="L57" s="36"/>
      <c r="M57" s="175"/>
      <c r="N57" s="223" t="s">
        <v>24</v>
      </c>
    </row>
    <row r="58" spans="1:14" ht="12" customHeight="1" x14ac:dyDescent="0.25">
      <c r="A58" s="737" t="s">
        <v>144</v>
      </c>
      <c r="B58" s="737"/>
      <c r="C58" s="737"/>
      <c r="D58" s="737"/>
      <c r="E58" s="737"/>
      <c r="F58" s="737"/>
      <c r="G58" s="36"/>
      <c r="H58" s="36"/>
      <c r="I58" s="37"/>
      <c r="J58" s="19"/>
      <c r="K58" s="19"/>
      <c r="L58" s="19"/>
      <c r="M58" s="19"/>
      <c r="N58" s="160"/>
    </row>
    <row r="59" spans="1:14" ht="18" customHeight="1" x14ac:dyDescent="0.2">
      <c r="A59" s="214" t="s">
        <v>92</v>
      </c>
      <c r="B59" s="214" t="s">
        <v>137</v>
      </c>
      <c r="C59" s="214" t="s">
        <v>94</v>
      </c>
      <c r="D59" s="214" t="s">
        <v>95</v>
      </c>
      <c r="E59" s="214" t="s">
        <v>96</v>
      </c>
      <c r="F59" s="214" t="s">
        <v>97</v>
      </c>
      <c r="G59" s="214" t="s">
        <v>98</v>
      </c>
      <c r="H59" s="214" t="s">
        <v>99</v>
      </c>
      <c r="I59" s="214" t="s">
        <v>100</v>
      </c>
      <c r="J59" s="214" t="s">
        <v>101</v>
      </c>
      <c r="K59" s="214" t="s">
        <v>102</v>
      </c>
      <c r="L59" s="214" t="s">
        <v>103</v>
      </c>
      <c r="M59" s="214" t="s">
        <v>104</v>
      </c>
      <c r="N59" s="214" t="s">
        <v>105</v>
      </c>
    </row>
    <row r="60" spans="1:14" ht="3" customHeight="1" x14ac:dyDescent="0.25">
      <c r="A60" s="14"/>
      <c r="B60" s="10"/>
      <c r="C60" s="166"/>
      <c r="D60" s="166"/>
      <c r="E60" s="166"/>
      <c r="F60" s="159"/>
      <c r="G60" s="160"/>
      <c r="H60" s="159"/>
      <c r="I60" s="159"/>
      <c r="J60" s="159"/>
      <c r="K60" s="159"/>
      <c r="L60" s="159"/>
      <c r="M60" s="159"/>
      <c r="N60" s="159"/>
    </row>
    <row r="61" spans="1:14" ht="11.1" customHeight="1" x14ac:dyDescent="0.25">
      <c r="A61" s="14" t="s">
        <v>19</v>
      </c>
      <c r="B61" s="10">
        <v>2018</v>
      </c>
      <c r="C61" s="166">
        <v>75</v>
      </c>
      <c r="D61" s="165">
        <v>75</v>
      </c>
      <c r="E61" s="166">
        <v>75</v>
      </c>
      <c r="F61" s="159">
        <v>72.5</v>
      </c>
      <c r="G61" s="160">
        <v>72.5</v>
      </c>
      <c r="H61" s="159">
        <v>75</v>
      </c>
      <c r="I61" s="159">
        <v>75</v>
      </c>
      <c r="J61" s="159">
        <v>76</v>
      </c>
      <c r="K61" s="159">
        <v>76</v>
      </c>
      <c r="L61" s="160">
        <v>78</v>
      </c>
      <c r="M61" s="159">
        <v>78</v>
      </c>
      <c r="N61" s="160">
        <v>80</v>
      </c>
    </row>
    <row r="62" spans="1:14" ht="11.1" customHeight="1" x14ac:dyDescent="0.25">
      <c r="A62" s="14"/>
      <c r="B62" s="10">
        <v>2019</v>
      </c>
      <c r="C62" s="159">
        <v>80</v>
      </c>
      <c r="D62" s="160">
        <v>80</v>
      </c>
      <c r="E62" s="159">
        <v>81</v>
      </c>
      <c r="F62" s="159">
        <v>81</v>
      </c>
      <c r="G62" s="160">
        <v>83</v>
      </c>
      <c r="H62" s="159">
        <v>83</v>
      </c>
      <c r="I62" s="159">
        <v>82.5</v>
      </c>
      <c r="J62" s="166">
        <v>82.5</v>
      </c>
      <c r="K62" s="166">
        <v>80</v>
      </c>
      <c r="L62" s="165">
        <v>80</v>
      </c>
      <c r="M62" s="166">
        <v>80</v>
      </c>
      <c r="N62" s="165">
        <v>80</v>
      </c>
    </row>
    <row r="63" spans="1:14" ht="11.1" customHeight="1" x14ac:dyDescent="0.25">
      <c r="A63" s="14"/>
      <c r="B63" s="10">
        <v>2020</v>
      </c>
      <c r="C63" s="159">
        <v>85</v>
      </c>
      <c r="D63" s="160">
        <v>85</v>
      </c>
      <c r="E63" s="159" t="s">
        <v>47</v>
      </c>
      <c r="F63" s="159">
        <v>80</v>
      </c>
      <c r="G63" s="160">
        <v>85</v>
      </c>
      <c r="H63" s="159">
        <v>85</v>
      </c>
      <c r="I63" s="159">
        <v>85</v>
      </c>
      <c r="J63" s="159">
        <v>85</v>
      </c>
      <c r="K63" s="166">
        <v>80</v>
      </c>
      <c r="L63" s="160">
        <v>85</v>
      </c>
      <c r="M63" s="159">
        <v>85</v>
      </c>
      <c r="N63" s="160">
        <v>85</v>
      </c>
    </row>
    <row r="64" spans="1:14" ht="11.1" customHeight="1" x14ac:dyDescent="0.25">
      <c r="A64" s="14"/>
      <c r="B64" s="10">
        <v>2021</v>
      </c>
      <c r="C64" s="159">
        <v>80</v>
      </c>
      <c r="D64" s="160">
        <v>85</v>
      </c>
      <c r="E64" s="159">
        <v>85</v>
      </c>
      <c r="F64" s="159">
        <v>85</v>
      </c>
      <c r="G64" s="160">
        <v>85</v>
      </c>
      <c r="H64" s="159">
        <v>85</v>
      </c>
      <c r="I64" s="159">
        <v>85</v>
      </c>
      <c r="J64" s="159">
        <v>85</v>
      </c>
      <c r="K64" s="166">
        <v>90</v>
      </c>
      <c r="L64" s="165">
        <v>90</v>
      </c>
      <c r="M64" s="159">
        <v>95</v>
      </c>
      <c r="N64" s="160">
        <v>100</v>
      </c>
    </row>
    <row r="65" spans="1:14" ht="11.1" customHeight="1" x14ac:dyDescent="0.25">
      <c r="A65" s="14"/>
      <c r="B65" s="10">
        <v>2022</v>
      </c>
      <c r="C65" s="159">
        <v>100</v>
      </c>
      <c r="D65" s="160">
        <v>95</v>
      </c>
      <c r="E65" s="159">
        <v>95</v>
      </c>
      <c r="F65" s="159">
        <v>100</v>
      </c>
      <c r="G65" s="160">
        <v>100</v>
      </c>
      <c r="H65" s="159">
        <v>100</v>
      </c>
      <c r="I65" s="159">
        <v>110</v>
      </c>
      <c r="J65" s="159">
        <v>110</v>
      </c>
      <c r="K65" s="166">
        <v>105</v>
      </c>
      <c r="L65" s="165">
        <v>92.5</v>
      </c>
      <c r="M65" s="159">
        <v>100</v>
      </c>
      <c r="N65" s="165">
        <v>105</v>
      </c>
    </row>
    <row r="66" spans="1:14" ht="11.1" customHeight="1" x14ac:dyDescent="0.25">
      <c r="A66" s="14"/>
      <c r="B66" s="17">
        <v>2023</v>
      </c>
      <c r="C66" s="159">
        <v>115</v>
      </c>
      <c r="D66" s="159">
        <v>115</v>
      </c>
      <c r="E66" s="159">
        <v>110</v>
      </c>
      <c r="F66" s="159">
        <v>115</v>
      </c>
      <c r="G66" s="160">
        <v>115</v>
      </c>
      <c r="H66" s="159">
        <v>115</v>
      </c>
      <c r="I66" s="159">
        <v>115</v>
      </c>
      <c r="J66" s="159">
        <v>115</v>
      </c>
      <c r="K66" s="166">
        <v>115</v>
      </c>
      <c r="L66" s="166">
        <v>115</v>
      </c>
      <c r="M66" s="159">
        <v>120</v>
      </c>
      <c r="N66" s="166">
        <v>123</v>
      </c>
    </row>
    <row r="67" spans="1:14" ht="11.1" customHeight="1" x14ac:dyDescent="0.25">
      <c r="A67" s="14"/>
      <c r="B67" s="10">
        <v>2024</v>
      </c>
      <c r="C67" s="159">
        <v>123</v>
      </c>
      <c r="D67" s="159">
        <v>110</v>
      </c>
      <c r="E67" s="159">
        <v>125</v>
      </c>
      <c r="F67" s="159">
        <v>120</v>
      </c>
      <c r="G67" s="160">
        <v>135</v>
      </c>
      <c r="H67" s="159">
        <v>135</v>
      </c>
      <c r="I67" s="159">
        <v>125</v>
      </c>
      <c r="J67" s="159">
        <v>135</v>
      </c>
      <c r="K67" s="159">
        <v>117.5</v>
      </c>
      <c r="L67" s="159">
        <v>125.33730756322035</v>
      </c>
      <c r="M67" s="159">
        <v>115.58</v>
      </c>
      <c r="N67" s="159">
        <v>126</v>
      </c>
    </row>
    <row r="68" spans="1:14" ht="11.1" customHeight="1" x14ac:dyDescent="0.25">
      <c r="A68" s="127"/>
      <c r="B68" s="128">
        <v>2025</v>
      </c>
      <c r="C68" s="164">
        <v>123</v>
      </c>
      <c r="D68" s="164">
        <v>123</v>
      </c>
      <c r="E68" s="164">
        <v>127</v>
      </c>
      <c r="F68" s="164">
        <v>123</v>
      </c>
      <c r="G68" s="164">
        <v>121</v>
      </c>
      <c r="H68" s="164">
        <v>121</v>
      </c>
      <c r="I68" s="164">
        <v>121</v>
      </c>
      <c r="J68" s="164">
        <v>127</v>
      </c>
      <c r="K68" s="164">
        <v>123</v>
      </c>
      <c r="L68" s="164"/>
      <c r="M68" s="164"/>
      <c r="N68" s="164"/>
    </row>
    <row r="69" spans="1:14" ht="11.1" customHeight="1" x14ac:dyDescent="0.25">
      <c r="A69" s="14" t="s">
        <v>51</v>
      </c>
      <c r="B69" s="10">
        <v>2018</v>
      </c>
      <c r="C69" s="166">
        <v>70</v>
      </c>
      <c r="D69" s="165">
        <v>70</v>
      </c>
      <c r="E69" s="166">
        <v>70</v>
      </c>
      <c r="F69" s="166">
        <v>70</v>
      </c>
      <c r="G69" s="166">
        <v>70</v>
      </c>
      <c r="H69" s="166">
        <v>70</v>
      </c>
      <c r="I69" s="159">
        <v>74.5</v>
      </c>
      <c r="J69" s="159">
        <v>74.5</v>
      </c>
      <c r="K69" s="159">
        <v>71.900000000000006</v>
      </c>
      <c r="L69" s="160">
        <v>69</v>
      </c>
      <c r="M69" s="159">
        <v>69</v>
      </c>
      <c r="N69" s="160">
        <v>69</v>
      </c>
    </row>
    <row r="70" spans="1:14" ht="11.1" customHeight="1" x14ac:dyDescent="0.25">
      <c r="A70" s="14"/>
      <c r="B70" s="10">
        <v>2019</v>
      </c>
      <c r="C70" s="159">
        <v>74</v>
      </c>
      <c r="D70" s="160">
        <v>74.5</v>
      </c>
      <c r="E70" s="159">
        <v>68</v>
      </c>
      <c r="F70" s="159">
        <v>70</v>
      </c>
      <c r="G70" s="159">
        <v>74</v>
      </c>
      <c r="H70" s="159">
        <v>74</v>
      </c>
      <c r="I70" s="159">
        <v>75</v>
      </c>
      <c r="J70" s="166">
        <v>76</v>
      </c>
      <c r="K70" s="166">
        <v>80</v>
      </c>
      <c r="L70" s="165">
        <v>80</v>
      </c>
      <c r="M70" s="166">
        <v>80</v>
      </c>
      <c r="N70" s="165">
        <v>80</v>
      </c>
    </row>
    <row r="71" spans="1:14" ht="11.1" customHeight="1" x14ac:dyDescent="0.25">
      <c r="A71" s="14"/>
      <c r="B71" s="10">
        <v>2020</v>
      </c>
      <c r="C71" s="159">
        <v>80</v>
      </c>
      <c r="D71" s="160" t="s">
        <v>47</v>
      </c>
      <c r="E71" s="159" t="s">
        <v>47</v>
      </c>
      <c r="F71" s="159" t="s">
        <v>47</v>
      </c>
      <c r="G71" s="159" t="s">
        <v>47</v>
      </c>
      <c r="H71" s="159" t="s">
        <v>47</v>
      </c>
      <c r="I71" s="159" t="s">
        <v>47</v>
      </c>
      <c r="J71" s="159" t="s">
        <v>47</v>
      </c>
      <c r="K71" s="159" t="s">
        <v>47</v>
      </c>
      <c r="L71" s="160" t="s">
        <v>47</v>
      </c>
      <c r="M71" s="159" t="s">
        <v>47</v>
      </c>
      <c r="N71" s="160" t="s">
        <v>47</v>
      </c>
    </row>
    <row r="72" spans="1:14" ht="11.1" customHeight="1" x14ac:dyDescent="0.25">
      <c r="A72" s="14"/>
      <c r="B72" s="10">
        <v>2021</v>
      </c>
      <c r="C72" s="159">
        <v>90</v>
      </c>
      <c r="D72" s="160">
        <v>90</v>
      </c>
      <c r="E72" s="159">
        <v>72.5</v>
      </c>
      <c r="F72" s="159">
        <v>75</v>
      </c>
      <c r="G72" s="159">
        <v>77.5</v>
      </c>
      <c r="H72" s="159">
        <v>77.5</v>
      </c>
      <c r="I72" s="159">
        <v>77.5</v>
      </c>
      <c r="J72" s="159">
        <v>84</v>
      </c>
      <c r="K72" s="166">
        <v>82.5</v>
      </c>
      <c r="L72" s="160">
        <v>92.5</v>
      </c>
      <c r="M72" s="159">
        <v>87.5</v>
      </c>
      <c r="N72" s="160">
        <v>82.5</v>
      </c>
    </row>
    <row r="73" spans="1:14" ht="11.1" customHeight="1" x14ac:dyDescent="0.25">
      <c r="A73" s="14"/>
      <c r="B73" s="10">
        <v>2022</v>
      </c>
      <c r="C73" s="159">
        <v>80</v>
      </c>
      <c r="D73" s="160">
        <v>79</v>
      </c>
      <c r="E73" s="159">
        <v>82</v>
      </c>
      <c r="F73" s="159">
        <v>80</v>
      </c>
      <c r="G73" s="159">
        <v>85</v>
      </c>
      <c r="H73" s="159">
        <v>85</v>
      </c>
      <c r="I73" s="159">
        <v>97.5</v>
      </c>
      <c r="J73" s="159">
        <v>97.5</v>
      </c>
      <c r="K73" s="166">
        <v>95</v>
      </c>
      <c r="L73" s="160">
        <v>90</v>
      </c>
      <c r="M73" s="159">
        <v>90</v>
      </c>
      <c r="N73" s="159">
        <v>90</v>
      </c>
    </row>
    <row r="74" spans="1:14" ht="11.1" customHeight="1" x14ac:dyDescent="0.25">
      <c r="A74" s="14"/>
      <c r="B74" s="17">
        <v>2023</v>
      </c>
      <c r="C74" s="159" t="s">
        <v>47</v>
      </c>
      <c r="D74" s="160" t="s">
        <v>47</v>
      </c>
      <c r="E74" s="160" t="s">
        <v>47</v>
      </c>
      <c r="F74" s="160" t="s">
        <v>47</v>
      </c>
      <c r="G74" s="160" t="s">
        <v>47</v>
      </c>
      <c r="H74" s="159" t="s">
        <v>47</v>
      </c>
      <c r="I74" s="159">
        <v>123</v>
      </c>
      <c r="J74" s="159">
        <v>120</v>
      </c>
      <c r="K74" s="166">
        <v>120</v>
      </c>
      <c r="L74" s="159">
        <v>117</v>
      </c>
      <c r="M74" s="159">
        <v>118</v>
      </c>
      <c r="N74" s="159">
        <v>118</v>
      </c>
    </row>
    <row r="75" spans="1:14" ht="11.1" customHeight="1" x14ac:dyDescent="0.25">
      <c r="A75" s="16"/>
      <c r="B75" s="17">
        <v>2024</v>
      </c>
      <c r="C75" s="159">
        <v>120</v>
      </c>
      <c r="D75" s="160">
        <v>120</v>
      </c>
      <c r="E75" s="159">
        <v>120</v>
      </c>
      <c r="F75" s="159">
        <v>110</v>
      </c>
      <c r="G75" s="159">
        <v>160</v>
      </c>
      <c r="H75" s="159">
        <v>120</v>
      </c>
      <c r="I75" s="159">
        <v>130</v>
      </c>
      <c r="J75" s="159">
        <v>131</v>
      </c>
      <c r="K75" s="159">
        <v>113.5</v>
      </c>
      <c r="L75" s="159">
        <v>113.2</v>
      </c>
      <c r="M75" s="159">
        <v>113.7</v>
      </c>
      <c r="N75" s="159">
        <v>113.7</v>
      </c>
    </row>
    <row r="76" spans="1:14" ht="11.1" customHeight="1" x14ac:dyDescent="0.25">
      <c r="A76" s="20"/>
      <c r="B76" s="21">
        <v>2025</v>
      </c>
      <c r="C76" s="164">
        <v>123.5</v>
      </c>
      <c r="D76" s="162">
        <v>123</v>
      </c>
      <c r="E76" s="164">
        <v>129</v>
      </c>
      <c r="F76" s="164">
        <v>128</v>
      </c>
      <c r="G76" s="164">
        <v>128</v>
      </c>
      <c r="H76" s="164">
        <v>128</v>
      </c>
      <c r="I76" s="164">
        <v>114.3</v>
      </c>
      <c r="J76" s="164">
        <v>126</v>
      </c>
      <c r="K76" s="164">
        <v>125</v>
      </c>
      <c r="L76" s="164"/>
      <c r="M76" s="164"/>
      <c r="N76" s="164"/>
    </row>
    <row r="77" spans="1:14" ht="11.1" customHeight="1" x14ac:dyDescent="0.25">
      <c r="A77" s="16" t="s">
        <v>25</v>
      </c>
      <c r="B77" s="17">
        <v>2018</v>
      </c>
      <c r="C77" s="166">
        <v>95</v>
      </c>
      <c r="D77" s="166">
        <v>95</v>
      </c>
      <c r="E77" s="166">
        <v>96</v>
      </c>
      <c r="F77" s="166">
        <v>96</v>
      </c>
      <c r="G77" s="159">
        <v>98</v>
      </c>
      <c r="H77" s="159">
        <v>97.5</v>
      </c>
      <c r="I77" s="159">
        <v>97.5</v>
      </c>
      <c r="J77" s="159">
        <v>97.5</v>
      </c>
      <c r="K77" s="159">
        <v>96</v>
      </c>
      <c r="L77" s="160">
        <v>96</v>
      </c>
      <c r="M77" s="159">
        <v>96</v>
      </c>
      <c r="N77" s="160">
        <v>100</v>
      </c>
    </row>
    <row r="78" spans="1:14" ht="11.1" customHeight="1" x14ac:dyDescent="0.25">
      <c r="A78" s="16"/>
      <c r="B78" s="17">
        <v>2019</v>
      </c>
      <c r="C78" s="159">
        <v>100</v>
      </c>
      <c r="D78" s="159">
        <v>107.5</v>
      </c>
      <c r="E78" s="159">
        <v>109</v>
      </c>
      <c r="F78" s="159">
        <v>108</v>
      </c>
      <c r="G78" s="159">
        <v>108</v>
      </c>
      <c r="H78" s="159">
        <v>106</v>
      </c>
      <c r="I78" s="159">
        <v>106</v>
      </c>
      <c r="J78" s="166">
        <v>107</v>
      </c>
      <c r="K78" s="166">
        <v>110</v>
      </c>
      <c r="L78" s="160">
        <v>110</v>
      </c>
      <c r="M78" s="159">
        <v>115</v>
      </c>
      <c r="N78" s="160">
        <v>115</v>
      </c>
    </row>
    <row r="79" spans="1:14" ht="11.1" customHeight="1" x14ac:dyDescent="0.25">
      <c r="A79" s="16"/>
      <c r="B79" s="17">
        <v>2020</v>
      </c>
      <c r="C79" s="159">
        <v>115</v>
      </c>
      <c r="D79" s="159">
        <v>115</v>
      </c>
      <c r="E79" s="159">
        <v>115</v>
      </c>
      <c r="F79" s="159">
        <v>115</v>
      </c>
      <c r="G79" s="159">
        <v>122.5</v>
      </c>
      <c r="H79" s="159">
        <v>122.5</v>
      </c>
      <c r="I79" s="159">
        <v>122.5</v>
      </c>
      <c r="J79" s="159">
        <v>122.5</v>
      </c>
      <c r="K79" s="159">
        <v>122.5</v>
      </c>
      <c r="L79" s="160">
        <v>122.5</v>
      </c>
      <c r="M79" s="159">
        <v>122.5</v>
      </c>
      <c r="N79" s="160">
        <v>125</v>
      </c>
    </row>
    <row r="80" spans="1:14" ht="11.1" customHeight="1" x14ac:dyDescent="0.25">
      <c r="A80" s="16"/>
      <c r="B80" s="17">
        <v>2021</v>
      </c>
      <c r="C80" s="159">
        <v>130</v>
      </c>
      <c r="D80" s="159">
        <v>125</v>
      </c>
      <c r="E80" s="159">
        <v>130</v>
      </c>
      <c r="F80" s="159">
        <v>130</v>
      </c>
      <c r="G80" s="159">
        <v>130</v>
      </c>
      <c r="H80" s="159">
        <v>130</v>
      </c>
      <c r="I80" s="159">
        <v>130</v>
      </c>
      <c r="J80" s="159">
        <v>130</v>
      </c>
      <c r="K80" s="159">
        <v>130</v>
      </c>
      <c r="L80" s="160">
        <v>130</v>
      </c>
      <c r="M80" s="159">
        <v>130</v>
      </c>
      <c r="N80" s="123">
        <v>130</v>
      </c>
    </row>
    <row r="81" spans="1:14" ht="11.1" customHeight="1" x14ac:dyDescent="0.25">
      <c r="A81" s="16"/>
      <c r="B81" s="17">
        <v>2022</v>
      </c>
      <c r="C81" s="159">
        <v>130</v>
      </c>
      <c r="D81" s="159">
        <v>130</v>
      </c>
      <c r="E81" s="159">
        <v>130</v>
      </c>
      <c r="F81" s="159">
        <v>130</v>
      </c>
      <c r="G81" s="159">
        <v>130</v>
      </c>
      <c r="H81" s="159">
        <v>130</v>
      </c>
      <c r="I81" s="159">
        <v>130</v>
      </c>
      <c r="J81" s="159">
        <v>130</v>
      </c>
      <c r="K81" s="159">
        <v>130</v>
      </c>
      <c r="L81" s="160">
        <v>140</v>
      </c>
      <c r="M81" s="159">
        <v>130</v>
      </c>
      <c r="N81" s="123">
        <v>120</v>
      </c>
    </row>
    <row r="82" spans="1:14" ht="11.1" customHeight="1" x14ac:dyDescent="0.25">
      <c r="A82" s="38"/>
      <c r="B82" s="17">
        <v>2023</v>
      </c>
      <c r="C82" s="159">
        <v>132</v>
      </c>
      <c r="D82" s="159">
        <v>133</v>
      </c>
      <c r="E82" s="159">
        <v>150</v>
      </c>
      <c r="F82" s="159">
        <v>128</v>
      </c>
      <c r="G82" s="159">
        <v>145</v>
      </c>
      <c r="H82" s="159">
        <v>133</v>
      </c>
      <c r="I82" s="159">
        <v>140</v>
      </c>
      <c r="J82" s="159">
        <v>140</v>
      </c>
      <c r="K82" s="159">
        <v>143</v>
      </c>
      <c r="L82" s="159">
        <v>158</v>
      </c>
      <c r="M82" s="159">
        <v>158</v>
      </c>
      <c r="N82" s="118">
        <v>150</v>
      </c>
    </row>
    <row r="83" spans="1:14" ht="11.1" customHeight="1" x14ac:dyDescent="0.25">
      <c r="A83" s="16"/>
      <c r="B83" s="17">
        <v>2024</v>
      </c>
      <c r="C83" s="159">
        <v>160</v>
      </c>
      <c r="D83" s="159">
        <v>150</v>
      </c>
      <c r="E83" s="159">
        <v>150</v>
      </c>
      <c r="F83" s="159">
        <v>164</v>
      </c>
      <c r="G83" s="160">
        <v>165</v>
      </c>
      <c r="H83" s="159">
        <v>165</v>
      </c>
      <c r="I83" s="159">
        <v>165</v>
      </c>
      <c r="J83" s="159">
        <v>165</v>
      </c>
      <c r="K83" s="159">
        <v>159</v>
      </c>
      <c r="L83" s="5" t="s">
        <v>4</v>
      </c>
      <c r="M83" s="159">
        <v>150</v>
      </c>
      <c r="N83" s="118">
        <v>150</v>
      </c>
    </row>
    <row r="84" spans="1:14" ht="11.1" customHeight="1" x14ac:dyDescent="0.25">
      <c r="A84" s="20"/>
      <c r="B84" s="21">
        <v>2025</v>
      </c>
      <c r="C84" s="164">
        <v>163</v>
      </c>
      <c r="D84" s="163" t="s">
        <v>4</v>
      </c>
      <c r="E84" s="164">
        <v>170</v>
      </c>
      <c r="F84" s="164">
        <v>170</v>
      </c>
      <c r="G84" s="164">
        <v>170</v>
      </c>
      <c r="H84" s="164">
        <v>170</v>
      </c>
      <c r="I84" s="164">
        <v>170</v>
      </c>
      <c r="J84" s="164">
        <v>158</v>
      </c>
      <c r="K84" s="164">
        <v>175</v>
      </c>
      <c r="L84" s="163"/>
      <c r="M84" s="164"/>
      <c r="N84" s="132"/>
    </row>
    <row r="85" spans="1:14" ht="11.1" customHeight="1" x14ac:dyDescent="0.25">
      <c r="A85" s="16" t="s">
        <v>111</v>
      </c>
      <c r="B85" s="17">
        <v>2018</v>
      </c>
      <c r="C85" s="159">
        <v>77.916666666666671</v>
      </c>
      <c r="D85" s="159">
        <v>76.875</v>
      </c>
      <c r="E85" s="159">
        <v>75</v>
      </c>
      <c r="F85" s="159">
        <v>75</v>
      </c>
      <c r="G85" s="160">
        <v>73.400000000000006</v>
      </c>
      <c r="H85" s="159">
        <v>74.599999999999994</v>
      </c>
      <c r="I85" s="159">
        <v>73.8</v>
      </c>
      <c r="J85" s="159">
        <v>75.400000000000006</v>
      </c>
      <c r="K85" s="159">
        <v>75.5</v>
      </c>
      <c r="L85" s="160">
        <v>76.5</v>
      </c>
      <c r="M85" s="159">
        <v>78.3</v>
      </c>
      <c r="N85" s="160">
        <v>78.3</v>
      </c>
    </row>
    <row r="86" spans="1:14" ht="11.1" customHeight="1" x14ac:dyDescent="0.25">
      <c r="A86" s="16"/>
      <c r="B86" s="17">
        <v>2019</v>
      </c>
      <c r="C86" s="159">
        <v>77</v>
      </c>
      <c r="D86" s="159">
        <v>77</v>
      </c>
      <c r="E86" s="159">
        <v>76.7</v>
      </c>
      <c r="F86" s="159">
        <v>77</v>
      </c>
      <c r="G86" s="160">
        <v>76.7</v>
      </c>
      <c r="H86" s="159">
        <v>75.5</v>
      </c>
      <c r="I86" s="159">
        <v>75</v>
      </c>
      <c r="J86" s="166">
        <v>72.900000000000006</v>
      </c>
      <c r="K86" s="166">
        <v>80</v>
      </c>
      <c r="L86" s="160">
        <v>95</v>
      </c>
      <c r="M86" s="159">
        <v>95</v>
      </c>
      <c r="N86" s="160">
        <v>95</v>
      </c>
    </row>
    <row r="87" spans="1:14" ht="11.1" customHeight="1" x14ac:dyDescent="0.25">
      <c r="A87" s="16"/>
      <c r="B87" s="17">
        <v>2020</v>
      </c>
      <c r="C87" s="159">
        <v>95</v>
      </c>
      <c r="D87" s="159" t="s">
        <v>47</v>
      </c>
      <c r="E87" s="159" t="s">
        <v>47</v>
      </c>
      <c r="F87" s="159" t="s">
        <v>47</v>
      </c>
      <c r="G87" s="160" t="s">
        <v>47</v>
      </c>
      <c r="H87" s="159" t="s">
        <v>47</v>
      </c>
      <c r="I87" s="159">
        <v>110</v>
      </c>
      <c r="J87" s="159">
        <v>110</v>
      </c>
      <c r="K87" s="159">
        <v>110</v>
      </c>
      <c r="L87" s="160">
        <v>100</v>
      </c>
      <c r="M87" s="159">
        <v>100</v>
      </c>
      <c r="N87" s="160">
        <v>100</v>
      </c>
    </row>
    <row r="88" spans="1:14" ht="11.1" customHeight="1" x14ac:dyDescent="0.25">
      <c r="A88" s="16"/>
      <c r="B88" s="17">
        <v>2021</v>
      </c>
      <c r="C88" s="159">
        <v>95</v>
      </c>
      <c r="D88" s="159">
        <v>95</v>
      </c>
      <c r="E88" s="159">
        <v>95</v>
      </c>
      <c r="F88" s="159">
        <v>92.5</v>
      </c>
      <c r="G88" s="160">
        <v>92.5</v>
      </c>
      <c r="H88" s="159">
        <v>95</v>
      </c>
      <c r="I88" s="159">
        <v>100</v>
      </c>
      <c r="J88" s="159">
        <v>100</v>
      </c>
      <c r="K88" s="159">
        <v>100</v>
      </c>
      <c r="L88" s="160">
        <v>100</v>
      </c>
      <c r="M88" s="159">
        <v>100</v>
      </c>
      <c r="N88" s="160">
        <v>95</v>
      </c>
    </row>
    <row r="89" spans="1:14" ht="11.1" customHeight="1" x14ac:dyDescent="0.25">
      <c r="A89" s="16"/>
      <c r="B89" s="17">
        <v>2022</v>
      </c>
      <c r="C89" s="159">
        <v>110</v>
      </c>
      <c r="D89" s="159">
        <v>110</v>
      </c>
      <c r="E89" s="159">
        <v>110</v>
      </c>
      <c r="F89" s="159">
        <v>110</v>
      </c>
      <c r="G89" s="160">
        <v>110</v>
      </c>
      <c r="H89" s="159">
        <v>115</v>
      </c>
      <c r="I89" s="159">
        <v>110</v>
      </c>
      <c r="J89" s="159">
        <v>110</v>
      </c>
      <c r="K89" s="159">
        <v>115</v>
      </c>
      <c r="L89" s="160">
        <v>110</v>
      </c>
      <c r="M89" s="159">
        <v>110</v>
      </c>
      <c r="N89" s="160">
        <v>110</v>
      </c>
    </row>
    <row r="90" spans="1:14" ht="11.1" customHeight="1" x14ac:dyDescent="0.25">
      <c r="A90" s="16"/>
      <c r="B90" s="17">
        <v>2023</v>
      </c>
      <c r="C90" s="159">
        <v>115</v>
      </c>
      <c r="D90" s="159">
        <v>120</v>
      </c>
      <c r="E90" s="159">
        <v>130</v>
      </c>
      <c r="F90" s="159">
        <v>130</v>
      </c>
      <c r="G90" s="160">
        <v>140</v>
      </c>
      <c r="H90" s="159">
        <v>140</v>
      </c>
      <c r="I90" s="159">
        <v>130</v>
      </c>
      <c r="J90" s="159">
        <v>130</v>
      </c>
      <c r="K90" s="159">
        <v>130</v>
      </c>
      <c r="L90" s="159">
        <v>138</v>
      </c>
      <c r="M90" s="159">
        <v>135</v>
      </c>
      <c r="N90" s="159">
        <v>135</v>
      </c>
    </row>
    <row r="91" spans="1:14" ht="11.1" customHeight="1" x14ac:dyDescent="0.25">
      <c r="A91" s="16"/>
      <c r="B91" s="17">
        <v>2024</v>
      </c>
      <c r="C91" s="159">
        <v>135</v>
      </c>
      <c r="D91" s="159">
        <v>123</v>
      </c>
      <c r="E91" s="159">
        <v>124</v>
      </c>
      <c r="F91" s="159">
        <v>158</v>
      </c>
      <c r="G91" s="160">
        <v>140</v>
      </c>
      <c r="H91" s="159">
        <v>140</v>
      </c>
      <c r="I91" s="159">
        <v>140</v>
      </c>
      <c r="J91" s="159">
        <v>120</v>
      </c>
      <c r="K91" s="159">
        <v>123</v>
      </c>
      <c r="L91" s="159">
        <v>121.81818181818181</v>
      </c>
      <c r="M91" s="159">
        <v>146.04</v>
      </c>
      <c r="N91" s="159">
        <v>165</v>
      </c>
    </row>
    <row r="92" spans="1:14" ht="11.1" customHeight="1" x14ac:dyDescent="0.25">
      <c r="A92" s="20"/>
      <c r="B92" s="21">
        <v>2025</v>
      </c>
      <c r="C92" s="164">
        <v>131</v>
      </c>
      <c r="D92" s="164">
        <v>120</v>
      </c>
      <c r="E92" s="164">
        <v>126</v>
      </c>
      <c r="F92" s="164">
        <v>126</v>
      </c>
      <c r="G92" s="164">
        <v>128</v>
      </c>
      <c r="H92" s="164">
        <v>127</v>
      </c>
      <c r="I92" s="164">
        <v>127</v>
      </c>
      <c r="J92" s="164">
        <v>127</v>
      </c>
      <c r="K92" s="164">
        <v>128</v>
      </c>
      <c r="L92" s="164"/>
      <c r="M92" s="164"/>
      <c r="N92" s="164"/>
    </row>
    <row r="93" spans="1:14" ht="11.1" customHeight="1" x14ac:dyDescent="0.25">
      <c r="A93" s="16" t="s">
        <v>36</v>
      </c>
      <c r="B93" s="17">
        <v>2018</v>
      </c>
      <c r="C93" s="159">
        <v>84</v>
      </c>
      <c r="D93" s="159">
        <v>82.5</v>
      </c>
      <c r="E93" s="159">
        <v>82.5</v>
      </c>
      <c r="F93" s="159">
        <v>82.5</v>
      </c>
      <c r="G93" s="160">
        <v>82.5</v>
      </c>
      <c r="H93" s="159">
        <v>82.5</v>
      </c>
      <c r="I93" s="159">
        <v>89.5</v>
      </c>
      <c r="J93" s="159">
        <v>89.5</v>
      </c>
      <c r="K93" s="159">
        <v>91</v>
      </c>
      <c r="L93" s="160">
        <v>93</v>
      </c>
      <c r="M93" s="159">
        <v>93</v>
      </c>
      <c r="N93" s="160">
        <v>93</v>
      </c>
    </row>
    <row r="94" spans="1:14" ht="11.1" customHeight="1" x14ac:dyDescent="0.25">
      <c r="A94" s="16"/>
      <c r="B94" s="17">
        <v>2019</v>
      </c>
      <c r="C94" s="159">
        <v>76.5</v>
      </c>
      <c r="D94" s="159">
        <v>85</v>
      </c>
      <c r="E94" s="159">
        <v>70</v>
      </c>
      <c r="F94" s="159">
        <v>68</v>
      </c>
      <c r="G94" s="160">
        <v>67</v>
      </c>
      <c r="H94" s="159">
        <v>69</v>
      </c>
      <c r="I94" s="159">
        <v>74</v>
      </c>
      <c r="J94" s="159">
        <v>74</v>
      </c>
      <c r="K94" s="166">
        <v>77</v>
      </c>
      <c r="L94" s="160">
        <v>77.5</v>
      </c>
      <c r="M94" s="159">
        <v>75</v>
      </c>
      <c r="N94" s="160">
        <v>75</v>
      </c>
    </row>
    <row r="95" spans="1:14" ht="11.1" customHeight="1" x14ac:dyDescent="0.25">
      <c r="A95" s="16"/>
      <c r="B95" s="17">
        <v>2020</v>
      </c>
      <c r="C95" s="159">
        <v>70</v>
      </c>
      <c r="D95" s="159">
        <v>75</v>
      </c>
      <c r="E95" s="159">
        <v>85</v>
      </c>
      <c r="F95" s="159" t="s">
        <v>47</v>
      </c>
      <c r="G95" s="160" t="s">
        <v>47</v>
      </c>
      <c r="H95" s="159">
        <v>75</v>
      </c>
      <c r="I95" s="159">
        <v>75</v>
      </c>
      <c r="J95" s="159">
        <v>75</v>
      </c>
      <c r="K95" s="159">
        <v>65</v>
      </c>
      <c r="L95" s="160" t="s">
        <v>47</v>
      </c>
      <c r="M95" s="159">
        <v>55</v>
      </c>
      <c r="N95" s="160">
        <v>77.5</v>
      </c>
    </row>
    <row r="96" spans="1:14" ht="11.1" customHeight="1" x14ac:dyDescent="0.25">
      <c r="A96" s="16"/>
      <c r="B96" s="17">
        <v>2021</v>
      </c>
      <c r="C96" s="159">
        <v>78.5</v>
      </c>
      <c r="D96" s="159">
        <v>77.5</v>
      </c>
      <c r="E96" s="159">
        <v>77.5</v>
      </c>
      <c r="F96" s="159">
        <v>77.5</v>
      </c>
      <c r="G96" s="160">
        <v>75</v>
      </c>
      <c r="H96" s="159">
        <v>80</v>
      </c>
      <c r="I96" s="159">
        <v>80</v>
      </c>
      <c r="J96" s="159">
        <v>80</v>
      </c>
      <c r="K96" s="159">
        <v>80</v>
      </c>
      <c r="L96" s="160">
        <v>80</v>
      </c>
      <c r="M96" s="159">
        <v>75</v>
      </c>
      <c r="N96" s="160">
        <v>80</v>
      </c>
    </row>
    <row r="97" spans="1:14" ht="11.1" customHeight="1" x14ac:dyDescent="0.25">
      <c r="A97" s="16"/>
      <c r="B97" s="17">
        <v>2022</v>
      </c>
      <c r="C97" s="159">
        <v>80</v>
      </c>
      <c r="D97" s="159">
        <v>80</v>
      </c>
      <c r="E97" s="159">
        <v>85</v>
      </c>
      <c r="F97" s="159">
        <v>90</v>
      </c>
      <c r="G97" s="160">
        <v>90</v>
      </c>
      <c r="H97" s="159">
        <v>90</v>
      </c>
      <c r="I97" s="159">
        <v>90</v>
      </c>
      <c r="J97" s="159">
        <v>90</v>
      </c>
      <c r="K97" s="159">
        <v>90</v>
      </c>
      <c r="L97" s="160">
        <v>95</v>
      </c>
      <c r="M97" s="159">
        <v>90</v>
      </c>
      <c r="N97" s="160">
        <v>88</v>
      </c>
    </row>
    <row r="98" spans="1:14" ht="11.1" customHeight="1" x14ac:dyDescent="0.25">
      <c r="A98" s="16"/>
      <c r="B98" s="17">
        <v>2023</v>
      </c>
      <c r="C98" s="159">
        <v>97.5</v>
      </c>
      <c r="D98" s="159">
        <v>97.5</v>
      </c>
      <c r="E98" s="159">
        <v>97.5</v>
      </c>
      <c r="F98" s="159">
        <v>97.5</v>
      </c>
      <c r="G98" s="160">
        <v>97.5</v>
      </c>
      <c r="H98" s="159">
        <v>97.5</v>
      </c>
      <c r="I98" s="159">
        <v>97.5</v>
      </c>
      <c r="J98" s="159">
        <v>97.5</v>
      </c>
      <c r="K98" s="159">
        <v>97.5</v>
      </c>
      <c r="L98" s="159">
        <v>98</v>
      </c>
      <c r="M98" s="159">
        <v>98</v>
      </c>
      <c r="N98" s="159">
        <v>98</v>
      </c>
    </row>
    <row r="99" spans="1:14" ht="11.1" customHeight="1" x14ac:dyDescent="0.25">
      <c r="A99" s="16"/>
      <c r="B99" s="17">
        <v>2024</v>
      </c>
      <c r="C99" s="159">
        <v>98</v>
      </c>
      <c r="D99" s="159">
        <v>94</v>
      </c>
      <c r="E99" s="159">
        <v>94</v>
      </c>
      <c r="F99" s="159">
        <v>94</v>
      </c>
      <c r="G99" s="160">
        <v>94</v>
      </c>
      <c r="H99" s="159">
        <v>96</v>
      </c>
      <c r="I99" s="159">
        <v>98</v>
      </c>
      <c r="J99" s="159">
        <v>94</v>
      </c>
      <c r="K99" s="159">
        <v>94</v>
      </c>
      <c r="L99" s="159">
        <v>94.166666666666671</v>
      </c>
      <c r="M99" s="159">
        <v>94.17</v>
      </c>
      <c r="N99" s="159">
        <v>94.17</v>
      </c>
    </row>
    <row r="100" spans="1:14" ht="11.1" customHeight="1" x14ac:dyDescent="0.25">
      <c r="A100" s="20"/>
      <c r="B100" s="21">
        <v>2025</v>
      </c>
      <c r="C100" s="164">
        <v>105</v>
      </c>
      <c r="D100" s="164">
        <v>94</v>
      </c>
      <c r="E100" s="164">
        <v>90</v>
      </c>
      <c r="F100" s="164">
        <v>94</v>
      </c>
      <c r="G100" s="164">
        <v>94</v>
      </c>
      <c r="H100" s="164">
        <v>105</v>
      </c>
      <c r="I100" s="164">
        <v>103.33</v>
      </c>
      <c r="J100" s="164">
        <v>103</v>
      </c>
      <c r="K100" s="164">
        <v>103</v>
      </c>
      <c r="L100" s="164"/>
      <c r="M100" s="164"/>
      <c r="N100" s="164"/>
    </row>
    <row r="101" spans="1:14" ht="11.1" customHeight="1" x14ac:dyDescent="0.25">
      <c r="A101" s="16" t="s">
        <v>145</v>
      </c>
      <c r="B101" s="17">
        <v>2018</v>
      </c>
      <c r="C101" s="166">
        <v>142</v>
      </c>
      <c r="D101" s="166">
        <v>142</v>
      </c>
      <c r="E101" s="166">
        <v>142</v>
      </c>
      <c r="F101" s="166">
        <v>142</v>
      </c>
      <c r="G101" s="165">
        <v>142</v>
      </c>
      <c r="H101" s="166">
        <v>142</v>
      </c>
      <c r="I101" s="166">
        <v>142</v>
      </c>
      <c r="J101" s="166">
        <v>142</v>
      </c>
      <c r="K101" s="166">
        <v>142</v>
      </c>
      <c r="L101" s="165">
        <v>142</v>
      </c>
      <c r="M101" s="166">
        <v>142</v>
      </c>
      <c r="N101" s="165">
        <v>142</v>
      </c>
    </row>
    <row r="102" spans="1:14" ht="11.1" customHeight="1" x14ac:dyDescent="0.25">
      <c r="A102" s="16"/>
      <c r="B102" s="17">
        <v>2019</v>
      </c>
      <c r="C102" s="166">
        <v>142</v>
      </c>
      <c r="D102" s="159">
        <v>145</v>
      </c>
      <c r="E102" s="159">
        <v>145</v>
      </c>
      <c r="F102" s="159">
        <v>145</v>
      </c>
      <c r="G102" s="160">
        <v>145</v>
      </c>
      <c r="H102" s="159">
        <v>145</v>
      </c>
      <c r="I102" s="159">
        <v>145</v>
      </c>
      <c r="J102" s="166">
        <v>145</v>
      </c>
      <c r="K102" s="166">
        <v>140</v>
      </c>
      <c r="L102" s="160">
        <v>140</v>
      </c>
      <c r="M102" s="159">
        <v>140</v>
      </c>
      <c r="N102" s="160">
        <v>140</v>
      </c>
    </row>
    <row r="103" spans="1:14" ht="11.1" customHeight="1" x14ac:dyDescent="0.25">
      <c r="A103" s="16"/>
      <c r="B103" s="17">
        <v>2020</v>
      </c>
      <c r="C103" s="159">
        <v>140</v>
      </c>
      <c r="D103" s="159">
        <v>140</v>
      </c>
      <c r="E103" s="159" t="s">
        <v>47</v>
      </c>
      <c r="F103" s="159" t="s">
        <v>47</v>
      </c>
      <c r="G103" s="160" t="s">
        <v>47</v>
      </c>
      <c r="H103" s="159" t="s">
        <v>47</v>
      </c>
      <c r="I103" s="159">
        <v>140</v>
      </c>
      <c r="J103" s="159">
        <v>140</v>
      </c>
      <c r="K103" s="159" t="s">
        <v>47</v>
      </c>
      <c r="L103" s="160">
        <v>140</v>
      </c>
      <c r="M103" s="159">
        <v>140</v>
      </c>
      <c r="N103" s="160">
        <v>140</v>
      </c>
    </row>
    <row r="104" spans="1:14" ht="11.1" customHeight="1" x14ac:dyDescent="0.25">
      <c r="A104" s="16"/>
      <c r="B104" s="17">
        <v>2021</v>
      </c>
      <c r="C104" s="159">
        <v>140</v>
      </c>
      <c r="D104" s="159" t="s">
        <v>47</v>
      </c>
      <c r="E104" s="159" t="s">
        <v>47</v>
      </c>
      <c r="F104" s="159" t="s">
        <v>47</v>
      </c>
      <c r="G104" s="160" t="s">
        <v>47</v>
      </c>
      <c r="H104" s="159">
        <v>140</v>
      </c>
      <c r="I104" s="159">
        <v>140</v>
      </c>
      <c r="J104" s="159">
        <v>140</v>
      </c>
      <c r="K104" s="159">
        <v>155</v>
      </c>
      <c r="L104" s="160">
        <v>140</v>
      </c>
      <c r="M104" s="159">
        <v>140</v>
      </c>
      <c r="N104" s="160">
        <v>140</v>
      </c>
    </row>
    <row r="105" spans="1:14" ht="11.1" customHeight="1" x14ac:dyDescent="0.25">
      <c r="A105" s="16"/>
      <c r="B105" s="17">
        <v>2022</v>
      </c>
      <c r="C105" s="159">
        <v>140</v>
      </c>
      <c r="D105" s="159">
        <v>140</v>
      </c>
      <c r="E105" s="159">
        <v>140</v>
      </c>
      <c r="F105" s="159">
        <v>140</v>
      </c>
      <c r="G105" s="160">
        <v>140</v>
      </c>
      <c r="H105" s="159">
        <v>140</v>
      </c>
      <c r="I105" s="159">
        <v>140</v>
      </c>
      <c r="J105" s="159">
        <v>140</v>
      </c>
      <c r="K105" s="159">
        <v>140</v>
      </c>
      <c r="L105" s="160">
        <v>140</v>
      </c>
      <c r="M105" s="159">
        <v>140</v>
      </c>
      <c r="N105" s="160">
        <v>140</v>
      </c>
    </row>
    <row r="106" spans="1:14" ht="11.1" customHeight="1" x14ac:dyDescent="0.25">
      <c r="A106" s="16"/>
      <c r="B106" s="17">
        <v>2023</v>
      </c>
      <c r="C106" s="159">
        <v>165</v>
      </c>
      <c r="D106" s="159">
        <v>165</v>
      </c>
      <c r="E106" s="159">
        <v>160</v>
      </c>
      <c r="F106" s="159">
        <v>160</v>
      </c>
      <c r="G106" s="160">
        <v>160</v>
      </c>
      <c r="H106" s="159">
        <v>160</v>
      </c>
      <c r="I106" s="159">
        <v>160</v>
      </c>
      <c r="J106" s="159">
        <v>160</v>
      </c>
      <c r="K106" s="159">
        <v>140</v>
      </c>
      <c r="L106" s="159">
        <v>140</v>
      </c>
      <c r="M106" s="159">
        <v>140</v>
      </c>
      <c r="N106" s="159">
        <v>135</v>
      </c>
    </row>
    <row r="107" spans="1:14" ht="11.1" customHeight="1" x14ac:dyDescent="0.25">
      <c r="A107" s="16"/>
      <c r="B107" s="17">
        <v>2024</v>
      </c>
      <c r="C107" s="159">
        <v>135</v>
      </c>
      <c r="D107" s="159">
        <v>135</v>
      </c>
      <c r="E107" s="5" t="s">
        <v>4</v>
      </c>
      <c r="F107" s="5" t="s">
        <v>4</v>
      </c>
      <c r="G107" s="161" t="s">
        <v>4</v>
      </c>
      <c r="H107" s="161" t="s">
        <v>4</v>
      </c>
      <c r="I107" s="5" t="s">
        <v>4</v>
      </c>
      <c r="J107" s="5" t="s">
        <v>4</v>
      </c>
      <c r="K107" s="5" t="s">
        <v>4</v>
      </c>
      <c r="L107" s="5" t="s">
        <v>4</v>
      </c>
      <c r="M107" s="5" t="s">
        <v>4</v>
      </c>
      <c r="N107" s="5" t="s">
        <v>4</v>
      </c>
    </row>
    <row r="108" spans="1:14" ht="11.1" customHeight="1" x14ac:dyDescent="0.25">
      <c r="A108" s="20"/>
      <c r="B108" s="21">
        <v>2025</v>
      </c>
      <c r="C108" s="164">
        <v>293</v>
      </c>
      <c r="D108" s="164">
        <v>280</v>
      </c>
      <c r="E108" s="164">
        <v>230</v>
      </c>
      <c r="F108" s="164">
        <v>218</v>
      </c>
      <c r="G108" s="162">
        <v>230</v>
      </c>
      <c r="H108" s="162">
        <v>171</v>
      </c>
      <c r="I108" s="162">
        <v>98</v>
      </c>
      <c r="J108" s="162">
        <v>224</v>
      </c>
      <c r="K108" s="162">
        <v>230</v>
      </c>
      <c r="L108" s="163"/>
      <c r="M108" s="163"/>
      <c r="N108" s="163"/>
    </row>
    <row r="109" spans="1:14" ht="11.1" customHeight="1" x14ac:dyDescent="0.25">
      <c r="A109" s="16" t="s">
        <v>113</v>
      </c>
      <c r="B109" s="17">
        <v>2018</v>
      </c>
      <c r="C109" s="166">
        <v>119</v>
      </c>
      <c r="D109" s="166">
        <v>119</v>
      </c>
      <c r="E109" s="166">
        <v>119</v>
      </c>
      <c r="F109" s="166">
        <v>119</v>
      </c>
      <c r="G109" s="165">
        <v>119</v>
      </c>
      <c r="H109" s="159" t="s">
        <v>47</v>
      </c>
      <c r="I109" s="159" t="s">
        <v>47</v>
      </c>
      <c r="J109" s="159" t="s">
        <v>47</v>
      </c>
      <c r="K109" s="159" t="s">
        <v>47</v>
      </c>
      <c r="L109" s="160" t="s">
        <v>47</v>
      </c>
      <c r="M109" s="159" t="s">
        <v>47</v>
      </c>
      <c r="N109" s="160" t="s">
        <v>47</v>
      </c>
    </row>
    <row r="110" spans="1:14" ht="11.1" customHeight="1" x14ac:dyDescent="0.25">
      <c r="A110" s="16"/>
      <c r="B110" s="17">
        <v>2019</v>
      </c>
      <c r="C110" s="159">
        <v>117</v>
      </c>
      <c r="D110" s="159">
        <v>109</v>
      </c>
      <c r="E110" s="159">
        <v>122</v>
      </c>
      <c r="F110" s="159">
        <v>121.96458333333334</v>
      </c>
      <c r="G110" s="160">
        <v>116.13125000000001</v>
      </c>
      <c r="H110" s="159">
        <v>121.13125000000001</v>
      </c>
      <c r="I110" s="159">
        <v>127.79791666666667</v>
      </c>
      <c r="J110" s="166">
        <v>127</v>
      </c>
      <c r="K110" s="166">
        <v>105</v>
      </c>
      <c r="L110" s="165">
        <v>110</v>
      </c>
      <c r="M110" s="159">
        <v>110</v>
      </c>
      <c r="N110" s="160">
        <v>110</v>
      </c>
    </row>
    <row r="111" spans="1:14" ht="11.1" customHeight="1" x14ac:dyDescent="0.25">
      <c r="A111" s="16"/>
      <c r="B111" s="17">
        <v>2020</v>
      </c>
      <c r="C111" s="159">
        <v>105</v>
      </c>
      <c r="D111" s="159">
        <v>125</v>
      </c>
      <c r="E111" s="159" t="s">
        <v>47</v>
      </c>
      <c r="F111" s="159" t="s">
        <v>47</v>
      </c>
      <c r="G111" s="160">
        <v>105</v>
      </c>
      <c r="H111" s="159">
        <v>105</v>
      </c>
      <c r="I111" s="159">
        <v>105</v>
      </c>
      <c r="J111" s="159">
        <v>105</v>
      </c>
      <c r="K111" s="159">
        <v>105</v>
      </c>
      <c r="L111" s="160">
        <v>105</v>
      </c>
      <c r="M111" s="159" t="s">
        <v>47</v>
      </c>
      <c r="N111" s="160">
        <v>105</v>
      </c>
    </row>
    <row r="112" spans="1:14" ht="11.1" customHeight="1" x14ac:dyDescent="0.25">
      <c r="A112" s="16"/>
      <c r="B112" s="17">
        <v>2021</v>
      </c>
      <c r="C112" s="159">
        <v>105</v>
      </c>
      <c r="D112" s="159">
        <v>105</v>
      </c>
      <c r="E112" s="159">
        <v>105</v>
      </c>
      <c r="F112" s="159">
        <v>105</v>
      </c>
      <c r="G112" s="160">
        <v>125</v>
      </c>
      <c r="H112" s="159">
        <v>105</v>
      </c>
      <c r="I112" s="159">
        <v>105</v>
      </c>
      <c r="J112" s="159">
        <v>130</v>
      </c>
      <c r="K112" s="159">
        <v>130</v>
      </c>
      <c r="L112" s="160">
        <v>130</v>
      </c>
      <c r="M112" s="159">
        <v>105</v>
      </c>
      <c r="N112" s="160">
        <v>130</v>
      </c>
    </row>
    <row r="113" spans="1:14" ht="11.1" customHeight="1" x14ac:dyDescent="0.25">
      <c r="A113" s="16"/>
      <c r="B113" s="17">
        <v>2022</v>
      </c>
      <c r="C113" s="159">
        <v>132.5</v>
      </c>
      <c r="D113" s="159">
        <v>132.5</v>
      </c>
      <c r="E113" s="159">
        <v>125</v>
      </c>
      <c r="F113" s="159">
        <v>125</v>
      </c>
      <c r="G113" s="160">
        <v>125</v>
      </c>
      <c r="H113" s="159">
        <v>147</v>
      </c>
      <c r="I113" s="159">
        <v>140</v>
      </c>
      <c r="J113" s="159">
        <v>158</v>
      </c>
      <c r="K113" s="159">
        <v>158</v>
      </c>
      <c r="L113" s="160">
        <v>158</v>
      </c>
      <c r="M113" s="159">
        <v>157</v>
      </c>
      <c r="N113" s="160">
        <v>158</v>
      </c>
    </row>
    <row r="114" spans="1:14" ht="11.1" customHeight="1" x14ac:dyDescent="0.25">
      <c r="A114" s="16"/>
      <c r="B114" s="17">
        <v>2023</v>
      </c>
      <c r="C114" s="159" t="s">
        <v>47</v>
      </c>
      <c r="D114" s="159" t="s">
        <v>47</v>
      </c>
      <c r="E114" s="159">
        <v>200</v>
      </c>
      <c r="F114" s="159">
        <v>200</v>
      </c>
      <c r="G114" s="160">
        <v>185</v>
      </c>
      <c r="H114" s="159">
        <v>185</v>
      </c>
      <c r="I114" s="159">
        <v>188</v>
      </c>
      <c r="J114" s="159">
        <v>188</v>
      </c>
      <c r="K114" s="159">
        <v>200</v>
      </c>
      <c r="L114" s="159">
        <v>200</v>
      </c>
      <c r="M114" s="159">
        <v>202</v>
      </c>
      <c r="N114" s="160">
        <v>200</v>
      </c>
    </row>
    <row r="115" spans="1:14" ht="11.1" customHeight="1" x14ac:dyDescent="0.25">
      <c r="A115" s="16"/>
      <c r="B115" s="17">
        <v>2024</v>
      </c>
      <c r="C115" s="159">
        <v>160</v>
      </c>
      <c r="D115" s="159">
        <v>160</v>
      </c>
      <c r="E115" s="159">
        <v>146</v>
      </c>
      <c r="F115" s="159">
        <v>168</v>
      </c>
      <c r="G115" s="160">
        <v>169</v>
      </c>
      <c r="H115" s="159">
        <v>168</v>
      </c>
      <c r="I115" s="159">
        <v>163</v>
      </c>
      <c r="J115" s="159">
        <v>168</v>
      </c>
      <c r="K115" s="159">
        <v>160</v>
      </c>
      <c r="L115" s="159">
        <v>160.83333333333334</v>
      </c>
      <c r="M115" s="159">
        <v>160</v>
      </c>
      <c r="N115" s="159">
        <v>195</v>
      </c>
    </row>
    <row r="116" spans="1:14" ht="11.1" customHeight="1" x14ac:dyDescent="0.25">
      <c r="A116" s="20"/>
      <c r="B116" s="21">
        <v>2025</v>
      </c>
      <c r="C116" s="164">
        <v>198</v>
      </c>
      <c r="D116" s="164">
        <v>250</v>
      </c>
      <c r="E116" s="164">
        <v>250</v>
      </c>
      <c r="F116" s="164" t="s">
        <v>47</v>
      </c>
      <c r="G116" s="164">
        <v>250</v>
      </c>
      <c r="H116" s="164" t="s">
        <v>47</v>
      </c>
      <c r="I116" s="164" t="s">
        <v>47</v>
      </c>
      <c r="J116" s="164" t="s">
        <v>47</v>
      </c>
      <c r="K116" s="164" t="s">
        <v>47</v>
      </c>
      <c r="L116" s="164"/>
      <c r="M116" s="164"/>
      <c r="N116" s="164"/>
    </row>
    <row r="117" spans="1:14" ht="12" customHeight="1" x14ac:dyDescent="0.2">
      <c r="A117" s="157"/>
      <c r="B117" s="158"/>
      <c r="C117" s="36"/>
      <c r="D117" s="36"/>
      <c r="E117" s="140"/>
      <c r="F117" s="36"/>
      <c r="G117" s="36"/>
      <c r="H117" s="36"/>
      <c r="I117" s="140"/>
      <c r="J117" s="36"/>
      <c r="K117" s="36"/>
      <c r="L117" s="36"/>
      <c r="M117" s="175"/>
      <c r="N117" s="223" t="s">
        <v>24</v>
      </c>
    </row>
    <row r="118" spans="1:14" ht="12" customHeight="1" x14ac:dyDescent="0.25">
      <c r="A118" s="737" t="s">
        <v>144</v>
      </c>
      <c r="B118" s="737"/>
      <c r="C118" s="737"/>
      <c r="D118" s="737"/>
      <c r="E118" s="737"/>
      <c r="F118" s="737"/>
      <c r="G118" s="36"/>
      <c r="H118" s="36"/>
      <c r="I118" s="37"/>
      <c r="J118" s="19"/>
      <c r="K118" s="19"/>
      <c r="L118" s="19"/>
      <c r="M118" s="19"/>
      <c r="N118" s="160"/>
    </row>
    <row r="119" spans="1:14" ht="15.95" customHeight="1" x14ac:dyDescent="0.2">
      <c r="A119" s="214" t="s">
        <v>92</v>
      </c>
      <c r="B119" s="214" t="s">
        <v>137</v>
      </c>
      <c r="C119" s="214" t="s">
        <v>94</v>
      </c>
      <c r="D119" s="214" t="s">
        <v>95</v>
      </c>
      <c r="E119" s="214" t="s">
        <v>96</v>
      </c>
      <c r="F119" s="214" t="s">
        <v>97</v>
      </c>
      <c r="G119" s="214" t="s">
        <v>98</v>
      </c>
      <c r="H119" s="214" t="s">
        <v>99</v>
      </c>
      <c r="I119" s="214" t="s">
        <v>100</v>
      </c>
      <c r="J119" s="214" t="s">
        <v>101</v>
      </c>
      <c r="K119" s="214" t="s">
        <v>102</v>
      </c>
      <c r="L119" s="214" t="s">
        <v>103</v>
      </c>
      <c r="M119" s="214" t="s">
        <v>104</v>
      </c>
      <c r="N119" s="214" t="s">
        <v>105</v>
      </c>
    </row>
    <row r="120" spans="1:14" ht="3" customHeight="1" x14ac:dyDescent="0.25">
      <c r="A120" s="16"/>
      <c r="B120" s="17"/>
      <c r="C120" s="159"/>
      <c r="D120" s="159"/>
      <c r="E120" s="5"/>
      <c r="F120" s="5"/>
      <c r="G120" s="161"/>
      <c r="H120" s="176"/>
      <c r="I120" s="5"/>
      <c r="J120" s="5"/>
      <c r="K120" s="5"/>
      <c r="L120" s="5"/>
      <c r="M120" s="5"/>
      <c r="N120" s="5"/>
    </row>
    <row r="121" spans="1:14" ht="11.1" customHeight="1" x14ac:dyDescent="0.25">
      <c r="A121" s="16" t="s">
        <v>117</v>
      </c>
      <c r="B121" s="17">
        <v>2018</v>
      </c>
      <c r="C121" s="166">
        <v>92.5</v>
      </c>
      <c r="D121" s="166">
        <v>126</v>
      </c>
      <c r="E121" s="166">
        <v>125</v>
      </c>
      <c r="F121" s="159">
        <v>125</v>
      </c>
      <c r="G121" s="160">
        <v>125</v>
      </c>
      <c r="H121" s="159">
        <v>125</v>
      </c>
      <c r="I121" s="159">
        <v>125</v>
      </c>
      <c r="J121" s="159">
        <v>125</v>
      </c>
      <c r="K121" s="159">
        <v>125</v>
      </c>
      <c r="L121" s="160">
        <v>125</v>
      </c>
      <c r="M121" s="159">
        <v>125</v>
      </c>
      <c r="N121" s="159">
        <v>125</v>
      </c>
    </row>
    <row r="122" spans="1:14" ht="11.1" customHeight="1" x14ac:dyDescent="0.25">
      <c r="A122" s="16"/>
      <c r="B122" s="17">
        <v>2019</v>
      </c>
      <c r="C122" s="159">
        <v>125</v>
      </c>
      <c r="D122" s="159">
        <v>125</v>
      </c>
      <c r="E122" s="159">
        <v>125</v>
      </c>
      <c r="F122" s="159">
        <v>125</v>
      </c>
      <c r="G122" s="160">
        <v>125</v>
      </c>
      <c r="H122" s="159">
        <v>125</v>
      </c>
      <c r="I122" s="159">
        <v>125</v>
      </c>
      <c r="J122" s="166">
        <v>125</v>
      </c>
      <c r="K122" s="166">
        <v>125</v>
      </c>
      <c r="L122" s="160">
        <v>125</v>
      </c>
      <c r="M122" s="159">
        <v>125</v>
      </c>
      <c r="N122" s="160">
        <v>125</v>
      </c>
    </row>
    <row r="123" spans="1:14" ht="11.1" customHeight="1" x14ac:dyDescent="0.25">
      <c r="A123" s="16"/>
      <c r="B123" s="17">
        <v>2020</v>
      </c>
      <c r="C123" s="159">
        <v>125</v>
      </c>
      <c r="D123" s="159" t="s">
        <v>47</v>
      </c>
      <c r="E123" s="159" t="s">
        <v>47</v>
      </c>
      <c r="F123" s="159" t="s">
        <v>47</v>
      </c>
      <c r="G123" s="160" t="s">
        <v>47</v>
      </c>
      <c r="H123" s="159" t="s">
        <v>47</v>
      </c>
      <c r="I123" s="159" t="s">
        <v>47</v>
      </c>
      <c r="J123" s="159" t="s">
        <v>47</v>
      </c>
      <c r="K123" s="159" t="s">
        <v>47</v>
      </c>
      <c r="L123" s="160" t="s">
        <v>47</v>
      </c>
      <c r="M123" s="159" t="s">
        <v>47</v>
      </c>
      <c r="N123" s="160" t="s">
        <v>47</v>
      </c>
    </row>
    <row r="124" spans="1:14" ht="11.1" customHeight="1" x14ac:dyDescent="0.25">
      <c r="A124" s="16"/>
      <c r="B124" s="17">
        <v>2021</v>
      </c>
      <c r="C124" s="159" t="s">
        <v>47</v>
      </c>
      <c r="D124" s="159" t="s">
        <v>47</v>
      </c>
      <c r="E124" s="159" t="s">
        <v>47</v>
      </c>
      <c r="F124" s="159" t="s">
        <v>47</v>
      </c>
      <c r="G124" s="160" t="s">
        <v>47</v>
      </c>
      <c r="H124" s="159">
        <v>125</v>
      </c>
      <c r="I124" s="159">
        <v>125</v>
      </c>
      <c r="J124" s="159">
        <v>125</v>
      </c>
      <c r="K124" s="159" t="s">
        <v>47</v>
      </c>
      <c r="L124" s="160">
        <v>114</v>
      </c>
      <c r="M124" s="159" t="s">
        <v>47</v>
      </c>
      <c r="N124" s="160" t="s">
        <v>47</v>
      </c>
    </row>
    <row r="125" spans="1:14" ht="11.1" customHeight="1" x14ac:dyDescent="0.25">
      <c r="A125" s="16"/>
      <c r="B125" s="17">
        <v>2022</v>
      </c>
      <c r="C125" s="159">
        <v>141</v>
      </c>
      <c r="D125" s="159">
        <v>145</v>
      </c>
      <c r="E125" s="159">
        <v>145</v>
      </c>
      <c r="F125" s="159">
        <v>145</v>
      </c>
      <c r="G125" s="160" t="s">
        <v>47</v>
      </c>
      <c r="H125" s="159">
        <v>145</v>
      </c>
      <c r="I125" s="159">
        <v>150</v>
      </c>
      <c r="J125" s="159">
        <v>170</v>
      </c>
      <c r="K125" s="159">
        <v>170</v>
      </c>
      <c r="L125" s="160">
        <v>170</v>
      </c>
      <c r="M125" s="159">
        <v>170</v>
      </c>
      <c r="N125" s="160">
        <v>170</v>
      </c>
    </row>
    <row r="126" spans="1:14" ht="11.1" customHeight="1" x14ac:dyDescent="0.25">
      <c r="A126" s="16"/>
      <c r="B126" s="17">
        <v>2023</v>
      </c>
      <c r="C126" s="159">
        <v>170</v>
      </c>
      <c r="D126" s="159">
        <v>170</v>
      </c>
      <c r="E126" s="159">
        <v>170</v>
      </c>
      <c r="F126" s="159">
        <v>175</v>
      </c>
      <c r="G126" s="160">
        <v>175</v>
      </c>
      <c r="H126" s="159">
        <v>175</v>
      </c>
      <c r="I126" s="159">
        <v>175</v>
      </c>
      <c r="J126" s="159">
        <v>175</v>
      </c>
      <c r="K126" s="159">
        <v>175</v>
      </c>
      <c r="L126" s="159">
        <v>175</v>
      </c>
      <c r="M126" s="159">
        <v>175</v>
      </c>
      <c r="N126" s="159">
        <v>175</v>
      </c>
    </row>
    <row r="127" spans="1:14" ht="11.1" customHeight="1" x14ac:dyDescent="0.25">
      <c r="A127" s="16"/>
      <c r="B127" s="17">
        <v>2024</v>
      </c>
      <c r="C127" s="159">
        <v>175</v>
      </c>
      <c r="D127" s="159">
        <v>155</v>
      </c>
      <c r="E127" s="159">
        <v>148</v>
      </c>
      <c r="F127" s="159">
        <v>155</v>
      </c>
      <c r="G127" s="160">
        <v>155</v>
      </c>
      <c r="H127" s="159">
        <v>150</v>
      </c>
      <c r="I127" s="159">
        <v>150</v>
      </c>
      <c r="J127" s="159">
        <v>150</v>
      </c>
      <c r="K127" s="159">
        <v>148.5</v>
      </c>
      <c r="L127" s="159">
        <v>137</v>
      </c>
      <c r="M127" s="159">
        <v>137</v>
      </c>
      <c r="N127" s="159">
        <v>137</v>
      </c>
    </row>
    <row r="128" spans="1:14" ht="11.1" customHeight="1" x14ac:dyDescent="0.25">
      <c r="A128" s="20"/>
      <c r="B128" s="21">
        <v>2025</v>
      </c>
      <c r="C128" s="164">
        <v>152</v>
      </c>
      <c r="D128" s="164">
        <v>144</v>
      </c>
      <c r="E128" s="164">
        <v>144</v>
      </c>
      <c r="F128" s="164">
        <v>155</v>
      </c>
      <c r="G128" s="164">
        <v>170</v>
      </c>
      <c r="H128" s="164">
        <v>170</v>
      </c>
      <c r="I128" s="164">
        <v>130</v>
      </c>
      <c r="J128" s="164">
        <v>147</v>
      </c>
      <c r="K128" s="164">
        <v>141</v>
      </c>
      <c r="L128" s="164"/>
      <c r="M128" s="164"/>
      <c r="N128" s="164"/>
    </row>
    <row r="129" spans="1:14" ht="11.1" customHeight="1" x14ac:dyDescent="0.25">
      <c r="A129" s="14" t="s">
        <v>39</v>
      </c>
      <c r="B129" s="10">
        <v>2018</v>
      </c>
      <c r="C129" s="166">
        <v>96.25</v>
      </c>
      <c r="D129" s="165">
        <v>100</v>
      </c>
      <c r="E129" s="166">
        <v>100</v>
      </c>
      <c r="F129" s="159">
        <v>100</v>
      </c>
      <c r="G129" s="159">
        <v>100</v>
      </c>
      <c r="H129" s="159">
        <v>100</v>
      </c>
      <c r="I129" s="159">
        <v>100</v>
      </c>
      <c r="J129" s="160">
        <v>100</v>
      </c>
      <c r="K129" s="159">
        <v>100</v>
      </c>
      <c r="L129" s="160">
        <v>100</v>
      </c>
      <c r="M129" s="159">
        <v>105</v>
      </c>
      <c r="N129" s="160">
        <v>105</v>
      </c>
    </row>
    <row r="130" spans="1:14" ht="11.1" customHeight="1" x14ac:dyDescent="0.25">
      <c r="A130" s="14"/>
      <c r="B130" s="10">
        <v>2019</v>
      </c>
      <c r="C130" s="159">
        <v>105</v>
      </c>
      <c r="D130" s="160">
        <v>105</v>
      </c>
      <c r="E130" s="159">
        <v>105</v>
      </c>
      <c r="F130" s="159">
        <v>105</v>
      </c>
      <c r="G130" s="159">
        <v>105</v>
      </c>
      <c r="H130" s="159">
        <v>105</v>
      </c>
      <c r="I130" s="159">
        <v>105</v>
      </c>
      <c r="J130" s="165">
        <v>105</v>
      </c>
      <c r="K130" s="166">
        <v>105</v>
      </c>
      <c r="L130" s="160">
        <v>105</v>
      </c>
      <c r="M130" s="159">
        <v>105</v>
      </c>
      <c r="N130" s="160">
        <v>105</v>
      </c>
    </row>
    <row r="131" spans="1:14" ht="11.1" customHeight="1" x14ac:dyDescent="0.25">
      <c r="A131" s="14"/>
      <c r="B131" s="10">
        <v>2020</v>
      </c>
      <c r="C131" s="159">
        <v>105</v>
      </c>
      <c r="D131" s="160">
        <v>105</v>
      </c>
      <c r="E131" s="159" t="s">
        <v>47</v>
      </c>
      <c r="F131" s="159" t="s">
        <v>47</v>
      </c>
      <c r="G131" s="159" t="s">
        <v>47</v>
      </c>
      <c r="H131" s="159">
        <v>105</v>
      </c>
      <c r="I131" s="159">
        <v>107.5</v>
      </c>
      <c r="J131" s="160">
        <v>107.5</v>
      </c>
      <c r="K131" s="159" t="s">
        <v>47</v>
      </c>
      <c r="L131" s="160" t="s">
        <v>47</v>
      </c>
      <c r="M131" s="159">
        <v>105</v>
      </c>
      <c r="N131" s="160">
        <v>107.5</v>
      </c>
    </row>
    <row r="132" spans="1:14" ht="11.1" customHeight="1" x14ac:dyDescent="0.25">
      <c r="A132" s="14"/>
      <c r="B132" s="10">
        <v>2021</v>
      </c>
      <c r="C132" s="159">
        <v>115</v>
      </c>
      <c r="D132" s="160">
        <v>110</v>
      </c>
      <c r="E132" s="159">
        <v>110</v>
      </c>
      <c r="F132" s="159">
        <v>110</v>
      </c>
      <c r="G132" s="159">
        <v>110</v>
      </c>
      <c r="H132" s="159">
        <v>110</v>
      </c>
      <c r="I132" s="159">
        <v>110</v>
      </c>
      <c r="J132" s="160">
        <v>110</v>
      </c>
      <c r="K132" s="159">
        <v>110</v>
      </c>
      <c r="L132" s="161" t="s">
        <v>146</v>
      </c>
      <c r="M132" s="5" t="s">
        <v>146</v>
      </c>
      <c r="N132" s="161" t="s">
        <v>146</v>
      </c>
    </row>
    <row r="133" spans="1:14" ht="11.1" customHeight="1" x14ac:dyDescent="0.25">
      <c r="A133" s="14"/>
      <c r="B133" s="10">
        <v>2022</v>
      </c>
      <c r="C133" s="159">
        <v>110</v>
      </c>
      <c r="D133" s="160">
        <v>120</v>
      </c>
      <c r="E133" s="159">
        <v>120</v>
      </c>
      <c r="F133" s="159">
        <v>120</v>
      </c>
      <c r="G133" s="159">
        <v>120</v>
      </c>
      <c r="H133" s="159">
        <v>120</v>
      </c>
      <c r="I133" s="159">
        <v>120</v>
      </c>
      <c r="J133" s="160">
        <v>120</v>
      </c>
      <c r="K133" s="159">
        <v>122</v>
      </c>
      <c r="L133" s="160">
        <v>120</v>
      </c>
      <c r="M133" s="159">
        <v>120</v>
      </c>
      <c r="N133" s="160">
        <v>125</v>
      </c>
    </row>
    <row r="134" spans="1:14" ht="11.1" customHeight="1" x14ac:dyDescent="0.25">
      <c r="A134" s="14"/>
      <c r="B134" s="10">
        <v>2023</v>
      </c>
      <c r="C134" s="159">
        <v>125</v>
      </c>
      <c r="D134" s="159">
        <v>125</v>
      </c>
      <c r="E134" s="159">
        <v>122</v>
      </c>
      <c r="F134" s="159">
        <v>110</v>
      </c>
      <c r="G134" s="159">
        <v>110</v>
      </c>
      <c r="H134" s="159">
        <v>110</v>
      </c>
      <c r="I134" s="159">
        <v>120</v>
      </c>
      <c r="J134" s="159">
        <v>120</v>
      </c>
      <c r="K134" s="159">
        <v>118</v>
      </c>
      <c r="L134" s="159">
        <v>130</v>
      </c>
      <c r="M134" s="159">
        <v>118</v>
      </c>
      <c r="N134" s="159">
        <v>118</v>
      </c>
    </row>
    <row r="135" spans="1:14" ht="11.1" customHeight="1" x14ac:dyDescent="0.25">
      <c r="A135" s="14"/>
      <c r="B135" s="10">
        <v>2024</v>
      </c>
      <c r="C135" s="5" t="s">
        <v>4</v>
      </c>
      <c r="D135" s="159">
        <v>170</v>
      </c>
      <c r="E135" s="159">
        <v>163</v>
      </c>
      <c r="F135" s="159">
        <v>170</v>
      </c>
      <c r="G135" s="160">
        <v>170</v>
      </c>
      <c r="H135" s="159">
        <v>170</v>
      </c>
      <c r="I135" s="159">
        <v>170</v>
      </c>
      <c r="J135" s="159">
        <v>175</v>
      </c>
      <c r="K135" s="159">
        <v>172.5</v>
      </c>
      <c r="L135" s="159">
        <v>182.5</v>
      </c>
      <c r="M135" s="159">
        <v>182.5</v>
      </c>
      <c r="N135" s="159">
        <v>185</v>
      </c>
    </row>
    <row r="136" spans="1:14" ht="11.1" customHeight="1" x14ac:dyDescent="0.25">
      <c r="A136" s="127"/>
      <c r="B136" s="128">
        <v>2025</v>
      </c>
      <c r="C136" s="164">
        <v>155</v>
      </c>
      <c r="D136" s="164">
        <v>155</v>
      </c>
      <c r="E136" s="164">
        <v>163</v>
      </c>
      <c r="F136" s="164">
        <v>110</v>
      </c>
      <c r="G136" s="164">
        <v>167</v>
      </c>
      <c r="H136" s="164">
        <v>143</v>
      </c>
      <c r="I136" s="164">
        <v>143.30000000000001</v>
      </c>
      <c r="J136" s="164">
        <v>143</v>
      </c>
      <c r="K136" s="164">
        <v>143</v>
      </c>
      <c r="L136" s="164"/>
      <c r="M136" s="164"/>
      <c r="N136" s="164"/>
    </row>
    <row r="137" spans="1:14" ht="11.1" customHeight="1" x14ac:dyDescent="0.25">
      <c r="A137" s="14" t="s">
        <v>43</v>
      </c>
      <c r="B137" s="10">
        <v>2018</v>
      </c>
      <c r="C137" s="166">
        <v>50</v>
      </c>
      <c r="D137" s="165">
        <v>50</v>
      </c>
      <c r="E137" s="166">
        <v>50</v>
      </c>
      <c r="F137" s="159">
        <v>49</v>
      </c>
      <c r="G137" s="160">
        <v>49</v>
      </c>
      <c r="H137" s="159">
        <v>49</v>
      </c>
      <c r="I137" s="159">
        <v>49</v>
      </c>
      <c r="J137" s="159">
        <v>49</v>
      </c>
      <c r="K137" s="159">
        <v>49</v>
      </c>
      <c r="L137" s="160">
        <v>49</v>
      </c>
      <c r="M137" s="159">
        <v>49</v>
      </c>
      <c r="N137" s="160">
        <v>48</v>
      </c>
    </row>
    <row r="138" spans="1:14" ht="11.1" customHeight="1" x14ac:dyDescent="0.25">
      <c r="A138" s="14"/>
      <c r="B138" s="10">
        <v>2019</v>
      </c>
      <c r="C138" s="159">
        <v>50</v>
      </c>
      <c r="D138" s="160">
        <v>50</v>
      </c>
      <c r="E138" s="159">
        <v>50</v>
      </c>
      <c r="F138" s="159">
        <v>54</v>
      </c>
      <c r="G138" s="160">
        <v>55</v>
      </c>
      <c r="H138" s="159">
        <v>50</v>
      </c>
      <c r="I138" s="159">
        <v>50</v>
      </c>
      <c r="J138" s="166">
        <v>50</v>
      </c>
      <c r="K138" s="166">
        <v>65</v>
      </c>
      <c r="L138" s="160">
        <v>70</v>
      </c>
      <c r="M138" s="159">
        <v>70</v>
      </c>
      <c r="N138" s="160">
        <v>73</v>
      </c>
    </row>
    <row r="139" spans="1:14" ht="11.1" customHeight="1" x14ac:dyDescent="0.25">
      <c r="A139" s="14"/>
      <c r="B139" s="10">
        <v>2020</v>
      </c>
      <c r="C139" s="159">
        <v>70</v>
      </c>
      <c r="D139" s="160">
        <v>70</v>
      </c>
      <c r="E139" s="159">
        <v>70</v>
      </c>
      <c r="F139" s="159">
        <v>70</v>
      </c>
      <c r="G139" s="160">
        <v>60</v>
      </c>
      <c r="H139" s="159">
        <v>60</v>
      </c>
      <c r="I139" s="159">
        <v>60</v>
      </c>
      <c r="J139" s="166">
        <v>70</v>
      </c>
      <c r="K139" s="159">
        <v>60</v>
      </c>
      <c r="L139" s="160">
        <v>52.5</v>
      </c>
      <c r="M139" s="159">
        <v>60</v>
      </c>
      <c r="N139" s="160">
        <v>60</v>
      </c>
    </row>
    <row r="140" spans="1:14" ht="11.1" customHeight="1" x14ac:dyDescent="0.25">
      <c r="A140" s="14"/>
      <c r="B140" s="10">
        <v>2021</v>
      </c>
      <c r="C140" s="159">
        <v>72.5</v>
      </c>
      <c r="D140" s="160">
        <v>77.5</v>
      </c>
      <c r="E140" s="159">
        <v>75</v>
      </c>
      <c r="F140" s="159">
        <v>75</v>
      </c>
      <c r="G140" s="160">
        <v>75</v>
      </c>
      <c r="H140" s="159">
        <v>75</v>
      </c>
      <c r="I140" s="159">
        <v>75</v>
      </c>
      <c r="J140" s="159">
        <v>75</v>
      </c>
      <c r="K140" s="159">
        <v>85</v>
      </c>
      <c r="L140" s="160">
        <v>75</v>
      </c>
      <c r="M140" s="159">
        <v>75</v>
      </c>
      <c r="N140" s="160">
        <v>75</v>
      </c>
    </row>
    <row r="141" spans="1:14" ht="11.1" customHeight="1" x14ac:dyDescent="0.25">
      <c r="A141" s="14"/>
      <c r="B141" s="10">
        <v>2022</v>
      </c>
      <c r="C141" s="159">
        <v>75</v>
      </c>
      <c r="D141" s="160">
        <v>75</v>
      </c>
      <c r="E141" s="159">
        <v>73</v>
      </c>
      <c r="F141" s="159">
        <v>73</v>
      </c>
      <c r="G141" s="160">
        <v>80</v>
      </c>
      <c r="H141" s="159">
        <v>80</v>
      </c>
      <c r="I141" s="159">
        <v>80</v>
      </c>
      <c r="J141" s="159">
        <v>112</v>
      </c>
      <c r="K141" s="159">
        <v>123</v>
      </c>
      <c r="L141" s="160">
        <v>123</v>
      </c>
      <c r="M141" s="159">
        <v>80</v>
      </c>
      <c r="N141" s="160">
        <v>97.5</v>
      </c>
    </row>
    <row r="142" spans="1:14" ht="11.1" customHeight="1" x14ac:dyDescent="0.25">
      <c r="A142" s="14"/>
      <c r="B142" s="10">
        <v>2023</v>
      </c>
      <c r="C142" s="159">
        <v>125</v>
      </c>
      <c r="D142" s="159">
        <v>125</v>
      </c>
      <c r="E142" s="159">
        <v>125</v>
      </c>
      <c r="F142" s="159">
        <v>145</v>
      </c>
      <c r="G142" s="160">
        <v>125</v>
      </c>
      <c r="H142" s="159">
        <v>125</v>
      </c>
      <c r="I142" s="159">
        <v>125</v>
      </c>
      <c r="J142" s="159">
        <v>125</v>
      </c>
      <c r="K142" s="159">
        <v>125</v>
      </c>
      <c r="L142" s="159">
        <v>125</v>
      </c>
      <c r="M142" s="159">
        <v>125</v>
      </c>
      <c r="N142" s="159">
        <v>125</v>
      </c>
    </row>
    <row r="143" spans="1:14" ht="11.1" customHeight="1" x14ac:dyDescent="0.25">
      <c r="A143" s="14"/>
      <c r="B143" s="10">
        <v>2024</v>
      </c>
      <c r="C143" s="159">
        <v>105</v>
      </c>
      <c r="D143" s="159">
        <v>95</v>
      </c>
      <c r="E143" s="159">
        <v>86</v>
      </c>
      <c r="F143" s="159">
        <v>95</v>
      </c>
      <c r="G143" s="160">
        <v>130</v>
      </c>
      <c r="H143" s="159">
        <v>108</v>
      </c>
      <c r="I143" s="159">
        <v>130</v>
      </c>
      <c r="J143" s="159">
        <v>145</v>
      </c>
      <c r="K143" s="159">
        <v>100</v>
      </c>
      <c r="L143" s="159">
        <v>100</v>
      </c>
      <c r="M143" s="160" t="s">
        <v>47</v>
      </c>
      <c r="N143" s="159">
        <v>107.5</v>
      </c>
    </row>
    <row r="144" spans="1:14" ht="11.1" customHeight="1" x14ac:dyDescent="0.25">
      <c r="A144" s="127"/>
      <c r="B144" s="128">
        <v>2025</v>
      </c>
      <c r="C144" s="164">
        <v>108</v>
      </c>
      <c r="D144" s="164">
        <v>105</v>
      </c>
      <c r="E144" s="164">
        <v>108</v>
      </c>
      <c r="F144" s="164">
        <v>108</v>
      </c>
      <c r="G144" s="164">
        <v>88</v>
      </c>
      <c r="H144" s="164">
        <v>95</v>
      </c>
      <c r="I144" s="164">
        <v>94</v>
      </c>
      <c r="J144" s="164">
        <v>90</v>
      </c>
      <c r="K144" s="164">
        <v>92</v>
      </c>
      <c r="L144" s="164"/>
      <c r="M144" s="162"/>
      <c r="N144" s="164"/>
    </row>
    <row r="145" spans="1:14" ht="11.1" customHeight="1" x14ac:dyDescent="0.25">
      <c r="A145" s="14" t="s">
        <v>63</v>
      </c>
      <c r="B145" s="10">
        <v>2018</v>
      </c>
      <c r="C145" s="166">
        <v>56.5</v>
      </c>
      <c r="D145" s="165">
        <v>56</v>
      </c>
      <c r="E145" s="166">
        <v>58</v>
      </c>
      <c r="F145" s="159">
        <v>60</v>
      </c>
      <c r="G145" s="160">
        <v>59</v>
      </c>
      <c r="H145" s="159">
        <v>59</v>
      </c>
      <c r="I145" s="159">
        <v>58</v>
      </c>
      <c r="J145" s="159">
        <v>58</v>
      </c>
      <c r="K145" s="159">
        <v>58</v>
      </c>
      <c r="L145" s="160">
        <v>60</v>
      </c>
      <c r="M145" s="159">
        <v>60</v>
      </c>
      <c r="N145" s="160">
        <v>60</v>
      </c>
    </row>
    <row r="146" spans="1:14" ht="11.1" customHeight="1" x14ac:dyDescent="0.25">
      <c r="A146" s="14"/>
      <c r="B146" s="10">
        <v>2019</v>
      </c>
      <c r="C146" s="159">
        <v>60</v>
      </c>
      <c r="D146" s="160">
        <v>60</v>
      </c>
      <c r="E146" s="159">
        <v>63</v>
      </c>
      <c r="F146" s="159">
        <v>62.5</v>
      </c>
      <c r="G146" s="160">
        <v>62.5</v>
      </c>
      <c r="H146" s="159">
        <v>60</v>
      </c>
      <c r="I146" s="159">
        <v>60</v>
      </c>
      <c r="J146" s="166">
        <v>62</v>
      </c>
      <c r="K146" s="166">
        <v>62.5</v>
      </c>
      <c r="L146" s="160">
        <v>62.5</v>
      </c>
      <c r="M146" s="160">
        <v>62.5</v>
      </c>
      <c r="N146" s="160">
        <v>62.5</v>
      </c>
    </row>
    <row r="147" spans="1:14" ht="11.1" customHeight="1" x14ac:dyDescent="0.25">
      <c r="A147" s="14"/>
      <c r="B147" s="10">
        <v>2020</v>
      </c>
      <c r="C147" s="159">
        <v>60</v>
      </c>
      <c r="D147" s="160">
        <v>62.5</v>
      </c>
      <c r="E147" s="159" t="s">
        <v>47</v>
      </c>
      <c r="F147" s="159" t="s">
        <v>47</v>
      </c>
      <c r="G147" s="160">
        <v>62.5</v>
      </c>
      <c r="H147" s="159">
        <v>62.5</v>
      </c>
      <c r="I147" s="159" t="s">
        <v>47</v>
      </c>
      <c r="J147" s="159">
        <v>62.5</v>
      </c>
      <c r="K147" s="166">
        <v>75</v>
      </c>
      <c r="L147" s="165">
        <v>75</v>
      </c>
      <c r="M147" s="165">
        <v>75</v>
      </c>
      <c r="N147" s="165">
        <v>75</v>
      </c>
    </row>
    <row r="148" spans="1:14" ht="11.1" customHeight="1" x14ac:dyDescent="0.25">
      <c r="A148" s="14"/>
      <c r="B148" s="10">
        <v>2021</v>
      </c>
      <c r="C148" s="159">
        <v>65</v>
      </c>
      <c r="D148" s="160">
        <v>65</v>
      </c>
      <c r="E148" s="159">
        <v>65</v>
      </c>
      <c r="F148" s="159">
        <v>65</v>
      </c>
      <c r="G148" s="160">
        <v>65</v>
      </c>
      <c r="H148" s="159">
        <v>66</v>
      </c>
      <c r="I148" s="159">
        <v>65</v>
      </c>
      <c r="J148" s="159">
        <v>70</v>
      </c>
      <c r="K148" s="159">
        <v>70</v>
      </c>
      <c r="L148" s="160">
        <v>70</v>
      </c>
      <c r="M148" s="160">
        <v>70</v>
      </c>
      <c r="N148" s="160">
        <v>70</v>
      </c>
    </row>
    <row r="149" spans="1:14" ht="11.1" customHeight="1" x14ac:dyDescent="0.25">
      <c r="A149" s="14"/>
      <c r="B149" s="10">
        <v>2022</v>
      </c>
      <c r="C149" s="159">
        <v>70</v>
      </c>
      <c r="D149" s="160">
        <v>70</v>
      </c>
      <c r="E149" s="159">
        <v>70</v>
      </c>
      <c r="F149" s="159">
        <v>75</v>
      </c>
      <c r="G149" s="160">
        <v>71</v>
      </c>
      <c r="H149" s="159">
        <v>75</v>
      </c>
      <c r="I149" s="159">
        <v>75</v>
      </c>
      <c r="J149" s="159">
        <v>75</v>
      </c>
      <c r="K149" s="159">
        <v>75</v>
      </c>
      <c r="L149" s="160">
        <v>75</v>
      </c>
      <c r="M149" s="160">
        <v>75</v>
      </c>
      <c r="N149" s="160">
        <v>75</v>
      </c>
    </row>
    <row r="150" spans="1:14" ht="11.1" customHeight="1" x14ac:dyDescent="0.25">
      <c r="A150" s="14"/>
      <c r="B150" s="10">
        <v>2023</v>
      </c>
      <c r="C150" s="159">
        <v>80</v>
      </c>
      <c r="D150" s="159">
        <v>90</v>
      </c>
      <c r="E150" s="159">
        <v>95</v>
      </c>
      <c r="F150" s="159">
        <v>95</v>
      </c>
      <c r="G150" s="160">
        <v>95</v>
      </c>
      <c r="H150" s="159">
        <v>95</v>
      </c>
      <c r="I150" s="159">
        <v>95</v>
      </c>
      <c r="J150" s="159">
        <v>95</v>
      </c>
      <c r="K150" s="159">
        <v>95</v>
      </c>
      <c r="L150" s="159">
        <v>95</v>
      </c>
      <c r="M150" s="160" t="s">
        <v>47</v>
      </c>
      <c r="N150" s="160" t="s">
        <v>47</v>
      </c>
    </row>
    <row r="151" spans="1:14" ht="11.1" customHeight="1" x14ac:dyDescent="0.25">
      <c r="A151" s="14"/>
      <c r="B151" s="10">
        <v>2024</v>
      </c>
      <c r="C151" s="5" t="s">
        <v>4</v>
      </c>
      <c r="D151" s="5" t="s">
        <v>4</v>
      </c>
      <c r="E151" s="159">
        <v>88</v>
      </c>
      <c r="F151" s="159">
        <v>100</v>
      </c>
      <c r="G151" s="160">
        <v>95</v>
      </c>
      <c r="H151" s="5" t="s">
        <v>4</v>
      </c>
      <c r="I151" s="5" t="s">
        <v>4</v>
      </c>
      <c r="J151" s="5" t="s">
        <v>4</v>
      </c>
      <c r="K151" s="5" t="s">
        <v>4</v>
      </c>
      <c r="L151" s="159">
        <v>110</v>
      </c>
      <c r="M151" s="159">
        <v>108</v>
      </c>
      <c r="N151" s="159">
        <v>125</v>
      </c>
    </row>
    <row r="152" spans="1:14" ht="11.1" customHeight="1" x14ac:dyDescent="0.25">
      <c r="A152" s="127"/>
      <c r="B152" s="128">
        <v>2025</v>
      </c>
      <c r="C152" s="164">
        <v>80</v>
      </c>
      <c r="D152" s="163" t="s">
        <v>4</v>
      </c>
      <c r="E152" s="163" t="s">
        <v>4</v>
      </c>
      <c r="F152" s="164">
        <v>96</v>
      </c>
      <c r="G152" s="164">
        <v>96</v>
      </c>
      <c r="H152" s="164">
        <v>94</v>
      </c>
      <c r="I152" s="164">
        <v>82.3</v>
      </c>
      <c r="J152" s="164">
        <v>98</v>
      </c>
      <c r="K152" s="164">
        <v>80</v>
      </c>
      <c r="L152" s="164"/>
      <c r="M152" s="164"/>
      <c r="N152" s="164"/>
    </row>
    <row r="153" spans="1:14" ht="11.1" customHeight="1" x14ac:dyDescent="0.25">
      <c r="A153" s="14" t="s">
        <v>87</v>
      </c>
      <c r="B153" s="10">
        <v>2018</v>
      </c>
      <c r="C153" s="166">
        <v>170</v>
      </c>
      <c r="D153" s="165">
        <v>170</v>
      </c>
      <c r="E153" s="166">
        <v>170</v>
      </c>
      <c r="F153" s="159">
        <v>170</v>
      </c>
      <c r="G153" s="160">
        <v>170</v>
      </c>
      <c r="H153" s="159">
        <v>170</v>
      </c>
      <c r="I153" s="159">
        <v>170</v>
      </c>
      <c r="J153" s="159">
        <v>170</v>
      </c>
      <c r="K153" s="159">
        <v>170</v>
      </c>
      <c r="L153" s="160">
        <v>170</v>
      </c>
      <c r="M153" s="160">
        <v>170</v>
      </c>
      <c r="N153" s="160">
        <v>170</v>
      </c>
    </row>
    <row r="154" spans="1:14" ht="11.1" customHeight="1" x14ac:dyDescent="0.25">
      <c r="A154" s="14"/>
      <c r="B154" s="10">
        <v>2019</v>
      </c>
      <c r="C154" s="159">
        <v>119</v>
      </c>
      <c r="D154" s="160">
        <v>119</v>
      </c>
      <c r="E154" s="159">
        <v>119</v>
      </c>
      <c r="F154" s="159">
        <v>121</v>
      </c>
      <c r="G154" s="160">
        <v>121</v>
      </c>
      <c r="H154" s="159">
        <v>119</v>
      </c>
      <c r="I154" s="159">
        <v>119</v>
      </c>
      <c r="J154" s="166">
        <v>121</v>
      </c>
      <c r="K154" s="166">
        <v>125</v>
      </c>
      <c r="L154" s="160">
        <v>125</v>
      </c>
      <c r="M154" s="160">
        <v>125</v>
      </c>
      <c r="N154" s="160">
        <v>125</v>
      </c>
    </row>
    <row r="155" spans="1:14" ht="11.1" customHeight="1" x14ac:dyDescent="0.25">
      <c r="A155" s="14"/>
      <c r="B155" s="10">
        <v>2020</v>
      </c>
      <c r="C155" s="159">
        <v>125</v>
      </c>
      <c r="D155" s="160">
        <v>125</v>
      </c>
      <c r="E155" s="159">
        <v>125</v>
      </c>
      <c r="F155" s="159">
        <v>125</v>
      </c>
      <c r="G155" s="160">
        <v>125</v>
      </c>
      <c r="H155" s="159">
        <v>125</v>
      </c>
      <c r="I155" s="159">
        <v>125</v>
      </c>
      <c r="J155" s="159">
        <v>125</v>
      </c>
      <c r="K155" s="159">
        <v>125</v>
      </c>
      <c r="L155" s="160">
        <v>125</v>
      </c>
      <c r="M155" s="160">
        <v>125</v>
      </c>
      <c r="N155" s="160">
        <v>125</v>
      </c>
    </row>
    <row r="156" spans="1:14" ht="11.1" customHeight="1" x14ac:dyDescent="0.25">
      <c r="A156" s="14"/>
      <c r="B156" s="10">
        <v>2021</v>
      </c>
      <c r="C156" s="159" t="s">
        <v>47</v>
      </c>
      <c r="D156" s="160" t="s">
        <v>47</v>
      </c>
      <c r="E156" s="159" t="s">
        <v>47</v>
      </c>
      <c r="F156" s="159" t="s">
        <v>47</v>
      </c>
      <c r="G156" s="160" t="s">
        <v>47</v>
      </c>
      <c r="H156" s="159" t="s">
        <v>47</v>
      </c>
      <c r="I156" s="159" t="s">
        <v>47</v>
      </c>
      <c r="J156" s="159" t="s">
        <v>47</v>
      </c>
      <c r="K156" s="159" t="s">
        <v>47</v>
      </c>
      <c r="L156" s="160" t="s">
        <v>47</v>
      </c>
      <c r="M156" s="160" t="s">
        <v>47</v>
      </c>
      <c r="N156" s="160" t="s">
        <v>47</v>
      </c>
    </row>
    <row r="157" spans="1:14" ht="11.1" customHeight="1" x14ac:dyDescent="0.25">
      <c r="A157" s="14"/>
      <c r="B157" s="10">
        <v>2022</v>
      </c>
      <c r="C157" s="159">
        <v>72.5</v>
      </c>
      <c r="D157" s="160">
        <v>72.5</v>
      </c>
      <c r="E157" s="159">
        <v>75</v>
      </c>
      <c r="F157" s="159">
        <v>70</v>
      </c>
      <c r="G157" s="160" t="s">
        <v>47</v>
      </c>
      <c r="H157" s="159" t="s">
        <v>47</v>
      </c>
      <c r="I157" s="159" t="s">
        <v>47</v>
      </c>
      <c r="J157" s="159">
        <v>77.5</v>
      </c>
      <c r="K157" s="159">
        <v>75</v>
      </c>
      <c r="L157" s="160">
        <v>75</v>
      </c>
      <c r="M157" s="160">
        <v>77.5</v>
      </c>
      <c r="N157" s="160">
        <v>70</v>
      </c>
    </row>
    <row r="158" spans="1:14" ht="11.1" customHeight="1" x14ac:dyDescent="0.25">
      <c r="A158" s="14"/>
      <c r="B158" s="10">
        <v>2023</v>
      </c>
      <c r="C158" s="159">
        <v>150</v>
      </c>
      <c r="D158" s="159">
        <v>123</v>
      </c>
      <c r="E158" s="159" t="s">
        <v>47</v>
      </c>
      <c r="F158" s="159">
        <v>125</v>
      </c>
      <c r="G158" s="160">
        <v>125</v>
      </c>
      <c r="H158" s="159">
        <v>125</v>
      </c>
      <c r="I158" s="159">
        <v>125</v>
      </c>
      <c r="J158" s="159">
        <v>125</v>
      </c>
      <c r="K158" s="159">
        <v>125</v>
      </c>
      <c r="L158" s="159">
        <v>125</v>
      </c>
      <c r="M158" s="159">
        <v>120</v>
      </c>
      <c r="N158" s="159">
        <v>120</v>
      </c>
    </row>
    <row r="159" spans="1:14" ht="11.1" customHeight="1" x14ac:dyDescent="0.25">
      <c r="A159" s="14"/>
      <c r="B159" s="10">
        <v>2024</v>
      </c>
      <c r="C159" s="5" t="s">
        <v>4</v>
      </c>
      <c r="D159" s="159">
        <v>105</v>
      </c>
      <c r="E159" s="159">
        <v>105</v>
      </c>
      <c r="F159" s="159">
        <v>105</v>
      </c>
      <c r="G159" s="161" t="s">
        <v>4</v>
      </c>
      <c r="H159" s="159">
        <v>100</v>
      </c>
      <c r="I159" s="5" t="s">
        <v>4</v>
      </c>
      <c r="J159" s="5" t="s">
        <v>4</v>
      </c>
      <c r="K159" s="5" t="s">
        <v>4</v>
      </c>
      <c r="L159" s="159">
        <v>150</v>
      </c>
      <c r="M159" s="159">
        <v>245</v>
      </c>
      <c r="N159" s="5" t="s">
        <v>4</v>
      </c>
    </row>
    <row r="160" spans="1:14" ht="11.1" customHeight="1" x14ac:dyDescent="0.25">
      <c r="A160" s="127"/>
      <c r="B160" s="128">
        <v>2025</v>
      </c>
      <c r="C160" s="164">
        <v>100</v>
      </c>
      <c r="D160" s="164">
        <v>100</v>
      </c>
      <c r="E160" s="163" t="s">
        <v>4</v>
      </c>
      <c r="F160" s="164">
        <v>250</v>
      </c>
      <c r="G160" s="164">
        <v>100</v>
      </c>
      <c r="H160" s="163" t="s">
        <v>4</v>
      </c>
      <c r="I160" s="164">
        <v>100</v>
      </c>
      <c r="J160" s="163" t="s">
        <v>4</v>
      </c>
      <c r="K160" s="163" t="s">
        <v>4</v>
      </c>
      <c r="L160" s="164"/>
      <c r="M160" s="164"/>
      <c r="N160" s="163"/>
    </row>
    <row r="161" spans="1:14" ht="11.1" customHeight="1" x14ac:dyDescent="0.25">
      <c r="A161" s="14" t="s">
        <v>70</v>
      </c>
      <c r="B161" s="10">
        <v>2018</v>
      </c>
      <c r="C161" s="166">
        <v>132.5</v>
      </c>
      <c r="D161" s="165">
        <v>127.5</v>
      </c>
      <c r="E161" s="166">
        <v>135</v>
      </c>
      <c r="F161" s="159">
        <v>132.5</v>
      </c>
      <c r="G161" s="160">
        <v>125</v>
      </c>
      <c r="H161" s="159">
        <v>127.5</v>
      </c>
      <c r="I161" s="159">
        <v>107.5</v>
      </c>
      <c r="J161" s="159">
        <v>132.5</v>
      </c>
      <c r="K161" s="159">
        <v>112.5</v>
      </c>
      <c r="L161" s="160">
        <v>132.5</v>
      </c>
      <c r="M161" s="160">
        <v>132.5</v>
      </c>
      <c r="N161" s="160">
        <v>132.5</v>
      </c>
    </row>
    <row r="162" spans="1:14" ht="11.1" customHeight="1" x14ac:dyDescent="0.25">
      <c r="A162" s="14"/>
      <c r="B162" s="10">
        <v>2019</v>
      </c>
      <c r="C162" s="159">
        <v>132.5</v>
      </c>
      <c r="D162" s="160">
        <v>132.5</v>
      </c>
      <c r="E162" s="159">
        <v>132.5</v>
      </c>
      <c r="F162" s="159">
        <v>132.5</v>
      </c>
      <c r="G162" s="160">
        <v>132.5</v>
      </c>
      <c r="H162" s="159">
        <v>127.5</v>
      </c>
      <c r="I162" s="159">
        <v>127.5</v>
      </c>
      <c r="J162" s="166">
        <v>132.5</v>
      </c>
      <c r="K162" s="166">
        <v>140</v>
      </c>
      <c r="L162" s="160">
        <v>140</v>
      </c>
      <c r="M162" s="160">
        <v>140</v>
      </c>
      <c r="N162" s="160">
        <v>115</v>
      </c>
    </row>
    <row r="163" spans="1:14" ht="11.1" customHeight="1" x14ac:dyDescent="0.25">
      <c r="A163" s="15"/>
      <c r="B163" s="10">
        <v>2020</v>
      </c>
      <c r="C163" s="159">
        <v>135</v>
      </c>
      <c r="D163" s="160">
        <v>135</v>
      </c>
      <c r="E163" s="159">
        <v>135</v>
      </c>
      <c r="F163" s="159">
        <v>135</v>
      </c>
      <c r="G163" s="160">
        <v>135</v>
      </c>
      <c r="H163" s="159">
        <v>135</v>
      </c>
      <c r="I163" s="159">
        <v>135</v>
      </c>
      <c r="J163" s="166">
        <v>125</v>
      </c>
      <c r="K163" s="166">
        <v>125</v>
      </c>
      <c r="L163" s="160">
        <v>135</v>
      </c>
      <c r="M163" s="160">
        <v>140</v>
      </c>
      <c r="N163" s="160">
        <v>135</v>
      </c>
    </row>
    <row r="164" spans="1:14" ht="11.1" customHeight="1" x14ac:dyDescent="0.25">
      <c r="A164" s="15"/>
      <c r="B164" s="10">
        <v>2021</v>
      </c>
      <c r="C164" s="159">
        <v>135</v>
      </c>
      <c r="D164" s="160">
        <v>115</v>
      </c>
      <c r="E164" s="159">
        <v>95</v>
      </c>
      <c r="F164" s="159">
        <v>95</v>
      </c>
      <c r="G164" s="160">
        <v>140</v>
      </c>
      <c r="H164" s="159">
        <v>140</v>
      </c>
      <c r="I164" s="159">
        <v>140</v>
      </c>
      <c r="J164" s="159">
        <v>140</v>
      </c>
      <c r="K164" s="159">
        <v>140</v>
      </c>
      <c r="L164" s="160">
        <v>140</v>
      </c>
      <c r="M164" s="160">
        <v>140</v>
      </c>
      <c r="N164" s="160">
        <v>140</v>
      </c>
    </row>
    <row r="165" spans="1:14" ht="11.1" customHeight="1" x14ac:dyDescent="0.25">
      <c r="A165" s="15"/>
      <c r="B165" s="10">
        <v>2022</v>
      </c>
      <c r="C165" s="159">
        <v>130</v>
      </c>
      <c r="D165" s="160">
        <v>130</v>
      </c>
      <c r="E165" s="159">
        <v>125</v>
      </c>
      <c r="F165" s="159">
        <v>125</v>
      </c>
      <c r="G165" s="160">
        <v>125</v>
      </c>
      <c r="H165" s="159">
        <v>125</v>
      </c>
      <c r="I165" s="159">
        <v>125</v>
      </c>
      <c r="J165" s="159">
        <v>125</v>
      </c>
      <c r="K165" s="159">
        <v>125</v>
      </c>
      <c r="L165" s="160">
        <v>125</v>
      </c>
      <c r="M165" s="159">
        <v>125</v>
      </c>
      <c r="N165" s="160">
        <v>125</v>
      </c>
    </row>
    <row r="166" spans="1:14" ht="11.1" customHeight="1" x14ac:dyDescent="0.25">
      <c r="A166" s="15"/>
      <c r="B166" s="10">
        <v>2023</v>
      </c>
      <c r="C166" s="159">
        <v>125</v>
      </c>
      <c r="D166" s="159">
        <v>130</v>
      </c>
      <c r="E166" s="159">
        <v>130</v>
      </c>
      <c r="F166" s="159">
        <v>125</v>
      </c>
      <c r="G166" s="160">
        <v>135</v>
      </c>
      <c r="H166" s="159">
        <v>125</v>
      </c>
      <c r="I166" s="159">
        <v>125</v>
      </c>
      <c r="J166" s="159">
        <v>125</v>
      </c>
      <c r="K166" s="159">
        <v>130</v>
      </c>
      <c r="L166" s="159">
        <v>130</v>
      </c>
      <c r="M166" s="160">
        <v>120</v>
      </c>
      <c r="N166" s="159">
        <v>120</v>
      </c>
    </row>
    <row r="167" spans="1:14" ht="11.1" customHeight="1" x14ac:dyDescent="0.25">
      <c r="A167" s="15"/>
      <c r="B167" s="10">
        <v>2024</v>
      </c>
      <c r="C167" s="159">
        <v>105</v>
      </c>
      <c r="D167" s="159">
        <v>120</v>
      </c>
      <c r="E167" s="159">
        <v>115</v>
      </c>
      <c r="F167" s="159">
        <v>120</v>
      </c>
      <c r="G167" s="160">
        <v>120</v>
      </c>
      <c r="H167" s="159">
        <v>120</v>
      </c>
      <c r="I167" s="159">
        <v>120</v>
      </c>
      <c r="J167" s="159">
        <v>120</v>
      </c>
      <c r="K167" s="159">
        <v>115</v>
      </c>
      <c r="L167" s="5" t="s">
        <v>4</v>
      </c>
      <c r="M167" s="5" t="s">
        <v>4</v>
      </c>
      <c r="N167" s="159">
        <v>110</v>
      </c>
    </row>
    <row r="168" spans="1:14" ht="11.1" customHeight="1" x14ac:dyDescent="0.25">
      <c r="A168" s="143"/>
      <c r="B168" s="128">
        <v>2025</v>
      </c>
      <c r="C168" s="164">
        <v>110</v>
      </c>
      <c r="D168" s="164">
        <v>110</v>
      </c>
      <c r="E168" s="164">
        <v>110</v>
      </c>
      <c r="F168" s="164">
        <v>110</v>
      </c>
      <c r="G168" s="164">
        <v>110</v>
      </c>
      <c r="H168" s="164">
        <v>145</v>
      </c>
      <c r="I168" s="164">
        <v>145</v>
      </c>
      <c r="J168" s="164">
        <v>145</v>
      </c>
      <c r="K168" s="164">
        <v>145</v>
      </c>
      <c r="L168" s="163"/>
      <c r="M168" s="163"/>
      <c r="N168" s="164"/>
    </row>
    <row r="169" spans="1:14" ht="9" customHeight="1" x14ac:dyDescent="0.25">
      <c r="A169" s="9" t="s">
        <v>84</v>
      </c>
      <c r="B169" s="169"/>
      <c r="C169" s="17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</row>
    <row r="170" spans="1:14" ht="9" customHeight="1" x14ac:dyDescent="0.25">
      <c r="A170" s="113" t="s">
        <v>65</v>
      </c>
      <c r="B170" s="171"/>
      <c r="C170" s="172"/>
      <c r="D170" s="153"/>
      <c r="E170" s="153"/>
      <c r="F170" s="153"/>
      <c r="G170" s="153"/>
      <c r="H170" s="150"/>
      <c r="I170" s="150"/>
      <c r="J170" s="150"/>
      <c r="K170" s="150"/>
      <c r="L170" s="150"/>
      <c r="M170" s="150"/>
      <c r="N170" s="150"/>
    </row>
    <row r="171" spans="1:14" ht="9" customHeight="1" x14ac:dyDescent="0.2">
      <c r="A171" s="115" t="s">
        <v>66</v>
      </c>
      <c r="B171" s="173"/>
      <c r="C171" s="173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</row>
    <row r="172" spans="1:14" ht="9" customHeight="1" x14ac:dyDescent="0.2">
      <c r="A172" s="115" t="s">
        <v>118</v>
      </c>
      <c r="B172" s="173"/>
      <c r="C172" s="173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</row>
    <row r="173" spans="1:14" ht="9" customHeight="1" x14ac:dyDescent="0.2">
      <c r="A173" s="115" t="s">
        <v>462</v>
      </c>
    </row>
    <row r="174" spans="1:14" ht="9.75" customHeight="1" x14ac:dyDescent="0.2">
      <c r="A174" s="115"/>
    </row>
  </sheetData>
  <mergeCells count="3">
    <mergeCell ref="A1:N1"/>
    <mergeCell ref="A58:F58"/>
    <mergeCell ref="A118:F118"/>
  </mergeCells>
  <pageMargins left="0.27559055118110237" right="0.27559055118110237" top="0.39370078740157483" bottom="0.39370078740157483" header="0" footer="0"/>
  <pageSetup paperSize="9" orientation="portrait" horizontalDpi="0" verticalDpi="0"/>
  <rowBreaks count="1" manualBreakCount="1">
    <brk id="57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6"/>
  <dimension ref="A1:I131"/>
  <sheetViews>
    <sheetView showGridLines="0" topLeftCell="A75" zoomScaleNormal="100" workbookViewId="0">
      <selection activeCell="K105" sqref="K105"/>
    </sheetView>
  </sheetViews>
  <sheetFormatPr baseColWidth="10" defaultColWidth="11.42578125" defaultRowHeight="12.75" x14ac:dyDescent="0.2"/>
  <cols>
    <col min="1" max="1" width="21.85546875" style="219" customWidth="1"/>
    <col min="2" max="2" width="8.7109375" style="503" customWidth="1"/>
    <col min="3" max="3" width="8.7109375" style="219" customWidth="1"/>
    <col min="4" max="4" width="7.85546875" style="219" customWidth="1"/>
    <col min="5" max="5" width="8.7109375" style="503" customWidth="1"/>
    <col min="6" max="6" width="8.7109375" style="219" customWidth="1"/>
    <col min="7" max="7" width="7.85546875" style="219" customWidth="1"/>
    <col min="8" max="16384" width="11.42578125" style="219"/>
  </cols>
  <sheetData>
    <row r="1" spans="1:7" ht="13.5" x14ac:dyDescent="0.2">
      <c r="A1" s="231" t="s">
        <v>147</v>
      </c>
      <c r="B1" s="496"/>
      <c r="C1" s="232"/>
      <c r="D1" s="232"/>
      <c r="E1" s="496"/>
      <c r="F1" s="232"/>
      <c r="G1" s="49"/>
    </row>
    <row r="2" spans="1:7" ht="11.1" customHeight="1" x14ac:dyDescent="0.2">
      <c r="A2" s="231" t="s">
        <v>606</v>
      </c>
      <c r="B2" s="496"/>
      <c r="C2" s="232"/>
      <c r="D2" s="232"/>
      <c r="E2" s="496"/>
      <c r="F2" s="232"/>
      <c r="G2" s="49"/>
    </row>
    <row r="3" spans="1:7" ht="5.0999999999999996" customHeight="1" x14ac:dyDescent="0.2">
      <c r="A3" s="177"/>
      <c r="B3" s="496"/>
      <c r="C3" s="232"/>
      <c r="D3" s="232"/>
      <c r="E3" s="496"/>
      <c r="F3" s="232"/>
      <c r="G3" s="49"/>
    </row>
    <row r="4" spans="1:7" ht="12" customHeight="1" x14ac:dyDescent="0.2">
      <c r="A4" s="738" t="s">
        <v>0</v>
      </c>
      <c r="B4" s="740" t="s">
        <v>148</v>
      </c>
      <c r="C4" s="741"/>
      <c r="D4" s="742"/>
      <c r="E4" s="740" t="s">
        <v>149</v>
      </c>
      <c r="F4" s="741"/>
      <c r="G4" s="742"/>
    </row>
    <row r="5" spans="1:7" ht="12" customHeight="1" x14ac:dyDescent="0.2">
      <c r="A5" s="739"/>
      <c r="B5" s="507" t="s">
        <v>150</v>
      </c>
      <c r="C5" s="224" t="s">
        <v>158</v>
      </c>
      <c r="D5" s="225" t="s">
        <v>1</v>
      </c>
      <c r="E5" s="507" t="s">
        <v>150</v>
      </c>
      <c r="F5" s="224" t="s">
        <v>158</v>
      </c>
      <c r="G5" s="225" t="s">
        <v>1</v>
      </c>
    </row>
    <row r="6" spans="1:7" ht="3" customHeight="1" x14ac:dyDescent="0.2">
      <c r="A6" s="226"/>
      <c r="B6" s="497"/>
      <c r="C6" s="227"/>
      <c r="D6" s="228"/>
      <c r="E6" s="497"/>
      <c r="F6" s="227"/>
      <c r="G6" s="228"/>
    </row>
    <row r="7" spans="1:7" ht="11.1" customHeight="1" x14ac:dyDescent="0.2">
      <c r="A7" s="221" t="s">
        <v>466</v>
      </c>
      <c r="B7" s="498"/>
      <c r="C7" s="234"/>
      <c r="D7" s="233"/>
      <c r="E7" s="498"/>
      <c r="F7" s="234"/>
      <c r="G7" s="233"/>
    </row>
    <row r="8" spans="1:7" ht="11.1" customHeight="1" x14ac:dyDescent="0.2">
      <c r="A8" s="248" t="s">
        <v>474</v>
      </c>
      <c r="B8" s="250">
        <v>130</v>
      </c>
      <c r="C8" s="240">
        <v>80</v>
      </c>
      <c r="D8" s="242">
        <f t="shared" ref="D8:D9" si="0">((C8/B8)     -    1)*100</f>
        <v>-38.46153846153846</v>
      </c>
      <c r="E8" s="250">
        <v>105</v>
      </c>
      <c r="F8" s="240">
        <v>100</v>
      </c>
      <c r="G8" s="242">
        <f t="shared" ref="G8:G9" si="1">((F8/E8)     -    1)*100</f>
        <v>-4.7619047619047672</v>
      </c>
    </row>
    <row r="9" spans="1:7" ht="11.1" customHeight="1" x14ac:dyDescent="0.2">
      <c r="A9" s="248" t="s">
        <v>469</v>
      </c>
      <c r="B9" s="250">
        <v>130</v>
      </c>
      <c r="C9" s="240">
        <v>149</v>
      </c>
      <c r="D9" s="242">
        <f t="shared" si="0"/>
        <v>14.615384615384608</v>
      </c>
      <c r="E9" s="250">
        <v>85</v>
      </c>
      <c r="F9" s="240">
        <v>81.099999999999994</v>
      </c>
      <c r="G9" s="242">
        <f t="shared" si="1"/>
        <v>-4.5882352941176485</v>
      </c>
    </row>
    <row r="10" spans="1:7" ht="11.1" customHeight="1" x14ac:dyDescent="0.2">
      <c r="A10" s="221" t="s">
        <v>75</v>
      </c>
      <c r="B10" s="498"/>
      <c r="C10" s="234"/>
      <c r="D10" s="233"/>
      <c r="E10" s="498"/>
      <c r="F10" s="234"/>
      <c r="G10" s="233"/>
    </row>
    <row r="11" spans="1:7" ht="11.1" customHeight="1" x14ac:dyDescent="0.2">
      <c r="A11" s="248" t="s">
        <v>151</v>
      </c>
      <c r="B11" s="250">
        <v>80</v>
      </c>
      <c r="C11" s="250">
        <v>95</v>
      </c>
      <c r="D11" s="242">
        <f>((C11/B11)     -    1)*100</f>
        <v>18.75</v>
      </c>
      <c r="E11" s="250">
        <v>125</v>
      </c>
      <c r="F11" s="240">
        <v>130</v>
      </c>
      <c r="G11" s="242">
        <f>((F11/E11)     -    1)*100</f>
        <v>4.0000000000000036</v>
      </c>
    </row>
    <row r="12" spans="1:7" ht="11.1" customHeight="1" x14ac:dyDescent="0.2">
      <c r="A12" s="248" t="s">
        <v>490</v>
      </c>
      <c r="B12" s="250">
        <v>109</v>
      </c>
      <c r="C12" s="250">
        <v>105</v>
      </c>
      <c r="D12" s="242">
        <f>((C12/B12)     -    1)*100</f>
        <v>-3.669724770642202</v>
      </c>
      <c r="E12" s="250">
        <v>200</v>
      </c>
      <c r="F12" s="240">
        <v>105</v>
      </c>
      <c r="G12" s="242">
        <f>((F12/E12)     -    1)*100</f>
        <v>-47.5</v>
      </c>
    </row>
    <row r="13" spans="1:7" ht="11.1" customHeight="1" x14ac:dyDescent="0.2">
      <c r="A13" s="248" t="s">
        <v>152</v>
      </c>
      <c r="B13" s="488" t="s">
        <v>523</v>
      </c>
      <c r="C13" s="250">
        <v>110</v>
      </c>
      <c r="D13" s="233" t="s">
        <v>153</v>
      </c>
      <c r="E13" s="488" t="s">
        <v>523</v>
      </c>
      <c r="F13" s="240">
        <v>135</v>
      </c>
      <c r="G13" s="233" t="s">
        <v>153</v>
      </c>
    </row>
    <row r="14" spans="1:7" ht="11.1" customHeight="1" x14ac:dyDescent="0.2">
      <c r="A14" s="248" t="s">
        <v>154</v>
      </c>
      <c r="B14" s="250">
        <v>80</v>
      </c>
      <c r="C14" s="250">
        <v>110</v>
      </c>
      <c r="D14" s="242">
        <f>((C14/B14)     -    1)*100</f>
        <v>37.5</v>
      </c>
      <c r="E14" s="250">
        <v>73</v>
      </c>
      <c r="F14" s="240">
        <v>125</v>
      </c>
      <c r="G14" s="242">
        <f>((F14/E14)     -    1)*100</f>
        <v>71.232876712328761</v>
      </c>
    </row>
    <row r="15" spans="1:7" ht="11.1" customHeight="1" x14ac:dyDescent="0.2">
      <c r="A15" s="248" t="s">
        <v>155</v>
      </c>
      <c r="B15" s="488" t="s">
        <v>523</v>
      </c>
      <c r="C15" s="250">
        <v>105</v>
      </c>
      <c r="D15" s="233" t="s">
        <v>153</v>
      </c>
      <c r="E15" s="488" t="s">
        <v>523</v>
      </c>
      <c r="F15" s="240">
        <v>125</v>
      </c>
      <c r="G15" s="233" t="s">
        <v>153</v>
      </c>
    </row>
    <row r="16" spans="1:7" ht="11.1" customHeight="1" x14ac:dyDescent="0.2">
      <c r="A16" s="248" t="s">
        <v>184</v>
      </c>
      <c r="B16" s="488" t="s">
        <v>523</v>
      </c>
      <c r="C16" s="250">
        <v>110</v>
      </c>
      <c r="D16" s="233" t="s">
        <v>153</v>
      </c>
      <c r="E16" s="488" t="s">
        <v>523</v>
      </c>
      <c r="F16" s="240">
        <v>135</v>
      </c>
      <c r="G16" s="233" t="s">
        <v>153</v>
      </c>
    </row>
    <row r="17" spans="1:9" ht="11.1" customHeight="1" x14ac:dyDescent="0.2">
      <c r="A17" s="248" t="s">
        <v>157</v>
      </c>
      <c r="B17" s="250">
        <v>80</v>
      </c>
      <c r="C17" s="250">
        <v>105</v>
      </c>
      <c r="D17" s="242">
        <f>((C17/B17)     -    1)*100</f>
        <v>31.25</v>
      </c>
      <c r="E17" s="240">
        <v>128</v>
      </c>
      <c r="F17" s="240">
        <v>140</v>
      </c>
      <c r="G17" s="242">
        <f>((F17/E17)     -    1)*100</f>
        <v>9.375</v>
      </c>
      <c r="I17" s="233"/>
    </row>
    <row r="18" spans="1:9" ht="11.1" customHeight="1" x14ac:dyDescent="0.2">
      <c r="A18" s="221" t="s">
        <v>419</v>
      </c>
      <c r="B18" s="498"/>
      <c r="C18" s="234"/>
      <c r="D18" s="233"/>
      <c r="E18" s="498"/>
      <c r="F18" s="234"/>
      <c r="G18" s="233"/>
      <c r="I18" s="233"/>
    </row>
    <row r="19" spans="1:9" ht="11.1" customHeight="1" x14ac:dyDescent="0.2">
      <c r="A19" s="248" t="s">
        <v>420</v>
      </c>
      <c r="B19" s="488" t="s">
        <v>523</v>
      </c>
      <c r="C19" s="250">
        <v>135</v>
      </c>
      <c r="D19" s="233" t="s">
        <v>153</v>
      </c>
      <c r="E19" s="488" t="s">
        <v>523</v>
      </c>
      <c r="F19" s="240">
        <v>140</v>
      </c>
      <c r="G19" s="233" t="s">
        <v>153</v>
      </c>
      <c r="I19" s="233"/>
    </row>
    <row r="20" spans="1:9" ht="11.1" customHeight="1" x14ac:dyDescent="0.2">
      <c r="A20" s="248" t="s">
        <v>590</v>
      </c>
      <c r="B20" s="488" t="s">
        <v>523</v>
      </c>
      <c r="C20" s="250">
        <v>145</v>
      </c>
      <c r="D20" s="233" t="s">
        <v>153</v>
      </c>
      <c r="E20" s="488" t="s">
        <v>523</v>
      </c>
      <c r="F20" s="240">
        <v>143</v>
      </c>
      <c r="G20" s="233" t="s">
        <v>153</v>
      </c>
      <c r="I20" s="233"/>
    </row>
    <row r="21" spans="1:9" ht="11.1" customHeight="1" x14ac:dyDescent="0.2">
      <c r="A21" s="248" t="s">
        <v>595</v>
      </c>
      <c r="B21" s="488" t="s">
        <v>523</v>
      </c>
      <c r="C21" s="488" t="s">
        <v>523</v>
      </c>
      <c r="D21" s="233" t="s">
        <v>153</v>
      </c>
      <c r="E21" s="488" t="s">
        <v>523</v>
      </c>
      <c r="F21" s="240">
        <v>150</v>
      </c>
      <c r="G21" s="233" t="s">
        <v>153</v>
      </c>
      <c r="I21" s="233"/>
    </row>
    <row r="22" spans="1:9" ht="11.1" customHeight="1" x14ac:dyDescent="0.2">
      <c r="A22" s="248" t="s">
        <v>596</v>
      </c>
      <c r="B22" s="488" t="s">
        <v>523</v>
      </c>
      <c r="C22" s="250">
        <v>103</v>
      </c>
      <c r="D22" s="233" t="s">
        <v>153</v>
      </c>
      <c r="E22" s="488" t="s">
        <v>523</v>
      </c>
      <c r="F22" s="240">
        <v>125</v>
      </c>
      <c r="G22" s="233" t="s">
        <v>153</v>
      </c>
      <c r="I22" s="233"/>
    </row>
    <row r="23" spans="1:9" ht="11.1" customHeight="1" x14ac:dyDescent="0.2">
      <c r="A23" s="248" t="s">
        <v>534</v>
      </c>
      <c r="B23" s="488" t="s">
        <v>523</v>
      </c>
      <c r="C23" s="488" t="s">
        <v>523</v>
      </c>
      <c r="D23" s="233" t="s">
        <v>153</v>
      </c>
      <c r="E23" s="488" t="s">
        <v>523</v>
      </c>
      <c r="F23" s="240">
        <v>125</v>
      </c>
      <c r="G23" s="233" t="s">
        <v>153</v>
      </c>
      <c r="I23" s="233"/>
    </row>
    <row r="24" spans="1:9" ht="11.1" customHeight="1" x14ac:dyDescent="0.2">
      <c r="A24" s="248" t="s">
        <v>589</v>
      </c>
      <c r="B24" s="488" t="s">
        <v>523</v>
      </c>
      <c r="C24" s="250">
        <v>221</v>
      </c>
      <c r="D24" s="233" t="s">
        <v>153</v>
      </c>
      <c r="E24" s="488" t="s">
        <v>523</v>
      </c>
      <c r="F24" s="240">
        <v>180</v>
      </c>
      <c r="G24" s="233" t="s">
        <v>153</v>
      </c>
      <c r="I24" s="233"/>
    </row>
    <row r="25" spans="1:9" ht="11.1" customHeight="1" x14ac:dyDescent="0.2">
      <c r="A25" s="248" t="s">
        <v>573</v>
      </c>
      <c r="B25" s="488" t="s">
        <v>523</v>
      </c>
      <c r="C25" s="488" t="s">
        <v>523</v>
      </c>
      <c r="D25" s="233" t="s">
        <v>153</v>
      </c>
      <c r="E25" s="488" t="s">
        <v>523</v>
      </c>
      <c r="F25" s="240">
        <v>120</v>
      </c>
      <c r="G25" s="233" t="s">
        <v>153</v>
      </c>
      <c r="I25" s="233"/>
    </row>
    <row r="26" spans="1:9" ht="11.1" customHeight="1" x14ac:dyDescent="0.2">
      <c r="A26" s="221" t="s">
        <v>2</v>
      </c>
      <c r="B26" s="493"/>
      <c r="C26" s="493"/>
      <c r="D26" s="1"/>
      <c r="E26" s="147"/>
      <c r="F26" s="12"/>
      <c r="G26" s="233"/>
    </row>
    <row r="27" spans="1:9" ht="11.1" customHeight="1" x14ac:dyDescent="0.2">
      <c r="A27" s="247" t="s">
        <v>5</v>
      </c>
      <c r="B27" s="250">
        <v>115</v>
      </c>
      <c r="C27" s="240">
        <v>113</v>
      </c>
      <c r="D27" s="243">
        <f t="shared" ref="D27:D32" si="2">((C27/B27)     -    1)*100</f>
        <v>-1.7391304347826098</v>
      </c>
      <c r="E27" s="240">
        <v>215</v>
      </c>
      <c r="F27" s="240">
        <v>150</v>
      </c>
      <c r="G27" s="242">
        <f t="shared" ref="G27:G29" si="3">((F27/E27)     -    1)*100</f>
        <v>-30.232558139534881</v>
      </c>
    </row>
    <row r="28" spans="1:9" ht="11.1" customHeight="1" x14ac:dyDescent="0.2">
      <c r="A28" s="247" t="s">
        <v>76</v>
      </c>
      <c r="B28" s="250">
        <v>120</v>
      </c>
      <c r="C28" s="240">
        <v>120</v>
      </c>
      <c r="D28" s="243">
        <f t="shared" ref="D28:D30" si="4">((C28/B28)     -    1)*100</f>
        <v>0</v>
      </c>
      <c r="E28" s="488" t="s">
        <v>523</v>
      </c>
      <c r="F28" s="488" t="s">
        <v>523</v>
      </c>
      <c r="G28" s="233" t="s">
        <v>153</v>
      </c>
    </row>
    <row r="29" spans="1:9" ht="11.1" customHeight="1" x14ac:dyDescent="0.2">
      <c r="A29" s="247" t="s">
        <v>398</v>
      </c>
      <c r="B29" s="250">
        <v>120</v>
      </c>
      <c r="C29" s="240">
        <v>134</v>
      </c>
      <c r="D29" s="243">
        <f t="shared" si="4"/>
        <v>11.66666666666667</v>
      </c>
      <c r="E29" s="240">
        <v>285</v>
      </c>
      <c r="F29" s="240">
        <v>95</v>
      </c>
      <c r="G29" s="242">
        <f t="shared" si="3"/>
        <v>-66.666666666666671</v>
      </c>
    </row>
    <row r="30" spans="1:9" ht="11.1" customHeight="1" x14ac:dyDescent="0.2">
      <c r="A30" s="247" t="s">
        <v>59</v>
      </c>
      <c r="B30" s="250">
        <v>115</v>
      </c>
      <c r="C30" s="240">
        <v>92.5</v>
      </c>
      <c r="D30" s="243">
        <f t="shared" si="4"/>
        <v>-19.565217391304344</v>
      </c>
      <c r="E30" s="240">
        <v>110</v>
      </c>
      <c r="F30" s="240">
        <v>113</v>
      </c>
      <c r="G30" s="242">
        <f t="shared" ref="G30" si="5">((F30/E30)     -    1)*100</f>
        <v>2.7272727272727337</v>
      </c>
    </row>
    <row r="31" spans="1:9" ht="11.1" customHeight="1" x14ac:dyDescent="0.2">
      <c r="A31" s="247" t="s">
        <v>511</v>
      </c>
      <c r="B31" s="250">
        <v>78</v>
      </c>
      <c r="C31" s="240">
        <v>78</v>
      </c>
      <c r="D31" s="243">
        <f t="shared" ref="D31" si="6">((C31/B31)     -    1)*100</f>
        <v>0</v>
      </c>
      <c r="E31" s="240">
        <v>238</v>
      </c>
      <c r="F31" s="240">
        <v>250</v>
      </c>
      <c r="G31" s="242">
        <f t="shared" ref="G31" si="7">((F31/E31)     -    1)*100</f>
        <v>5.0420168067226934</v>
      </c>
    </row>
    <row r="32" spans="1:9" ht="11.1" customHeight="1" x14ac:dyDescent="0.2">
      <c r="A32" s="247" t="s">
        <v>125</v>
      </c>
      <c r="B32" s="250">
        <v>130</v>
      </c>
      <c r="C32" s="240">
        <v>117</v>
      </c>
      <c r="D32" s="243">
        <f t="shared" si="2"/>
        <v>-9.9999999999999982</v>
      </c>
      <c r="E32" s="250">
        <v>145</v>
      </c>
      <c r="F32" s="240">
        <v>150</v>
      </c>
      <c r="G32" s="242">
        <f>((F32/E32)     -    1)*100</f>
        <v>3.4482758620689724</v>
      </c>
    </row>
    <row r="33" spans="1:7" ht="11.1" customHeight="1" x14ac:dyDescent="0.2">
      <c r="A33" s="221" t="s">
        <v>6</v>
      </c>
      <c r="B33" s="499"/>
      <c r="C33" s="235"/>
      <c r="D33" s="1"/>
      <c r="E33" s="499"/>
      <c r="F33" s="235"/>
      <c r="G33" s="1"/>
    </row>
    <row r="34" spans="1:7" ht="11.1" customHeight="1" x14ac:dyDescent="0.2">
      <c r="A34" s="247" t="s">
        <v>124</v>
      </c>
      <c r="B34" s="250">
        <v>85</v>
      </c>
      <c r="C34" s="240">
        <v>88</v>
      </c>
      <c r="D34" s="243">
        <f t="shared" ref="D34:D35" si="8">((C34/B34)     -    1)*100</f>
        <v>3.529411764705892</v>
      </c>
      <c r="E34" s="488" t="s">
        <v>523</v>
      </c>
      <c r="F34" s="488" t="s">
        <v>523</v>
      </c>
      <c r="G34" s="233" t="s">
        <v>153</v>
      </c>
    </row>
    <row r="35" spans="1:7" ht="11.1" customHeight="1" x14ac:dyDescent="0.2">
      <c r="A35" s="247" t="s">
        <v>464</v>
      </c>
      <c r="B35" s="250">
        <v>68</v>
      </c>
      <c r="C35" s="240">
        <v>70</v>
      </c>
      <c r="D35" s="243">
        <f t="shared" si="8"/>
        <v>2.9411764705882248</v>
      </c>
      <c r="E35" s="250">
        <v>105</v>
      </c>
      <c r="F35" s="240">
        <v>100</v>
      </c>
      <c r="G35" s="243">
        <f t="shared" ref="G35" si="9">((F35/E35)     -    1)*100</f>
        <v>-4.7619047619047672</v>
      </c>
    </row>
    <row r="36" spans="1:7" ht="11.1" customHeight="1" x14ac:dyDescent="0.2">
      <c r="A36" s="247" t="s">
        <v>11</v>
      </c>
      <c r="B36" s="250">
        <v>85</v>
      </c>
      <c r="C36" s="240">
        <v>95</v>
      </c>
      <c r="D36" s="243">
        <f t="shared" ref="D36" si="10">((C36/B36)     -    1)*100</f>
        <v>11.764705882352944</v>
      </c>
      <c r="E36" s="250">
        <v>155</v>
      </c>
      <c r="F36" s="240">
        <v>179</v>
      </c>
      <c r="G36" s="243">
        <f t="shared" ref="G36" si="11">((F36/E36)     -    1)*100</f>
        <v>15.483870967741931</v>
      </c>
    </row>
    <row r="37" spans="1:7" ht="11.1" customHeight="1" x14ac:dyDescent="0.2">
      <c r="A37" s="247" t="s">
        <v>89</v>
      </c>
      <c r="B37" s="250">
        <v>100</v>
      </c>
      <c r="C37" s="240">
        <v>95.5</v>
      </c>
      <c r="D37" s="243">
        <f>((C37/B37)     -    1)*100</f>
        <v>-4.5000000000000036</v>
      </c>
      <c r="E37" s="250">
        <v>125</v>
      </c>
      <c r="F37" s="240">
        <v>175</v>
      </c>
      <c r="G37" s="243">
        <f>((F37/E37)     -    1)*100</f>
        <v>39.999999999999993</v>
      </c>
    </row>
    <row r="38" spans="1:7" ht="11.1" customHeight="1" x14ac:dyDescent="0.2">
      <c r="A38" s="221" t="s">
        <v>13</v>
      </c>
      <c r="B38" s="498"/>
      <c r="C38" s="234"/>
      <c r="D38" s="233"/>
      <c r="E38" s="499"/>
      <c r="F38" s="235"/>
      <c r="G38" s="1"/>
    </row>
    <row r="39" spans="1:7" ht="11.1" customHeight="1" x14ac:dyDescent="0.2">
      <c r="A39" s="247" t="s">
        <v>187</v>
      </c>
      <c r="B39" s="250">
        <v>65</v>
      </c>
      <c r="C39" s="240">
        <v>79</v>
      </c>
      <c r="D39" s="243">
        <f>((C39/B39)     -    1)*100</f>
        <v>21.538461538461529</v>
      </c>
      <c r="E39" s="250">
        <v>100</v>
      </c>
      <c r="F39" s="240">
        <v>117</v>
      </c>
      <c r="G39" s="243">
        <f>((F39/E39)     -    1)*100</f>
        <v>16.999999999999993</v>
      </c>
    </row>
    <row r="40" spans="1:7" ht="11.1" customHeight="1" x14ac:dyDescent="0.2">
      <c r="A40" s="247" t="s">
        <v>68</v>
      </c>
      <c r="B40" s="250">
        <v>80</v>
      </c>
      <c r="C40" s="240">
        <v>78</v>
      </c>
      <c r="D40" s="243">
        <f>((C40/B40)     -    1)*100</f>
        <v>-2.5000000000000022</v>
      </c>
      <c r="E40" s="250">
        <v>145</v>
      </c>
      <c r="F40" s="240">
        <v>150</v>
      </c>
      <c r="G40" s="243">
        <f>((F40/E40)     -    1)*100</f>
        <v>3.4482758620689724</v>
      </c>
    </row>
    <row r="41" spans="1:7" ht="11.1" customHeight="1" x14ac:dyDescent="0.2">
      <c r="A41" s="247" t="s">
        <v>67</v>
      </c>
      <c r="B41" s="250">
        <v>105</v>
      </c>
      <c r="C41" s="240">
        <v>129</v>
      </c>
      <c r="D41" s="243">
        <f>((C41/B41)     -    1)*100</f>
        <v>22.857142857142865</v>
      </c>
      <c r="E41" s="250">
        <v>125</v>
      </c>
      <c r="F41" s="240">
        <v>120</v>
      </c>
      <c r="G41" s="243">
        <f>((F41/E41)     -    1)*100</f>
        <v>-4.0000000000000036</v>
      </c>
    </row>
    <row r="42" spans="1:7" ht="11.1" customHeight="1" x14ac:dyDescent="0.2">
      <c r="A42" s="221" t="s">
        <v>14</v>
      </c>
      <c r="B42" s="499"/>
      <c r="C42" s="235"/>
      <c r="D42" s="1"/>
      <c r="E42" s="499"/>
      <c r="F42" s="235"/>
      <c r="G42" s="1"/>
    </row>
    <row r="43" spans="1:7" ht="11.1" customHeight="1" x14ac:dyDescent="0.2">
      <c r="A43" s="247" t="s">
        <v>465</v>
      </c>
      <c r="B43" s="250">
        <v>105</v>
      </c>
      <c r="C43" s="240">
        <v>88</v>
      </c>
      <c r="D43" s="244">
        <f>((C43/B43)     -    1)*100</f>
        <v>-16.19047619047619</v>
      </c>
      <c r="E43" s="250">
        <v>110</v>
      </c>
      <c r="F43" s="240">
        <v>74</v>
      </c>
      <c r="G43" s="243">
        <f>((F43/E43)     -    1)*100</f>
        <v>-32.727272727272727</v>
      </c>
    </row>
    <row r="44" spans="1:7" ht="11.1" customHeight="1" x14ac:dyDescent="0.2">
      <c r="A44" s="247" t="s">
        <v>470</v>
      </c>
      <c r="B44" s="250">
        <v>87.5</v>
      </c>
      <c r="C44" s="240">
        <v>98</v>
      </c>
      <c r="D44" s="244">
        <f>((C44/B44)     -    1)*100</f>
        <v>12.000000000000011</v>
      </c>
      <c r="E44" s="250">
        <v>87.5</v>
      </c>
      <c r="F44" s="240">
        <v>86</v>
      </c>
      <c r="G44" s="243">
        <f>((F44/E44)     -    1)*100</f>
        <v>-1.7142857142857126</v>
      </c>
    </row>
    <row r="45" spans="1:7" ht="11.1" customHeight="1" x14ac:dyDescent="0.2">
      <c r="A45" s="247" t="s">
        <v>15</v>
      </c>
      <c r="B45" s="250">
        <v>105</v>
      </c>
      <c r="C45" s="240">
        <v>96</v>
      </c>
      <c r="D45" s="244">
        <f>((C45/B45)     -    1)*100</f>
        <v>-8.5714285714285747</v>
      </c>
      <c r="E45" s="250">
        <v>95</v>
      </c>
      <c r="F45" s="240">
        <v>111</v>
      </c>
      <c r="G45" s="243">
        <f>((F45/E45)     -    1)*100</f>
        <v>16.842105263157904</v>
      </c>
    </row>
    <row r="46" spans="1:7" ht="11.1" customHeight="1" x14ac:dyDescent="0.2">
      <c r="A46" s="247" t="s">
        <v>188</v>
      </c>
      <c r="B46" s="250">
        <v>90</v>
      </c>
      <c r="C46" s="250">
        <v>99</v>
      </c>
      <c r="D46" s="244">
        <f>((C46/B46)     -    1)*100</f>
        <v>10.000000000000009</v>
      </c>
      <c r="E46" s="250">
        <v>140</v>
      </c>
      <c r="F46" s="240">
        <v>150</v>
      </c>
      <c r="G46" s="244">
        <f>((F46/E46)     -    1)*100</f>
        <v>7.1428571428571397</v>
      </c>
    </row>
    <row r="47" spans="1:7" ht="11.1" customHeight="1" x14ac:dyDescent="0.2">
      <c r="A47" s="221" t="s">
        <v>16</v>
      </c>
      <c r="B47" s="499"/>
      <c r="C47" s="235"/>
      <c r="D47" s="1"/>
      <c r="E47" s="499"/>
      <c r="F47" s="235"/>
      <c r="G47" s="1"/>
    </row>
    <row r="48" spans="1:7" ht="11.1" customHeight="1" x14ac:dyDescent="0.2">
      <c r="A48" s="247" t="s">
        <v>17</v>
      </c>
      <c r="B48" s="250">
        <v>130</v>
      </c>
      <c r="C48" s="240">
        <v>126</v>
      </c>
      <c r="D48" s="243">
        <f>((C48/B48)     -    1)*100</f>
        <v>-3.0769230769230771</v>
      </c>
      <c r="E48" s="250">
        <v>100</v>
      </c>
      <c r="F48" s="240">
        <v>122</v>
      </c>
      <c r="G48" s="244">
        <f t="shared" ref="G48:G55" si="12">((F48/E48)     -    1)*100</f>
        <v>21.999999999999996</v>
      </c>
    </row>
    <row r="49" spans="1:8" ht="11.1" customHeight="1" x14ac:dyDescent="0.2">
      <c r="A49" s="247" t="s">
        <v>18</v>
      </c>
      <c r="B49" s="250">
        <v>110</v>
      </c>
      <c r="C49" s="240">
        <v>137</v>
      </c>
      <c r="D49" s="243">
        <f>((C49/B49)     -    1)*100</f>
        <v>24.545454545454536</v>
      </c>
      <c r="E49" s="250">
        <v>145</v>
      </c>
      <c r="F49" s="240">
        <v>184</v>
      </c>
      <c r="G49" s="244">
        <f t="shared" si="12"/>
        <v>26.896551724137939</v>
      </c>
    </row>
    <row r="50" spans="1:8" ht="11.1" customHeight="1" x14ac:dyDescent="0.2">
      <c r="A50" s="247" t="s">
        <v>60</v>
      </c>
      <c r="B50" s="488" t="s">
        <v>523</v>
      </c>
      <c r="C50" s="488" t="s">
        <v>523</v>
      </c>
      <c r="D50" s="233" t="s">
        <v>153</v>
      </c>
      <c r="E50" s="250">
        <v>125</v>
      </c>
      <c r="F50" s="240">
        <v>121</v>
      </c>
      <c r="G50" s="244">
        <f t="shared" si="12"/>
        <v>-3.2000000000000028</v>
      </c>
    </row>
    <row r="51" spans="1:8" ht="11.1" customHeight="1" x14ac:dyDescent="0.2">
      <c r="A51" s="247" t="s">
        <v>77</v>
      </c>
      <c r="B51" s="250">
        <v>120</v>
      </c>
      <c r="C51" s="240">
        <v>122</v>
      </c>
      <c r="D51" s="243">
        <f>((C51/B51)     -    1)*100</f>
        <v>1.6666666666666607</v>
      </c>
      <c r="E51" s="250">
        <v>115</v>
      </c>
      <c r="F51" s="240">
        <v>120</v>
      </c>
      <c r="G51" s="244">
        <f t="shared" si="12"/>
        <v>4.3478260869565188</v>
      </c>
    </row>
    <row r="52" spans="1:8" ht="11.1" customHeight="1" x14ac:dyDescent="0.2">
      <c r="A52" s="247" t="s">
        <v>19</v>
      </c>
      <c r="B52" s="250">
        <v>142.5</v>
      </c>
      <c r="C52" s="240">
        <v>119</v>
      </c>
      <c r="D52" s="243">
        <f>((C52/B52)     -    1)*100</f>
        <v>-16.491228070175435</v>
      </c>
      <c r="E52" s="250">
        <v>125</v>
      </c>
      <c r="F52" s="240">
        <v>113</v>
      </c>
      <c r="G52" s="244">
        <f t="shared" si="12"/>
        <v>-9.5999999999999979</v>
      </c>
    </row>
    <row r="53" spans="1:8" ht="11.1" customHeight="1" x14ac:dyDescent="0.2">
      <c r="A53" s="247" t="s">
        <v>122</v>
      </c>
      <c r="B53" s="250">
        <v>110</v>
      </c>
      <c r="C53" s="240">
        <v>119</v>
      </c>
      <c r="D53" s="243">
        <f>((C53/B53)     -    1)*100</f>
        <v>8.1818181818181799</v>
      </c>
      <c r="E53" s="250">
        <v>145</v>
      </c>
      <c r="F53" s="240">
        <v>140</v>
      </c>
      <c r="G53" s="244">
        <f t="shared" si="12"/>
        <v>-3.4482758620689613</v>
      </c>
    </row>
    <row r="54" spans="1:8" ht="11.1" customHeight="1" x14ac:dyDescent="0.2">
      <c r="A54" s="247" t="s">
        <v>20</v>
      </c>
      <c r="B54" s="250">
        <v>177.5</v>
      </c>
      <c r="C54" s="240">
        <v>173</v>
      </c>
      <c r="D54" s="243">
        <f>((C54/B54)     -    1)*100</f>
        <v>-2.5352112676056304</v>
      </c>
      <c r="E54" s="488" t="s">
        <v>523</v>
      </c>
      <c r="F54" s="488" t="s">
        <v>523</v>
      </c>
      <c r="G54" s="233" t="s">
        <v>153</v>
      </c>
    </row>
    <row r="55" spans="1:8" ht="11.1" customHeight="1" x14ac:dyDescent="0.2">
      <c r="A55" s="247" t="s">
        <v>21</v>
      </c>
      <c r="B55" s="488" t="s">
        <v>156</v>
      </c>
      <c r="C55" s="240">
        <v>170</v>
      </c>
      <c r="D55" s="233" t="s">
        <v>153</v>
      </c>
      <c r="E55" s="250">
        <v>150</v>
      </c>
      <c r="F55" s="240">
        <v>149</v>
      </c>
      <c r="G55" s="244">
        <f t="shared" si="12"/>
        <v>-0.66666666666667096</v>
      </c>
    </row>
    <row r="56" spans="1:8" ht="11.1" customHeight="1" x14ac:dyDescent="0.2">
      <c r="A56" s="247" t="s">
        <v>22</v>
      </c>
      <c r="B56" s="250">
        <v>130</v>
      </c>
      <c r="C56" s="240">
        <v>104</v>
      </c>
      <c r="D56" s="243">
        <f>((C56/B56)     -    1)*100</f>
        <v>-19.999999999999996</v>
      </c>
      <c r="E56" s="250">
        <v>95</v>
      </c>
      <c r="F56" s="240">
        <v>98</v>
      </c>
      <c r="G56" s="244">
        <f>((F56/E56)     -    1)*100</f>
        <v>3.1578947368421151</v>
      </c>
    </row>
    <row r="57" spans="1:8" ht="11.1" customHeight="1" x14ac:dyDescent="0.2">
      <c r="A57" s="247" t="s">
        <v>123</v>
      </c>
      <c r="B57" s="250">
        <v>155</v>
      </c>
      <c r="C57" s="240">
        <v>173</v>
      </c>
      <c r="D57" s="243">
        <f>((C57/B57)     -    1)*100</f>
        <v>11.612903225806459</v>
      </c>
      <c r="E57" s="488" t="s">
        <v>523</v>
      </c>
      <c r="F57" s="488" t="s">
        <v>523</v>
      </c>
      <c r="G57" s="233" t="s">
        <v>153</v>
      </c>
      <c r="H57" s="252"/>
    </row>
    <row r="58" spans="1:8" ht="11.1" customHeight="1" x14ac:dyDescent="0.2">
      <c r="A58" s="247" t="s">
        <v>61</v>
      </c>
      <c r="B58" s="250">
        <v>130</v>
      </c>
      <c r="C58" s="240">
        <v>114</v>
      </c>
      <c r="D58" s="243">
        <f>((C58/B58)     -    1)*100</f>
        <v>-12.307692307692308</v>
      </c>
      <c r="E58" s="250">
        <v>75</v>
      </c>
      <c r="F58" s="240">
        <v>100</v>
      </c>
      <c r="G58" s="244">
        <f>((F58/E58)     -    1)*100</f>
        <v>33.333333333333329</v>
      </c>
      <c r="H58" s="252"/>
    </row>
    <row r="59" spans="1:8" ht="11.1" customHeight="1" x14ac:dyDescent="0.2">
      <c r="A59" s="221" t="s">
        <v>23</v>
      </c>
      <c r="B59" s="499"/>
      <c r="C59" s="235"/>
      <c r="D59" s="1"/>
      <c r="E59" s="499"/>
      <c r="F59" s="235"/>
      <c r="G59" s="1"/>
      <c r="H59" s="252"/>
    </row>
    <row r="60" spans="1:8" ht="11.1" customHeight="1" x14ac:dyDescent="0.2">
      <c r="A60" s="247" t="s">
        <v>520</v>
      </c>
      <c r="B60" s="250">
        <v>173</v>
      </c>
      <c r="C60" s="240">
        <v>173</v>
      </c>
      <c r="D60" s="243">
        <f>((C60/B60)     -    1)*100</f>
        <v>0</v>
      </c>
      <c r="E60" s="250">
        <v>101.5</v>
      </c>
      <c r="F60" s="240">
        <v>103.5</v>
      </c>
      <c r="G60" s="244">
        <f t="shared" ref="G60:G71" si="13">((F60/E60)     -    1)*100</f>
        <v>1.9704433497536922</v>
      </c>
      <c r="H60" s="252"/>
    </row>
    <row r="61" spans="1:8" ht="11.1" customHeight="1" x14ac:dyDescent="0.2">
      <c r="A61" s="247" t="s">
        <v>51</v>
      </c>
      <c r="B61" s="250">
        <v>145</v>
      </c>
      <c r="C61" s="240">
        <v>145</v>
      </c>
      <c r="D61" s="243">
        <f t="shared" ref="D61:D63" si="14">((C61/B61)     -    1)*100</f>
        <v>0</v>
      </c>
      <c r="E61" s="250">
        <v>88.5</v>
      </c>
      <c r="F61" s="240">
        <v>93.5</v>
      </c>
      <c r="G61" s="244">
        <f t="shared" ref="G61:G63" si="15">((F61/E61)     -    1)*100</f>
        <v>5.6497175141242861</v>
      </c>
      <c r="H61" s="252"/>
    </row>
    <row r="62" spans="1:8" ht="11.1" customHeight="1" x14ac:dyDescent="0.2">
      <c r="A62" s="247" t="s">
        <v>521</v>
      </c>
      <c r="B62" s="250">
        <v>117.5</v>
      </c>
      <c r="C62" s="240">
        <v>115</v>
      </c>
      <c r="D62" s="243">
        <f t="shared" si="14"/>
        <v>-2.1276595744680882</v>
      </c>
      <c r="E62" s="250">
        <v>95</v>
      </c>
      <c r="F62" s="240">
        <v>135</v>
      </c>
      <c r="G62" s="244">
        <f t="shared" si="15"/>
        <v>42.105263157894733</v>
      </c>
    </row>
    <row r="63" spans="1:8" ht="11.1" customHeight="1" x14ac:dyDescent="0.2">
      <c r="A63" s="247" t="s">
        <v>56</v>
      </c>
      <c r="B63" s="250">
        <v>125</v>
      </c>
      <c r="C63" s="240">
        <v>135</v>
      </c>
      <c r="D63" s="243">
        <f t="shared" si="14"/>
        <v>8.0000000000000071</v>
      </c>
      <c r="E63" s="250">
        <v>110</v>
      </c>
      <c r="F63" s="240">
        <v>125</v>
      </c>
      <c r="G63" s="244">
        <f t="shared" si="15"/>
        <v>13.636363636363647</v>
      </c>
    </row>
    <row r="64" spans="1:8" ht="11.1" customHeight="1" x14ac:dyDescent="0.2">
      <c r="A64" s="247" t="s">
        <v>522</v>
      </c>
      <c r="B64" s="250">
        <v>125</v>
      </c>
      <c r="C64" s="240">
        <v>125</v>
      </c>
      <c r="D64" s="243">
        <f>((C64/B64)     -    1)*100</f>
        <v>0</v>
      </c>
      <c r="E64" s="250">
        <v>171</v>
      </c>
      <c r="F64" s="240">
        <v>170</v>
      </c>
      <c r="G64" s="244">
        <f t="shared" si="13"/>
        <v>-0.58479532163743242</v>
      </c>
    </row>
    <row r="65" spans="1:7" ht="11.1" customHeight="1" x14ac:dyDescent="0.2">
      <c r="A65" s="236"/>
      <c r="B65" s="500"/>
      <c r="C65" s="217"/>
      <c r="D65" s="217"/>
      <c r="E65" s="505"/>
      <c r="F65" s="237"/>
      <c r="G65" s="229" t="s">
        <v>24</v>
      </c>
    </row>
    <row r="66" spans="1:7" ht="11.1" customHeight="1" x14ac:dyDescent="0.25">
      <c r="A66" s="230" t="s">
        <v>476</v>
      </c>
      <c r="B66" s="501"/>
      <c r="C66" s="6"/>
      <c r="D66" s="178"/>
      <c r="E66" s="506"/>
      <c r="F66" s="179"/>
      <c r="G66" s="238"/>
    </row>
    <row r="67" spans="1:7" ht="12" customHeight="1" x14ac:dyDescent="0.2">
      <c r="A67" s="738" t="s">
        <v>0</v>
      </c>
      <c r="B67" s="740" t="s">
        <v>148</v>
      </c>
      <c r="C67" s="741"/>
      <c r="D67" s="742"/>
      <c r="E67" s="740" t="s">
        <v>149</v>
      </c>
      <c r="F67" s="741"/>
      <c r="G67" s="742"/>
    </row>
    <row r="68" spans="1:7" ht="12" customHeight="1" x14ac:dyDescent="0.2">
      <c r="A68" s="739"/>
      <c r="B68" s="507" t="s">
        <v>150</v>
      </c>
      <c r="C68" s="224" t="s">
        <v>158</v>
      </c>
      <c r="D68" s="225" t="s">
        <v>1</v>
      </c>
      <c r="E68" s="507" t="s">
        <v>150</v>
      </c>
      <c r="F68" s="224" t="s">
        <v>158</v>
      </c>
      <c r="G68" s="225" t="s">
        <v>1</v>
      </c>
    </row>
    <row r="69" spans="1:7" ht="3" customHeight="1" x14ac:dyDescent="0.2">
      <c r="A69" s="247"/>
      <c r="B69" s="250"/>
      <c r="C69" s="240"/>
      <c r="D69" s="243"/>
      <c r="E69" s="250"/>
      <c r="F69" s="240"/>
      <c r="G69" s="244"/>
    </row>
    <row r="70" spans="1:7" ht="11.1" customHeight="1" x14ac:dyDescent="0.2">
      <c r="A70" s="221" t="s">
        <v>78</v>
      </c>
      <c r="B70" s="502"/>
      <c r="C70" s="12"/>
      <c r="D70" s="233"/>
      <c r="E70" s="502"/>
      <c r="F70" s="12"/>
      <c r="G70" s="233"/>
    </row>
    <row r="71" spans="1:7" ht="11.1" customHeight="1" x14ac:dyDescent="0.2">
      <c r="A71" s="247" t="s">
        <v>85</v>
      </c>
      <c r="B71" s="250">
        <v>120</v>
      </c>
      <c r="C71" s="240">
        <v>93.5</v>
      </c>
      <c r="D71" s="243">
        <f>((C71/B71)     -    1)*100</f>
        <v>-22.083333333333332</v>
      </c>
      <c r="E71" s="250">
        <v>155</v>
      </c>
      <c r="F71" s="240">
        <v>175</v>
      </c>
      <c r="G71" s="244">
        <f t="shared" si="13"/>
        <v>12.903225806451623</v>
      </c>
    </row>
    <row r="72" spans="1:7" ht="11.1" customHeight="1" x14ac:dyDescent="0.2">
      <c r="A72" s="247" t="s">
        <v>512</v>
      </c>
      <c r="B72" s="250">
        <v>115</v>
      </c>
      <c r="C72" s="240">
        <v>113</v>
      </c>
      <c r="D72" s="243">
        <f t="shared" ref="D72" si="16">((C72/B72)     -    1)*100</f>
        <v>-1.7391304347826098</v>
      </c>
      <c r="E72" s="250">
        <v>150</v>
      </c>
      <c r="F72" s="240">
        <v>157.5</v>
      </c>
      <c r="G72" s="244">
        <f t="shared" ref="G72:G74" si="17">((F72/E72)     -    1)*100</f>
        <v>5.0000000000000044</v>
      </c>
    </row>
    <row r="73" spans="1:7" ht="11.1" customHeight="1" x14ac:dyDescent="0.2">
      <c r="A73" s="247" t="s">
        <v>25</v>
      </c>
      <c r="B73" s="250">
        <v>130</v>
      </c>
      <c r="C73" s="240">
        <v>120</v>
      </c>
      <c r="D73" s="243">
        <f t="shared" ref="D73:D74" si="18">((C73/B73)     -    1)*100</f>
        <v>-7.6923076923076872</v>
      </c>
      <c r="E73" s="488" t="s">
        <v>523</v>
      </c>
      <c r="F73" s="488" t="s">
        <v>523</v>
      </c>
      <c r="G73" s="233" t="s">
        <v>153</v>
      </c>
    </row>
    <row r="74" spans="1:7" ht="11.1" customHeight="1" x14ac:dyDescent="0.2">
      <c r="A74" s="247" t="s">
        <v>514</v>
      </c>
      <c r="B74" s="250">
        <v>140</v>
      </c>
      <c r="C74" s="240">
        <v>123</v>
      </c>
      <c r="D74" s="243">
        <f t="shared" si="18"/>
        <v>-12.142857142857144</v>
      </c>
      <c r="E74" s="250">
        <v>180</v>
      </c>
      <c r="F74" s="240">
        <v>176</v>
      </c>
      <c r="G74" s="244">
        <f t="shared" si="17"/>
        <v>-2.2222222222222254</v>
      </c>
    </row>
    <row r="75" spans="1:7" ht="11.1" customHeight="1" x14ac:dyDescent="0.2">
      <c r="A75" s="221" t="s">
        <v>83</v>
      </c>
      <c r="B75" s="499"/>
      <c r="C75" s="235"/>
      <c r="D75" s="1"/>
      <c r="E75" s="499"/>
      <c r="F75" s="235"/>
      <c r="G75" s="1"/>
    </row>
    <row r="76" spans="1:7" ht="11.1" customHeight="1" x14ac:dyDescent="0.2">
      <c r="A76" s="247" t="s">
        <v>26</v>
      </c>
      <c r="B76" s="250">
        <v>155</v>
      </c>
      <c r="C76" s="240">
        <v>155</v>
      </c>
      <c r="D76" s="243">
        <f t="shared" ref="D76:D85" si="19">((C76/B76)     -    1)*100</f>
        <v>0</v>
      </c>
      <c r="E76" s="250">
        <v>175</v>
      </c>
      <c r="F76" s="240">
        <v>175</v>
      </c>
      <c r="G76" s="243">
        <f>((F76/E76)     -    1)*100</f>
        <v>0</v>
      </c>
    </row>
    <row r="77" spans="1:7" ht="11.1" customHeight="1" x14ac:dyDescent="0.2">
      <c r="A77" s="247" t="s">
        <v>79</v>
      </c>
      <c r="B77" s="488" t="s">
        <v>523</v>
      </c>
      <c r="C77" s="488" t="s">
        <v>523</v>
      </c>
      <c r="D77" s="233" t="s">
        <v>153</v>
      </c>
      <c r="E77" s="488" t="s">
        <v>523</v>
      </c>
      <c r="F77" s="240">
        <v>110</v>
      </c>
      <c r="G77" s="233" t="s">
        <v>153</v>
      </c>
    </row>
    <row r="78" spans="1:7" ht="11.1" customHeight="1" x14ac:dyDescent="0.2">
      <c r="A78" s="247" t="s">
        <v>27</v>
      </c>
      <c r="B78" s="250">
        <v>165</v>
      </c>
      <c r="C78" s="240">
        <v>165</v>
      </c>
      <c r="D78" s="243">
        <f t="shared" si="19"/>
        <v>0</v>
      </c>
      <c r="E78" s="488" t="s">
        <v>523</v>
      </c>
      <c r="F78" s="488" t="s">
        <v>523</v>
      </c>
      <c r="G78" s="233" t="s">
        <v>153</v>
      </c>
    </row>
    <row r="79" spans="1:7" ht="11.1" customHeight="1" x14ac:dyDescent="0.2">
      <c r="A79" s="247" t="s">
        <v>28</v>
      </c>
      <c r="B79" s="250">
        <v>150</v>
      </c>
      <c r="C79" s="240">
        <v>140</v>
      </c>
      <c r="D79" s="243">
        <f t="shared" si="19"/>
        <v>-6.6666666666666652</v>
      </c>
      <c r="E79" s="250">
        <v>200</v>
      </c>
      <c r="F79" s="240">
        <v>210</v>
      </c>
      <c r="G79" s="243">
        <f t="shared" ref="G79:G85" si="20">((F79/E79)     -    1)*100</f>
        <v>5.0000000000000044</v>
      </c>
    </row>
    <row r="80" spans="1:7" ht="11.1" customHeight="1" x14ac:dyDescent="0.2">
      <c r="A80" s="247" t="s">
        <v>62</v>
      </c>
      <c r="B80" s="250">
        <v>75</v>
      </c>
      <c r="C80" s="240">
        <v>75</v>
      </c>
      <c r="D80" s="243">
        <f t="shared" si="19"/>
        <v>0</v>
      </c>
      <c r="E80" s="250">
        <v>100</v>
      </c>
      <c r="F80" s="240">
        <v>90</v>
      </c>
      <c r="G80" s="243">
        <f t="shared" si="20"/>
        <v>-9.9999999999999982</v>
      </c>
    </row>
    <row r="81" spans="1:8" ht="11.1" customHeight="1" x14ac:dyDescent="0.2">
      <c r="A81" s="247" t="s">
        <v>29</v>
      </c>
      <c r="B81" s="250">
        <v>95</v>
      </c>
      <c r="C81" s="240">
        <v>95</v>
      </c>
      <c r="D81" s="243">
        <f t="shared" si="19"/>
        <v>0</v>
      </c>
      <c r="E81" s="250">
        <v>98</v>
      </c>
      <c r="F81" s="240">
        <v>97.5</v>
      </c>
      <c r="G81" s="243">
        <f t="shared" si="20"/>
        <v>-0.51020408163264808</v>
      </c>
    </row>
    <row r="82" spans="1:8" ht="11.1" customHeight="1" x14ac:dyDescent="0.2">
      <c r="A82" s="247" t="s">
        <v>52</v>
      </c>
      <c r="B82" s="250">
        <v>170</v>
      </c>
      <c r="C82" s="240">
        <v>170</v>
      </c>
      <c r="D82" s="243">
        <f t="shared" si="19"/>
        <v>0</v>
      </c>
      <c r="E82" s="250">
        <v>145</v>
      </c>
      <c r="F82" s="240">
        <v>152.5</v>
      </c>
      <c r="G82" s="243">
        <f t="shared" si="20"/>
        <v>5.1724137931034475</v>
      </c>
    </row>
    <row r="83" spans="1:8" ht="11.1" customHeight="1" x14ac:dyDescent="0.2">
      <c r="A83" s="247" t="s">
        <v>80</v>
      </c>
      <c r="B83" s="250">
        <v>110</v>
      </c>
      <c r="C83" s="240">
        <v>110</v>
      </c>
      <c r="D83" s="243">
        <f t="shared" si="19"/>
        <v>0</v>
      </c>
      <c r="E83" s="250">
        <v>110</v>
      </c>
      <c r="F83" s="240">
        <v>110</v>
      </c>
      <c r="G83" s="243">
        <f t="shared" si="20"/>
        <v>0</v>
      </c>
    </row>
    <row r="84" spans="1:8" ht="11.1" customHeight="1" x14ac:dyDescent="0.2">
      <c r="A84" s="247" t="s">
        <v>30</v>
      </c>
      <c r="B84" s="250">
        <v>80</v>
      </c>
      <c r="C84" s="240">
        <v>85</v>
      </c>
      <c r="D84" s="243">
        <f t="shared" si="19"/>
        <v>6.25</v>
      </c>
      <c r="E84" s="250">
        <v>105</v>
      </c>
      <c r="F84" s="240">
        <v>105</v>
      </c>
      <c r="G84" s="243">
        <f t="shared" si="20"/>
        <v>0</v>
      </c>
    </row>
    <row r="85" spans="1:8" ht="11.1" customHeight="1" x14ac:dyDescent="0.2">
      <c r="A85" s="247" t="s">
        <v>31</v>
      </c>
      <c r="B85" s="250">
        <v>70</v>
      </c>
      <c r="C85" s="240">
        <v>77.5</v>
      </c>
      <c r="D85" s="243">
        <f t="shared" si="19"/>
        <v>10.714285714285721</v>
      </c>
      <c r="E85" s="250">
        <v>65</v>
      </c>
      <c r="F85" s="240">
        <v>87.5</v>
      </c>
      <c r="G85" s="243">
        <f t="shared" si="20"/>
        <v>34.615384615384627</v>
      </c>
    </row>
    <row r="86" spans="1:8" ht="11.1" customHeight="1" x14ac:dyDescent="0.2">
      <c r="A86" s="247" t="s">
        <v>32</v>
      </c>
      <c r="B86" s="250">
        <v>140</v>
      </c>
      <c r="C86" s="240">
        <v>163</v>
      </c>
      <c r="D86" s="243">
        <f>((C86/B86)     -    1)*100</f>
        <v>16.428571428571438</v>
      </c>
      <c r="E86" s="250">
        <v>125</v>
      </c>
      <c r="F86" s="240">
        <v>125</v>
      </c>
      <c r="G86" s="243">
        <f>((F86/E86)     -    1)*100</f>
        <v>0</v>
      </c>
    </row>
    <row r="87" spans="1:8" ht="11.1" customHeight="1" x14ac:dyDescent="0.2">
      <c r="A87" s="247" t="s">
        <v>64</v>
      </c>
      <c r="B87" s="488" t="s">
        <v>523</v>
      </c>
      <c r="C87" s="240">
        <v>188</v>
      </c>
      <c r="D87" s="233" t="s">
        <v>153</v>
      </c>
      <c r="E87" s="488" t="s">
        <v>523</v>
      </c>
      <c r="F87" s="240">
        <v>145</v>
      </c>
      <c r="G87" s="233" t="s">
        <v>153</v>
      </c>
      <c r="H87" s="252"/>
    </row>
    <row r="88" spans="1:8" ht="11.1" customHeight="1" x14ac:dyDescent="0.2">
      <c r="A88" s="221" t="s">
        <v>33</v>
      </c>
      <c r="B88" s="499"/>
      <c r="C88" s="235"/>
      <c r="D88" s="1"/>
      <c r="E88" s="499"/>
      <c r="F88" s="235"/>
      <c r="G88" s="1"/>
      <c r="H88" s="252"/>
    </row>
    <row r="89" spans="1:8" ht="11.1" customHeight="1" x14ac:dyDescent="0.2">
      <c r="A89" s="247" t="s">
        <v>34</v>
      </c>
      <c r="B89" s="250">
        <v>175</v>
      </c>
      <c r="C89" s="240">
        <v>175</v>
      </c>
      <c r="D89" s="243">
        <f>((C89/B89)     -    1)*100</f>
        <v>0</v>
      </c>
      <c r="E89" s="250">
        <v>90</v>
      </c>
      <c r="F89" s="240">
        <v>100</v>
      </c>
      <c r="G89" s="243">
        <f>((F89/E89)     -    1)*100</f>
        <v>11.111111111111116</v>
      </c>
      <c r="H89" s="252"/>
    </row>
    <row r="90" spans="1:8" ht="11.1" customHeight="1" x14ac:dyDescent="0.2">
      <c r="A90" s="247" t="s">
        <v>35</v>
      </c>
      <c r="B90" s="250">
        <v>177.5</v>
      </c>
      <c r="C90" s="240">
        <v>185</v>
      </c>
      <c r="D90" s="243">
        <f>((C90/B90)     -    1)*100</f>
        <v>4.2253521126760507</v>
      </c>
      <c r="E90" s="250">
        <v>103</v>
      </c>
      <c r="F90" s="240">
        <v>110</v>
      </c>
      <c r="G90" s="243">
        <f>((F90/E90)     -    1)*100</f>
        <v>6.7961165048543659</v>
      </c>
      <c r="H90" s="252"/>
    </row>
    <row r="91" spans="1:8" ht="11.1" customHeight="1" x14ac:dyDescent="0.2">
      <c r="A91" s="247" t="s">
        <v>36</v>
      </c>
      <c r="B91" s="250">
        <v>175</v>
      </c>
      <c r="C91" s="240">
        <v>175</v>
      </c>
      <c r="D91" s="243">
        <f>((C91/B91)     -    1)*100</f>
        <v>0</v>
      </c>
      <c r="E91" s="250">
        <v>90</v>
      </c>
      <c r="F91" s="240">
        <v>100</v>
      </c>
      <c r="G91" s="243">
        <f>((F91/E91)     -    1)*100</f>
        <v>11.111111111111116</v>
      </c>
      <c r="H91" s="252"/>
    </row>
    <row r="92" spans="1:8" ht="11.1" customHeight="1" x14ac:dyDescent="0.2">
      <c r="A92" s="221" t="s">
        <v>200</v>
      </c>
      <c r="B92" s="484"/>
      <c r="C92" s="240"/>
      <c r="D92" s="233"/>
      <c r="E92" s="484"/>
      <c r="F92" s="60"/>
      <c r="G92" s="233"/>
      <c r="H92" s="252"/>
    </row>
    <row r="93" spans="1:8" ht="11.1" customHeight="1" x14ac:dyDescent="0.2">
      <c r="A93" s="247" t="s">
        <v>141</v>
      </c>
      <c r="B93" s="488" t="s">
        <v>523</v>
      </c>
      <c r="C93" s="240">
        <v>78</v>
      </c>
      <c r="D93" s="233" t="s">
        <v>153</v>
      </c>
      <c r="E93" s="250">
        <v>140</v>
      </c>
      <c r="F93" s="240">
        <v>230</v>
      </c>
      <c r="G93" s="243">
        <f>((F93/E93)     -    1)*100</f>
        <v>64.285714285714278</v>
      </c>
      <c r="H93" s="252"/>
    </row>
    <row r="94" spans="1:8" ht="11.1" customHeight="1" x14ac:dyDescent="0.2">
      <c r="A94" s="221" t="s">
        <v>518</v>
      </c>
      <c r="B94" s="499"/>
      <c r="C94" s="235"/>
      <c r="D94" s="1"/>
      <c r="E94" s="499"/>
      <c r="F94" s="235"/>
      <c r="G94" s="1"/>
      <c r="H94" s="252"/>
    </row>
    <row r="95" spans="1:8" ht="11.1" customHeight="1" x14ac:dyDescent="0.2">
      <c r="A95" s="247" t="s">
        <v>519</v>
      </c>
      <c r="B95" s="250">
        <v>175</v>
      </c>
      <c r="C95" s="240">
        <v>155</v>
      </c>
      <c r="D95" s="243">
        <f>((C95/B95)     -    1)*100</f>
        <v>-11.428571428571432</v>
      </c>
      <c r="E95" s="488" t="s">
        <v>523</v>
      </c>
      <c r="F95" s="488" t="s">
        <v>523</v>
      </c>
      <c r="G95" s="233" t="s">
        <v>153</v>
      </c>
      <c r="H95" s="252"/>
    </row>
    <row r="96" spans="1:8" ht="11.1" customHeight="1" x14ac:dyDescent="0.2">
      <c r="A96" s="221" t="s">
        <v>190</v>
      </c>
      <c r="B96" s="499"/>
      <c r="C96" s="235"/>
      <c r="D96" s="1"/>
      <c r="E96" s="499"/>
      <c r="F96" s="235"/>
      <c r="G96" s="1"/>
      <c r="H96" s="252"/>
    </row>
    <row r="97" spans="1:8" ht="11.1" customHeight="1" x14ac:dyDescent="0.2">
      <c r="A97" s="673" t="s">
        <v>191</v>
      </c>
      <c r="B97" s="488" t="s">
        <v>523</v>
      </c>
      <c r="C97" s="240">
        <v>100</v>
      </c>
      <c r="D97" s="233" t="s">
        <v>153</v>
      </c>
      <c r="E97" s="488" t="s">
        <v>523</v>
      </c>
      <c r="F97" s="240">
        <v>80</v>
      </c>
      <c r="G97" s="233" t="s">
        <v>153</v>
      </c>
      <c r="H97" s="252"/>
    </row>
    <row r="98" spans="1:8" ht="11.1" customHeight="1" x14ac:dyDescent="0.2">
      <c r="A98" s="247" t="s">
        <v>192</v>
      </c>
      <c r="B98" s="250">
        <v>82.5</v>
      </c>
      <c r="C98" s="240">
        <v>95</v>
      </c>
      <c r="D98" s="243">
        <f>((C98/B98)     -    1)*100</f>
        <v>15.151515151515159</v>
      </c>
      <c r="E98" s="250">
        <v>116.66666666666667</v>
      </c>
      <c r="F98" s="240">
        <v>280</v>
      </c>
      <c r="G98" s="243">
        <f>((F98/E98)     -    1)*100</f>
        <v>140</v>
      </c>
      <c r="H98" s="252"/>
    </row>
    <row r="99" spans="1:8" ht="11.1" customHeight="1" x14ac:dyDescent="0.2">
      <c r="A99" s="247" t="s">
        <v>201</v>
      </c>
      <c r="B99" s="488" t="s">
        <v>523</v>
      </c>
      <c r="C99" s="240">
        <v>70</v>
      </c>
      <c r="D99" s="233" t="s">
        <v>153</v>
      </c>
      <c r="E99" s="488" t="s">
        <v>523</v>
      </c>
      <c r="F99" s="240">
        <v>105</v>
      </c>
      <c r="G99" s="233" t="s">
        <v>153</v>
      </c>
      <c r="H99" s="252"/>
    </row>
    <row r="100" spans="1:8" ht="11.1" customHeight="1" x14ac:dyDescent="0.2">
      <c r="A100" s="247" t="s">
        <v>193</v>
      </c>
      <c r="B100" s="250">
        <v>100</v>
      </c>
      <c r="C100" s="240">
        <v>120</v>
      </c>
      <c r="D100" s="243">
        <f>((C100/B100)     -    1)*100</f>
        <v>19.999999999999996</v>
      </c>
      <c r="E100" s="250">
        <v>180</v>
      </c>
      <c r="F100" s="240">
        <v>100</v>
      </c>
      <c r="G100" s="243">
        <f>((F100/E100)     -    1)*100</f>
        <v>-44.444444444444443</v>
      </c>
      <c r="H100" s="252"/>
    </row>
    <row r="101" spans="1:8" ht="11.1" customHeight="1" x14ac:dyDescent="0.2">
      <c r="A101" s="221" t="s">
        <v>37</v>
      </c>
      <c r="B101" s="499"/>
      <c r="C101" s="235"/>
      <c r="D101" s="1"/>
      <c r="E101" s="499"/>
      <c r="F101" s="235"/>
      <c r="G101" s="1"/>
      <c r="H101" s="252"/>
    </row>
    <row r="102" spans="1:8" ht="11.1" customHeight="1" x14ac:dyDescent="0.2">
      <c r="A102" s="247" t="s">
        <v>38</v>
      </c>
      <c r="B102" s="250">
        <v>185</v>
      </c>
      <c r="C102" s="240">
        <v>158</v>
      </c>
      <c r="D102" s="243">
        <f>((C102/B102)     -    1)*100</f>
        <v>-14.594594594594589</v>
      </c>
      <c r="E102" s="488" t="s">
        <v>523</v>
      </c>
      <c r="F102" s="488" t="s">
        <v>523</v>
      </c>
      <c r="G102" s="233" t="s">
        <v>153</v>
      </c>
      <c r="H102" s="252"/>
    </row>
    <row r="103" spans="1:8" ht="11.1" customHeight="1" x14ac:dyDescent="0.2">
      <c r="A103" s="247" t="s">
        <v>39</v>
      </c>
      <c r="B103" s="250">
        <v>110</v>
      </c>
      <c r="C103" s="240">
        <v>145</v>
      </c>
      <c r="D103" s="243">
        <f>((C103/B103)     -    1)*100</f>
        <v>31.818181818181813</v>
      </c>
      <c r="E103" s="250">
        <v>145</v>
      </c>
      <c r="F103" s="240">
        <v>143</v>
      </c>
      <c r="G103" s="243">
        <f>((F103/E103)     -    1)*100</f>
        <v>-1.379310344827589</v>
      </c>
      <c r="H103" s="252"/>
    </row>
    <row r="104" spans="1:8" ht="11.1" customHeight="1" x14ac:dyDescent="0.2">
      <c r="A104" s="221" t="s">
        <v>40</v>
      </c>
      <c r="B104" s="499"/>
      <c r="C104" s="235"/>
      <c r="D104" s="1"/>
      <c r="E104" s="499"/>
      <c r="F104" s="235"/>
      <c r="G104" s="1"/>
      <c r="H104" s="252"/>
    </row>
    <row r="105" spans="1:8" ht="11.1" customHeight="1" x14ac:dyDescent="0.2">
      <c r="A105" s="247" t="s">
        <v>42</v>
      </c>
      <c r="B105" s="250">
        <v>105</v>
      </c>
      <c r="C105" s="240">
        <v>95</v>
      </c>
      <c r="D105" s="243">
        <f>((C105/B105)     -    1)*100</f>
        <v>-9.5238095238095237</v>
      </c>
      <c r="E105" s="250">
        <v>120</v>
      </c>
      <c r="F105" s="240">
        <v>98</v>
      </c>
      <c r="G105" s="243">
        <f>((F105/E105)     -    1)*100</f>
        <v>-18.333333333333336</v>
      </c>
    </row>
    <row r="106" spans="1:8" ht="11.1" customHeight="1" x14ac:dyDescent="0.2">
      <c r="A106" s="247" t="s">
        <v>406</v>
      </c>
      <c r="B106" s="250">
        <v>197.5</v>
      </c>
      <c r="C106" s="240">
        <v>175</v>
      </c>
      <c r="D106" s="243">
        <f>((C106/B106)     -    1)*100</f>
        <v>-11.392405063291145</v>
      </c>
      <c r="E106" s="250">
        <v>77.5</v>
      </c>
      <c r="F106" s="240">
        <v>77</v>
      </c>
      <c r="G106" s="243">
        <f>((F106/E106)     -    1)*100</f>
        <v>-0.64516129032258229</v>
      </c>
    </row>
    <row r="107" spans="1:8" ht="11.1" customHeight="1" x14ac:dyDescent="0.2">
      <c r="A107" s="221" t="s">
        <v>194</v>
      </c>
    </row>
    <row r="108" spans="1:8" ht="11.1" customHeight="1" x14ac:dyDescent="0.2">
      <c r="A108" s="247" t="s">
        <v>198</v>
      </c>
      <c r="B108" s="488" t="s">
        <v>523</v>
      </c>
      <c r="C108" s="240">
        <v>81</v>
      </c>
      <c r="D108" s="233" t="s">
        <v>153</v>
      </c>
      <c r="E108" s="488" t="s">
        <v>523</v>
      </c>
      <c r="F108" s="488" t="s">
        <v>523</v>
      </c>
      <c r="G108" s="233" t="s">
        <v>153</v>
      </c>
    </row>
    <row r="109" spans="1:8" ht="11.1" customHeight="1" x14ac:dyDescent="0.2">
      <c r="A109" s="247" t="s">
        <v>515</v>
      </c>
      <c r="B109" s="488" t="s">
        <v>523</v>
      </c>
      <c r="C109" s="240">
        <v>58</v>
      </c>
      <c r="D109" s="233" t="s">
        <v>153</v>
      </c>
      <c r="E109" s="488" t="s">
        <v>523</v>
      </c>
      <c r="F109" s="488" t="s">
        <v>523</v>
      </c>
      <c r="G109" s="233" t="s">
        <v>153</v>
      </c>
    </row>
    <row r="110" spans="1:8" ht="11.1" customHeight="1" x14ac:dyDescent="0.2">
      <c r="A110" s="247" t="s">
        <v>475</v>
      </c>
      <c r="B110" s="488" t="s">
        <v>523</v>
      </c>
      <c r="C110" s="240">
        <v>50</v>
      </c>
      <c r="D110" s="233" t="s">
        <v>153</v>
      </c>
      <c r="E110" s="488" t="s">
        <v>523</v>
      </c>
      <c r="F110" s="240">
        <v>170</v>
      </c>
      <c r="G110" s="233" t="s">
        <v>153</v>
      </c>
    </row>
    <row r="111" spans="1:8" ht="11.1" customHeight="1" x14ac:dyDescent="0.2">
      <c r="A111" s="247" t="s">
        <v>197</v>
      </c>
      <c r="B111" s="488" t="s">
        <v>523</v>
      </c>
      <c r="C111" s="240">
        <v>90</v>
      </c>
      <c r="D111" s="233" t="s">
        <v>153</v>
      </c>
      <c r="E111" s="488" t="s">
        <v>523</v>
      </c>
      <c r="F111" s="240">
        <v>115</v>
      </c>
      <c r="G111" s="233" t="s">
        <v>153</v>
      </c>
    </row>
    <row r="112" spans="1:8" ht="11.1" customHeight="1" x14ac:dyDescent="0.2">
      <c r="A112" s="247" t="s">
        <v>195</v>
      </c>
      <c r="B112" s="488" t="s">
        <v>523</v>
      </c>
      <c r="C112" s="240">
        <v>55</v>
      </c>
      <c r="D112" s="233" t="s">
        <v>153</v>
      </c>
      <c r="E112" s="488" t="s">
        <v>523</v>
      </c>
      <c r="F112" s="240">
        <v>71</v>
      </c>
      <c r="G112" s="233" t="s">
        <v>153</v>
      </c>
    </row>
    <row r="113" spans="1:7" ht="11.1" customHeight="1" x14ac:dyDescent="0.2">
      <c r="A113" s="221" t="s">
        <v>81</v>
      </c>
      <c r="B113" s="499"/>
      <c r="C113" s="235"/>
      <c r="D113" s="1"/>
      <c r="E113" s="493"/>
      <c r="F113" s="235"/>
      <c r="G113" s="1"/>
    </row>
    <row r="114" spans="1:7" ht="11.1" customHeight="1" x14ac:dyDescent="0.2">
      <c r="A114" s="247" t="s">
        <v>472</v>
      </c>
      <c r="B114" s="250">
        <v>155</v>
      </c>
      <c r="C114" s="240">
        <v>140</v>
      </c>
      <c r="D114" s="242">
        <f>((C114/B114)     -    1)*100</f>
        <v>-9.6774193548387117</v>
      </c>
      <c r="E114" s="488" t="s">
        <v>523</v>
      </c>
      <c r="F114" s="488" t="s">
        <v>523</v>
      </c>
      <c r="G114" s="233" t="s">
        <v>153</v>
      </c>
    </row>
    <row r="115" spans="1:7" ht="11.1" customHeight="1" x14ac:dyDescent="0.2">
      <c r="A115" s="247" t="s">
        <v>57</v>
      </c>
      <c r="B115" s="250">
        <v>180</v>
      </c>
      <c r="C115" s="240">
        <v>105</v>
      </c>
      <c r="D115" s="242">
        <f t="shared" ref="D115" si="21">((C115/B115)     -    1)*100</f>
        <v>-41.666666666666664</v>
      </c>
      <c r="E115" s="488" t="s">
        <v>523</v>
      </c>
      <c r="F115" s="488" t="s">
        <v>523</v>
      </c>
      <c r="G115" s="233" t="s">
        <v>153</v>
      </c>
    </row>
    <row r="116" spans="1:7" ht="11.1" customHeight="1" x14ac:dyDescent="0.2">
      <c r="A116" s="247" t="s">
        <v>568</v>
      </c>
      <c r="B116" s="250">
        <v>150</v>
      </c>
      <c r="C116" s="240">
        <v>144.5</v>
      </c>
      <c r="D116" s="242">
        <f t="shared" ref="D116" si="22">((C116/B116)     -    1)*100</f>
        <v>-3.6666666666666625</v>
      </c>
      <c r="E116" s="488" t="s">
        <v>523</v>
      </c>
      <c r="F116" s="488" t="s">
        <v>523</v>
      </c>
      <c r="G116" s="233" t="s">
        <v>153</v>
      </c>
    </row>
    <row r="117" spans="1:7" ht="11.1" customHeight="1" x14ac:dyDescent="0.2">
      <c r="A117" s="247" t="s">
        <v>58</v>
      </c>
      <c r="B117" s="250">
        <v>175</v>
      </c>
      <c r="C117" s="240">
        <v>123</v>
      </c>
      <c r="D117" s="242">
        <f>((C117/B117)     -    1)*100</f>
        <v>-29.714285714285715</v>
      </c>
      <c r="E117" s="488" t="s">
        <v>523</v>
      </c>
      <c r="F117" s="488" t="s">
        <v>523</v>
      </c>
      <c r="G117" s="233" t="s">
        <v>153</v>
      </c>
    </row>
    <row r="118" spans="1:7" ht="11.1" customHeight="1" x14ac:dyDescent="0.2">
      <c r="A118" s="221" t="s">
        <v>86</v>
      </c>
      <c r="B118" s="499"/>
      <c r="C118" s="235"/>
      <c r="D118" s="1"/>
      <c r="E118" s="499"/>
      <c r="F118" s="235"/>
      <c r="G118" s="1"/>
    </row>
    <row r="119" spans="1:7" ht="11.1" customHeight="1" x14ac:dyDescent="0.2">
      <c r="A119" s="247" t="s">
        <v>445</v>
      </c>
      <c r="B119" s="488" t="s">
        <v>523</v>
      </c>
      <c r="C119" s="240">
        <v>80</v>
      </c>
      <c r="D119" s="233" t="s">
        <v>153</v>
      </c>
      <c r="E119" s="488" t="s">
        <v>523</v>
      </c>
      <c r="F119" s="488" t="s">
        <v>523</v>
      </c>
      <c r="G119" s="233" t="s">
        <v>153</v>
      </c>
    </row>
    <row r="120" spans="1:7" ht="11.1" customHeight="1" x14ac:dyDescent="0.2">
      <c r="A120" s="221" t="s">
        <v>69</v>
      </c>
      <c r="B120" s="499"/>
      <c r="C120" s="235"/>
      <c r="D120" s="1"/>
      <c r="E120" s="499"/>
      <c r="F120" s="235"/>
      <c r="G120" s="1"/>
    </row>
    <row r="121" spans="1:7" ht="11.1" customHeight="1" x14ac:dyDescent="0.2">
      <c r="A121" s="247" t="s">
        <v>72</v>
      </c>
      <c r="B121" s="250">
        <v>140</v>
      </c>
      <c r="C121" s="240">
        <v>160</v>
      </c>
      <c r="D121" s="243">
        <f>((C121/B121)     -    1)*100</f>
        <v>14.285714285714279</v>
      </c>
      <c r="E121" s="488" t="s">
        <v>523</v>
      </c>
      <c r="F121" s="488" t="s">
        <v>523</v>
      </c>
      <c r="G121" s="233" t="s">
        <v>153</v>
      </c>
    </row>
    <row r="122" spans="1:7" ht="11.1" customHeight="1" x14ac:dyDescent="0.2">
      <c r="A122" s="247" t="s">
        <v>70</v>
      </c>
      <c r="B122" s="250">
        <v>150</v>
      </c>
      <c r="C122" s="240">
        <v>160</v>
      </c>
      <c r="D122" s="242">
        <f>((C122/B122)     -    1)*100</f>
        <v>6.6666666666666652</v>
      </c>
      <c r="E122" s="488" t="s">
        <v>523</v>
      </c>
      <c r="F122" s="488" t="s">
        <v>523</v>
      </c>
      <c r="G122" s="233" t="s">
        <v>153</v>
      </c>
    </row>
    <row r="123" spans="1:7" ht="11.1" customHeight="1" x14ac:dyDescent="0.2">
      <c r="A123" s="247" t="s">
        <v>71</v>
      </c>
      <c r="B123" s="250">
        <v>160</v>
      </c>
      <c r="C123" s="240">
        <v>160</v>
      </c>
      <c r="D123" s="243">
        <f>((C123/B123)     -    1)*100</f>
        <v>0</v>
      </c>
      <c r="E123" s="240">
        <v>160</v>
      </c>
      <c r="F123" s="240">
        <v>145</v>
      </c>
      <c r="G123" s="242">
        <f>((F123/E123)     -    1)*100</f>
        <v>-9.375</v>
      </c>
    </row>
    <row r="124" spans="1:7" ht="11.1" customHeight="1" x14ac:dyDescent="0.2">
      <c r="A124" s="221" t="s">
        <v>44</v>
      </c>
      <c r="B124" s="499"/>
      <c r="C124" s="235"/>
      <c r="D124" s="1"/>
      <c r="E124" s="499"/>
      <c r="F124" s="235"/>
      <c r="G124" s="1"/>
    </row>
    <row r="125" spans="1:7" ht="11.1" customHeight="1" x14ac:dyDescent="0.2">
      <c r="A125" s="249" t="s">
        <v>45</v>
      </c>
      <c r="B125" s="508">
        <v>120</v>
      </c>
      <c r="C125" s="241">
        <v>120</v>
      </c>
      <c r="D125" s="245">
        <f>((C125/B125)     -    1)*100</f>
        <v>0</v>
      </c>
      <c r="E125" s="485" t="s">
        <v>156</v>
      </c>
      <c r="F125" s="61" t="s">
        <v>156</v>
      </c>
      <c r="G125" s="239" t="s">
        <v>153</v>
      </c>
    </row>
    <row r="126" spans="1:7" ht="9" customHeight="1" x14ac:dyDescent="0.2">
      <c r="A126" s="9" t="s">
        <v>84</v>
      </c>
      <c r="B126" s="504"/>
      <c r="C126" s="51"/>
      <c r="D126" s="51"/>
      <c r="E126" s="504"/>
      <c r="F126" s="51"/>
      <c r="G126" s="51"/>
    </row>
    <row r="127" spans="1:7" ht="9" customHeight="1" x14ac:dyDescent="0.2">
      <c r="A127" s="113" t="s">
        <v>65</v>
      </c>
      <c r="B127" s="504"/>
      <c r="C127" s="51"/>
      <c r="D127" s="51"/>
      <c r="E127" s="504"/>
      <c r="F127" s="51"/>
      <c r="G127" s="51"/>
    </row>
    <row r="128" spans="1:7" ht="9" customHeight="1" x14ac:dyDescent="0.2">
      <c r="A128" s="113" t="s">
        <v>66</v>
      </c>
      <c r="B128" s="504"/>
      <c r="C128" s="51"/>
      <c r="D128" s="51"/>
      <c r="E128" s="504"/>
      <c r="F128" s="51"/>
      <c r="G128" s="51"/>
    </row>
    <row r="129" spans="1:7" ht="9" customHeight="1" x14ac:dyDescent="0.2">
      <c r="A129" s="113"/>
      <c r="B129" s="504"/>
      <c r="C129" s="51"/>
      <c r="D129" s="51"/>
      <c r="E129" s="504"/>
      <c r="F129" s="51"/>
      <c r="G129" s="51"/>
    </row>
    <row r="130" spans="1:7" ht="9.75" customHeight="1" x14ac:dyDescent="0.2">
      <c r="A130" s="113"/>
    </row>
    <row r="131" spans="1:7" ht="8.25" customHeight="1" x14ac:dyDescent="0.2"/>
  </sheetData>
  <mergeCells count="6">
    <mergeCell ref="A4:A5"/>
    <mergeCell ref="B4:D4"/>
    <mergeCell ref="E4:G4"/>
    <mergeCell ref="A67:A68"/>
    <mergeCell ref="B67:D67"/>
    <mergeCell ref="E67:G67"/>
  </mergeCells>
  <pageMargins left="0.27559055118110237" right="0.27559055118110237" top="0.39370078740157483" bottom="0.39370078740157483" header="0" footer="0"/>
  <pageSetup paperSize="9" orientation="portrait" r:id="rId1"/>
  <ignoredErrors>
    <ignoredError sqref="B5:G5 B68:G68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8"/>
  <dimension ref="A1:G663"/>
  <sheetViews>
    <sheetView showGridLines="0" topLeftCell="A29" zoomScaleNormal="100" workbookViewId="0">
      <selection activeCell="A52" sqref="A52:G102"/>
    </sheetView>
  </sheetViews>
  <sheetFormatPr baseColWidth="10" defaultColWidth="11.42578125" defaultRowHeight="15" customHeight="1" x14ac:dyDescent="0.2"/>
  <cols>
    <col min="1" max="1" width="20.140625" style="2" customWidth="1"/>
    <col min="2" max="2" width="15.85546875" style="2" customWidth="1"/>
    <col min="3" max="3" width="20.140625" style="2" customWidth="1"/>
    <col min="4" max="4" width="10.5703125" style="2" customWidth="1"/>
    <col min="5" max="5" width="10.7109375" style="2" customWidth="1"/>
    <col min="6" max="6" width="8.140625" style="2" customWidth="1"/>
    <col min="7" max="7" width="8" style="2" customWidth="1"/>
    <col min="8" max="16384" width="11.42578125" style="2"/>
  </cols>
  <sheetData>
    <row r="1" spans="1:7" ht="19.149999999999999" customHeight="1" x14ac:dyDescent="0.25">
      <c r="A1" s="262" t="s">
        <v>524</v>
      </c>
      <c r="B1" s="262"/>
      <c r="C1" s="287"/>
      <c r="D1" s="288"/>
      <c r="E1" s="287"/>
      <c r="F1" s="287"/>
      <c r="G1" s="289"/>
    </row>
    <row r="2" spans="1:7" ht="12" customHeight="1" x14ac:dyDescent="0.25">
      <c r="A2" s="262" t="s">
        <v>607</v>
      </c>
      <c r="B2" s="262"/>
      <c r="C2" s="290"/>
      <c r="D2" s="291"/>
      <c r="E2" s="290"/>
      <c r="F2" s="290"/>
      <c r="G2" s="292"/>
    </row>
    <row r="3" spans="1:7" ht="4.9000000000000004" customHeight="1" x14ac:dyDescent="0.25">
      <c r="B3" s="262" t="s">
        <v>328</v>
      </c>
      <c r="C3" s="262"/>
      <c r="D3" s="262"/>
      <c r="E3" s="262"/>
      <c r="F3" s="262"/>
      <c r="G3" s="293"/>
    </row>
    <row r="4" spans="1:7" ht="25.5" x14ac:dyDescent="0.2">
      <c r="A4" s="294" t="s">
        <v>202</v>
      </c>
      <c r="B4" s="294" t="s">
        <v>329</v>
      </c>
      <c r="C4" s="294" t="s">
        <v>240</v>
      </c>
      <c r="D4" s="294" t="s">
        <v>330</v>
      </c>
      <c r="E4" s="294" t="s">
        <v>205</v>
      </c>
      <c r="F4" s="294" t="s">
        <v>331</v>
      </c>
      <c r="G4" s="294" t="s">
        <v>332</v>
      </c>
    </row>
    <row r="5" spans="1:7" ht="12" customHeight="1" x14ac:dyDescent="0.2">
      <c r="A5" s="743" t="s">
        <v>333</v>
      </c>
      <c r="B5" s="295" t="s">
        <v>334</v>
      </c>
      <c r="C5" s="295" t="s">
        <v>335</v>
      </c>
      <c r="D5" s="296" t="s">
        <v>336</v>
      </c>
      <c r="E5" s="297" t="s">
        <v>337</v>
      </c>
      <c r="F5" s="305">
        <v>4</v>
      </c>
      <c r="G5" s="299">
        <v>5</v>
      </c>
    </row>
    <row r="6" spans="1:7" ht="12" customHeight="1" x14ac:dyDescent="0.2">
      <c r="A6" s="745"/>
      <c r="B6" s="300" t="s">
        <v>316</v>
      </c>
      <c r="C6" s="300" t="s">
        <v>449</v>
      </c>
      <c r="D6" s="301" t="s">
        <v>336</v>
      </c>
      <c r="E6" s="302" t="s">
        <v>336</v>
      </c>
      <c r="F6" s="303">
        <v>4</v>
      </c>
      <c r="G6" s="304">
        <v>12</v>
      </c>
    </row>
    <row r="7" spans="1:7" ht="12" customHeight="1" x14ac:dyDescent="0.2">
      <c r="A7" s="743" t="s">
        <v>216</v>
      </c>
      <c r="B7" s="295" t="s">
        <v>334</v>
      </c>
      <c r="C7" s="295" t="s">
        <v>338</v>
      </c>
      <c r="D7" s="296" t="s">
        <v>336</v>
      </c>
      <c r="E7" s="297" t="s">
        <v>336</v>
      </c>
      <c r="F7" s="305">
        <v>450</v>
      </c>
      <c r="G7" s="299">
        <v>4</v>
      </c>
    </row>
    <row r="8" spans="1:7" ht="12" customHeight="1" x14ac:dyDescent="0.2">
      <c r="A8" s="744"/>
      <c r="B8" s="295" t="s">
        <v>334</v>
      </c>
      <c r="C8" s="295" t="s">
        <v>340</v>
      </c>
      <c r="D8" s="296" t="s">
        <v>336</v>
      </c>
      <c r="E8" s="297" t="s">
        <v>339</v>
      </c>
      <c r="F8" s="305">
        <v>1193</v>
      </c>
      <c r="G8" s="299">
        <v>5</v>
      </c>
    </row>
    <row r="9" spans="1:7" ht="12" customHeight="1" x14ac:dyDescent="0.2">
      <c r="A9" s="744"/>
      <c r="B9" s="295" t="s">
        <v>334</v>
      </c>
      <c r="C9" s="295" t="s">
        <v>341</v>
      </c>
      <c r="D9" s="296" t="s">
        <v>336</v>
      </c>
      <c r="E9" s="297" t="s">
        <v>339</v>
      </c>
      <c r="F9" s="305">
        <v>50</v>
      </c>
      <c r="G9" s="299">
        <v>5</v>
      </c>
    </row>
    <row r="10" spans="1:7" ht="12" customHeight="1" x14ac:dyDescent="0.2">
      <c r="A10" s="744"/>
      <c r="B10" s="295" t="s">
        <v>318</v>
      </c>
      <c r="C10" s="295" t="s">
        <v>342</v>
      </c>
      <c r="D10" s="296" t="s">
        <v>336</v>
      </c>
      <c r="E10" s="297" t="s">
        <v>336</v>
      </c>
      <c r="F10" s="305">
        <v>2909</v>
      </c>
      <c r="G10" s="299">
        <v>3.5</v>
      </c>
    </row>
    <row r="11" spans="1:7" ht="12" customHeight="1" x14ac:dyDescent="0.2">
      <c r="A11" s="744"/>
      <c r="B11" s="295" t="s">
        <v>322</v>
      </c>
      <c r="C11" s="295" t="s">
        <v>484</v>
      </c>
      <c r="D11" s="296" t="s">
        <v>336</v>
      </c>
      <c r="E11" s="297" t="s">
        <v>336</v>
      </c>
      <c r="F11" s="298">
        <v>450</v>
      </c>
      <c r="G11" s="299">
        <v>8</v>
      </c>
    </row>
    <row r="12" spans="1:7" ht="12" customHeight="1" x14ac:dyDescent="0.2">
      <c r="A12" s="744"/>
      <c r="B12" s="295" t="s">
        <v>316</v>
      </c>
      <c r="C12" s="295" t="s">
        <v>343</v>
      </c>
      <c r="D12" s="296" t="s">
        <v>336</v>
      </c>
      <c r="E12" s="297" t="s">
        <v>337</v>
      </c>
      <c r="F12" s="298">
        <v>30</v>
      </c>
      <c r="G12" s="299">
        <v>13</v>
      </c>
    </row>
    <row r="13" spans="1:7" ht="12" customHeight="1" x14ac:dyDescent="0.2">
      <c r="A13" s="744"/>
      <c r="B13" s="295" t="s">
        <v>452</v>
      </c>
      <c r="C13" s="295" t="s">
        <v>486</v>
      </c>
      <c r="D13" s="296" t="s">
        <v>336</v>
      </c>
      <c r="E13" s="297" t="s">
        <v>336</v>
      </c>
      <c r="F13" s="298">
        <v>4350</v>
      </c>
      <c r="G13" s="299">
        <v>3.5</v>
      </c>
    </row>
    <row r="14" spans="1:7" ht="12" customHeight="1" x14ac:dyDescent="0.2">
      <c r="A14" s="744"/>
      <c r="B14" s="295" t="s">
        <v>452</v>
      </c>
      <c r="C14" s="295" t="s">
        <v>525</v>
      </c>
      <c r="D14" s="296" t="s">
        <v>336</v>
      </c>
      <c r="E14" s="297" t="s">
        <v>337</v>
      </c>
      <c r="F14" s="298">
        <v>300</v>
      </c>
      <c r="G14" s="299">
        <v>4</v>
      </c>
    </row>
    <row r="15" spans="1:7" ht="12" customHeight="1" x14ac:dyDescent="0.2">
      <c r="A15" s="744"/>
      <c r="B15" s="295" t="s">
        <v>452</v>
      </c>
      <c r="C15" s="295" t="s">
        <v>444</v>
      </c>
      <c r="D15" s="296" t="s">
        <v>336</v>
      </c>
      <c r="E15" s="297" t="s">
        <v>337</v>
      </c>
      <c r="F15" s="298">
        <v>2850</v>
      </c>
      <c r="G15" s="299">
        <v>4</v>
      </c>
    </row>
    <row r="16" spans="1:7" ht="12" customHeight="1" x14ac:dyDescent="0.2">
      <c r="A16" s="744"/>
      <c r="B16" s="295" t="s">
        <v>314</v>
      </c>
      <c r="C16" s="295" t="s">
        <v>346</v>
      </c>
      <c r="D16" s="296" t="s">
        <v>336</v>
      </c>
      <c r="E16" s="297" t="s">
        <v>339</v>
      </c>
      <c r="F16" s="298">
        <v>44</v>
      </c>
      <c r="G16" s="299">
        <v>5</v>
      </c>
    </row>
    <row r="17" spans="1:7" ht="12" customHeight="1" x14ac:dyDescent="0.2">
      <c r="A17" s="744"/>
      <c r="B17" s="295" t="s">
        <v>326</v>
      </c>
      <c r="C17" s="295" t="s">
        <v>347</v>
      </c>
      <c r="D17" s="296" t="s">
        <v>336</v>
      </c>
      <c r="E17" s="297" t="s">
        <v>337</v>
      </c>
      <c r="F17" s="298">
        <v>891</v>
      </c>
      <c r="G17" s="299">
        <v>5.5</v>
      </c>
    </row>
    <row r="18" spans="1:7" ht="12" customHeight="1" x14ac:dyDescent="0.2">
      <c r="A18" s="744"/>
      <c r="B18" s="295" t="s">
        <v>326</v>
      </c>
      <c r="C18" s="295" t="s">
        <v>347</v>
      </c>
      <c r="D18" s="296" t="s">
        <v>336</v>
      </c>
      <c r="E18" s="297" t="s">
        <v>339</v>
      </c>
      <c r="F18" s="298">
        <v>3284</v>
      </c>
      <c r="G18" s="299">
        <v>6</v>
      </c>
    </row>
    <row r="19" spans="1:7" ht="12" customHeight="1" x14ac:dyDescent="0.2">
      <c r="A19" s="745"/>
      <c r="B19" s="295" t="s">
        <v>326</v>
      </c>
      <c r="C19" s="295" t="s">
        <v>347</v>
      </c>
      <c r="D19" s="296" t="s">
        <v>336</v>
      </c>
      <c r="E19" s="297" t="s">
        <v>336</v>
      </c>
      <c r="F19" s="298">
        <v>34</v>
      </c>
      <c r="G19" s="299">
        <v>5</v>
      </c>
    </row>
    <row r="20" spans="1:7" ht="12" customHeight="1" x14ac:dyDescent="0.2">
      <c r="A20" s="743" t="s">
        <v>5</v>
      </c>
      <c r="B20" s="311" t="s">
        <v>317</v>
      </c>
      <c r="C20" s="311" t="s">
        <v>348</v>
      </c>
      <c r="D20" s="312" t="s">
        <v>336</v>
      </c>
      <c r="E20" s="313" t="s">
        <v>336</v>
      </c>
      <c r="F20" s="314">
        <v>4200</v>
      </c>
      <c r="G20" s="310">
        <v>2.5</v>
      </c>
    </row>
    <row r="21" spans="1:7" ht="12" customHeight="1" x14ac:dyDescent="0.2">
      <c r="A21" s="744"/>
      <c r="B21" s="295" t="s">
        <v>334</v>
      </c>
      <c r="C21" s="295" t="s">
        <v>338</v>
      </c>
      <c r="D21" s="296" t="s">
        <v>336</v>
      </c>
      <c r="E21" s="297" t="s">
        <v>336</v>
      </c>
      <c r="F21" s="305">
        <v>2320</v>
      </c>
      <c r="G21" s="299">
        <v>5.5</v>
      </c>
    </row>
    <row r="22" spans="1:7" ht="12" customHeight="1" x14ac:dyDescent="0.2">
      <c r="A22" s="744"/>
      <c r="B22" s="295" t="s">
        <v>453</v>
      </c>
      <c r="C22" s="295" t="s">
        <v>450</v>
      </c>
      <c r="D22" s="296" t="s">
        <v>336</v>
      </c>
      <c r="E22" s="297" t="s">
        <v>336</v>
      </c>
      <c r="F22" s="305">
        <v>3950</v>
      </c>
      <c r="G22" s="299">
        <v>6.5</v>
      </c>
    </row>
    <row r="23" spans="1:7" ht="12" customHeight="1" x14ac:dyDescent="0.2">
      <c r="A23" s="744"/>
      <c r="B23" s="295" t="s">
        <v>315</v>
      </c>
      <c r="C23" s="295" t="s">
        <v>344</v>
      </c>
      <c r="D23" s="296" t="s">
        <v>336</v>
      </c>
      <c r="E23" s="297" t="s">
        <v>336</v>
      </c>
      <c r="F23" s="305">
        <v>750</v>
      </c>
      <c r="G23" s="299">
        <v>6</v>
      </c>
    </row>
    <row r="24" spans="1:7" ht="12" customHeight="1" x14ac:dyDescent="0.2">
      <c r="A24" s="745"/>
      <c r="B24" s="300" t="s">
        <v>315</v>
      </c>
      <c r="C24" s="300" t="s">
        <v>344</v>
      </c>
      <c r="D24" s="301" t="s">
        <v>336</v>
      </c>
      <c r="E24" s="302" t="s">
        <v>337</v>
      </c>
      <c r="F24" s="303">
        <v>875</v>
      </c>
      <c r="G24" s="299">
        <v>6.5</v>
      </c>
    </row>
    <row r="25" spans="1:7" ht="12" customHeight="1" x14ac:dyDescent="0.2">
      <c r="A25" s="743" t="s">
        <v>349</v>
      </c>
      <c r="B25" s="295" t="s">
        <v>334</v>
      </c>
      <c r="C25" s="295" t="s">
        <v>350</v>
      </c>
      <c r="D25" s="296" t="s">
        <v>336</v>
      </c>
      <c r="E25" s="297" t="s">
        <v>337</v>
      </c>
      <c r="F25" s="305">
        <v>50</v>
      </c>
      <c r="G25" s="310">
        <v>7.9</v>
      </c>
    </row>
    <row r="26" spans="1:7" ht="12" customHeight="1" x14ac:dyDescent="0.2">
      <c r="A26" s="744"/>
      <c r="B26" s="295" t="s">
        <v>323</v>
      </c>
      <c r="C26" s="295" t="s">
        <v>351</v>
      </c>
      <c r="D26" s="296" t="s">
        <v>336</v>
      </c>
      <c r="E26" s="297" t="s">
        <v>339</v>
      </c>
      <c r="F26" s="305">
        <v>120</v>
      </c>
      <c r="G26" s="299">
        <v>15</v>
      </c>
    </row>
    <row r="27" spans="1:7" ht="12" customHeight="1" x14ac:dyDescent="0.2">
      <c r="A27" s="744"/>
      <c r="B27" s="295" t="s">
        <v>452</v>
      </c>
      <c r="C27" s="295" t="s">
        <v>526</v>
      </c>
      <c r="D27" s="296" t="s">
        <v>336</v>
      </c>
      <c r="E27" s="297" t="s">
        <v>337</v>
      </c>
      <c r="F27" s="305">
        <v>3690</v>
      </c>
      <c r="G27" s="299">
        <v>13</v>
      </c>
    </row>
    <row r="28" spans="1:7" ht="12" customHeight="1" x14ac:dyDescent="0.2">
      <c r="A28" s="745"/>
      <c r="B28" s="300" t="s">
        <v>314</v>
      </c>
      <c r="C28" s="300" t="s">
        <v>352</v>
      </c>
      <c r="D28" s="301" t="s">
        <v>336</v>
      </c>
      <c r="E28" s="302" t="s">
        <v>337</v>
      </c>
      <c r="F28" s="303">
        <v>1200</v>
      </c>
      <c r="G28" s="304">
        <v>7.5</v>
      </c>
    </row>
    <row r="29" spans="1:7" ht="12" customHeight="1" x14ac:dyDescent="0.2">
      <c r="A29" s="743" t="s">
        <v>220</v>
      </c>
      <c r="B29" s="295" t="s">
        <v>318</v>
      </c>
      <c r="C29" s="295" t="s">
        <v>382</v>
      </c>
      <c r="D29" s="296" t="s">
        <v>336</v>
      </c>
      <c r="E29" s="297" t="s">
        <v>337</v>
      </c>
      <c r="F29" s="305">
        <v>416</v>
      </c>
      <c r="G29" s="299">
        <v>8.1999999999999993</v>
      </c>
    </row>
    <row r="30" spans="1:7" ht="12" customHeight="1" x14ac:dyDescent="0.2">
      <c r="A30" s="744"/>
      <c r="B30" s="295" t="s">
        <v>453</v>
      </c>
      <c r="C30" s="295" t="s">
        <v>450</v>
      </c>
      <c r="D30" s="296" t="s">
        <v>336</v>
      </c>
      <c r="E30" s="297" t="s">
        <v>339</v>
      </c>
      <c r="F30" s="305">
        <v>2043</v>
      </c>
      <c r="G30" s="299">
        <v>15</v>
      </c>
    </row>
    <row r="31" spans="1:7" ht="12" customHeight="1" x14ac:dyDescent="0.2">
      <c r="A31" s="744"/>
      <c r="B31" s="295" t="s">
        <v>316</v>
      </c>
      <c r="C31" s="295" t="s">
        <v>353</v>
      </c>
      <c r="D31" s="296" t="s">
        <v>336</v>
      </c>
      <c r="E31" s="297" t="s">
        <v>337</v>
      </c>
      <c r="F31" s="305">
        <v>833</v>
      </c>
      <c r="G31" s="299">
        <v>15</v>
      </c>
    </row>
    <row r="32" spans="1:7" ht="12" customHeight="1" x14ac:dyDescent="0.2">
      <c r="A32" s="744"/>
      <c r="B32" s="295" t="s">
        <v>452</v>
      </c>
      <c r="C32" s="295" t="s">
        <v>486</v>
      </c>
      <c r="D32" s="296" t="s">
        <v>336</v>
      </c>
      <c r="E32" s="297" t="s">
        <v>337</v>
      </c>
      <c r="F32" s="305">
        <v>1000</v>
      </c>
      <c r="G32" s="299">
        <v>3</v>
      </c>
    </row>
    <row r="33" spans="1:7" ht="12" customHeight="1" x14ac:dyDescent="0.2">
      <c r="A33" s="744"/>
      <c r="B33" s="295" t="s">
        <v>452</v>
      </c>
      <c r="C33" s="295" t="s">
        <v>486</v>
      </c>
      <c r="D33" s="296" t="s">
        <v>336</v>
      </c>
      <c r="E33" s="297" t="s">
        <v>339</v>
      </c>
      <c r="F33" s="305">
        <v>2950</v>
      </c>
      <c r="G33" s="299">
        <v>3.5</v>
      </c>
    </row>
    <row r="34" spans="1:7" ht="12" customHeight="1" x14ac:dyDescent="0.2">
      <c r="A34" s="744"/>
      <c r="B34" s="295" t="s">
        <v>452</v>
      </c>
      <c r="C34" s="295" t="s">
        <v>527</v>
      </c>
      <c r="D34" s="296" t="s">
        <v>336</v>
      </c>
      <c r="E34" s="297" t="s">
        <v>337</v>
      </c>
      <c r="F34" s="305">
        <v>550</v>
      </c>
      <c r="G34" s="299">
        <v>3</v>
      </c>
    </row>
    <row r="35" spans="1:7" ht="12" customHeight="1" x14ac:dyDescent="0.2">
      <c r="A35" s="745"/>
      <c r="B35" s="300" t="s">
        <v>452</v>
      </c>
      <c r="C35" s="300" t="s">
        <v>444</v>
      </c>
      <c r="D35" s="301" t="s">
        <v>336</v>
      </c>
      <c r="E35" s="302" t="s">
        <v>337</v>
      </c>
      <c r="F35" s="303">
        <v>9400</v>
      </c>
      <c r="G35" s="304">
        <v>3</v>
      </c>
    </row>
    <row r="36" spans="1:7" ht="12" customHeight="1" x14ac:dyDescent="0.2">
      <c r="A36" s="523" t="s">
        <v>221</v>
      </c>
      <c r="B36" s="306" t="s">
        <v>315</v>
      </c>
      <c r="C36" s="306" t="s">
        <v>354</v>
      </c>
      <c r="D36" s="307" t="s">
        <v>336</v>
      </c>
      <c r="E36" s="308" t="s">
        <v>336</v>
      </c>
      <c r="F36" s="309">
        <v>2425</v>
      </c>
      <c r="G36" s="315">
        <v>8</v>
      </c>
    </row>
    <row r="37" spans="1:7" ht="12" customHeight="1" x14ac:dyDescent="0.2">
      <c r="A37" s="637" t="s">
        <v>355</v>
      </c>
      <c r="B37" s="300" t="s">
        <v>315</v>
      </c>
      <c r="C37" s="300" t="s">
        <v>383</v>
      </c>
      <c r="D37" s="301" t="s">
        <v>345</v>
      </c>
      <c r="E37" s="302" t="s">
        <v>345</v>
      </c>
      <c r="F37" s="303">
        <v>69</v>
      </c>
      <c r="G37" s="304">
        <v>12</v>
      </c>
    </row>
    <row r="38" spans="1:7" ht="12" customHeight="1" x14ac:dyDescent="0.2">
      <c r="A38" s="743" t="s">
        <v>477</v>
      </c>
      <c r="B38" s="311" t="s">
        <v>356</v>
      </c>
      <c r="C38" s="311" t="s">
        <v>357</v>
      </c>
      <c r="D38" s="312" t="s">
        <v>336</v>
      </c>
      <c r="E38" s="297" t="s">
        <v>337</v>
      </c>
      <c r="F38" s="314">
        <v>425</v>
      </c>
      <c r="G38" s="310">
        <v>17</v>
      </c>
    </row>
    <row r="39" spans="1:7" ht="12" customHeight="1" x14ac:dyDescent="0.2">
      <c r="A39" s="744"/>
      <c r="B39" s="295" t="s">
        <v>356</v>
      </c>
      <c r="C39" s="295" t="s">
        <v>357</v>
      </c>
      <c r="D39" s="296" t="s">
        <v>336</v>
      </c>
      <c r="E39" s="297" t="s">
        <v>336</v>
      </c>
      <c r="F39" s="305">
        <v>200</v>
      </c>
      <c r="G39" s="299">
        <v>16</v>
      </c>
    </row>
    <row r="40" spans="1:7" ht="12" customHeight="1" x14ac:dyDescent="0.2">
      <c r="A40" s="745"/>
      <c r="B40" s="300" t="s">
        <v>315</v>
      </c>
      <c r="C40" s="300" t="s">
        <v>354</v>
      </c>
      <c r="D40" s="301" t="s">
        <v>337</v>
      </c>
      <c r="E40" s="302" t="s">
        <v>336</v>
      </c>
      <c r="F40" s="303">
        <v>2975</v>
      </c>
      <c r="G40" s="304">
        <v>11.8</v>
      </c>
    </row>
    <row r="41" spans="1:7" ht="12" customHeight="1" x14ac:dyDescent="0.2">
      <c r="A41" s="743" t="s">
        <v>224</v>
      </c>
      <c r="B41" s="295" t="s">
        <v>316</v>
      </c>
      <c r="C41" s="311" t="s">
        <v>358</v>
      </c>
      <c r="D41" s="312" t="s">
        <v>336</v>
      </c>
      <c r="E41" s="313" t="s">
        <v>337</v>
      </c>
      <c r="F41" s="314">
        <v>30</v>
      </c>
      <c r="G41" s="310">
        <v>12.01</v>
      </c>
    </row>
    <row r="42" spans="1:7" ht="12" customHeight="1" x14ac:dyDescent="0.2">
      <c r="A42" s="745"/>
      <c r="B42" s="295" t="s">
        <v>314</v>
      </c>
      <c r="C42" s="295" t="s">
        <v>359</v>
      </c>
      <c r="D42" s="296" t="s">
        <v>336</v>
      </c>
      <c r="E42" s="297" t="s">
        <v>336</v>
      </c>
      <c r="F42" s="305">
        <v>1300</v>
      </c>
      <c r="G42" s="299">
        <v>4.9800000000000004</v>
      </c>
    </row>
    <row r="43" spans="1:7" ht="12" customHeight="1" x14ac:dyDescent="0.2">
      <c r="A43" s="638" t="s">
        <v>225</v>
      </c>
      <c r="B43" s="306" t="s">
        <v>315</v>
      </c>
      <c r="C43" s="306" t="s">
        <v>528</v>
      </c>
      <c r="D43" s="307" t="s">
        <v>336</v>
      </c>
      <c r="E43" s="308" t="s">
        <v>345</v>
      </c>
      <c r="F43" s="309">
        <v>3384</v>
      </c>
      <c r="G43" s="315">
        <v>17.34</v>
      </c>
    </row>
    <row r="44" spans="1:7" ht="12" customHeight="1" x14ac:dyDescent="0.2">
      <c r="A44" s="743" t="s">
        <v>226</v>
      </c>
      <c r="B44" s="295" t="s">
        <v>317</v>
      </c>
      <c r="C44" s="295" t="s">
        <v>360</v>
      </c>
      <c r="D44" s="296" t="s">
        <v>336</v>
      </c>
      <c r="E44" s="297" t="s">
        <v>336</v>
      </c>
      <c r="F44" s="298">
        <v>640</v>
      </c>
      <c r="G44" s="299">
        <v>3.7</v>
      </c>
    </row>
    <row r="45" spans="1:7" ht="12" customHeight="1" x14ac:dyDescent="0.2">
      <c r="A45" s="744"/>
      <c r="B45" s="295" t="s">
        <v>317</v>
      </c>
      <c r="C45" s="295" t="s">
        <v>360</v>
      </c>
      <c r="D45" s="296" t="s">
        <v>336</v>
      </c>
      <c r="E45" s="297" t="s">
        <v>337</v>
      </c>
      <c r="F45" s="298">
        <v>760</v>
      </c>
      <c r="G45" s="299">
        <v>10.5</v>
      </c>
    </row>
    <row r="46" spans="1:7" ht="12" customHeight="1" x14ac:dyDescent="0.2">
      <c r="A46" s="744"/>
      <c r="B46" s="295" t="s">
        <v>317</v>
      </c>
      <c r="C46" s="295" t="s">
        <v>361</v>
      </c>
      <c r="D46" s="296" t="s">
        <v>336</v>
      </c>
      <c r="E46" s="297" t="s">
        <v>337</v>
      </c>
      <c r="F46" s="298">
        <v>300</v>
      </c>
      <c r="G46" s="299">
        <v>10.5</v>
      </c>
    </row>
    <row r="47" spans="1:7" ht="12" customHeight="1" x14ac:dyDescent="0.2">
      <c r="A47" s="744"/>
      <c r="B47" s="295" t="s">
        <v>315</v>
      </c>
      <c r="C47" s="295" t="s">
        <v>478</v>
      </c>
      <c r="D47" s="296" t="s">
        <v>336</v>
      </c>
      <c r="E47" s="297" t="s">
        <v>336</v>
      </c>
      <c r="F47" s="298">
        <v>528</v>
      </c>
      <c r="G47" s="299">
        <v>10</v>
      </c>
    </row>
    <row r="48" spans="1:7" ht="12" customHeight="1" x14ac:dyDescent="0.2">
      <c r="A48" s="744"/>
      <c r="B48" s="295" t="s">
        <v>315</v>
      </c>
      <c r="C48" s="295" t="s">
        <v>354</v>
      </c>
      <c r="D48" s="296" t="s">
        <v>336</v>
      </c>
      <c r="E48" s="297" t="s">
        <v>339</v>
      </c>
      <c r="F48" s="298">
        <v>1300</v>
      </c>
      <c r="G48" s="299">
        <v>50.63</v>
      </c>
    </row>
    <row r="49" spans="1:7" ht="12" customHeight="1" x14ac:dyDescent="0.2">
      <c r="A49" s="744"/>
      <c r="B49" s="295" t="s">
        <v>315</v>
      </c>
      <c r="C49" s="295" t="s">
        <v>354</v>
      </c>
      <c r="D49" s="296" t="s">
        <v>336</v>
      </c>
      <c r="E49" s="297" t="s">
        <v>336</v>
      </c>
      <c r="F49" s="298">
        <v>680</v>
      </c>
      <c r="G49" s="299">
        <v>19.91</v>
      </c>
    </row>
    <row r="50" spans="1:7" ht="12" customHeight="1" x14ac:dyDescent="0.2">
      <c r="A50" s="745"/>
      <c r="B50" s="300" t="s">
        <v>315</v>
      </c>
      <c r="C50" s="300" t="s">
        <v>354</v>
      </c>
      <c r="D50" s="301" t="s">
        <v>336</v>
      </c>
      <c r="E50" s="302" t="s">
        <v>337</v>
      </c>
      <c r="F50" s="303">
        <v>3146</v>
      </c>
      <c r="G50" s="304">
        <v>10.32</v>
      </c>
    </row>
    <row r="51" spans="1:7" ht="12.75" x14ac:dyDescent="0.2">
      <c r="A51" s="316"/>
      <c r="B51" s="317"/>
      <c r="C51" s="317"/>
      <c r="D51" s="318"/>
      <c r="E51" s="319"/>
      <c r="F51" s="4"/>
      <c r="G51" s="320" t="s">
        <v>287</v>
      </c>
    </row>
    <row r="52" spans="1:7" ht="13.5" x14ac:dyDescent="0.25">
      <c r="A52" s="321" t="s">
        <v>608</v>
      </c>
      <c r="B52" s="322"/>
      <c r="C52" s="322"/>
      <c r="D52" s="322"/>
      <c r="E52" s="322"/>
      <c r="F52" s="322"/>
      <c r="G52" s="323"/>
    </row>
    <row r="53" spans="1:7" ht="25.5" x14ac:dyDescent="0.2">
      <c r="A53" s="294" t="s">
        <v>202</v>
      </c>
      <c r="B53" s="294" t="s">
        <v>329</v>
      </c>
      <c r="C53" s="294" t="s">
        <v>240</v>
      </c>
      <c r="D53" s="294" t="s">
        <v>330</v>
      </c>
      <c r="E53" s="294" t="s">
        <v>205</v>
      </c>
      <c r="F53" s="294" t="s">
        <v>331</v>
      </c>
      <c r="G53" s="294" t="s">
        <v>332</v>
      </c>
    </row>
    <row r="54" spans="1:7" ht="2.1" customHeight="1" x14ac:dyDescent="0.2">
      <c r="A54" s="674"/>
      <c r="B54" s="311"/>
      <c r="C54" s="311"/>
      <c r="D54" s="312"/>
      <c r="E54" s="313"/>
      <c r="F54" s="314"/>
      <c r="G54" s="310"/>
    </row>
    <row r="55" spans="1:7" ht="12" customHeight="1" x14ac:dyDescent="0.2">
      <c r="A55" s="638"/>
      <c r="B55" s="295" t="s">
        <v>322</v>
      </c>
      <c r="C55" s="295" t="s">
        <v>529</v>
      </c>
      <c r="D55" s="296" t="s">
        <v>336</v>
      </c>
      <c r="E55" s="297" t="s">
        <v>336</v>
      </c>
      <c r="F55" s="305">
        <v>3565</v>
      </c>
      <c r="G55" s="299">
        <v>10</v>
      </c>
    </row>
    <row r="56" spans="1:7" ht="12" customHeight="1" x14ac:dyDescent="0.2">
      <c r="A56" s="638" t="s">
        <v>231</v>
      </c>
      <c r="B56" s="295" t="s">
        <v>320</v>
      </c>
      <c r="C56" s="295" t="s">
        <v>530</v>
      </c>
      <c r="D56" s="296" t="s">
        <v>336</v>
      </c>
      <c r="E56" s="297" t="s">
        <v>336</v>
      </c>
      <c r="F56" s="305">
        <v>20</v>
      </c>
      <c r="G56" s="299">
        <v>15</v>
      </c>
    </row>
    <row r="57" spans="1:7" ht="12" customHeight="1" x14ac:dyDescent="0.2">
      <c r="A57" s="638"/>
      <c r="B57" s="295" t="s">
        <v>320</v>
      </c>
      <c r="C57" s="295" t="s">
        <v>531</v>
      </c>
      <c r="D57" s="296" t="s">
        <v>336</v>
      </c>
      <c r="E57" s="297" t="s">
        <v>336</v>
      </c>
      <c r="F57" s="305">
        <v>635</v>
      </c>
      <c r="G57" s="299">
        <v>17</v>
      </c>
    </row>
    <row r="58" spans="1:7" ht="12" customHeight="1" x14ac:dyDescent="0.2">
      <c r="A58" s="523" t="s">
        <v>282</v>
      </c>
      <c r="B58" s="306" t="s">
        <v>364</v>
      </c>
      <c r="C58" s="306" t="s">
        <v>362</v>
      </c>
      <c r="D58" s="307" t="s">
        <v>336</v>
      </c>
      <c r="E58" s="308" t="s">
        <v>336</v>
      </c>
      <c r="F58" s="309">
        <v>2079</v>
      </c>
      <c r="G58" s="315">
        <v>5.62</v>
      </c>
    </row>
    <row r="59" spans="1:7" ht="12" customHeight="1" x14ac:dyDescent="0.2">
      <c r="A59" s="743" t="s">
        <v>232</v>
      </c>
      <c r="B59" s="295" t="s">
        <v>356</v>
      </c>
      <c r="C59" s="295" t="s">
        <v>357</v>
      </c>
      <c r="D59" s="296" t="s">
        <v>336</v>
      </c>
      <c r="E59" s="297" t="s">
        <v>339</v>
      </c>
      <c r="F59" s="305">
        <v>145</v>
      </c>
      <c r="G59" s="299">
        <v>15</v>
      </c>
    </row>
    <row r="60" spans="1:7" ht="12" customHeight="1" x14ac:dyDescent="0.2">
      <c r="A60" s="745"/>
      <c r="B60" s="300" t="s">
        <v>356</v>
      </c>
      <c r="C60" s="300" t="s">
        <v>363</v>
      </c>
      <c r="D60" s="301" t="s">
        <v>336</v>
      </c>
      <c r="E60" s="302" t="s">
        <v>339</v>
      </c>
      <c r="F60" s="303">
        <v>275</v>
      </c>
      <c r="G60" s="304">
        <v>15</v>
      </c>
    </row>
    <row r="61" spans="1:7" ht="12" customHeight="1" x14ac:dyDescent="0.2">
      <c r="A61" s="638" t="s">
        <v>451</v>
      </c>
      <c r="B61" s="295" t="s">
        <v>452</v>
      </c>
      <c r="C61" s="295" t="s">
        <v>479</v>
      </c>
      <c r="D61" s="296" t="s">
        <v>336</v>
      </c>
      <c r="E61" s="297" t="s">
        <v>336</v>
      </c>
      <c r="F61" s="305">
        <v>400</v>
      </c>
      <c r="G61" s="315">
        <v>3</v>
      </c>
    </row>
    <row r="62" spans="1:7" ht="12" customHeight="1" x14ac:dyDescent="0.2">
      <c r="A62" s="743" t="s">
        <v>294</v>
      </c>
      <c r="B62" s="311" t="s">
        <v>364</v>
      </c>
      <c r="C62" s="311" t="s">
        <v>365</v>
      </c>
      <c r="D62" s="312" t="s">
        <v>336</v>
      </c>
      <c r="E62" s="313" t="s">
        <v>336</v>
      </c>
      <c r="F62" s="314">
        <v>420</v>
      </c>
      <c r="G62" s="299">
        <v>10.7</v>
      </c>
    </row>
    <row r="63" spans="1:7" ht="12" customHeight="1" x14ac:dyDescent="0.2">
      <c r="A63" s="744"/>
      <c r="B63" s="300" t="s">
        <v>356</v>
      </c>
      <c r="C63" s="300" t="s">
        <v>366</v>
      </c>
      <c r="D63" s="301" t="s">
        <v>336</v>
      </c>
      <c r="E63" s="302" t="s">
        <v>336</v>
      </c>
      <c r="F63" s="303">
        <v>3</v>
      </c>
      <c r="G63" s="304">
        <v>19.18</v>
      </c>
    </row>
    <row r="64" spans="1:7" ht="12" customHeight="1" x14ac:dyDescent="0.2">
      <c r="A64" s="743" t="s">
        <v>233</v>
      </c>
      <c r="B64" s="295" t="s">
        <v>452</v>
      </c>
      <c r="C64" s="295" t="s">
        <v>486</v>
      </c>
      <c r="D64" s="296" t="s">
        <v>336</v>
      </c>
      <c r="E64" s="297" t="s">
        <v>339</v>
      </c>
      <c r="F64" s="305">
        <v>1881</v>
      </c>
      <c r="G64" s="299">
        <v>3.5</v>
      </c>
    </row>
    <row r="65" spans="1:7" ht="12" customHeight="1" x14ac:dyDescent="0.2">
      <c r="A65" s="744"/>
      <c r="B65" s="295" t="s">
        <v>452</v>
      </c>
      <c r="C65" s="295" t="s">
        <v>479</v>
      </c>
      <c r="D65" s="296" t="s">
        <v>336</v>
      </c>
      <c r="E65" s="297" t="s">
        <v>339</v>
      </c>
      <c r="F65" s="305">
        <v>3263</v>
      </c>
      <c r="G65" s="299">
        <v>3.5</v>
      </c>
    </row>
    <row r="66" spans="1:7" ht="12" customHeight="1" x14ac:dyDescent="0.2">
      <c r="A66" s="744"/>
      <c r="B66" s="295" t="s">
        <v>452</v>
      </c>
      <c r="C66" s="295" t="s">
        <v>479</v>
      </c>
      <c r="D66" s="296" t="s">
        <v>336</v>
      </c>
      <c r="E66" s="297" t="s">
        <v>337</v>
      </c>
      <c r="F66" s="305">
        <v>11050</v>
      </c>
      <c r="G66" s="299">
        <v>3</v>
      </c>
    </row>
    <row r="67" spans="1:7" ht="12" customHeight="1" x14ac:dyDescent="0.2">
      <c r="A67" s="744"/>
      <c r="B67" s="295" t="s">
        <v>452</v>
      </c>
      <c r="C67" s="295" t="s">
        <v>444</v>
      </c>
      <c r="D67" s="296" t="s">
        <v>336</v>
      </c>
      <c r="E67" s="297" t="s">
        <v>337</v>
      </c>
      <c r="F67" s="305">
        <v>12350</v>
      </c>
      <c r="G67" s="299">
        <v>3</v>
      </c>
    </row>
    <row r="68" spans="1:7" ht="12" customHeight="1" x14ac:dyDescent="0.2">
      <c r="A68" s="744"/>
      <c r="B68" s="295" t="s">
        <v>452</v>
      </c>
      <c r="C68" s="295" t="s">
        <v>444</v>
      </c>
      <c r="D68" s="296" t="s">
        <v>336</v>
      </c>
      <c r="E68" s="297" t="s">
        <v>339</v>
      </c>
      <c r="F68" s="305">
        <v>9979</v>
      </c>
      <c r="G68" s="299">
        <v>3.5</v>
      </c>
    </row>
    <row r="69" spans="1:7" ht="12" customHeight="1" x14ac:dyDescent="0.2">
      <c r="A69" s="744"/>
      <c r="B69" s="295" t="s">
        <v>320</v>
      </c>
      <c r="C69" s="295" t="s">
        <v>367</v>
      </c>
      <c r="D69" s="296" t="s">
        <v>336</v>
      </c>
      <c r="E69" s="297" t="s">
        <v>339</v>
      </c>
      <c r="F69" s="298">
        <v>50</v>
      </c>
      <c r="G69" s="299">
        <v>10.57</v>
      </c>
    </row>
    <row r="70" spans="1:7" ht="12" customHeight="1" x14ac:dyDescent="0.2">
      <c r="A70" s="744"/>
      <c r="B70" s="295" t="s">
        <v>320</v>
      </c>
      <c r="C70" s="295" t="s">
        <v>368</v>
      </c>
      <c r="D70" s="296" t="s">
        <v>336</v>
      </c>
      <c r="E70" s="297" t="s">
        <v>337</v>
      </c>
      <c r="F70" s="298">
        <v>3050</v>
      </c>
      <c r="G70" s="299">
        <v>9.75</v>
      </c>
    </row>
    <row r="71" spans="1:7" ht="12" customHeight="1" x14ac:dyDescent="0.2">
      <c r="A71" s="744"/>
      <c r="B71" s="295" t="s">
        <v>324</v>
      </c>
      <c r="C71" s="295" t="s">
        <v>369</v>
      </c>
      <c r="D71" s="296" t="s">
        <v>336</v>
      </c>
      <c r="E71" s="297" t="s">
        <v>336</v>
      </c>
      <c r="F71" s="298">
        <v>900</v>
      </c>
      <c r="G71" s="299">
        <v>10.35</v>
      </c>
    </row>
    <row r="72" spans="1:7" ht="12" customHeight="1" x14ac:dyDescent="0.2">
      <c r="A72" s="744"/>
      <c r="B72" s="295" t="s">
        <v>324</v>
      </c>
      <c r="C72" s="295" t="s">
        <v>369</v>
      </c>
      <c r="D72" s="296" t="s">
        <v>336</v>
      </c>
      <c r="E72" s="297" t="s">
        <v>337</v>
      </c>
      <c r="F72" s="298">
        <v>150</v>
      </c>
      <c r="G72" s="299">
        <v>10.89</v>
      </c>
    </row>
    <row r="73" spans="1:7" ht="12" customHeight="1" x14ac:dyDescent="0.2">
      <c r="A73" s="744"/>
      <c r="B73" s="295" t="s">
        <v>324</v>
      </c>
      <c r="C73" s="295" t="s">
        <v>369</v>
      </c>
      <c r="D73" s="296" t="s">
        <v>336</v>
      </c>
      <c r="E73" s="297" t="s">
        <v>339</v>
      </c>
      <c r="F73" s="298">
        <v>100</v>
      </c>
      <c r="G73" s="299">
        <v>12</v>
      </c>
    </row>
    <row r="74" spans="1:7" ht="12" customHeight="1" x14ac:dyDescent="0.2">
      <c r="A74" s="744"/>
      <c r="B74" s="295" t="s">
        <v>324</v>
      </c>
      <c r="C74" s="295" t="s">
        <v>370</v>
      </c>
      <c r="D74" s="296" t="s">
        <v>336</v>
      </c>
      <c r="E74" s="297" t="s">
        <v>339</v>
      </c>
      <c r="F74" s="298">
        <v>150</v>
      </c>
      <c r="G74" s="299">
        <v>12</v>
      </c>
    </row>
    <row r="75" spans="1:7" ht="12" customHeight="1" x14ac:dyDescent="0.2">
      <c r="A75" s="745"/>
      <c r="B75" s="300" t="s">
        <v>314</v>
      </c>
      <c r="C75" s="300" t="s">
        <v>371</v>
      </c>
      <c r="D75" s="301" t="s">
        <v>336</v>
      </c>
      <c r="E75" s="302" t="s">
        <v>337</v>
      </c>
      <c r="F75" s="303">
        <v>3550</v>
      </c>
      <c r="G75" s="304">
        <v>5.41</v>
      </c>
    </row>
    <row r="76" spans="1:7" ht="12" customHeight="1" x14ac:dyDescent="0.2">
      <c r="A76" s="743" t="s">
        <v>235</v>
      </c>
      <c r="B76" s="295" t="s">
        <v>317</v>
      </c>
      <c r="C76" s="295" t="s">
        <v>372</v>
      </c>
      <c r="D76" s="296" t="s">
        <v>336</v>
      </c>
      <c r="E76" s="297" t="s">
        <v>337</v>
      </c>
      <c r="F76" s="305">
        <v>209</v>
      </c>
      <c r="G76" s="299">
        <v>5.51</v>
      </c>
    </row>
    <row r="77" spans="1:7" ht="12" customHeight="1" x14ac:dyDescent="0.2">
      <c r="A77" s="744"/>
      <c r="B77" s="295" t="s">
        <v>317</v>
      </c>
      <c r="C77" s="295" t="s">
        <v>372</v>
      </c>
      <c r="D77" s="296" t="s">
        <v>336</v>
      </c>
      <c r="E77" s="297" t="s">
        <v>339</v>
      </c>
      <c r="F77" s="298">
        <v>274</v>
      </c>
      <c r="G77" s="299">
        <v>80.400000000000006</v>
      </c>
    </row>
    <row r="78" spans="1:7" ht="12" customHeight="1" x14ac:dyDescent="0.2">
      <c r="A78" s="744"/>
      <c r="B78" s="295" t="s">
        <v>317</v>
      </c>
      <c r="C78" s="295" t="s">
        <v>373</v>
      </c>
      <c r="D78" s="296" t="s">
        <v>336</v>
      </c>
      <c r="E78" s="297" t="s">
        <v>339</v>
      </c>
      <c r="F78" s="298">
        <v>204</v>
      </c>
      <c r="G78" s="299">
        <v>80.400000000000006</v>
      </c>
    </row>
    <row r="79" spans="1:7" ht="12" customHeight="1" x14ac:dyDescent="0.2">
      <c r="A79" s="744"/>
      <c r="B79" s="295" t="s">
        <v>317</v>
      </c>
      <c r="C79" s="295" t="s">
        <v>373</v>
      </c>
      <c r="D79" s="296" t="s">
        <v>336</v>
      </c>
      <c r="E79" s="297" t="s">
        <v>337</v>
      </c>
      <c r="F79" s="298">
        <v>19141</v>
      </c>
      <c r="G79" s="299">
        <v>5.51</v>
      </c>
    </row>
    <row r="80" spans="1:7" ht="12" customHeight="1" x14ac:dyDescent="0.2">
      <c r="A80" s="744"/>
      <c r="B80" s="295" t="s">
        <v>317</v>
      </c>
      <c r="C80" s="295" t="s">
        <v>374</v>
      </c>
      <c r="D80" s="296" t="s">
        <v>336</v>
      </c>
      <c r="E80" s="297" t="s">
        <v>339</v>
      </c>
      <c r="F80" s="298">
        <v>291</v>
      </c>
      <c r="G80" s="299">
        <v>80.400000000000006</v>
      </c>
    </row>
    <row r="81" spans="1:7" ht="12" customHeight="1" x14ac:dyDescent="0.2">
      <c r="A81" s="744"/>
      <c r="B81" s="295" t="s">
        <v>317</v>
      </c>
      <c r="C81" s="397" t="s">
        <v>384</v>
      </c>
      <c r="D81" s="296" t="s">
        <v>336</v>
      </c>
      <c r="E81" s="297" t="s">
        <v>339</v>
      </c>
      <c r="F81" s="298">
        <v>469</v>
      </c>
      <c r="G81" s="299">
        <v>80.400000000000006</v>
      </c>
    </row>
    <row r="82" spans="1:7" ht="12" customHeight="1" x14ac:dyDescent="0.2">
      <c r="A82" s="744"/>
      <c r="B82" s="295" t="s">
        <v>317</v>
      </c>
      <c r="C82" s="397" t="s">
        <v>384</v>
      </c>
      <c r="D82" s="296" t="s">
        <v>336</v>
      </c>
      <c r="E82" s="297" t="s">
        <v>337</v>
      </c>
      <c r="F82" s="298">
        <v>1840</v>
      </c>
      <c r="G82" s="299">
        <v>5.51</v>
      </c>
    </row>
    <row r="83" spans="1:7" ht="12" customHeight="1" x14ac:dyDescent="0.2">
      <c r="A83" s="744"/>
      <c r="B83" s="295" t="s">
        <v>317</v>
      </c>
      <c r="C83" s="295" t="s">
        <v>375</v>
      </c>
      <c r="D83" s="296" t="s">
        <v>336</v>
      </c>
      <c r="E83" s="297" t="s">
        <v>339</v>
      </c>
      <c r="F83" s="298">
        <v>531</v>
      </c>
      <c r="G83" s="299">
        <v>80.400000000000006</v>
      </c>
    </row>
    <row r="84" spans="1:7" ht="12" customHeight="1" x14ac:dyDescent="0.2">
      <c r="A84" s="744"/>
      <c r="B84" s="295" t="s">
        <v>317</v>
      </c>
      <c r="C84" s="295" t="s">
        <v>375</v>
      </c>
      <c r="D84" s="296" t="s">
        <v>336</v>
      </c>
      <c r="E84" s="297" t="s">
        <v>337</v>
      </c>
      <c r="F84" s="298">
        <v>1695</v>
      </c>
      <c r="G84" s="299">
        <v>5.51</v>
      </c>
    </row>
    <row r="85" spans="1:7" ht="12" customHeight="1" x14ac:dyDescent="0.2">
      <c r="A85" s="744"/>
      <c r="B85" s="295" t="s">
        <v>317</v>
      </c>
      <c r="C85" s="295" t="s">
        <v>376</v>
      </c>
      <c r="D85" s="296" t="s">
        <v>336</v>
      </c>
      <c r="E85" s="297" t="s">
        <v>337</v>
      </c>
      <c r="F85" s="298">
        <v>1573</v>
      </c>
      <c r="G85" s="299">
        <v>5.51</v>
      </c>
    </row>
    <row r="86" spans="1:7" ht="12" customHeight="1" x14ac:dyDescent="0.2">
      <c r="A86" s="744"/>
      <c r="B86" s="295" t="s">
        <v>317</v>
      </c>
      <c r="C86" s="295" t="s">
        <v>376</v>
      </c>
      <c r="D86" s="296" t="s">
        <v>336</v>
      </c>
      <c r="E86" s="297" t="s">
        <v>339</v>
      </c>
      <c r="F86" s="298">
        <v>766</v>
      </c>
      <c r="G86" s="299">
        <v>80.400000000000006</v>
      </c>
    </row>
    <row r="87" spans="1:7" ht="12" customHeight="1" x14ac:dyDescent="0.2">
      <c r="A87" s="744"/>
      <c r="B87" s="295" t="s">
        <v>317</v>
      </c>
      <c r="C87" s="295" t="s">
        <v>377</v>
      </c>
      <c r="D87" s="296" t="s">
        <v>336</v>
      </c>
      <c r="E87" s="297" t="s">
        <v>339</v>
      </c>
      <c r="F87" s="298">
        <v>447</v>
      </c>
      <c r="G87" s="299">
        <v>80.400000000000006</v>
      </c>
    </row>
    <row r="88" spans="1:7" ht="12" customHeight="1" x14ac:dyDescent="0.2">
      <c r="A88" s="744"/>
      <c r="B88" s="295" t="s">
        <v>317</v>
      </c>
      <c r="C88" s="295" t="s">
        <v>377</v>
      </c>
      <c r="D88" s="296" t="s">
        <v>336</v>
      </c>
      <c r="E88" s="297" t="s">
        <v>337</v>
      </c>
      <c r="F88" s="298">
        <v>11</v>
      </c>
      <c r="G88" s="299">
        <v>5.51</v>
      </c>
    </row>
    <row r="89" spans="1:7" ht="12" customHeight="1" x14ac:dyDescent="0.2">
      <c r="A89" s="744"/>
      <c r="B89" s="295" t="s">
        <v>364</v>
      </c>
      <c r="C89" s="295" t="s">
        <v>378</v>
      </c>
      <c r="D89" s="296" t="s">
        <v>336</v>
      </c>
      <c r="E89" s="297" t="s">
        <v>339</v>
      </c>
      <c r="F89" s="298">
        <v>25</v>
      </c>
      <c r="G89" s="299">
        <v>12.91</v>
      </c>
    </row>
    <row r="90" spans="1:7" ht="12" customHeight="1" x14ac:dyDescent="0.2">
      <c r="A90" s="744"/>
      <c r="B90" s="295" t="s">
        <v>364</v>
      </c>
      <c r="C90" s="295" t="s">
        <v>378</v>
      </c>
      <c r="D90" s="296" t="s">
        <v>336</v>
      </c>
      <c r="E90" s="297" t="s">
        <v>337</v>
      </c>
      <c r="F90" s="298">
        <v>25</v>
      </c>
      <c r="G90" s="299">
        <v>10.94</v>
      </c>
    </row>
    <row r="91" spans="1:7" ht="12" customHeight="1" x14ac:dyDescent="0.2">
      <c r="A91" s="744"/>
      <c r="B91" s="295" t="s">
        <v>364</v>
      </c>
      <c r="C91" s="295" t="s">
        <v>378</v>
      </c>
      <c r="D91" s="296" t="s">
        <v>336</v>
      </c>
      <c r="E91" s="297" t="s">
        <v>336</v>
      </c>
      <c r="F91" s="298">
        <v>3425</v>
      </c>
      <c r="G91" s="299">
        <v>8.99</v>
      </c>
    </row>
    <row r="92" spans="1:7" ht="12" customHeight="1" x14ac:dyDescent="0.2">
      <c r="A92" s="744"/>
      <c r="B92" s="295" t="s">
        <v>364</v>
      </c>
      <c r="C92" s="295" t="s">
        <v>362</v>
      </c>
      <c r="D92" s="296" t="s">
        <v>336</v>
      </c>
      <c r="E92" s="297" t="s">
        <v>339</v>
      </c>
      <c r="F92" s="298">
        <v>644</v>
      </c>
      <c r="G92" s="299">
        <v>12.91</v>
      </c>
    </row>
    <row r="93" spans="1:7" ht="12" customHeight="1" x14ac:dyDescent="0.2">
      <c r="A93" s="744"/>
      <c r="B93" s="295" t="s">
        <v>364</v>
      </c>
      <c r="C93" s="295" t="s">
        <v>362</v>
      </c>
      <c r="D93" s="296" t="s">
        <v>336</v>
      </c>
      <c r="E93" s="297" t="s">
        <v>337</v>
      </c>
      <c r="F93" s="298">
        <v>782</v>
      </c>
      <c r="G93" s="299">
        <v>10.94</v>
      </c>
    </row>
    <row r="94" spans="1:7" ht="12" customHeight="1" x14ac:dyDescent="0.2">
      <c r="A94" s="744"/>
      <c r="B94" s="295" t="s">
        <v>315</v>
      </c>
      <c r="C94" s="295" t="s">
        <v>485</v>
      </c>
      <c r="D94" s="296" t="s">
        <v>336</v>
      </c>
      <c r="E94" s="297" t="s">
        <v>345</v>
      </c>
      <c r="F94" s="298">
        <v>3100</v>
      </c>
      <c r="G94" s="299">
        <v>16.43</v>
      </c>
    </row>
    <row r="95" spans="1:7" ht="12" customHeight="1" x14ac:dyDescent="0.2">
      <c r="A95" s="744"/>
      <c r="B95" s="295" t="s">
        <v>315</v>
      </c>
      <c r="C95" s="295" t="s">
        <v>354</v>
      </c>
      <c r="D95" s="296" t="s">
        <v>336</v>
      </c>
      <c r="E95" s="297" t="s">
        <v>339</v>
      </c>
      <c r="F95" s="298">
        <v>304</v>
      </c>
      <c r="G95" s="299">
        <v>8.98</v>
      </c>
    </row>
    <row r="96" spans="1:7" ht="12" customHeight="1" x14ac:dyDescent="0.2">
      <c r="A96" s="744"/>
      <c r="B96" s="295" t="s">
        <v>315</v>
      </c>
      <c r="C96" s="295" t="s">
        <v>354</v>
      </c>
      <c r="D96" s="296" t="s">
        <v>336</v>
      </c>
      <c r="E96" s="297" t="s">
        <v>337</v>
      </c>
      <c r="F96" s="298">
        <v>1533</v>
      </c>
      <c r="G96" s="299">
        <v>5.5</v>
      </c>
    </row>
    <row r="97" spans="1:7" ht="12" customHeight="1" x14ac:dyDescent="0.2">
      <c r="A97" s="744"/>
      <c r="B97" s="295" t="s">
        <v>315</v>
      </c>
      <c r="C97" s="295" t="s">
        <v>354</v>
      </c>
      <c r="D97" s="296" t="s">
        <v>336</v>
      </c>
      <c r="E97" s="297" t="s">
        <v>336</v>
      </c>
      <c r="F97" s="298">
        <v>16611</v>
      </c>
      <c r="G97" s="299">
        <v>4.83</v>
      </c>
    </row>
    <row r="98" spans="1:7" ht="12" customHeight="1" x14ac:dyDescent="0.2">
      <c r="A98" s="744"/>
      <c r="B98" s="295" t="s">
        <v>315</v>
      </c>
      <c r="C98" s="295" t="s">
        <v>379</v>
      </c>
      <c r="D98" s="296" t="s">
        <v>381</v>
      </c>
      <c r="E98" s="297" t="s">
        <v>381</v>
      </c>
      <c r="F98" s="298">
        <v>6101</v>
      </c>
      <c r="G98" s="299">
        <v>63.04</v>
      </c>
    </row>
    <row r="99" spans="1:7" ht="12" customHeight="1" x14ac:dyDescent="0.2">
      <c r="A99" s="745"/>
      <c r="B99" s="295" t="s">
        <v>315</v>
      </c>
      <c r="C99" s="295" t="s">
        <v>380</v>
      </c>
      <c r="D99" s="296" t="s">
        <v>381</v>
      </c>
      <c r="E99" s="302" t="s">
        <v>381</v>
      </c>
      <c r="F99" s="305">
        <v>2749</v>
      </c>
      <c r="G99" s="299">
        <v>63.04</v>
      </c>
    </row>
    <row r="100" spans="1:7" ht="9" customHeight="1" x14ac:dyDescent="0.2">
      <c r="A100" s="260" t="s">
        <v>238</v>
      </c>
      <c r="B100" s="259"/>
      <c r="C100" s="4"/>
      <c r="D100" s="4"/>
      <c r="F100" s="4"/>
      <c r="G100" s="4"/>
    </row>
    <row r="101" spans="1:7" ht="9" customHeight="1" x14ac:dyDescent="0.2">
      <c r="A101" s="474" t="s">
        <v>65</v>
      </c>
      <c r="B101" s="260"/>
    </row>
    <row r="102" spans="1:7" ht="9" customHeight="1" x14ac:dyDescent="0.2">
      <c r="A102" s="475" t="s">
        <v>66</v>
      </c>
    </row>
    <row r="103" spans="1:7" ht="12.75" x14ac:dyDescent="0.2"/>
    <row r="104" spans="1:7" ht="12.75" x14ac:dyDescent="0.2"/>
    <row r="105" spans="1:7" ht="12.75" x14ac:dyDescent="0.2"/>
    <row r="106" spans="1:7" ht="12.75" x14ac:dyDescent="0.2"/>
    <row r="107" spans="1:7" ht="12.75" x14ac:dyDescent="0.2"/>
    <row r="108" spans="1:7" ht="12.75" x14ac:dyDescent="0.2"/>
    <row r="109" spans="1:7" ht="12.75" x14ac:dyDescent="0.2"/>
    <row r="110" spans="1:7" ht="12.75" x14ac:dyDescent="0.2"/>
    <row r="111" spans="1:7" ht="12.75" x14ac:dyDescent="0.2"/>
    <row r="112" spans="1:7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</sheetData>
  <mergeCells count="12">
    <mergeCell ref="A5:A6"/>
    <mergeCell ref="A7:A19"/>
    <mergeCell ref="A20:A24"/>
    <mergeCell ref="A25:A28"/>
    <mergeCell ref="A62:A63"/>
    <mergeCell ref="A64:A75"/>
    <mergeCell ref="A76:A99"/>
    <mergeCell ref="A29:A35"/>
    <mergeCell ref="A38:A40"/>
    <mergeCell ref="A41:A42"/>
    <mergeCell ref="A44:A50"/>
    <mergeCell ref="A59:A60"/>
  </mergeCells>
  <pageMargins left="0.27559055118110237" right="0.27559055118110237" top="0.39370078740157483" bottom="0.39370078740157483" header="0" footer="0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001"/>
  <sheetViews>
    <sheetView showGridLines="0" zoomScaleNormal="100" workbookViewId="0">
      <selection sqref="A1:D33"/>
    </sheetView>
  </sheetViews>
  <sheetFormatPr baseColWidth="10" defaultColWidth="10.7109375" defaultRowHeight="15" customHeight="1" x14ac:dyDescent="0.2"/>
  <cols>
    <col min="1" max="1" width="20" style="255" customWidth="1"/>
    <col min="2" max="2" width="17.7109375" style="255" customWidth="1"/>
    <col min="3" max="3" width="17.42578125" style="255" customWidth="1"/>
    <col min="4" max="4" width="16.85546875" style="255" customWidth="1"/>
    <col min="5" max="5" width="13.42578125" style="255" customWidth="1"/>
    <col min="6" max="16384" width="10.7109375" style="255"/>
  </cols>
  <sheetData>
    <row r="1" spans="1:4" ht="22.15" customHeight="1" x14ac:dyDescent="0.25">
      <c r="A1" s="262" t="s">
        <v>610</v>
      </c>
      <c r="B1" s="271"/>
      <c r="C1" s="271"/>
      <c r="D1" s="272"/>
    </row>
    <row r="2" spans="1:4" ht="12" customHeight="1" x14ac:dyDescent="0.25">
      <c r="A2" s="746" t="s">
        <v>611</v>
      </c>
      <c r="B2" s="746"/>
      <c r="C2" s="746"/>
      <c r="D2" s="746"/>
    </row>
    <row r="3" spans="1:4" ht="5.0999999999999996" customHeight="1" x14ac:dyDescent="0.2">
      <c r="A3" s="271"/>
      <c r="B3" s="271"/>
      <c r="C3" s="271"/>
      <c r="D3" s="271"/>
    </row>
    <row r="4" spans="1:4" ht="24" customHeight="1" x14ac:dyDescent="0.2">
      <c r="A4" s="267" t="s">
        <v>54</v>
      </c>
      <c r="B4" s="266" t="s">
        <v>310</v>
      </c>
      <c r="C4" s="266" t="s">
        <v>311</v>
      </c>
      <c r="D4" s="266" t="s">
        <v>312</v>
      </c>
    </row>
    <row r="5" spans="1:4" ht="4.9000000000000004" customHeight="1" x14ac:dyDescent="0.2"/>
    <row r="6" spans="1:4" ht="12" customHeight="1" x14ac:dyDescent="0.2">
      <c r="A6" s="221" t="s">
        <v>313</v>
      </c>
      <c r="B6" s="638"/>
      <c r="C6" s="273"/>
      <c r="D6" s="638"/>
    </row>
    <row r="7" spans="1:4" ht="12" customHeight="1" x14ac:dyDescent="0.25">
      <c r="A7" s="3" t="s">
        <v>314</v>
      </c>
      <c r="B7" s="274">
        <v>5544</v>
      </c>
      <c r="C7" s="275">
        <v>140</v>
      </c>
      <c r="D7" s="276">
        <f t="shared" ref="D7:D15" si="0">+B7/C7</f>
        <v>39.6</v>
      </c>
    </row>
    <row r="8" spans="1:4" ht="12" customHeight="1" x14ac:dyDescent="0.25">
      <c r="A8" s="3" t="s">
        <v>315</v>
      </c>
      <c r="B8" s="274">
        <v>39483</v>
      </c>
      <c r="C8" s="275">
        <v>25</v>
      </c>
      <c r="D8" s="276">
        <f t="shared" si="0"/>
        <v>1579.32</v>
      </c>
    </row>
    <row r="9" spans="1:4" ht="12" customHeight="1" x14ac:dyDescent="0.25">
      <c r="A9" s="3" t="s">
        <v>316</v>
      </c>
      <c r="B9" s="274">
        <v>1375</v>
      </c>
      <c r="C9" s="275">
        <v>60</v>
      </c>
      <c r="D9" s="276">
        <f t="shared" si="0"/>
        <v>22.916666666666668</v>
      </c>
    </row>
    <row r="10" spans="1:4" ht="12" customHeight="1" x14ac:dyDescent="0.25">
      <c r="A10" s="3" t="s">
        <v>453</v>
      </c>
      <c r="B10" s="274">
        <v>6961</v>
      </c>
      <c r="C10" s="275">
        <v>60</v>
      </c>
      <c r="D10" s="276">
        <f t="shared" si="0"/>
        <v>116.01666666666667</v>
      </c>
    </row>
    <row r="11" spans="1:4" ht="12" customHeight="1" x14ac:dyDescent="0.25">
      <c r="A11" s="3" t="s">
        <v>317</v>
      </c>
      <c r="B11" s="274">
        <v>125757</v>
      </c>
      <c r="C11" s="275">
        <v>50</v>
      </c>
      <c r="D11" s="276">
        <f t="shared" si="0"/>
        <v>2515.14</v>
      </c>
    </row>
    <row r="12" spans="1:4" ht="12" customHeight="1" x14ac:dyDescent="0.25">
      <c r="A12" s="3" t="s">
        <v>318</v>
      </c>
      <c r="B12" s="274">
        <v>3463</v>
      </c>
      <c r="C12" s="275">
        <v>75</v>
      </c>
      <c r="D12" s="276">
        <f t="shared" si="0"/>
        <v>46.173333333333332</v>
      </c>
    </row>
    <row r="13" spans="1:4" ht="12" customHeight="1" x14ac:dyDescent="0.25">
      <c r="A13" s="3" t="s">
        <v>319</v>
      </c>
      <c r="B13" s="274">
        <v>4067</v>
      </c>
      <c r="C13" s="275">
        <v>100</v>
      </c>
      <c r="D13" s="276">
        <f t="shared" si="0"/>
        <v>40.67</v>
      </c>
    </row>
    <row r="14" spans="1:4" ht="12" customHeight="1" x14ac:dyDescent="0.25">
      <c r="A14" s="3" t="s">
        <v>320</v>
      </c>
      <c r="B14" s="274">
        <v>7080</v>
      </c>
      <c r="C14" s="275">
        <v>120</v>
      </c>
      <c r="D14" s="276">
        <f t="shared" si="0"/>
        <v>59</v>
      </c>
    </row>
    <row r="15" spans="1:4" ht="12" customHeight="1" x14ac:dyDescent="0.25">
      <c r="A15" s="3" t="s">
        <v>575</v>
      </c>
      <c r="B15" s="274">
        <v>4920</v>
      </c>
      <c r="C15" s="275">
        <v>20</v>
      </c>
      <c r="D15" s="276">
        <f t="shared" si="0"/>
        <v>246</v>
      </c>
    </row>
    <row r="16" spans="1:4" ht="5.0999999999999996" customHeight="1" x14ac:dyDescent="0.25">
      <c r="A16" s="277"/>
      <c r="B16" s="274"/>
      <c r="C16" s="275"/>
      <c r="D16" s="276"/>
    </row>
    <row r="17" spans="1:4" ht="12" customHeight="1" x14ac:dyDescent="0.25">
      <c r="A17" s="278" t="s">
        <v>321</v>
      </c>
      <c r="B17" s="274"/>
      <c r="C17" s="275"/>
      <c r="D17" s="276"/>
    </row>
    <row r="18" spans="1:4" ht="12" customHeight="1" x14ac:dyDescent="0.25">
      <c r="A18" s="3" t="s">
        <v>322</v>
      </c>
      <c r="B18" s="274">
        <v>1850</v>
      </c>
      <c r="C18" s="275">
        <v>65</v>
      </c>
      <c r="D18" s="276">
        <f>+B18/C18</f>
        <v>28.46153846153846</v>
      </c>
    </row>
    <row r="19" spans="1:4" ht="12" customHeight="1" x14ac:dyDescent="0.25">
      <c r="A19" s="3" t="s">
        <v>597</v>
      </c>
      <c r="B19" s="274">
        <v>23076</v>
      </c>
      <c r="C19" s="275">
        <v>60</v>
      </c>
      <c r="D19" s="276">
        <f>+B19/C19</f>
        <v>384.6</v>
      </c>
    </row>
    <row r="20" spans="1:4" ht="12" customHeight="1" x14ac:dyDescent="0.25">
      <c r="A20" s="3" t="s">
        <v>323</v>
      </c>
      <c r="B20" s="274">
        <v>120</v>
      </c>
      <c r="C20" s="275">
        <v>60</v>
      </c>
      <c r="D20" s="276">
        <f>+B20/C20</f>
        <v>2</v>
      </c>
    </row>
    <row r="21" spans="1:4" ht="12" customHeight="1" x14ac:dyDescent="0.25">
      <c r="A21" s="3" t="s">
        <v>324</v>
      </c>
      <c r="B21" s="274">
        <v>200</v>
      </c>
      <c r="C21" s="275">
        <v>100</v>
      </c>
      <c r="D21" s="276">
        <f>+B21/C21</f>
        <v>2</v>
      </c>
    </row>
    <row r="22" spans="1:4" ht="5.0999999999999996" customHeight="1" x14ac:dyDescent="0.25">
      <c r="A22" s="3"/>
      <c r="B22" s="274"/>
      <c r="C22" s="275"/>
      <c r="D22" s="276"/>
    </row>
    <row r="23" spans="1:4" ht="12" customHeight="1" x14ac:dyDescent="0.25">
      <c r="A23" s="278" t="s">
        <v>454</v>
      </c>
      <c r="B23" s="274"/>
      <c r="C23" s="275"/>
      <c r="D23" s="276"/>
    </row>
    <row r="24" spans="1:4" ht="12" customHeight="1" x14ac:dyDescent="0.25">
      <c r="A24" s="3" t="s">
        <v>452</v>
      </c>
      <c r="B24" s="274">
        <v>17050</v>
      </c>
      <c r="C24" s="275">
        <v>2000</v>
      </c>
      <c r="D24" s="276">
        <f>+B24/C24</f>
        <v>8.5250000000000004</v>
      </c>
    </row>
    <row r="25" spans="1:4" ht="5.0999999999999996" customHeight="1" x14ac:dyDescent="0.25">
      <c r="A25" s="277"/>
      <c r="B25" s="274"/>
      <c r="C25" s="275"/>
      <c r="D25" s="276"/>
    </row>
    <row r="26" spans="1:4" ht="12" customHeight="1" x14ac:dyDescent="0.25">
      <c r="A26" s="278" t="s">
        <v>325</v>
      </c>
      <c r="B26" s="274"/>
      <c r="C26" s="279"/>
      <c r="D26" s="280"/>
    </row>
    <row r="27" spans="1:4" ht="12" customHeight="1" x14ac:dyDescent="0.25">
      <c r="A27" s="3" t="s">
        <v>576</v>
      </c>
      <c r="B27" s="274">
        <v>6220</v>
      </c>
      <c r="C27" s="279">
        <v>60</v>
      </c>
      <c r="D27" s="276">
        <f>+B27/C27</f>
        <v>103.66666666666667</v>
      </c>
    </row>
    <row r="28" spans="1:4" ht="12" customHeight="1" x14ac:dyDescent="0.25">
      <c r="A28" s="281" t="s">
        <v>326</v>
      </c>
      <c r="B28" s="282">
        <v>4209</v>
      </c>
      <c r="C28" s="283">
        <v>150</v>
      </c>
      <c r="D28" s="284">
        <f>+B28/C28</f>
        <v>28.06</v>
      </c>
    </row>
    <row r="29" spans="1:4" ht="9" customHeight="1" x14ac:dyDescent="0.15">
      <c r="A29" s="477" t="s">
        <v>327</v>
      </c>
      <c r="B29" s="285"/>
      <c r="C29" s="478"/>
      <c r="D29" s="271"/>
    </row>
    <row r="30" spans="1:4" ht="9" customHeight="1" x14ac:dyDescent="0.2">
      <c r="A30" s="546" t="s">
        <v>65</v>
      </c>
      <c r="B30" s="286"/>
      <c r="C30" s="286"/>
      <c r="D30" s="479"/>
    </row>
    <row r="31" spans="1:4" ht="9" customHeight="1" x14ac:dyDescent="0.15">
      <c r="A31" s="545" t="s">
        <v>66</v>
      </c>
    </row>
    <row r="32" spans="1:4" ht="9" customHeight="1" x14ac:dyDescent="0.2"/>
    <row r="33" s="255" customFormat="1" ht="9" customHeight="1" x14ac:dyDescent="0.2"/>
    <row r="34" s="255" customFormat="1" ht="9" customHeight="1" x14ac:dyDescent="0.2"/>
    <row r="35" s="255" customFormat="1" ht="13.5" x14ac:dyDescent="0.2"/>
    <row r="36" s="255" customFormat="1" ht="13.5" x14ac:dyDescent="0.2"/>
    <row r="37" s="255" customFormat="1" ht="13.5" x14ac:dyDescent="0.2"/>
    <row r="38" s="255" customFormat="1" ht="13.5" x14ac:dyDescent="0.2"/>
    <row r="39" s="255" customFormat="1" ht="13.5" x14ac:dyDescent="0.2"/>
    <row r="40" s="255" customFormat="1" ht="13.5" x14ac:dyDescent="0.2"/>
    <row r="41" s="255" customFormat="1" ht="13.5" x14ac:dyDescent="0.2"/>
    <row r="42" s="255" customFormat="1" ht="13.5" x14ac:dyDescent="0.2"/>
    <row r="43" s="255" customFormat="1" ht="13.5" x14ac:dyDescent="0.2"/>
    <row r="44" s="255" customFormat="1" ht="13.5" x14ac:dyDescent="0.2"/>
    <row r="45" s="255" customFormat="1" ht="13.5" x14ac:dyDescent="0.2"/>
    <row r="46" s="255" customFormat="1" ht="13.5" x14ac:dyDescent="0.2"/>
    <row r="47" s="255" customFormat="1" ht="13.5" x14ac:dyDescent="0.2"/>
    <row r="48" s="255" customFormat="1" ht="13.5" x14ac:dyDescent="0.2"/>
    <row r="49" s="255" customFormat="1" ht="13.5" x14ac:dyDescent="0.2"/>
    <row r="50" s="255" customFormat="1" ht="13.5" x14ac:dyDescent="0.2"/>
    <row r="51" s="255" customFormat="1" ht="13.5" x14ac:dyDescent="0.2"/>
    <row r="52" s="255" customFormat="1" ht="13.5" x14ac:dyDescent="0.2"/>
    <row r="53" s="255" customFormat="1" ht="13.5" x14ac:dyDescent="0.2"/>
    <row r="54" s="255" customFormat="1" ht="13.5" x14ac:dyDescent="0.2"/>
    <row r="55" s="255" customFormat="1" ht="13.5" x14ac:dyDescent="0.2"/>
    <row r="56" s="255" customFormat="1" ht="13.5" x14ac:dyDescent="0.2"/>
    <row r="57" s="255" customFormat="1" ht="13.5" x14ac:dyDescent="0.2"/>
    <row r="58" s="255" customFormat="1" ht="13.5" x14ac:dyDescent="0.2"/>
    <row r="59" s="255" customFormat="1" ht="13.5" x14ac:dyDescent="0.2"/>
    <row r="60" s="255" customFormat="1" ht="13.5" x14ac:dyDescent="0.2"/>
    <row r="61" s="255" customFormat="1" ht="13.5" x14ac:dyDescent="0.2"/>
    <row r="62" s="255" customFormat="1" ht="13.5" x14ac:dyDescent="0.2"/>
    <row r="63" s="255" customFormat="1" ht="13.5" x14ac:dyDescent="0.2"/>
    <row r="64" s="255" customFormat="1" ht="13.5" x14ac:dyDescent="0.2"/>
    <row r="65" s="255" customFormat="1" ht="13.5" x14ac:dyDescent="0.2"/>
    <row r="66" s="255" customFormat="1" ht="13.5" x14ac:dyDescent="0.2"/>
    <row r="67" s="255" customFormat="1" ht="13.5" x14ac:dyDescent="0.2"/>
    <row r="68" s="255" customFormat="1" ht="13.5" x14ac:dyDescent="0.2"/>
    <row r="69" s="255" customFormat="1" ht="13.5" x14ac:dyDescent="0.2"/>
    <row r="70" s="255" customFormat="1" ht="13.5" x14ac:dyDescent="0.2"/>
    <row r="71" s="255" customFormat="1" ht="13.5" x14ac:dyDescent="0.2"/>
    <row r="72" s="255" customFormat="1" ht="13.5" x14ac:dyDescent="0.2"/>
    <row r="73" s="255" customFormat="1" ht="13.5" x14ac:dyDescent="0.2"/>
    <row r="74" s="255" customFormat="1" ht="13.5" x14ac:dyDescent="0.2"/>
    <row r="75" s="255" customFormat="1" ht="13.5" x14ac:dyDescent="0.2"/>
    <row r="76" s="255" customFormat="1" ht="13.5" x14ac:dyDescent="0.2"/>
    <row r="77" s="255" customFormat="1" ht="13.5" x14ac:dyDescent="0.2"/>
    <row r="78" s="255" customFormat="1" ht="13.5" x14ac:dyDescent="0.2"/>
    <row r="79" s="255" customFormat="1" ht="13.5" x14ac:dyDescent="0.2"/>
    <row r="80" s="255" customFormat="1" ht="13.5" x14ac:dyDescent="0.2"/>
    <row r="81" s="255" customFormat="1" ht="13.5" x14ac:dyDescent="0.2"/>
    <row r="82" s="255" customFormat="1" ht="13.5" x14ac:dyDescent="0.2"/>
    <row r="83" s="255" customFormat="1" ht="13.5" x14ac:dyDescent="0.2"/>
    <row r="84" s="255" customFormat="1" ht="13.5" x14ac:dyDescent="0.2"/>
    <row r="85" s="255" customFormat="1" ht="13.5" x14ac:dyDescent="0.2"/>
    <row r="86" s="255" customFormat="1" ht="13.5" x14ac:dyDescent="0.2"/>
    <row r="87" s="255" customFormat="1" ht="13.5" x14ac:dyDescent="0.2"/>
    <row r="88" s="255" customFormat="1" ht="13.5" x14ac:dyDescent="0.2"/>
    <row r="89" s="255" customFormat="1" ht="13.5" x14ac:dyDescent="0.2"/>
    <row r="90" s="255" customFormat="1" ht="13.5" x14ac:dyDescent="0.2"/>
    <row r="91" s="255" customFormat="1" ht="13.5" x14ac:dyDescent="0.2"/>
    <row r="92" s="255" customFormat="1" ht="13.5" x14ac:dyDescent="0.2"/>
    <row r="93" s="255" customFormat="1" ht="13.5" x14ac:dyDescent="0.2"/>
    <row r="94" s="255" customFormat="1" ht="13.5" x14ac:dyDescent="0.2"/>
    <row r="95" s="255" customFormat="1" ht="13.5" x14ac:dyDescent="0.2"/>
    <row r="96" s="255" customFormat="1" ht="13.5" x14ac:dyDescent="0.2"/>
    <row r="97" s="255" customFormat="1" ht="13.5" x14ac:dyDescent="0.2"/>
    <row r="98" s="255" customFormat="1" ht="13.5" x14ac:dyDescent="0.2"/>
    <row r="99" s="255" customFormat="1" ht="13.5" x14ac:dyDescent="0.2"/>
    <row r="100" s="255" customFormat="1" ht="13.5" x14ac:dyDescent="0.2"/>
    <row r="101" s="255" customFormat="1" ht="13.5" x14ac:dyDescent="0.2"/>
    <row r="102" s="255" customFormat="1" ht="13.5" x14ac:dyDescent="0.2"/>
    <row r="103" s="255" customFormat="1" ht="13.5" x14ac:dyDescent="0.2"/>
    <row r="104" s="255" customFormat="1" ht="13.5" x14ac:dyDescent="0.2"/>
    <row r="105" s="255" customFormat="1" ht="13.5" x14ac:dyDescent="0.2"/>
    <row r="106" s="255" customFormat="1" ht="13.5" x14ac:dyDescent="0.2"/>
    <row r="107" s="255" customFormat="1" ht="13.5" x14ac:dyDescent="0.2"/>
    <row r="108" s="255" customFormat="1" ht="13.5" x14ac:dyDescent="0.2"/>
    <row r="109" s="255" customFormat="1" ht="13.5" x14ac:dyDescent="0.2"/>
    <row r="110" s="255" customFormat="1" ht="13.5" x14ac:dyDescent="0.2"/>
    <row r="111" s="255" customFormat="1" ht="13.5" x14ac:dyDescent="0.2"/>
    <row r="112" s="255" customFormat="1" ht="13.5" x14ac:dyDescent="0.2"/>
    <row r="113" s="255" customFormat="1" ht="13.5" x14ac:dyDescent="0.2"/>
    <row r="114" s="255" customFormat="1" ht="13.5" x14ac:dyDescent="0.2"/>
    <row r="115" s="255" customFormat="1" ht="13.5" x14ac:dyDescent="0.2"/>
    <row r="116" s="255" customFormat="1" ht="13.5" x14ac:dyDescent="0.2"/>
    <row r="117" s="255" customFormat="1" ht="13.5" x14ac:dyDescent="0.2"/>
    <row r="118" s="255" customFormat="1" ht="13.5" x14ac:dyDescent="0.2"/>
    <row r="119" s="255" customFormat="1" ht="13.5" x14ac:dyDescent="0.2"/>
    <row r="120" s="255" customFormat="1" ht="13.5" x14ac:dyDescent="0.2"/>
    <row r="121" s="255" customFormat="1" ht="13.5" x14ac:dyDescent="0.2"/>
    <row r="122" s="255" customFormat="1" ht="13.5" x14ac:dyDescent="0.2"/>
    <row r="123" s="255" customFormat="1" ht="13.5" x14ac:dyDescent="0.2"/>
    <row r="124" s="255" customFormat="1" ht="13.5" x14ac:dyDescent="0.2"/>
    <row r="125" s="255" customFormat="1" ht="13.5" x14ac:dyDescent="0.2"/>
    <row r="126" s="255" customFormat="1" ht="13.5" x14ac:dyDescent="0.2"/>
    <row r="127" s="255" customFormat="1" ht="13.5" x14ac:dyDescent="0.2"/>
    <row r="128" s="255" customFormat="1" ht="13.5" x14ac:dyDescent="0.2"/>
    <row r="129" s="255" customFormat="1" ht="13.5" x14ac:dyDescent="0.2"/>
    <row r="130" s="255" customFormat="1" ht="13.5" x14ac:dyDescent="0.2"/>
    <row r="131" s="255" customFormat="1" ht="13.5" x14ac:dyDescent="0.2"/>
    <row r="132" s="255" customFormat="1" ht="13.5" x14ac:dyDescent="0.2"/>
    <row r="133" s="255" customFormat="1" ht="13.5" x14ac:dyDescent="0.2"/>
    <row r="134" s="255" customFormat="1" ht="13.5" x14ac:dyDescent="0.2"/>
    <row r="135" s="255" customFormat="1" ht="13.5" x14ac:dyDescent="0.2"/>
    <row r="136" s="255" customFormat="1" ht="13.5" x14ac:dyDescent="0.2"/>
    <row r="137" s="255" customFormat="1" ht="13.5" x14ac:dyDescent="0.2"/>
    <row r="138" s="255" customFormat="1" ht="13.5" x14ac:dyDescent="0.2"/>
    <row r="139" s="255" customFormat="1" ht="13.5" x14ac:dyDescent="0.2"/>
    <row r="140" s="255" customFormat="1" ht="13.5" x14ac:dyDescent="0.2"/>
    <row r="141" s="255" customFormat="1" ht="13.5" x14ac:dyDescent="0.2"/>
    <row r="142" s="255" customFormat="1" ht="13.5" x14ac:dyDescent="0.2"/>
    <row r="143" s="255" customFormat="1" ht="13.5" x14ac:dyDescent="0.2"/>
    <row r="144" s="255" customFormat="1" ht="13.5" x14ac:dyDescent="0.2"/>
    <row r="145" s="255" customFormat="1" ht="13.5" x14ac:dyDescent="0.2"/>
    <row r="146" s="255" customFormat="1" ht="13.5" x14ac:dyDescent="0.2"/>
    <row r="147" s="255" customFormat="1" ht="13.5" x14ac:dyDescent="0.2"/>
    <row r="148" s="255" customFormat="1" ht="13.5" x14ac:dyDescent="0.2"/>
    <row r="149" s="255" customFormat="1" ht="13.5" x14ac:dyDescent="0.2"/>
    <row r="150" s="255" customFormat="1" ht="13.5" x14ac:dyDescent="0.2"/>
    <row r="151" s="255" customFormat="1" ht="13.5" x14ac:dyDescent="0.2"/>
    <row r="152" s="255" customFormat="1" ht="13.5" x14ac:dyDescent="0.2"/>
    <row r="153" s="255" customFormat="1" ht="13.5" x14ac:dyDescent="0.2"/>
    <row r="154" s="255" customFormat="1" ht="13.5" x14ac:dyDescent="0.2"/>
    <row r="155" s="255" customFormat="1" ht="13.5" x14ac:dyDescent="0.2"/>
    <row r="156" s="255" customFormat="1" ht="13.5" x14ac:dyDescent="0.2"/>
    <row r="157" s="255" customFormat="1" ht="13.5" x14ac:dyDescent="0.2"/>
    <row r="158" s="255" customFormat="1" ht="13.5" x14ac:dyDescent="0.2"/>
    <row r="159" s="255" customFormat="1" ht="13.5" x14ac:dyDescent="0.2"/>
    <row r="160" s="255" customFormat="1" ht="13.5" x14ac:dyDescent="0.2"/>
    <row r="161" s="255" customFormat="1" ht="13.5" x14ac:dyDescent="0.2"/>
    <row r="162" s="255" customFormat="1" ht="13.5" x14ac:dyDescent="0.2"/>
    <row r="163" s="255" customFormat="1" ht="13.5" x14ac:dyDescent="0.2"/>
    <row r="164" s="255" customFormat="1" ht="13.5" x14ac:dyDescent="0.2"/>
    <row r="165" s="255" customFormat="1" ht="13.5" x14ac:dyDescent="0.2"/>
    <row r="166" s="255" customFormat="1" ht="13.5" x14ac:dyDescent="0.2"/>
    <row r="167" s="255" customFormat="1" ht="13.5" x14ac:dyDescent="0.2"/>
    <row r="168" s="255" customFormat="1" ht="13.5" x14ac:dyDescent="0.2"/>
    <row r="169" s="255" customFormat="1" ht="13.5" x14ac:dyDescent="0.2"/>
    <row r="170" s="255" customFormat="1" ht="13.5" x14ac:dyDescent="0.2"/>
    <row r="171" s="255" customFormat="1" ht="13.5" x14ac:dyDescent="0.2"/>
    <row r="172" s="255" customFormat="1" ht="13.5" x14ac:dyDescent="0.2"/>
    <row r="173" s="255" customFormat="1" ht="13.5" x14ac:dyDescent="0.2"/>
    <row r="174" s="255" customFormat="1" ht="13.5" x14ac:dyDescent="0.2"/>
    <row r="175" s="255" customFormat="1" ht="13.5" x14ac:dyDescent="0.2"/>
    <row r="176" s="255" customFormat="1" ht="13.5" x14ac:dyDescent="0.2"/>
    <row r="177" s="255" customFormat="1" ht="13.5" x14ac:dyDescent="0.2"/>
    <row r="178" s="255" customFormat="1" ht="13.5" x14ac:dyDescent="0.2"/>
    <row r="179" s="255" customFormat="1" ht="13.5" x14ac:dyDescent="0.2"/>
    <row r="180" s="255" customFormat="1" ht="13.5" x14ac:dyDescent="0.2"/>
    <row r="181" s="255" customFormat="1" ht="13.5" x14ac:dyDescent="0.2"/>
    <row r="182" s="255" customFormat="1" ht="13.5" x14ac:dyDescent="0.2"/>
    <row r="183" s="255" customFormat="1" ht="13.5" x14ac:dyDescent="0.2"/>
    <row r="184" s="255" customFormat="1" ht="13.5" x14ac:dyDescent="0.2"/>
    <row r="185" s="255" customFormat="1" ht="13.5" x14ac:dyDescent="0.2"/>
    <row r="186" s="255" customFormat="1" ht="13.5" x14ac:dyDescent="0.2"/>
    <row r="187" s="255" customFormat="1" ht="13.5" x14ac:dyDescent="0.2"/>
    <row r="188" s="255" customFormat="1" ht="13.5" x14ac:dyDescent="0.2"/>
    <row r="189" s="255" customFormat="1" ht="13.5" x14ac:dyDescent="0.2"/>
    <row r="190" s="255" customFormat="1" ht="13.5" x14ac:dyDescent="0.2"/>
    <row r="191" s="255" customFormat="1" ht="13.5" x14ac:dyDescent="0.2"/>
    <row r="192" s="255" customFormat="1" ht="13.5" x14ac:dyDescent="0.2"/>
    <row r="193" s="255" customFormat="1" ht="13.5" x14ac:dyDescent="0.2"/>
    <row r="194" s="255" customFormat="1" ht="13.5" x14ac:dyDescent="0.2"/>
    <row r="195" s="255" customFormat="1" ht="13.5" x14ac:dyDescent="0.2"/>
    <row r="196" s="255" customFormat="1" ht="13.5" x14ac:dyDescent="0.2"/>
    <row r="197" s="255" customFormat="1" ht="13.5" x14ac:dyDescent="0.2"/>
    <row r="198" s="255" customFormat="1" ht="13.5" x14ac:dyDescent="0.2"/>
    <row r="199" s="255" customFormat="1" ht="13.5" x14ac:dyDescent="0.2"/>
    <row r="200" s="255" customFormat="1" ht="13.5" x14ac:dyDescent="0.2"/>
    <row r="201" s="255" customFormat="1" ht="13.5" x14ac:dyDescent="0.2"/>
    <row r="202" s="255" customFormat="1" ht="13.5" x14ac:dyDescent="0.2"/>
    <row r="203" s="255" customFormat="1" ht="13.5" x14ac:dyDescent="0.2"/>
    <row r="204" s="255" customFormat="1" ht="13.5" x14ac:dyDescent="0.2"/>
    <row r="205" s="255" customFormat="1" ht="13.5" x14ac:dyDescent="0.2"/>
    <row r="206" s="255" customFormat="1" ht="13.5" x14ac:dyDescent="0.2"/>
    <row r="207" s="255" customFormat="1" ht="13.5" x14ac:dyDescent="0.2"/>
    <row r="208" s="255" customFormat="1" ht="13.5" x14ac:dyDescent="0.2"/>
    <row r="209" s="255" customFormat="1" ht="13.5" x14ac:dyDescent="0.2"/>
    <row r="210" s="255" customFormat="1" ht="13.5" x14ac:dyDescent="0.2"/>
    <row r="211" s="255" customFormat="1" ht="13.5" x14ac:dyDescent="0.2"/>
    <row r="212" s="255" customFormat="1" ht="13.5" x14ac:dyDescent="0.2"/>
    <row r="213" s="255" customFormat="1" ht="13.5" x14ac:dyDescent="0.2"/>
    <row r="214" s="255" customFormat="1" ht="13.5" x14ac:dyDescent="0.2"/>
    <row r="215" s="255" customFormat="1" ht="13.5" x14ac:dyDescent="0.2"/>
    <row r="216" s="255" customFormat="1" ht="13.5" x14ac:dyDescent="0.2"/>
    <row r="217" s="255" customFormat="1" ht="13.5" x14ac:dyDescent="0.2"/>
    <row r="218" s="255" customFormat="1" ht="13.5" x14ac:dyDescent="0.2"/>
    <row r="219" s="255" customFormat="1" ht="13.5" x14ac:dyDescent="0.2"/>
    <row r="220" s="255" customFormat="1" ht="13.5" x14ac:dyDescent="0.2"/>
    <row r="221" s="255" customFormat="1" ht="13.5" x14ac:dyDescent="0.2"/>
    <row r="222" s="255" customFormat="1" ht="13.5" x14ac:dyDescent="0.2"/>
    <row r="223" s="255" customFormat="1" ht="13.5" x14ac:dyDescent="0.2"/>
    <row r="224" s="255" customFormat="1" ht="13.5" x14ac:dyDescent="0.2"/>
    <row r="225" s="255" customFormat="1" ht="13.5" x14ac:dyDescent="0.2"/>
    <row r="226" s="255" customFormat="1" ht="13.5" x14ac:dyDescent="0.2"/>
    <row r="227" s="255" customFormat="1" ht="13.5" x14ac:dyDescent="0.2"/>
    <row r="228" s="255" customFormat="1" ht="13.5" x14ac:dyDescent="0.2"/>
    <row r="229" s="255" customFormat="1" ht="13.5" x14ac:dyDescent="0.2"/>
    <row r="230" s="255" customFormat="1" ht="13.5" x14ac:dyDescent="0.2"/>
    <row r="231" s="255" customFormat="1" ht="13.5" x14ac:dyDescent="0.2"/>
    <row r="232" s="255" customFormat="1" ht="13.5" x14ac:dyDescent="0.2"/>
    <row r="233" s="255" customFormat="1" ht="13.5" x14ac:dyDescent="0.2"/>
    <row r="234" s="255" customFormat="1" ht="13.5" x14ac:dyDescent="0.2"/>
    <row r="235" s="255" customFormat="1" ht="13.5" x14ac:dyDescent="0.2"/>
    <row r="236" s="255" customFormat="1" ht="13.5" x14ac:dyDescent="0.2"/>
    <row r="237" s="255" customFormat="1" ht="13.5" x14ac:dyDescent="0.2"/>
    <row r="238" s="255" customFormat="1" ht="13.5" x14ac:dyDescent="0.2"/>
    <row r="239" s="255" customFormat="1" ht="13.5" x14ac:dyDescent="0.2"/>
    <row r="240" s="255" customFormat="1" ht="13.5" x14ac:dyDescent="0.2"/>
    <row r="241" s="255" customFormat="1" ht="13.5" x14ac:dyDescent="0.2"/>
    <row r="242" s="255" customFormat="1" ht="13.5" x14ac:dyDescent="0.2"/>
    <row r="243" s="255" customFormat="1" ht="13.5" x14ac:dyDescent="0.2"/>
    <row r="244" s="255" customFormat="1" ht="13.5" x14ac:dyDescent="0.2"/>
    <row r="245" s="255" customFormat="1" ht="13.5" x14ac:dyDescent="0.2"/>
    <row r="246" s="255" customFormat="1" ht="13.5" x14ac:dyDescent="0.2"/>
    <row r="247" s="255" customFormat="1" ht="13.5" x14ac:dyDescent="0.2"/>
    <row r="248" s="255" customFormat="1" ht="13.5" x14ac:dyDescent="0.2"/>
    <row r="249" s="255" customFormat="1" ht="13.5" x14ac:dyDescent="0.2"/>
    <row r="250" s="255" customFormat="1" ht="13.5" x14ac:dyDescent="0.2"/>
    <row r="251" s="255" customFormat="1" ht="13.5" x14ac:dyDescent="0.2"/>
    <row r="252" s="255" customFormat="1" ht="13.5" x14ac:dyDescent="0.2"/>
    <row r="253" s="255" customFormat="1" ht="13.5" x14ac:dyDescent="0.2"/>
    <row r="254" s="255" customFormat="1" ht="13.5" x14ac:dyDescent="0.2"/>
    <row r="255" s="255" customFormat="1" ht="13.5" x14ac:dyDescent="0.2"/>
    <row r="256" s="255" customFormat="1" ht="13.5" x14ac:dyDescent="0.2"/>
    <row r="257" s="255" customFormat="1" ht="13.5" x14ac:dyDescent="0.2"/>
    <row r="258" s="255" customFormat="1" ht="13.5" x14ac:dyDescent="0.2"/>
    <row r="259" s="255" customFormat="1" ht="13.5" x14ac:dyDescent="0.2"/>
    <row r="260" s="255" customFormat="1" ht="13.5" x14ac:dyDescent="0.2"/>
    <row r="261" s="255" customFormat="1" ht="13.5" x14ac:dyDescent="0.2"/>
    <row r="262" s="255" customFormat="1" ht="13.5" x14ac:dyDescent="0.2"/>
    <row r="263" s="255" customFormat="1" ht="13.5" x14ac:dyDescent="0.2"/>
    <row r="264" s="255" customFormat="1" ht="13.5" x14ac:dyDescent="0.2"/>
    <row r="265" s="255" customFormat="1" ht="13.5" x14ac:dyDescent="0.2"/>
    <row r="266" s="255" customFormat="1" ht="13.5" x14ac:dyDescent="0.2"/>
    <row r="267" s="255" customFormat="1" ht="13.5" x14ac:dyDescent="0.2"/>
    <row r="268" s="255" customFormat="1" ht="13.5" x14ac:dyDescent="0.2"/>
    <row r="269" s="255" customFormat="1" ht="13.5" x14ac:dyDescent="0.2"/>
    <row r="270" s="255" customFormat="1" ht="13.5" x14ac:dyDescent="0.2"/>
    <row r="271" s="255" customFormat="1" ht="13.5" x14ac:dyDescent="0.2"/>
    <row r="272" s="255" customFormat="1" ht="13.5" x14ac:dyDescent="0.2"/>
    <row r="273" s="255" customFormat="1" ht="13.5" x14ac:dyDescent="0.2"/>
    <row r="274" s="255" customFormat="1" ht="13.5" x14ac:dyDescent="0.2"/>
    <row r="275" s="255" customFormat="1" ht="13.5" x14ac:dyDescent="0.2"/>
    <row r="276" s="255" customFormat="1" ht="13.5" x14ac:dyDescent="0.2"/>
    <row r="277" s="255" customFormat="1" ht="13.5" x14ac:dyDescent="0.2"/>
    <row r="278" s="255" customFormat="1" ht="13.5" x14ac:dyDescent="0.2"/>
    <row r="279" s="255" customFormat="1" ht="13.5" x14ac:dyDescent="0.2"/>
    <row r="280" s="255" customFormat="1" ht="13.5" x14ac:dyDescent="0.2"/>
    <row r="281" s="255" customFormat="1" ht="13.5" x14ac:dyDescent="0.2"/>
    <row r="282" s="255" customFormat="1" ht="13.5" x14ac:dyDescent="0.2"/>
    <row r="283" s="255" customFormat="1" ht="13.5" x14ac:dyDescent="0.2"/>
    <row r="284" s="255" customFormat="1" ht="13.5" x14ac:dyDescent="0.2"/>
    <row r="285" s="255" customFormat="1" ht="13.5" x14ac:dyDescent="0.2"/>
    <row r="286" s="255" customFormat="1" ht="13.5" x14ac:dyDescent="0.2"/>
    <row r="287" s="255" customFormat="1" ht="13.5" x14ac:dyDescent="0.2"/>
    <row r="288" s="255" customFormat="1" ht="13.5" x14ac:dyDescent="0.2"/>
    <row r="289" s="255" customFormat="1" ht="13.5" x14ac:dyDescent="0.2"/>
    <row r="290" s="255" customFormat="1" ht="13.5" x14ac:dyDescent="0.2"/>
    <row r="291" s="255" customFormat="1" ht="13.5" x14ac:dyDescent="0.2"/>
    <row r="292" s="255" customFormat="1" ht="13.5" x14ac:dyDescent="0.2"/>
    <row r="293" s="255" customFormat="1" ht="13.5" x14ac:dyDescent="0.2"/>
    <row r="294" s="255" customFormat="1" ht="13.5" x14ac:dyDescent="0.2"/>
    <row r="295" s="255" customFormat="1" ht="13.5" x14ac:dyDescent="0.2"/>
    <row r="296" s="255" customFormat="1" ht="13.5" x14ac:dyDescent="0.2"/>
    <row r="297" s="255" customFormat="1" ht="13.5" x14ac:dyDescent="0.2"/>
    <row r="298" s="255" customFormat="1" ht="13.5" x14ac:dyDescent="0.2"/>
    <row r="299" s="255" customFormat="1" ht="13.5" x14ac:dyDescent="0.2"/>
    <row r="300" s="255" customFormat="1" ht="13.5" x14ac:dyDescent="0.2"/>
    <row r="301" s="255" customFormat="1" ht="13.5" x14ac:dyDescent="0.2"/>
    <row r="302" s="255" customFormat="1" ht="13.5" x14ac:dyDescent="0.2"/>
    <row r="303" s="255" customFormat="1" ht="13.5" x14ac:dyDescent="0.2"/>
    <row r="304" s="255" customFormat="1" ht="13.5" x14ac:dyDescent="0.2"/>
    <row r="305" s="255" customFormat="1" ht="13.5" x14ac:dyDescent="0.2"/>
    <row r="306" s="255" customFormat="1" ht="13.5" x14ac:dyDescent="0.2"/>
    <row r="307" s="255" customFormat="1" ht="13.5" x14ac:dyDescent="0.2"/>
    <row r="308" s="255" customFormat="1" ht="13.5" x14ac:dyDescent="0.2"/>
    <row r="309" s="255" customFormat="1" ht="13.5" x14ac:dyDescent="0.2"/>
    <row r="310" s="255" customFormat="1" ht="13.5" x14ac:dyDescent="0.2"/>
    <row r="311" s="255" customFormat="1" ht="13.5" x14ac:dyDescent="0.2"/>
    <row r="312" s="255" customFormat="1" ht="13.5" x14ac:dyDescent="0.2"/>
    <row r="313" s="255" customFormat="1" ht="13.5" x14ac:dyDescent="0.2"/>
    <row r="314" s="255" customFormat="1" ht="13.5" x14ac:dyDescent="0.2"/>
    <row r="315" s="255" customFormat="1" ht="13.5" x14ac:dyDescent="0.2"/>
    <row r="316" s="255" customFormat="1" ht="13.5" x14ac:dyDescent="0.2"/>
    <row r="317" s="255" customFormat="1" ht="13.5" x14ac:dyDescent="0.2"/>
    <row r="318" s="255" customFormat="1" ht="13.5" x14ac:dyDescent="0.2"/>
    <row r="319" s="255" customFormat="1" ht="13.5" x14ac:dyDescent="0.2"/>
    <row r="320" s="255" customFormat="1" ht="13.5" x14ac:dyDescent="0.2"/>
    <row r="321" s="255" customFormat="1" ht="13.5" x14ac:dyDescent="0.2"/>
    <row r="322" s="255" customFormat="1" ht="13.5" x14ac:dyDescent="0.2"/>
    <row r="323" s="255" customFormat="1" ht="13.5" x14ac:dyDescent="0.2"/>
    <row r="324" s="255" customFormat="1" ht="13.5" x14ac:dyDescent="0.2"/>
    <row r="325" s="255" customFormat="1" ht="13.5" x14ac:dyDescent="0.2"/>
    <row r="326" s="255" customFormat="1" ht="13.5" x14ac:dyDescent="0.2"/>
    <row r="327" s="255" customFormat="1" ht="13.5" x14ac:dyDescent="0.2"/>
    <row r="328" s="255" customFormat="1" ht="13.5" x14ac:dyDescent="0.2"/>
    <row r="329" s="255" customFormat="1" ht="13.5" x14ac:dyDescent="0.2"/>
    <row r="330" s="255" customFormat="1" ht="13.5" x14ac:dyDescent="0.2"/>
    <row r="331" s="255" customFormat="1" ht="13.5" x14ac:dyDescent="0.2"/>
    <row r="332" s="255" customFormat="1" ht="13.5" x14ac:dyDescent="0.2"/>
    <row r="333" s="255" customFormat="1" ht="13.5" x14ac:dyDescent="0.2"/>
    <row r="334" s="255" customFormat="1" ht="13.5" x14ac:dyDescent="0.2"/>
    <row r="335" s="255" customFormat="1" ht="13.5" x14ac:dyDescent="0.2"/>
    <row r="336" s="255" customFormat="1" ht="13.5" x14ac:dyDescent="0.2"/>
    <row r="337" s="255" customFormat="1" ht="13.5" x14ac:dyDescent="0.2"/>
    <row r="338" s="255" customFormat="1" ht="13.5" x14ac:dyDescent="0.2"/>
    <row r="339" s="255" customFormat="1" ht="13.5" x14ac:dyDescent="0.2"/>
    <row r="340" s="255" customFormat="1" ht="13.5" x14ac:dyDescent="0.2"/>
    <row r="341" s="255" customFormat="1" ht="13.5" x14ac:dyDescent="0.2"/>
    <row r="342" s="255" customFormat="1" ht="13.5" x14ac:dyDescent="0.2"/>
    <row r="343" s="255" customFormat="1" ht="13.5" x14ac:dyDescent="0.2"/>
    <row r="344" s="255" customFormat="1" ht="13.5" x14ac:dyDescent="0.2"/>
    <row r="345" s="255" customFormat="1" ht="13.5" x14ac:dyDescent="0.2"/>
    <row r="346" s="255" customFormat="1" ht="13.5" x14ac:dyDescent="0.2"/>
    <row r="347" s="255" customFormat="1" ht="13.5" x14ac:dyDescent="0.2"/>
    <row r="348" s="255" customFormat="1" ht="13.5" x14ac:dyDescent="0.2"/>
    <row r="349" s="255" customFormat="1" ht="13.5" x14ac:dyDescent="0.2"/>
    <row r="350" s="255" customFormat="1" ht="13.5" x14ac:dyDescent="0.2"/>
    <row r="351" s="255" customFormat="1" ht="13.5" x14ac:dyDescent="0.2"/>
    <row r="352" s="255" customFormat="1" ht="13.5" x14ac:dyDescent="0.2"/>
    <row r="353" s="255" customFormat="1" ht="13.5" x14ac:dyDescent="0.2"/>
    <row r="354" s="255" customFormat="1" ht="13.5" x14ac:dyDescent="0.2"/>
    <row r="355" s="255" customFormat="1" ht="13.5" x14ac:dyDescent="0.2"/>
    <row r="356" s="255" customFormat="1" ht="13.5" x14ac:dyDescent="0.2"/>
    <row r="357" s="255" customFormat="1" ht="13.5" x14ac:dyDescent="0.2"/>
    <row r="358" s="255" customFormat="1" ht="13.5" x14ac:dyDescent="0.2"/>
    <row r="359" s="255" customFormat="1" ht="13.5" x14ac:dyDescent="0.2"/>
    <row r="360" s="255" customFormat="1" ht="13.5" x14ac:dyDescent="0.2"/>
    <row r="361" s="255" customFormat="1" ht="13.5" x14ac:dyDescent="0.2"/>
    <row r="362" s="255" customFormat="1" ht="13.5" x14ac:dyDescent="0.2"/>
    <row r="363" s="255" customFormat="1" ht="13.5" x14ac:dyDescent="0.2"/>
    <row r="364" s="255" customFormat="1" ht="13.5" x14ac:dyDescent="0.2"/>
    <row r="365" s="255" customFormat="1" ht="13.5" x14ac:dyDescent="0.2"/>
    <row r="366" s="255" customFormat="1" ht="13.5" x14ac:dyDescent="0.2"/>
    <row r="367" s="255" customFormat="1" ht="13.5" x14ac:dyDescent="0.2"/>
    <row r="368" s="255" customFormat="1" ht="13.5" x14ac:dyDescent="0.2"/>
    <row r="369" s="255" customFormat="1" ht="13.5" x14ac:dyDescent="0.2"/>
    <row r="370" s="255" customFormat="1" ht="13.5" x14ac:dyDescent="0.2"/>
    <row r="371" s="255" customFormat="1" ht="13.5" x14ac:dyDescent="0.2"/>
    <row r="372" s="255" customFormat="1" ht="13.5" x14ac:dyDescent="0.2"/>
    <row r="373" s="255" customFormat="1" ht="13.5" x14ac:dyDescent="0.2"/>
    <row r="374" s="255" customFormat="1" ht="13.5" x14ac:dyDescent="0.2"/>
    <row r="375" s="255" customFormat="1" ht="13.5" x14ac:dyDescent="0.2"/>
    <row r="376" s="255" customFormat="1" ht="13.5" x14ac:dyDescent="0.2"/>
    <row r="377" s="255" customFormat="1" ht="13.5" x14ac:dyDescent="0.2"/>
    <row r="378" s="255" customFormat="1" ht="13.5" x14ac:dyDescent="0.2"/>
    <row r="379" s="255" customFormat="1" ht="13.5" x14ac:dyDescent="0.2"/>
    <row r="380" s="255" customFormat="1" ht="13.5" x14ac:dyDescent="0.2"/>
    <row r="381" s="255" customFormat="1" ht="13.5" x14ac:dyDescent="0.2"/>
    <row r="382" s="255" customFormat="1" ht="13.5" x14ac:dyDescent="0.2"/>
    <row r="383" s="255" customFormat="1" ht="13.5" x14ac:dyDescent="0.2"/>
    <row r="384" s="255" customFormat="1" ht="13.5" x14ac:dyDescent="0.2"/>
    <row r="385" s="255" customFormat="1" ht="13.5" x14ac:dyDescent="0.2"/>
    <row r="386" s="255" customFormat="1" ht="13.5" x14ac:dyDescent="0.2"/>
    <row r="387" s="255" customFormat="1" ht="13.5" x14ac:dyDescent="0.2"/>
    <row r="388" s="255" customFormat="1" ht="13.5" x14ac:dyDescent="0.2"/>
    <row r="389" s="255" customFormat="1" ht="13.5" x14ac:dyDescent="0.2"/>
    <row r="390" s="255" customFormat="1" ht="13.5" x14ac:dyDescent="0.2"/>
    <row r="391" s="255" customFormat="1" ht="13.5" x14ac:dyDescent="0.2"/>
    <row r="392" s="255" customFormat="1" ht="13.5" x14ac:dyDescent="0.2"/>
    <row r="393" s="255" customFormat="1" ht="13.5" x14ac:dyDescent="0.2"/>
    <row r="394" s="255" customFormat="1" ht="13.5" x14ac:dyDescent="0.2"/>
    <row r="395" s="255" customFormat="1" ht="13.5" x14ac:dyDescent="0.2"/>
    <row r="396" s="255" customFormat="1" ht="13.5" x14ac:dyDescent="0.2"/>
    <row r="397" s="255" customFormat="1" ht="13.5" x14ac:dyDescent="0.2"/>
    <row r="398" s="255" customFormat="1" ht="13.5" x14ac:dyDescent="0.2"/>
    <row r="399" s="255" customFormat="1" ht="13.5" x14ac:dyDescent="0.2"/>
    <row r="400" s="255" customFormat="1" ht="13.5" x14ac:dyDescent="0.2"/>
    <row r="401" s="255" customFormat="1" ht="13.5" x14ac:dyDescent="0.2"/>
    <row r="402" s="255" customFormat="1" ht="13.5" x14ac:dyDescent="0.2"/>
    <row r="403" s="255" customFormat="1" ht="13.5" x14ac:dyDescent="0.2"/>
    <row r="404" s="255" customFormat="1" ht="13.5" x14ac:dyDescent="0.2"/>
    <row r="405" s="255" customFormat="1" ht="13.5" x14ac:dyDescent="0.2"/>
    <row r="406" s="255" customFormat="1" ht="13.5" x14ac:dyDescent="0.2"/>
    <row r="407" s="255" customFormat="1" ht="13.5" x14ac:dyDescent="0.2"/>
    <row r="408" s="255" customFormat="1" ht="13.5" x14ac:dyDescent="0.2"/>
    <row r="409" s="255" customFormat="1" ht="13.5" x14ac:dyDescent="0.2"/>
    <row r="410" s="255" customFormat="1" ht="13.5" x14ac:dyDescent="0.2"/>
    <row r="411" s="255" customFormat="1" ht="13.5" x14ac:dyDescent="0.2"/>
    <row r="412" s="255" customFormat="1" ht="13.5" x14ac:dyDescent="0.2"/>
    <row r="413" s="255" customFormat="1" ht="13.5" x14ac:dyDescent="0.2"/>
    <row r="414" s="255" customFormat="1" ht="13.5" x14ac:dyDescent="0.2"/>
    <row r="415" s="255" customFormat="1" ht="13.5" x14ac:dyDescent="0.2"/>
    <row r="416" s="255" customFormat="1" ht="13.5" x14ac:dyDescent="0.2"/>
    <row r="417" s="255" customFormat="1" ht="13.5" x14ac:dyDescent="0.2"/>
    <row r="418" s="255" customFormat="1" ht="13.5" x14ac:dyDescent="0.2"/>
    <row r="419" s="255" customFormat="1" ht="13.5" x14ac:dyDescent="0.2"/>
    <row r="420" s="255" customFormat="1" ht="13.5" x14ac:dyDescent="0.2"/>
    <row r="421" s="255" customFormat="1" ht="13.5" x14ac:dyDescent="0.2"/>
    <row r="422" s="255" customFormat="1" ht="13.5" x14ac:dyDescent="0.2"/>
    <row r="423" s="255" customFormat="1" ht="13.5" x14ac:dyDescent="0.2"/>
    <row r="424" s="255" customFormat="1" ht="13.5" x14ac:dyDescent="0.2"/>
    <row r="425" s="255" customFormat="1" ht="13.5" x14ac:dyDescent="0.2"/>
    <row r="426" s="255" customFormat="1" ht="13.5" x14ac:dyDescent="0.2"/>
    <row r="427" s="255" customFormat="1" ht="13.5" x14ac:dyDescent="0.2"/>
    <row r="428" s="255" customFormat="1" ht="13.5" x14ac:dyDescent="0.2"/>
    <row r="429" s="255" customFormat="1" ht="13.5" x14ac:dyDescent="0.2"/>
    <row r="430" s="255" customFormat="1" ht="13.5" x14ac:dyDescent="0.2"/>
    <row r="431" s="255" customFormat="1" ht="13.5" x14ac:dyDescent="0.2"/>
    <row r="432" s="255" customFormat="1" ht="13.5" x14ac:dyDescent="0.2"/>
    <row r="433" s="255" customFormat="1" ht="13.5" x14ac:dyDescent="0.2"/>
    <row r="434" s="255" customFormat="1" ht="13.5" x14ac:dyDescent="0.2"/>
    <row r="435" s="255" customFormat="1" ht="13.5" x14ac:dyDescent="0.2"/>
    <row r="436" s="255" customFormat="1" ht="13.5" x14ac:dyDescent="0.2"/>
    <row r="437" s="255" customFormat="1" ht="13.5" x14ac:dyDescent="0.2"/>
    <row r="438" s="255" customFormat="1" ht="13.5" x14ac:dyDescent="0.2"/>
    <row r="439" s="255" customFormat="1" ht="13.5" x14ac:dyDescent="0.2"/>
    <row r="440" s="255" customFormat="1" ht="13.5" x14ac:dyDescent="0.2"/>
    <row r="441" s="255" customFormat="1" ht="13.5" x14ac:dyDescent="0.2"/>
    <row r="442" s="255" customFormat="1" ht="13.5" x14ac:dyDescent="0.2"/>
    <row r="443" s="255" customFormat="1" ht="13.5" x14ac:dyDescent="0.2"/>
    <row r="444" s="255" customFormat="1" ht="13.5" x14ac:dyDescent="0.2"/>
    <row r="445" s="255" customFormat="1" ht="13.5" x14ac:dyDescent="0.2"/>
    <row r="446" s="255" customFormat="1" ht="13.5" x14ac:dyDescent="0.2"/>
    <row r="447" s="255" customFormat="1" ht="13.5" x14ac:dyDescent="0.2"/>
    <row r="448" s="255" customFormat="1" ht="13.5" x14ac:dyDescent="0.2"/>
    <row r="449" s="255" customFormat="1" ht="13.5" x14ac:dyDescent="0.2"/>
    <row r="450" s="255" customFormat="1" ht="13.5" x14ac:dyDescent="0.2"/>
    <row r="451" s="255" customFormat="1" ht="13.5" x14ac:dyDescent="0.2"/>
    <row r="452" s="255" customFormat="1" ht="13.5" x14ac:dyDescent="0.2"/>
    <row r="453" s="255" customFormat="1" ht="13.5" x14ac:dyDescent="0.2"/>
    <row r="454" s="255" customFormat="1" ht="13.5" x14ac:dyDescent="0.2"/>
    <row r="455" s="255" customFormat="1" ht="13.5" x14ac:dyDescent="0.2"/>
    <row r="456" s="255" customFormat="1" ht="13.5" x14ac:dyDescent="0.2"/>
    <row r="457" s="255" customFormat="1" ht="13.5" x14ac:dyDescent="0.2"/>
    <row r="458" s="255" customFormat="1" ht="13.5" x14ac:dyDescent="0.2"/>
    <row r="459" s="255" customFormat="1" ht="13.5" x14ac:dyDescent="0.2"/>
    <row r="460" s="255" customFormat="1" ht="13.5" x14ac:dyDescent="0.2"/>
    <row r="461" s="255" customFormat="1" ht="13.5" x14ac:dyDescent="0.2"/>
    <row r="462" s="255" customFormat="1" ht="13.5" x14ac:dyDescent="0.2"/>
    <row r="463" s="255" customFormat="1" ht="13.5" x14ac:dyDescent="0.2"/>
    <row r="464" s="255" customFormat="1" ht="13.5" x14ac:dyDescent="0.2"/>
    <row r="465" s="255" customFormat="1" ht="13.5" x14ac:dyDescent="0.2"/>
    <row r="466" s="255" customFormat="1" ht="13.5" x14ac:dyDescent="0.2"/>
    <row r="467" s="255" customFormat="1" ht="13.5" x14ac:dyDescent="0.2"/>
    <row r="468" s="255" customFormat="1" ht="13.5" x14ac:dyDescent="0.2"/>
    <row r="469" s="255" customFormat="1" ht="13.5" x14ac:dyDescent="0.2"/>
    <row r="470" s="255" customFormat="1" ht="13.5" x14ac:dyDescent="0.2"/>
    <row r="471" s="255" customFormat="1" ht="13.5" x14ac:dyDescent="0.2"/>
    <row r="472" s="255" customFormat="1" ht="13.5" x14ac:dyDescent="0.2"/>
    <row r="473" s="255" customFormat="1" ht="13.5" x14ac:dyDescent="0.2"/>
    <row r="474" s="255" customFormat="1" ht="13.5" x14ac:dyDescent="0.2"/>
    <row r="475" s="255" customFormat="1" ht="13.5" x14ac:dyDescent="0.2"/>
    <row r="476" s="255" customFormat="1" ht="13.5" x14ac:dyDescent="0.2"/>
    <row r="477" s="255" customFormat="1" ht="13.5" x14ac:dyDescent="0.2"/>
    <row r="478" s="255" customFormat="1" ht="13.5" x14ac:dyDescent="0.2"/>
    <row r="479" s="255" customFormat="1" ht="13.5" x14ac:dyDescent="0.2"/>
    <row r="480" s="255" customFormat="1" ht="13.5" x14ac:dyDescent="0.2"/>
    <row r="481" s="255" customFormat="1" ht="13.5" x14ac:dyDescent="0.2"/>
    <row r="482" s="255" customFormat="1" ht="13.5" x14ac:dyDescent="0.2"/>
    <row r="483" s="255" customFormat="1" ht="13.5" x14ac:dyDescent="0.2"/>
    <row r="484" s="255" customFormat="1" ht="13.5" x14ac:dyDescent="0.2"/>
    <row r="485" s="255" customFormat="1" ht="13.5" x14ac:dyDescent="0.2"/>
    <row r="486" s="255" customFormat="1" ht="13.5" x14ac:dyDescent="0.2"/>
    <row r="487" s="255" customFormat="1" ht="13.5" x14ac:dyDescent="0.2"/>
    <row r="488" s="255" customFormat="1" ht="13.5" x14ac:dyDescent="0.2"/>
    <row r="489" s="255" customFormat="1" ht="13.5" x14ac:dyDescent="0.2"/>
    <row r="490" s="255" customFormat="1" ht="13.5" x14ac:dyDescent="0.2"/>
    <row r="491" s="255" customFormat="1" ht="13.5" x14ac:dyDescent="0.2"/>
    <row r="492" s="255" customFormat="1" ht="13.5" x14ac:dyDescent="0.2"/>
    <row r="493" s="255" customFormat="1" ht="13.5" x14ac:dyDescent="0.2"/>
    <row r="494" s="255" customFormat="1" ht="13.5" x14ac:dyDescent="0.2"/>
    <row r="495" s="255" customFormat="1" ht="13.5" x14ac:dyDescent="0.2"/>
    <row r="496" s="255" customFormat="1" ht="13.5" x14ac:dyDescent="0.2"/>
    <row r="497" s="255" customFormat="1" ht="13.5" x14ac:dyDescent="0.2"/>
    <row r="498" s="255" customFormat="1" ht="13.5" x14ac:dyDescent="0.2"/>
    <row r="499" s="255" customFormat="1" ht="13.5" x14ac:dyDescent="0.2"/>
    <row r="500" s="255" customFormat="1" ht="13.5" x14ac:dyDescent="0.2"/>
    <row r="501" s="255" customFormat="1" ht="13.5" x14ac:dyDescent="0.2"/>
    <row r="502" s="255" customFormat="1" ht="13.5" x14ac:dyDescent="0.2"/>
    <row r="503" s="255" customFormat="1" ht="13.5" x14ac:dyDescent="0.2"/>
    <row r="504" s="255" customFormat="1" ht="13.5" x14ac:dyDescent="0.2"/>
    <row r="505" s="255" customFormat="1" ht="13.5" x14ac:dyDescent="0.2"/>
    <row r="506" s="255" customFormat="1" ht="13.5" x14ac:dyDescent="0.2"/>
    <row r="507" s="255" customFormat="1" ht="13.5" x14ac:dyDescent="0.2"/>
    <row r="508" s="255" customFormat="1" ht="13.5" x14ac:dyDescent="0.2"/>
    <row r="509" s="255" customFormat="1" ht="13.5" x14ac:dyDescent="0.2"/>
    <row r="510" s="255" customFormat="1" ht="13.5" x14ac:dyDescent="0.2"/>
    <row r="511" s="255" customFormat="1" ht="13.5" x14ac:dyDescent="0.2"/>
    <row r="512" s="255" customFormat="1" ht="13.5" x14ac:dyDescent="0.2"/>
    <row r="513" s="255" customFormat="1" ht="13.5" x14ac:dyDescent="0.2"/>
    <row r="514" s="255" customFormat="1" ht="13.5" x14ac:dyDescent="0.2"/>
    <row r="515" s="255" customFormat="1" ht="13.5" x14ac:dyDescent="0.2"/>
    <row r="516" s="255" customFormat="1" ht="13.5" x14ac:dyDescent="0.2"/>
    <row r="517" s="255" customFormat="1" ht="13.5" x14ac:dyDescent="0.2"/>
    <row r="518" s="255" customFormat="1" ht="13.5" x14ac:dyDescent="0.2"/>
    <row r="519" s="255" customFormat="1" ht="13.5" x14ac:dyDescent="0.2"/>
    <row r="520" s="255" customFormat="1" ht="13.5" x14ac:dyDescent="0.2"/>
    <row r="521" s="255" customFormat="1" ht="13.5" x14ac:dyDescent="0.2"/>
    <row r="522" s="255" customFormat="1" ht="13.5" x14ac:dyDescent="0.2"/>
    <row r="523" s="255" customFormat="1" ht="13.5" x14ac:dyDescent="0.2"/>
    <row r="524" s="255" customFormat="1" ht="13.5" x14ac:dyDescent="0.2"/>
    <row r="525" s="255" customFormat="1" ht="13.5" x14ac:dyDescent="0.2"/>
    <row r="526" s="255" customFormat="1" ht="13.5" x14ac:dyDescent="0.2"/>
    <row r="527" s="255" customFormat="1" ht="13.5" x14ac:dyDescent="0.2"/>
    <row r="528" s="255" customFormat="1" ht="13.5" x14ac:dyDescent="0.2"/>
    <row r="529" s="255" customFormat="1" ht="13.5" x14ac:dyDescent="0.2"/>
    <row r="530" s="255" customFormat="1" ht="13.5" x14ac:dyDescent="0.2"/>
    <row r="531" s="255" customFormat="1" ht="13.5" x14ac:dyDescent="0.2"/>
    <row r="532" s="255" customFormat="1" ht="13.5" x14ac:dyDescent="0.2"/>
    <row r="533" s="255" customFormat="1" ht="13.5" x14ac:dyDescent="0.2"/>
    <row r="534" s="255" customFormat="1" ht="13.5" x14ac:dyDescent="0.2"/>
    <row r="535" s="255" customFormat="1" ht="13.5" x14ac:dyDescent="0.2"/>
    <row r="536" s="255" customFormat="1" ht="13.5" x14ac:dyDescent="0.2"/>
    <row r="537" s="255" customFormat="1" ht="13.5" x14ac:dyDescent="0.2"/>
    <row r="538" s="255" customFormat="1" ht="13.5" x14ac:dyDescent="0.2"/>
    <row r="539" s="255" customFormat="1" ht="13.5" x14ac:dyDescent="0.2"/>
    <row r="540" s="255" customFormat="1" ht="13.5" x14ac:dyDescent="0.2"/>
    <row r="541" s="255" customFormat="1" ht="13.5" x14ac:dyDescent="0.2"/>
    <row r="542" s="255" customFormat="1" ht="13.5" x14ac:dyDescent="0.2"/>
    <row r="543" s="255" customFormat="1" ht="13.5" x14ac:dyDescent="0.2"/>
    <row r="544" s="255" customFormat="1" ht="13.5" x14ac:dyDescent="0.2"/>
    <row r="545" s="255" customFormat="1" ht="13.5" x14ac:dyDescent="0.2"/>
    <row r="546" s="255" customFormat="1" ht="13.5" x14ac:dyDescent="0.2"/>
    <row r="547" s="255" customFormat="1" ht="13.5" x14ac:dyDescent="0.2"/>
    <row r="548" s="255" customFormat="1" ht="13.5" x14ac:dyDescent="0.2"/>
    <row r="549" s="255" customFormat="1" ht="13.5" x14ac:dyDescent="0.2"/>
    <row r="550" s="255" customFormat="1" ht="13.5" x14ac:dyDescent="0.2"/>
    <row r="551" s="255" customFormat="1" ht="13.5" x14ac:dyDescent="0.2"/>
    <row r="552" s="255" customFormat="1" ht="13.5" x14ac:dyDescent="0.2"/>
    <row r="553" s="255" customFormat="1" ht="13.5" x14ac:dyDescent="0.2"/>
    <row r="554" s="255" customFormat="1" ht="13.5" x14ac:dyDescent="0.2"/>
    <row r="555" s="255" customFormat="1" ht="13.5" x14ac:dyDescent="0.2"/>
    <row r="556" s="255" customFormat="1" ht="13.5" x14ac:dyDescent="0.2"/>
    <row r="557" s="255" customFormat="1" ht="13.5" x14ac:dyDescent="0.2"/>
    <row r="558" s="255" customFormat="1" ht="13.5" x14ac:dyDescent="0.2"/>
    <row r="559" s="255" customFormat="1" ht="13.5" x14ac:dyDescent="0.2"/>
    <row r="560" s="255" customFormat="1" ht="13.5" x14ac:dyDescent="0.2"/>
    <row r="561" s="255" customFormat="1" ht="13.5" x14ac:dyDescent="0.2"/>
    <row r="562" s="255" customFormat="1" ht="13.5" x14ac:dyDescent="0.2"/>
    <row r="563" s="255" customFormat="1" ht="13.5" x14ac:dyDescent="0.2"/>
    <row r="564" s="255" customFormat="1" ht="13.5" x14ac:dyDescent="0.2"/>
    <row r="565" s="255" customFormat="1" ht="13.5" x14ac:dyDescent="0.2"/>
    <row r="566" s="255" customFormat="1" ht="13.5" x14ac:dyDescent="0.2"/>
    <row r="567" s="255" customFormat="1" ht="13.5" x14ac:dyDescent="0.2"/>
    <row r="568" s="255" customFormat="1" ht="13.5" x14ac:dyDescent="0.2"/>
    <row r="569" s="255" customFormat="1" ht="13.5" x14ac:dyDescent="0.2"/>
    <row r="570" s="255" customFormat="1" ht="13.5" x14ac:dyDescent="0.2"/>
    <row r="571" s="255" customFormat="1" ht="13.5" x14ac:dyDescent="0.2"/>
    <row r="572" s="255" customFormat="1" ht="13.5" x14ac:dyDescent="0.2"/>
    <row r="573" s="255" customFormat="1" ht="13.5" x14ac:dyDescent="0.2"/>
    <row r="574" s="255" customFormat="1" ht="13.5" x14ac:dyDescent="0.2"/>
    <row r="575" s="255" customFormat="1" ht="13.5" x14ac:dyDescent="0.2"/>
    <row r="576" s="255" customFormat="1" ht="13.5" x14ac:dyDescent="0.2"/>
    <row r="577" s="255" customFormat="1" ht="13.5" x14ac:dyDescent="0.2"/>
    <row r="578" s="255" customFormat="1" ht="13.5" x14ac:dyDescent="0.2"/>
    <row r="579" s="255" customFormat="1" ht="13.5" x14ac:dyDescent="0.2"/>
    <row r="580" s="255" customFormat="1" ht="13.5" x14ac:dyDescent="0.2"/>
    <row r="581" s="255" customFormat="1" ht="13.5" x14ac:dyDescent="0.2"/>
    <row r="582" s="255" customFormat="1" ht="13.5" x14ac:dyDescent="0.2"/>
    <row r="583" s="255" customFormat="1" ht="13.5" x14ac:dyDescent="0.2"/>
    <row r="584" s="255" customFormat="1" ht="13.5" x14ac:dyDescent="0.2"/>
    <row r="585" s="255" customFormat="1" ht="13.5" x14ac:dyDescent="0.2"/>
    <row r="586" s="255" customFormat="1" ht="13.5" x14ac:dyDescent="0.2"/>
    <row r="587" s="255" customFormat="1" ht="13.5" x14ac:dyDescent="0.2"/>
    <row r="588" s="255" customFormat="1" ht="13.5" x14ac:dyDescent="0.2"/>
    <row r="589" s="255" customFormat="1" ht="13.5" x14ac:dyDescent="0.2"/>
    <row r="590" s="255" customFormat="1" ht="13.5" x14ac:dyDescent="0.2"/>
    <row r="591" s="255" customFormat="1" ht="13.5" x14ac:dyDescent="0.2"/>
    <row r="592" s="255" customFormat="1" ht="13.5" x14ac:dyDescent="0.2"/>
    <row r="593" s="255" customFormat="1" ht="13.5" x14ac:dyDescent="0.2"/>
    <row r="594" s="255" customFormat="1" ht="13.5" x14ac:dyDescent="0.2"/>
    <row r="595" s="255" customFormat="1" ht="13.5" x14ac:dyDescent="0.2"/>
    <row r="596" s="255" customFormat="1" ht="13.5" x14ac:dyDescent="0.2"/>
    <row r="597" s="255" customFormat="1" ht="13.5" x14ac:dyDescent="0.2"/>
    <row r="598" s="255" customFormat="1" ht="13.5" x14ac:dyDescent="0.2"/>
    <row r="599" s="255" customFormat="1" ht="13.5" x14ac:dyDescent="0.2"/>
    <row r="600" s="255" customFormat="1" ht="13.5" x14ac:dyDescent="0.2"/>
    <row r="601" s="255" customFormat="1" ht="13.5" x14ac:dyDescent="0.2"/>
    <row r="602" s="255" customFormat="1" ht="13.5" x14ac:dyDescent="0.2"/>
    <row r="603" s="255" customFormat="1" ht="13.5" x14ac:dyDescent="0.2"/>
    <row r="604" s="255" customFormat="1" ht="13.5" x14ac:dyDescent="0.2"/>
    <row r="605" s="255" customFormat="1" ht="13.5" x14ac:dyDescent="0.2"/>
    <row r="606" s="255" customFormat="1" ht="13.5" x14ac:dyDescent="0.2"/>
    <row r="607" s="255" customFormat="1" ht="13.5" x14ac:dyDescent="0.2"/>
    <row r="608" s="255" customFormat="1" ht="13.5" x14ac:dyDescent="0.2"/>
    <row r="609" s="255" customFormat="1" ht="13.5" x14ac:dyDescent="0.2"/>
    <row r="610" s="255" customFormat="1" ht="13.5" x14ac:dyDescent="0.2"/>
    <row r="611" s="255" customFormat="1" ht="13.5" x14ac:dyDescent="0.2"/>
    <row r="612" s="255" customFormat="1" ht="13.5" x14ac:dyDescent="0.2"/>
    <row r="613" s="255" customFormat="1" ht="13.5" x14ac:dyDescent="0.2"/>
    <row r="614" s="255" customFormat="1" ht="13.5" x14ac:dyDescent="0.2"/>
    <row r="615" s="255" customFormat="1" ht="13.5" x14ac:dyDescent="0.2"/>
    <row r="616" s="255" customFormat="1" ht="13.5" x14ac:dyDescent="0.2"/>
    <row r="617" s="255" customFormat="1" ht="13.5" x14ac:dyDescent="0.2"/>
    <row r="618" s="255" customFormat="1" ht="13.5" x14ac:dyDescent="0.2"/>
    <row r="619" s="255" customFormat="1" ht="13.5" x14ac:dyDescent="0.2"/>
    <row r="620" s="255" customFormat="1" ht="13.5" x14ac:dyDescent="0.2"/>
    <row r="621" s="255" customFormat="1" ht="13.5" x14ac:dyDescent="0.2"/>
    <row r="622" s="255" customFormat="1" ht="13.5" x14ac:dyDescent="0.2"/>
    <row r="623" s="255" customFormat="1" ht="13.5" x14ac:dyDescent="0.2"/>
    <row r="624" s="255" customFormat="1" ht="13.5" x14ac:dyDescent="0.2"/>
    <row r="625" s="255" customFormat="1" ht="13.5" x14ac:dyDescent="0.2"/>
    <row r="626" s="255" customFormat="1" ht="13.5" x14ac:dyDescent="0.2"/>
    <row r="627" s="255" customFormat="1" ht="13.5" x14ac:dyDescent="0.2"/>
    <row r="628" s="255" customFormat="1" ht="13.5" x14ac:dyDescent="0.2"/>
    <row r="629" s="255" customFormat="1" ht="13.5" x14ac:dyDescent="0.2"/>
    <row r="630" s="255" customFormat="1" ht="13.5" x14ac:dyDescent="0.2"/>
    <row r="631" s="255" customFormat="1" ht="13.5" x14ac:dyDescent="0.2"/>
    <row r="632" s="255" customFormat="1" ht="13.5" x14ac:dyDescent="0.2"/>
    <row r="633" s="255" customFormat="1" ht="13.5" x14ac:dyDescent="0.2"/>
    <row r="634" s="255" customFormat="1" ht="13.5" x14ac:dyDescent="0.2"/>
    <row r="635" s="255" customFormat="1" ht="13.5" x14ac:dyDescent="0.2"/>
    <row r="636" s="255" customFormat="1" ht="13.5" x14ac:dyDescent="0.2"/>
    <row r="637" s="255" customFormat="1" ht="13.5" x14ac:dyDescent="0.2"/>
    <row r="638" s="255" customFormat="1" ht="13.5" x14ac:dyDescent="0.2"/>
    <row r="639" s="255" customFormat="1" ht="13.5" x14ac:dyDescent="0.2"/>
    <row r="640" s="255" customFormat="1" ht="13.5" x14ac:dyDescent="0.2"/>
    <row r="641" s="255" customFormat="1" ht="13.5" x14ac:dyDescent="0.2"/>
    <row r="642" s="255" customFormat="1" ht="13.5" x14ac:dyDescent="0.2"/>
    <row r="643" s="255" customFormat="1" ht="13.5" x14ac:dyDescent="0.2"/>
    <row r="644" s="255" customFormat="1" ht="13.5" x14ac:dyDescent="0.2"/>
    <row r="645" s="255" customFormat="1" ht="13.5" x14ac:dyDescent="0.2"/>
    <row r="646" s="255" customFormat="1" ht="13.5" x14ac:dyDescent="0.2"/>
    <row r="647" s="255" customFormat="1" ht="13.5" x14ac:dyDescent="0.2"/>
    <row r="648" s="255" customFormat="1" ht="13.5" x14ac:dyDescent="0.2"/>
    <row r="649" s="255" customFormat="1" ht="13.5" x14ac:dyDescent="0.2"/>
    <row r="650" s="255" customFormat="1" ht="13.5" x14ac:dyDescent="0.2"/>
    <row r="651" s="255" customFormat="1" ht="13.5" x14ac:dyDescent="0.2"/>
    <row r="652" s="255" customFormat="1" ht="13.5" x14ac:dyDescent="0.2"/>
    <row r="653" s="255" customFormat="1" ht="13.5" x14ac:dyDescent="0.2"/>
    <row r="654" s="255" customFormat="1" ht="13.5" x14ac:dyDescent="0.2"/>
    <row r="655" s="255" customFormat="1" ht="13.5" x14ac:dyDescent="0.2"/>
    <row r="656" s="255" customFormat="1" ht="13.5" x14ac:dyDescent="0.2"/>
    <row r="657" s="255" customFormat="1" ht="13.5" x14ac:dyDescent="0.2"/>
    <row r="658" s="255" customFormat="1" ht="13.5" x14ac:dyDescent="0.2"/>
    <row r="659" s="255" customFormat="1" ht="13.5" x14ac:dyDescent="0.2"/>
    <row r="660" s="255" customFormat="1" ht="13.5" x14ac:dyDescent="0.2"/>
    <row r="661" s="255" customFormat="1" ht="13.5" x14ac:dyDescent="0.2"/>
    <row r="662" s="255" customFormat="1" ht="13.5" x14ac:dyDescent="0.2"/>
    <row r="663" s="255" customFormat="1" ht="13.5" x14ac:dyDescent="0.2"/>
    <row r="664" s="255" customFormat="1" ht="13.5" x14ac:dyDescent="0.2"/>
    <row r="665" s="255" customFormat="1" ht="13.5" x14ac:dyDescent="0.2"/>
    <row r="666" s="255" customFormat="1" ht="13.5" x14ac:dyDescent="0.2"/>
    <row r="667" s="255" customFormat="1" ht="13.5" x14ac:dyDescent="0.2"/>
    <row r="668" s="255" customFormat="1" ht="13.5" x14ac:dyDescent="0.2"/>
    <row r="669" s="255" customFormat="1" ht="13.5" x14ac:dyDescent="0.2"/>
    <row r="670" s="255" customFormat="1" ht="13.5" x14ac:dyDescent="0.2"/>
    <row r="671" s="255" customFormat="1" ht="13.5" x14ac:dyDescent="0.2"/>
    <row r="672" s="255" customFormat="1" ht="13.5" x14ac:dyDescent="0.2"/>
    <row r="673" s="255" customFormat="1" ht="13.5" x14ac:dyDescent="0.2"/>
    <row r="674" s="255" customFormat="1" ht="13.5" x14ac:dyDescent="0.2"/>
    <row r="675" s="255" customFormat="1" ht="13.5" x14ac:dyDescent="0.2"/>
    <row r="676" s="255" customFormat="1" ht="13.5" x14ac:dyDescent="0.2"/>
    <row r="677" s="255" customFormat="1" ht="13.5" x14ac:dyDescent="0.2"/>
    <row r="678" s="255" customFormat="1" ht="13.5" x14ac:dyDescent="0.2"/>
    <row r="679" s="255" customFormat="1" ht="13.5" x14ac:dyDescent="0.2"/>
    <row r="680" s="255" customFormat="1" ht="13.5" x14ac:dyDescent="0.2"/>
    <row r="681" s="255" customFormat="1" ht="13.5" x14ac:dyDescent="0.2"/>
    <row r="682" s="255" customFormat="1" ht="13.5" x14ac:dyDescent="0.2"/>
    <row r="683" s="255" customFormat="1" ht="13.5" x14ac:dyDescent="0.2"/>
    <row r="684" s="255" customFormat="1" ht="13.5" x14ac:dyDescent="0.2"/>
    <row r="685" s="255" customFormat="1" ht="13.5" x14ac:dyDescent="0.2"/>
    <row r="686" s="255" customFormat="1" ht="13.5" x14ac:dyDescent="0.2"/>
    <row r="687" s="255" customFormat="1" ht="13.5" x14ac:dyDescent="0.2"/>
    <row r="688" s="255" customFormat="1" ht="13.5" x14ac:dyDescent="0.2"/>
    <row r="689" s="255" customFormat="1" ht="13.5" x14ac:dyDescent="0.2"/>
    <row r="690" s="255" customFormat="1" ht="13.5" x14ac:dyDescent="0.2"/>
    <row r="691" s="255" customFormat="1" ht="13.5" x14ac:dyDescent="0.2"/>
    <row r="692" s="255" customFormat="1" ht="13.5" x14ac:dyDescent="0.2"/>
    <row r="693" s="255" customFormat="1" ht="13.5" x14ac:dyDescent="0.2"/>
    <row r="694" s="255" customFormat="1" ht="13.5" x14ac:dyDescent="0.2"/>
    <row r="695" s="255" customFormat="1" ht="13.5" x14ac:dyDescent="0.2"/>
    <row r="696" s="255" customFormat="1" ht="13.5" x14ac:dyDescent="0.2"/>
    <row r="697" s="255" customFormat="1" ht="13.5" x14ac:dyDescent="0.2"/>
    <row r="698" s="255" customFormat="1" ht="13.5" x14ac:dyDescent="0.2"/>
    <row r="699" s="255" customFormat="1" ht="13.5" x14ac:dyDescent="0.2"/>
    <row r="700" s="255" customFormat="1" ht="13.5" x14ac:dyDescent="0.2"/>
    <row r="701" s="255" customFormat="1" ht="13.5" x14ac:dyDescent="0.2"/>
    <row r="702" s="255" customFormat="1" ht="13.5" x14ac:dyDescent="0.2"/>
    <row r="703" s="255" customFormat="1" ht="13.5" x14ac:dyDescent="0.2"/>
    <row r="704" s="255" customFormat="1" ht="13.5" x14ac:dyDescent="0.2"/>
    <row r="705" s="255" customFormat="1" ht="13.5" x14ac:dyDescent="0.2"/>
    <row r="706" s="255" customFormat="1" ht="13.5" x14ac:dyDescent="0.2"/>
    <row r="707" s="255" customFormat="1" ht="13.5" x14ac:dyDescent="0.2"/>
    <row r="708" s="255" customFormat="1" ht="13.5" x14ac:dyDescent="0.2"/>
    <row r="709" s="255" customFormat="1" ht="13.5" x14ac:dyDescent="0.2"/>
    <row r="710" s="255" customFormat="1" ht="13.5" x14ac:dyDescent="0.2"/>
    <row r="711" s="255" customFormat="1" ht="13.5" x14ac:dyDescent="0.2"/>
    <row r="712" s="255" customFormat="1" ht="13.5" x14ac:dyDescent="0.2"/>
    <row r="713" s="255" customFormat="1" ht="13.5" x14ac:dyDescent="0.2"/>
    <row r="714" s="255" customFormat="1" ht="13.5" x14ac:dyDescent="0.2"/>
    <row r="715" s="255" customFormat="1" ht="13.5" x14ac:dyDescent="0.2"/>
    <row r="716" s="255" customFormat="1" ht="13.5" x14ac:dyDescent="0.2"/>
    <row r="717" s="255" customFormat="1" ht="13.5" x14ac:dyDescent="0.2"/>
    <row r="718" s="255" customFormat="1" ht="13.5" x14ac:dyDescent="0.2"/>
    <row r="719" s="255" customFormat="1" ht="13.5" x14ac:dyDescent="0.2"/>
    <row r="720" s="255" customFormat="1" ht="13.5" x14ac:dyDescent="0.2"/>
    <row r="721" s="255" customFormat="1" ht="13.5" x14ac:dyDescent="0.2"/>
    <row r="722" s="255" customFormat="1" ht="13.5" x14ac:dyDescent="0.2"/>
    <row r="723" s="255" customFormat="1" ht="13.5" x14ac:dyDescent="0.2"/>
    <row r="724" s="255" customFormat="1" ht="13.5" x14ac:dyDescent="0.2"/>
    <row r="725" s="255" customFormat="1" ht="13.5" x14ac:dyDescent="0.2"/>
    <row r="726" s="255" customFormat="1" ht="13.5" x14ac:dyDescent="0.2"/>
    <row r="727" s="255" customFormat="1" ht="13.5" x14ac:dyDescent="0.2"/>
    <row r="728" s="255" customFormat="1" ht="13.5" x14ac:dyDescent="0.2"/>
    <row r="729" s="255" customFormat="1" ht="13.5" x14ac:dyDescent="0.2"/>
    <row r="730" s="255" customFormat="1" ht="13.5" x14ac:dyDescent="0.2"/>
    <row r="731" s="255" customFormat="1" ht="13.5" x14ac:dyDescent="0.2"/>
    <row r="732" s="255" customFormat="1" ht="13.5" x14ac:dyDescent="0.2"/>
    <row r="733" s="255" customFormat="1" ht="13.5" x14ac:dyDescent="0.2"/>
    <row r="734" s="255" customFormat="1" ht="13.5" x14ac:dyDescent="0.2"/>
    <row r="735" s="255" customFormat="1" ht="13.5" x14ac:dyDescent="0.2"/>
    <row r="736" s="255" customFormat="1" ht="13.5" x14ac:dyDescent="0.2"/>
    <row r="737" s="255" customFormat="1" ht="13.5" x14ac:dyDescent="0.2"/>
    <row r="738" s="255" customFormat="1" ht="13.5" x14ac:dyDescent="0.2"/>
    <row r="739" s="255" customFormat="1" ht="13.5" x14ac:dyDescent="0.2"/>
    <row r="740" s="255" customFormat="1" ht="13.5" x14ac:dyDescent="0.2"/>
    <row r="741" s="255" customFormat="1" ht="13.5" x14ac:dyDescent="0.2"/>
    <row r="742" s="255" customFormat="1" ht="13.5" x14ac:dyDescent="0.2"/>
    <row r="743" s="255" customFormat="1" ht="13.5" x14ac:dyDescent="0.2"/>
    <row r="744" s="255" customFormat="1" ht="13.5" x14ac:dyDescent="0.2"/>
    <row r="745" s="255" customFormat="1" ht="13.5" x14ac:dyDescent="0.2"/>
    <row r="746" s="255" customFormat="1" ht="13.5" x14ac:dyDescent="0.2"/>
    <row r="747" s="255" customFormat="1" ht="13.5" x14ac:dyDescent="0.2"/>
    <row r="748" s="255" customFormat="1" ht="13.5" x14ac:dyDescent="0.2"/>
    <row r="749" s="255" customFormat="1" ht="13.5" x14ac:dyDescent="0.2"/>
    <row r="750" s="255" customFormat="1" ht="13.5" x14ac:dyDescent="0.2"/>
    <row r="751" s="255" customFormat="1" ht="13.5" x14ac:dyDescent="0.2"/>
    <row r="752" s="255" customFormat="1" ht="13.5" x14ac:dyDescent="0.2"/>
    <row r="753" s="255" customFormat="1" ht="13.5" x14ac:dyDescent="0.2"/>
    <row r="754" s="255" customFormat="1" ht="13.5" x14ac:dyDescent="0.2"/>
    <row r="755" s="255" customFormat="1" ht="13.5" x14ac:dyDescent="0.2"/>
    <row r="756" s="255" customFormat="1" ht="13.5" x14ac:dyDescent="0.2"/>
    <row r="757" s="255" customFormat="1" ht="13.5" x14ac:dyDescent="0.2"/>
    <row r="758" s="255" customFormat="1" ht="13.5" x14ac:dyDescent="0.2"/>
    <row r="759" s="255" customFormat="1" ht="13.5" x14ac:dyDescent="0.2"/>
    <row r="760" s="255" customFormat="1" ht="13.5" x14ac:dyDescent="0.2"/>
    <row r="761" s="255" customFormat="1" ht="13.5" x14ac:dyDescent="0.2"/>
    <row r="762" s="255" customFormat="1" ht="13.5" x14ac:dyDescent="0.2"/>
    <row r="763" s="255" customFormat="1" ht="13.5" x14ac:dyDescent="0.2"/>
    <row r="764" s="255" customFormat="1" ht="13.5" x14ac:dyDescent="0.2"/>
    <row r="765" s="255" customFormat="1" ht="13.5" x14ac:dyDescent="0.2"/>
    <row r="766" s="255" customFormat="1" ht="13.5" x14ac:dyDescent="0.2"/>
    <row r="767" s="255" customFormat="1" ht="13.5" x14ac:dyDescent="0.2"/>
    <row r="768" s="255" customFormat="1" ht="13.5" x14ac:dyDescent="0.2"/>
    <row r="769" s="255" customFormat="1" ht="13.5" x14ac:dyDescent="0.2"/>
    <row r="770" s="255" customFormat="1" ht="13.5" x14ac:dyDescent="0.2"/>
    <row r="771" s="255" customFormat="1" ht="13.5" x14ac:dyDescent="0.2"/>
    <row r="772" s="255" customFormat="1" ht="13.5" x14ac:dyDescent="0.2"/>
    <row r="773" s="255" customFormat="1" ht="13.5" x14ac:dyDescent="0.2"/>
    <row r="774" s="255" customFormat="1" ht="13.5" x14ac:dyDescent="0.2"/>
    <row r="775" s="255" customFormat="1" ht="13.5" x14ac:dyDescent="0.2"/>
    <row r="776" s="255" customFormat="1" ht="13.5" x14ac:dyDescent="0.2"/>
    <row r="777" s="255" customFormat="1" ht="13.5" x14ac:dyDescent="0.2"/>
    <row r="778" s="255" customFormat="1" ht="13.5" x14ac:dyDescent="0.2"/>
    <row r="779" s="255" customFormat="1" ht="13.5" x14ac:dyDescent="0.2"/>
    <row r="780" s="255" customFormat="1" ht="13.5" x14ac:dyDescent="0.2"/>
    <row r="781" s="255" customFormat="1" ht="13.5" x14ac:dyDescent="0.2"/>
    <row r="782" s="255" customFormat="1" ht="13.5" x14ac:dyDescent="0.2"/>
    <row r="783" s="255" customFormat="1" ht="13.5" x14ac:dyDescent="0.2"/>
    <row r="784" s="255" customFormat="1" ht="13.5" x14ac:dyDescent="0.2"/>
    <row r="785" s="255" customFormat="1" ht="13.5" x14ac:dyDescent="0.2"/>
    <row r="786" s="255" customFormat="1" ht="13.5" x14ac:dyDescent="0.2"/>
    <row r="787" s="255" customFormat="1" ht="13.5" x14ac:dyDescent="0.2"/>
    <row r="788" s="255" customFormat="1" ht="13.5" x14ac:dyDescent="0.2"/>
    <row r="789" s="255" customFormat="1" ht="13.5" x14ac:dyDescent="0.2"/>
    <row r="790" s="255" customFormat="1" ht="13.5" x14ac:dyDescent="0.2"/>
    <row r="791" s="255" customFormat="1" ht="13.5" x14ac:dyDescent="0.2"/>
    <row r="792" s="255" customFormat="1" ht="13.5" x14ac:dyDescent="0.2"/>
    <row r="793" s="255" customFormat="1" ht="13.5" x14ac:dyDescent="0.2"/>
    <row r="794" s="255" customFormat="1" ht="13.5" x14ac:dyDescent="0.2"/>
    <row r="795" s="255" customFormat="1" ht="13.5" x14ac:dyDescent="0.2"/>
    <row r="796" s="255" customFormat="1" ht="13.5" x14ac:dyDescent="0.2"/>
    <row r="797" s="255" customFormat="1" ht="13.5" x14ac:dyDescent="0.2"/>
    <row r="798" s="255" customFormat="1" ht="13.5" x14ac:dyDescent="0.2"/>
    <row r="799" s="255" customFormat="1" ht="13.5" x14ac:dyDescent="0.2"/>
    <row r="800" s="255" customFormat="1" ht="13.5" x14ac:dyDescent="0.2"/>
    <row r="801" s="255" customFormat="1" ht="13.5" x14ac:dyDescent="0.2"/>
    <row r="802" s="255" customFormat="1" ht="13.5" x14ac:dyDescent="0.2"/>
    <row r="803" s="255" customFormat="1" ht="13.5" x14ac:dyDescent="0.2"/>
    <row r="804" s="255" customFormat="1" ht="13.5" x14ac:dyDescent="0.2"/>
    <row r="805" s="255" customFormat="1" ht="13.5" x14ac:dyDescent="0.2"/>
    <row r="806" s="255" customFormat="1" ht="13.5" x14ac:dyDescent="0.2"/>
    <row r="807" s="255" customFormat="1" ht="13.5" x14ac:dyDescent="0.2"/>
    <row r="808" s="255" customFormat="1" ht="13.5" x14ac:dyDescent="0.2"/>
    <row r="809" s="255" customFormat="1" ht="13.5" x14ac:dyDescent="0.2"/>
    <row r="810" s="255" customFormat="1" ht="13.5" x14ac:dyDescent="0.2"/>
    <row r="811" s="255" customFormat="1" ht="13.5" x14ac:dyDescent="0.2"/>
    <row r="812" s="255" customFormat="1" ht="13.5" x14ac:dyDescent="0.2"/>
    <row r="813" s="255" customFormat="1" ht="13.5" x14ac:dyDescent="0.2"/>
    <row r="814" s="255" customFormat="1" ht="13.5" x14ac:dyDescent="0.2"/>
    <row r="815" s="255" customFormat="1" ht="13.5" x14ac:dyDescent="0.2"/>
    <row r="816" s="255" customFormat="1" ht="13.5" x14ac:dyDescent="0.2"/>
    <row r="817" s="255" customFormat="1" ht="13.5" x14ac:dyDescent="0.2"/>
    <row r="818" s="255" customFormat="1" ht="13.5" x14ac:dyDescent="0.2"/>
    <row r="819" s="255" customFormat="1" ht="13.5" x14ac:dyDescent="0.2"/>
    <row r="820" s="255" customFormat="1" ht="13.5" x14ac:dyDescent="0.2"/>
    <row r="821" s="255" customFormat="1" ht="13.5" x14ac:dyDescent="0.2"/>
    <row r="822" s="255" customFormat="1" ht="13.5" x14ac:dyDescent="0.2"/>
    <row r="823" s="255" customFormat="1" ht="13.5" x14ac:dyDescent="0.2"/>
    <row r="824" s="255" customFormat="1" ht="13.5" x14ac:dyDescent="0.2"/>
    <row r="825" s="255" customFormat="1" ht="13.5" x14ac:dyDescent="0.2"/>
    <row r="826" s="255" customFormat="1" ht="13.5" x14ac:dyDescent="0.2"/>
    <row r="827" s="255" customFormat="1" ht="13.5" x14ac:dyDescent="0.2"/>
    <row r="828" s="255" customFormat="1" ht="13.5" x14ac:dyDescent="0.2"/>
    <row r="829" s="255" customFormat="1" ht="13.5" x14ac:dyDescent="0.2"/>
    <row r="830" s="255" customFormat="1" ht="13.5" x14ac:dyDescent="0.2"/>
    <row r="831" s="255" customFormat="1" ht="13.5" x14ac:dyDescent="0.2"/>
    <row r="832" s="255" customFormat="1" ht="13.5" x14ac:dyDescent="0.2"/>
    <row r="833" s="255" customFormat="1" ht="13.5" x14ac:dyDescent="0.2"/>
    <row r="834" s="255" customFormat="1" ht="13.5" x14ac:dyDescent="0.2"/>
    <row r="835" s="255" customFormat="1" ht="13.5" x14ac:dyDescent="0.2"/>
    <row r="836" s="255" customFormat="1" ht="13.5" x14ac:dyDescent="0.2"/>
    <row r="837" s="255" customFormat="1" ht="13.5" x14ac:dyDescent="0.2"/>
    <row r="838" s="255" customFormat="1" ht="13.5" x14ac:dyDescent="0.2"/>
    <row r="839" s="255" customFormat="1" ht="13.5" x14ac:dyDescent="0.2"/>
    <row r="840" s="255" customFormat="1" ht="13.5" x14ac:dyDescent="0.2"/>
    <row r="841" s="255" customFormat="1" ht="13.5" x14ac:dyDescent="0.2"/>
    <row r="842" s="255" customFormat="1" ht="13.5" x14ac:dyDescent="0.2"/>
    <row r="843" s="255" customFormat="1" ht="13.5" x14ac:dyDescent="0.2"/>
    <row r="844" s="255" customFormat="1" ht="13.5" x14ac:dyDescent="0.2"/>
    <row r="845" s="255" customFormat="1" ht="13.5" x14ac:dyDescent="0.2"/>
    <row r="846" s="255" customFormat="1" ht="13.5" x14ac:dyDescent="0.2"/>
    <row r="847" s="255" customFormat="1" ht="13.5" x14ac:dyDescent="0.2"/>
    <row r="848" s="255" customFormat="1" ht="13.5" x14ac:dyDescent="0.2"/>
    <row r="849" s="255" customFormat="1" ht="13.5" x14ac:dyDescent="0.2"/>
    <row r="850" s="255" customFormat="1" ht="13.5" x14ac:dyDescent="0.2"/>
    <row r="851" s="255" customFormat="1" ht="13.5" x14ac:dyDescent="0.2"/>
    <row r="852" s="255" customFormat="1" ht="13.5" x14ac:dyDescent="0.2"/>
    <row r="853" s="255" customFormat="1" ht="13.5" x14ac:dyDescent="0.2"/>
    <row r="854" s="255" customFormat="1" ht="13.5" x14ac:dyDescent="0.2"/>
    <row r="855" s="255" customFormat="1" ht="13.5" x14ac:dyDescent="0.2"/>
    <row r="856" s="255" customFormat="1" ht="13.5" x14ac:dyDescent="0.2"/>
    <row r="857" s="255" customFormat="1" ht="13.5" x14ac:dyDescent="0.2"/>
    <row r="858" s="255" customFormat="1" ht="13.5" x14ac:dyDescent="0.2"/>
    <row r="859" s="255" customFormat="1" ht="13.5" x14ac:dyDescent="0.2"/>
    <row r="860" s="255" customFormat="1" ht="13.5" x14ac:dyDescent="0.2"/>
    <row r="861" s="255" customFormat="1" ht="13.5" x14ac:dyDescent="0.2"/>
    <row r="862" s="255" customFormat="1" ht="13.5" x14ac:dyDescent="0.2"/>
    <row r="863" s="255" customFormat="1" ht="13.5" x14ac:dyDescent="0.2"/>
    <row r="864" s="255" customFormat="1" ht="13.5" x14ac:dyDescent="0.2"/>
    <row r="865" s="255" customFormat="1" ht="13.5" x14ac:dyDescent="0.2"/>
    <row r="866" s="255" customFormat="1" ht="13.5" x14ac:dyDescent="0.2"/>
    <row r="867" s="255" customFormat="1" ht="13.5" x14ac:dyDescent="0.2"/>
    <row r="868" s="255" customFormat="1" ht="13.5" x14ac:dyDescent="0.2"/>
    <row r="869" s="255" customFormat="1" ht="13.5" x14ac:dyDescent="0.2"/>
    <row r="870" s="255" customFormat="1" ht="13.5" x14ac:dyDescent="0.2"/>
    <row r="871" s="255" customFormat="1" ht="13.5" x14ac:dyDescent="0.2"/>
    <row r="872" s="255" customFormat="1" ht="13.5" x14ac:dyDescent="0.2"/>
    <row r="873" s="255" customFormat="1" ht="13.5" x14ac:dyDescent="0.2"/>
    <row r="874" s="255" customFormat="1" ht="13.5" x14ac:dyDescent="0.2"/>
    <row r="875" s="255" customFormat="1" ht="13.5" x14ac:dyDescent="0.2"/>
    <row r="876" s="255" customFormat="1" ht="13.5" x14ac:dyDescent="0.2"/>
    <row r="877" s="255" customFormat="1" ht="13.5" x14ac:dyDescent="0.2"/>
    <row r="878" s="255" customFormat="1" ht="13.5" x14ac:dyDescent="0.2"/>
    <row r="879" s="255" customFormat="1" ht="13.5" x14ac:dyDescent="0.2"/>
    <row r="880" s="255" customFormat="1" ht="13.5" x14ac:dyDescent="0.2"/>
    <row r="881" s="255" customFormat="1" ht="13.5" x14ac:dyDescent="0.2"/>
    <row r="882" s="255" customFormat="1" ht="13.5" x14ac:dyDescent="0.2"/>
    <row r="883" s="255" customFormat="1" ht="13.5" x14ac:dyDescent="0.2"/>
    <row r="884" s="255" customFormat="1" ht="13.5" x14ac:dyDescent="0.2"/>
    <row r="885" s="255" customFormat="1" ht="13.5" x14ac:dyDescent="0.2"/>
    <row r="886" s="255" customFormat="1" ht="13.5" x14ac:dyDescent="0.2"/>
    <row r="887" s="255" customFormat="1" ht="13.5" x14ac:dyDescent="0.2"/>
    <row r="888" s="255" customFormat="1" ht="13.5" x14ac:dyDescent="0.2"/>
    <row r="889" s="255" customFormat="1" ht="13.5" x14ac:dyDescent="0.2"/>
    <row r="890" s="255" customFormat="1" ht="13.5" x14ac:dyDescent="0.2"/>
    <row r="891" s="255" customFormat="1" ht="13.5" x14ac:dyDescent="0.2"/>
    <row r="892" s="255" customFormat="1" ht="13.5" x14ac:dyDescent="0.2"/>
    <row r="893" s="255" customFormat="1" ht="13.5" x14ac:dyDescent="0.2"/>
    <row r="894" s="255" customFormat="1" ht="13.5" x14ac:dyDescent="0.2"/>
    <row r="895" s="255" customFormat="1" ht="13.5" x14ac:dyDescent="0.2"/>
    <row r="896" s="255" customFormat="1" ht="13.5" x14ac:dyDescent="0.2"/>
    <row r="897" s="255" customFormat="1" ht="13.5" x14ac:dyDescent="0.2"/>
    <row r="898" s="255" customFormat="1" ht="13.5" x14ac:dyDescent="0.2"/>
    <row r="899" s="255" customFormat="1" ht="13.5" x14ac:dyDescent="0.2"/>
    <row r="900" s="255" customFormat="1" ht="13.5" x14ac:dyDescent="0.2"/>
    <row r="901" s="255" customFormat="1" ht="13.5" x14ac:dyDescent="0.2"/>
    <row r="902" s="255" customFormat="1" ht="13.5" x14ac:dyDescent="0.2"/>
    <row r="903" s="255" customFormat="1" ht="13.5" x14ac:dyDescent="0.2"/>
    <row r="904" s="255" customFormat="1" ht="13.5" x14ac:dyDescent="0.2"/>
    <row r="905" s="255" customFormat="1" ht="13.5" x14ac:dyDescent="0.2"/>
    <row r="906" s="255" customFormat="1" ht="13.5" x14ac:dyDescent="0.2"/>
    <row r="907" s="255" customFormat="1" ht="13.5" x14ac:dyDescent="0.2"/>
    <row r="908" s="255" customFormat="1" ht="13.5" x14ac:dyDescent="0.2"/>
    <row r="909" s="255" customFormat="1" ht="13.5" x14ac:dyDescent="0.2"/>
    <row r="910" s="255" customFormat="1" ht="13.5" x14ac:dyDescent="0.2"/>
    <row r="911" s="255" customFormat="1" ht="13.5" x14ac:dyDescent="0.2"/>
    <row r="912" s="255" customFormat="1" ht="13.5" x14ac:dyDescent="0.2"/>
    <row r="913" s="255" customFormat="1" ht="13.5" x14ac:dyDescent="0.2"/>
    <row r="914" s="255" customFormat="1" ht="13.5" x14ac:dyDescent="0.2"/>
    <row r="915" s="255" customFormat="1" ht="13.5" x14ac:dyDescent="0.2"/>
    <row r="916" s="255" customFormat="1" ht="13.5" x14ac:dyDescent="0.2"/>
    <row r="917" s="255" customFormat="1" ht="13.5" x14ac:dyDescent="0.2"/>
    <row r="918" s="255" customFormat="1" ht="13.5" x14ac:dyDescent="0.2"/>
    <row r="919" s="255" customFormat="1" ht="13.5" x14ac:dyDescent="0.2"/>
    <row r="920" s="255" customFormat="1" ht="13.5" x14ac:dyDescent="0.2"/>
    <row r="921" s="255" customFormat="1" ht="13.5" x14ac:dyDescent="0.2"/>
    <row r="922" s="255" customFormat="1" ht="13.5" x14ac:dyDescent="0.2"/>
    <row r="923" s="255" customFormat="1" ht="13.5" x14ac:dyDescent="0.2"/>
    <row r="924" s="255" customFormat="1" ht="13.5" x14ac:dyDescent="0.2"/>
    <row r="925" s="255" customFormat="1" ht="13.5" x14ac:dyDescent="0.2"/>
    <row r="926" s="255" customFormat="1" ht="13.5" x14ac:dyDescent="0.2"/>
    <row r="927" s="255" customFormat="1" ht="13.5" x14ac:dyDescent="0.2"/>
    <row r="928" s="255" customFormat="1" ht="13.5" x14ac:dyDescent="0.2"/>
    <row r="929" s="255" customFormat="1" ht="13.5" x14ac:dyDescent="0.2"/>
    <row r="930" s="255" customFormat="1" ht="13.5" x14ac:dyDescent="0.2"/>
    <row r="931" s="255" customFormat="1" ht="13.5" x14ac:dyDescent="0.2"/>
    <row r="932" s="255" customFormat="1" ht="13.5" x14ac:dyDescent="0.2"/>
    <row r="933" s="255" customFormat="1" ht="13.5" x14ac:dyDescent="0.2"/>
    <row r="934" s="255" customFormat="1" ht="13.5" x14ac:dyDescent="0.2"/>
    <row r="935" s="255" customFormat="1" ht="13.5" x14ac:dyDescent="0.2"/>
    <row r="936" s="255" customFormat="1" ht="13.5" x14ac:dyDescent="0.2"/>
    <row r="937" s="255" customFormat="1" ht="13.5" x14ac:dyDescent="0.2"/>
    <row r="938" s="255" customFormat="1" ht="13.5" x14ac:dyDescent="0.2"/>
    <row r="939" s="255" customFormat="1" ht="13.5" x14ac:dyDescent="0.2"/>
    <row r="940" s="255" customFormat="1" ht="13.5" x14ac:dyDescent="0.2"/>
    <row r="941" s="255" customFormat="1" ht="13.5" x14ac:dyDescent="0.2"/>
    <row r="942" s="255" customFormat="1" ht="13.5" x14ac:dyDescent="0.2"/>
    <row r="943" s="255" customFormat="1" ht="13.5" x14ac:dyDescent="0.2"/>
    <row r="944" s="255" customFormat="1" ht="13.5" x14ac:dyDescent="0.2"/>
    <row r="945" s="255" customFormat="1" ht="13.5" x14ac:dyDescent="0.2"/>
    <row r="946" s="255" customFormat="1" ht="13.5" x14ac:dyDescent="0.2"/>
    <row r="947" s="255" customFormat="1" ht="13.5" x14ac:dyDescent="0.2"/>
    <row r="948" s="255" customFormat="1" ht="13.5" x14ac:dyDescent="0.2"/>
    <row r="949" s="255" customFormat="1" ht="13.5" x14ac:dyDescent="0.2"/>
    <row r="950" s="255" customFormat="1" ht="13.5" x14ac:dyDescent="0.2"/>
    <row r="951" s="255" customFormat="1" ht="13.5" x14ac:dyDescent="0.2"/>
    <row r="952" s="255" customFormat="1" ht="13.5" x14ac:dyDescent="0.2"/>
    <row r="953" s="255" customFormat="1" ht="13.5" x14ac:dyDescent="0.2"/>
    <row r="954" s="255" customFormat="1" ht="13.5" x14ac:dyDescent="0.2"/>
    <row r="955" s="255" customFormat="1" ht="13.5" x14ac:dyDescent="0.2"/>
    <row r="956" s="255" customFormat="1" ht="13.5" x14ac:dyDescent="0.2"/>
    <row r="957" s="255" customFormat="1" ht="13.5" x14ac:dyDescent="0.2"/>
    <row r="958" s="255" customFormat="1" ht="13.5" x14ac:dyDescent="0.2"/>
    <row r="959" s="255" customFormat="1" ht="13.5" x14ac:dyDescent="0.2"/>
    <row r="960" s="255" customFormat="1" ht="13.5" x14ac:dyDescent="0.2"/>
    <row r="961" s="255" customFormat="1" ht="13.5" x14ac:dyDescent="0.2"/>
    <row r="962" s="255" customFormat="1" ht="13.5" x14ac:dyDescent="0.2"/>
    <row r="963" s="255" customFormat="1" ht="13.5" x14ac:dyDescent="0.2"/>
    <row r="964" s="255" customFormat="1" ht="13.5" x14ac:dyDescent="0.2"/>
    <row r="965" s="255" customFormat="1" ht="13.5" x14ac:dyDescent="0.2"/>
    <row r="966" s="255" customFormat="1" ht="13.5" x14ac:dyDescent="0.2"/>
    <row r="967" s="255" customFormat="1" ht="13.5" x14ac:dyDescent="0.2"/>
    <row r="968" s="255" customFormat="1" ht="13.5" x14ac:dyDescent="0.2"/>
    <row r="969" s="255" customFormat="1" ht="13.5" x14ac:dyDescent="0.2"/>
    <row r="970" s="255" customFormat="1" ht="13.5" x14ac:dyDescent="0.2"/>
    <row r="971" s="255" customFormat="1" ht="13.5" x14ac:dyDescent="0.2"/>
    <row r="972" s="255" customFormat="1" ht="13.5" x14ac:dyDescent="0.2"/>
    <row r="973" s="255" customFormat="1" ht="13.5" x14ac:dyDescent="0.2"/>
    <row r="974" s="255" customFormat="1" ht="13.5" x14ac:dyDescent="0.2"/>
    <row r="975" s="255" customFormat="1" ht="13.5" x14ac:dyDescent="0.2"/>
    <row r="976" s="255" customFormat="1" ht="13.5" x14ac:dyDescent="0.2"/>
    <row r="977" s="255" customFormat="1" ht="13.5" x14ac:dyDescent="0.2"/>
    <row r="978" s="255" customFormat="1" ht="13.5" x14ac:dyDescent="0.2"/>
    <row r="979" s="255" customFormat="1" ht="13.5" x14ac:dyDescent="0.2"/>
    <row r="980" s="255" customFormat="1" ht="13.5" x14ac:dyDescent="0.2"/>
    <row r="981" s="255" customFormat="1" ht="13.5" x14ac:dyDescent="0.2"/>
    <row r="982" s="255" customFormat="1" ht="13.5" x14ac:dyDescent="0.2"/>
    <row r="983" s="255" customFormat="1" ht="13.5" x14ac:dyDescent="0.2"/>
    <row r="984" s="255" customFormat="1" ht="13.5" x14ac:dyDescent="0.2"/>
    <row r="985" s="255" customFormat="1" ht="13.5" x14ac:dyDescent="0.2"/>
    <row r="986" s="255" customFormat="1" ht="13.5" x14ac:dyDescent="0.2"/>
    <row r="987" s="255" customFormat="1" ht="13.5" x14ac:dyDescent="0.2"/>
    <row r="988" s="255" customFormat="1" ht="13.5" x14ac:dyDescent="0.2"/>
    <row r="989" s="255" customFormat="1" ht="13.5" x14ac:dyDescent="0.2"/>
    <row r="990" s="255" customFormat="1" ht="13.5" x14ac:dyDescent="0.2"/>
    <row r="991" s="255" customFormat="1" ht="13.5" x14ac:dyDescent="0.2"/>
    <row r="992" s="255" customFormat="1" ht="13.5" x14ac:dyDescent="0.2"/>
    <row r="993" s="255" customFormat="1" ht="13.5" x14ac:dyDescent="0.2"/>
    <row r="994" s="255" customFormat="1" ht="13.5" x14ac:dyDescent="0.2"/>
    <row r="995" s="255" customFormat="1" ht="13.5" x14ac:dyDescent="0.2"/>
    <row r="996" s="255" customFormat="1" ht="13.5" x14ac:dyDescent="0.2"/>
    <row r="997" s="255" customFormat="1" ht="13.5" x14ac:dyDescent="0.2"/>
    <row r="998" s="255" customFormat="1" ht="13.5" x14ac:dyDescent="0.2"/>
    <row r="999" s="255" customFormat="1" ht="13.5" x14ac:dyDescent="0.2"/>
    <row r="1000" s="255" customFormat="1" ht="13.5" x14ac:dyDescent="0.2"/>
    <row r="1001" s="255" customFormat="1" ht="13.5" x14ac:dyDescent="0.2"/>
  </sheetData>
  <mergeCells count="1">
    <mergeCell ref="A2:D2"/>
  </mergeCells>
  <pageMargins left="0.27559055118110237" right="0.27559055118110237" top="0.39370078740157483" bottom="0.39370078740157483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850"/>
  <sheetViews>
    <sheetView showGridLines="0" zoomScaleNormal="100" workbookViewId="0">
      <selection sqref="A1:F66"/>
    </sheetView>
  </sheetViews>
  <sheetFormatPr baseColWidth="10" defaultColWidth="11.42578125" defaultRowHeight="15" customHeight="1" x14ac:dyDescent="0.2"/>
  <cols>
    <col min="1" max="1" width="23.28515625" style="265" customWidth="1"/>
    <col min="2" max="2" width="13.7109375" style="265" customWidth="1"/>
    <col min="3" max="3" width="15.42578125" style="265" customWidth="1"/>
    <col min="4" max="4" width="8.28515625" style="265" customWidth="1"/>
    <col min="5" max="5" width="8.5703125" style="265" customWidth="1"/>
    <col min="6" max="6" width="8.7109375" style="265" customWidth="1"/>
    <col min="7" max="16384" width="11.42578125" style="265"/>
  </cols>
  <sheetData>
    <row r="1" spans="1:6" ht="16.149999999999999" customHeight="1" x14ac:dyDescent="0.25">
      <c r="A1" s="262" t="s">
        <v>612</v>
      </c>
      <c r="B1" s="255"/>
      <c r="C1" s="255"/>
      <c r="D1" s="255"/>
      <c r="E1" s="263"/>
      <c r="F1" s="264"/>
    </row>
    <row r="2" spans="1:6" ht="12" customHeight="1" x14ac:dyDescent="0.2">
      <c r="A2" s="750" t="s">
        <v>609</v>
      </c>
      <c r="B2" s="750"/>
      <c r="C2" s="750"/>
      <c r="D2" s="750"/>
      <c r="E2" s="750"/>
      <c r="F2" s="750"/>
    </row>
    <row r="3" spans="1:6" ht="4.9000000000000004" customHeight="1" x14ac:dyDescent="0.2">
      <c r="A3" s="751"/>
      <c r="B3" s="751"/>
      <c r="C3" s="751"/>
      <c r="D3" s="751"/>
      <c r="E3" s="751"/>
      <c r="F3" s="751"/>
    </row>
    <row r="4" spans="1:6" ht="18" customHeight="1" x14ac:dyDescent="0.2">
      <c r="A4" s="266" t="s">
        <v>202</v>
      </c>
      <c r="B4" s="267" t="s">
        <v>239</v>
      </c>
      <c r="C4" s="267" t="s">
        <v>240</v>
      </c>
      <c r="D4" s="266" t="s">
        <v>205</v>
      </c>
      <c r="E4" s="268" t="s">
        <v>241</v>
      </c>
      <c r="F4" s="268" t="s">
        <v>208</v>
      </c>
    </row>
    <row r="5" spans="1:6" s="51" customFormat="1" ht="3" customHeight="1" x14ac:dyDescent="0.2">
      <c r="A5" s="675"/>
      <c r="B5" s="675"/>
      <c r="C5" s="675"/>
      <c r="D5" s="675"/>
      <c r="E5" s="675"/>
      <c r="F5" s="675"/>
    </row>
    <row r="6" spans="1:6" ht="11.1" customHeight="1" x14ac:dyDescent="0.25">
      <c r="A6" s="676" t="s">
        <v>221</v>
      </c>
      <c r="B6" s="677" t="s">
        <v>580</v>
      </c>
      <c r="C6" s="677" t="s">
        <v>245</v>
      </c>
      <c r="D6" s="677" t="s">
        <v>244</v>
      </c>
      <c r="E6" s="678">
        <v>255</v>
      </c>
      <c r="F6" s="679">
        <v>9</v>
      </c>
    </row>
    <row r="7" spans="1:6" ht="11.1" customHeight="1" x14ac:dyDescent="0.25">
      <c r="A7" s="643"/>
      <c r="B7" s="644" t="s">
        <v>246</v>
      </c>
      <c r="C7" s="644" t="s">
        <v>247</v>
      </c>
      <c r="D7" s="644" t="s">
        <v>244</v>
      </c>
      <c r="E7" s="645">
        <v>359</v>
      </c>
      <c r="F7" s="646">
        <v>9</v>
      </c>
    </row>
    <row r="8" spans="1:6" ht="11.1" customHeight="1" x14ac:dyDescent="0.25">
      <c r="A8" s="747" t="s">
        <v>222</v>
      </c>
      <c r="B8" s="95" t="s">
        <v>248</v>
      </c>
      <c r="C8" s="95" t="s">
        <v>249</v>
      </c>
      <c r="D8" s="95" t="s">
        <v>244</v>
      </c>
      <c r="E8" s="641">
        <v>85</v>
      </c>
      <c r="F8" s="642">
        <v>14</v>
      </c>
    </row>
    <row r="9" spans="1:6" ht="11.1" customHeight="1" x14ac:dyDescent="0.25">
      <c r="A9" s="748"/>
      <c r="B9" s="95" t="s">
        <v>242</v>
      </c>
      <c r="C9" s="95" t="s">
        <v>243</v>
      </c>
      <c r="D9" s="95" t="s">
        <v>244</v>
      </c>
      <c r="E9" s="641">
        <v>262</v>
      </c>
      <c r="F9" s="642">
        <v>14</v>
      </c>
    </row>
    <row r="10" spans="1:6" ht="11.1" customHeight="1" x14ac:dyDescent="0.25">
      <c r="A10" s="748"/>
      <c r="B10" s="95" t="s">
        <v>250</v>
      </c>
      <c r="C10" s="95" t="s">
        <v>251</v>
      </c>
      <c r="D10" s="95" t="s">
        <v>252</v>
      </c>
      <c r="E10" s="641">
        <v>120</v>
      </c>
      <c r="F10" s="642">
        <v>6</v>
      </c>
    </row>
    <row r="11" spans="1:6" ht="11.1" customHeight="1" x14ac:dyDescent="0.25">
      <c r="A11" s="748"/>
      <c r="B11" s="95" t="s">
        <v>246</v>
      </c>
      <c r="C11" s="95" t="s">
        <v>247</v>
      </c>
      <c r="D11" s="95" t="s">
        <v>244</v>
      </c>
      <c r="E11" s="641">
        <v>167</v>
      </c>
      <c r="F11" s="642">
        <v>14</v>
      </c>
    </row>
    <row r="12" spans="1:6" ht="11.1" customHeight="1" x14ac:dyDescent="0.25">
      <c r="A12" s="749"/>
      <c r="B12" s="644" t="s">
        <v>246</v>
      </c>
      <c r="C12" s="644" t="s">
        <v>245</v>
      </c>
      <c r="D12" s="644" t="s">
        <v>244</v>
      </c>
      <c r="E12" s="645">
        <v>38</v>
      </c>
      <c r="F12" s="646">
        <v>14</v>
      </c>
    </row>
    <row r="13" spans="1:6" ht="11.1" customHeight="1" x14ac:dyDescent="0.25">
      <c r="A13" s="747" t="s">
        <v>253</v>
      </c>
      <c r="B13" s="95" t="s">
        <v>254</v>
      </c>
      <c r="C13" s="95" t="s">
        <v>255</v>
      </c>
      <c r="D13" s="95" t="s">
        <v>244</v>
      </c>
      <c r="E13" s="641">
        <v>94</v>
      </c>
      <c r="F13" s="642">
        <v>12</v>
      </c>
    </row>
    <row r="14" spans="1:6" ht="11.1" customHeight="1" x14ac:dyDescent="0.25">
      <c r="A14" s="748"/>
      <c r="B14" s="95" t="s">
        <v>254</v>
      </c>
      <c r="C14" s="95" t="s">
        <v>256</v>
      </c>
      <c r="D14" s="95" t="s">
        <v>244</v>
      </c>
      <c r="E14" s="641">
        <v>105</v>
      </c>
      <c r="F14" s="642">
        <v>12</v>
      </c>
    </row>
    <row r="15" spans="1:6" ht="11.1" customHeight="1" x14ac:dyDescent="0.25">
      <c r="A15" s="748"/>
      <c r="B15" s="95" t="s">
        <v>254</v>
      </c>
      <c r="C15" s="95" t="s">
        <v>257</v>
      </c>
      <c r="D15" s="95" t="s">
        <v>244</v>
      </c>
      <c r="E15" s="641">
        <v>465</v>
      </c>
      <c r="F15" s="642">
        <v>12</v>
      </c>
    </row>
    <row r="16" spans="1:6" ht="11.1" customHeight="1" x14ac:dyDescent="0.25">
      <c r="A16" s="748"/>
      <c r="B16" s="95" t="s">
        <v>254</v>
      </c>
      <c r="C16" s="95" t="s">
        <v>258</v>
      </c>
      <c r="D16" s="95" t="s">
        <v>244</v>
      </c>
      <c r="E16" s="641">
        <v>2</v>
      </c>
      <c r="F16" s="642">
        <v>12</v>
      </c>
    </row>
    <row r="17" spans="1:6" ht="11.1" customHeight="1" x14ac:dyDescent="0.25">
      <c r="A17" s="748"/>
      <c r="B17" s="95" t="s">
        <v>254</v>
      </c>
      <c r="C17" s="95" t="s">
        <v>259</v>
      </c>
      <c r="D17" s="95" t="s">
        <v>244</v>
      </c>
      <c r="E17" s="641">
        <v>118</v>
      </c>
      <c r="F17" s="642">
        <v>12</v>
      </c>
    </row>
    <row r="18" spans="1:6" ht="11.1" customHeight="1" x14ac:dyDescent="0.25">
      <c r="A18" s="748"/>
      <c r="B18" s="95" t="s">
        <v>254</v>
      </c>
      <c r="C18" s="95" t="s">
        <v>260</v>
      </c>
      <c r="D18" s="95" t="s">
        <v>244</v>
      </c>
      <c r="E18" s="641">
        <v>27</v>
      </c>
      <c r="F18" s="642">
        <v>12</v>
      </c>
    </row>
    <row r="19" spans="1:6" ht="11.1" customHeight="1" x14ac:dyDescent="0.25">
      <c r="A19" s="748"/>
      <c r="B19" s="95" t="s">
        <v>254</v>
      </c>
      <c r="C19" s="95" t="s">
        <v>261</v>
      </c>
      <c r="D19" s="95" t="s">
        <v>244</v>
      </c>
      <c r="E19" s="641">
        <v>90</v>
      </c>
      <c r="F19" s="642">
        <v>12</v>
      </c>
    </row>
    <row r="20" spans="1:6" ht="11.1" customHeight="1" x14ac:dyDescent="0.25">
      <c r="A20" s="748"/>
      <c r="B20" s="95" t="s">
        <v>254</v>
      </c>
      <c r="C20" s="95" t="s">
        <v>262</v>
      </c>
      <c r="D20" s="95" t="s">
        <v>244</v>
      </c>
      <c r="E20" s="641">
        <v>113</v>
      </c>
      <c r="F20" s="642">
        <v>12</v>
      </c>
    </row>
    <row r="21" spans="1:6" ht="11.1" customHeight="1" x14ac:dyDescent="0.25">
      <c r="A21" s="748"/>
      <c r="B21" s="95" t="s">
        <v>254</v>
      </c>
      <c r="C21" s="95" t="s">
        <v>263</v>
      </c>
      <c r="D21" s="95" t="s">
        <v>244</v>
      </c>
      <c r="E21" s="641">
        <v>154</v>
      </c>
      <c r="F21" s="642">
        <v>12</v>
      </c>
    </row>
    <row r="22" spans="1:6" ht="11.1" customHeight="1" x14ac:dyDescent="0.25">
      <c r="A22" s="748"/>
      <c r="B22" s="95" t="s">
        <v>254</v>
      </c>
      <c r="C22" s="95" t="s">
        <v>264</v>
      </c>
      <c r="D22" s="95" t="s">
        <v>244</v>
      </c>
      <c r="E22" s="641">
        <v>196</v>
      </c>
      <c r="F22" s="642">
        <v>12</v>
      </c>
    </row>
    <row r="23" spans="1:6" ht="11.1" customHeight="1" x14ac:dyDescent="0.25">
      <c r="A23" s="748"/>
      <c r="B23" s="95" t="s">
        <v>254</v>
      </c>
      <c r="C23" s="95" t="s">
        <v>265</v>
      </c>
      <c r="D23" s="95" t="s">
        <v>244</v>
      </c>
      <c r="E23" s="641">
        <v>34</v>
      </c>
      <c r="F23" s="642">
        <v>12</v>
      </c>
    </row>
    <row r="24" spans="1:6" ht="11.1" customHeight="1" x14ac:dyDescent="0.25">
      <c r="A24" s="749"/>
      <c r="B24" s="644" t="s">
        <v>254</v>
      </c>
      <c r="C24" s="644" t="s">
        <v>266</v>
      </c>
      <c r="D24" s="644" t="s">
        <v>244</v>
      </c>
      <c r="E24" s="645">
        <v>57</v>
      </c>
      <c r="F24" s="646">
        <v>12</v>
      </c>
    </row>
    <row r="25" spans="1:6" ht="11.1" customHeight="1" x14ac:dyDescent="0.25">
      <c r="A25" s="747" t="s">
        <v>267</v>
      </c>
      <c r="B25" s="95" t="s">
        <v>242</v>
      </c>
      <c r="C25" s="95" t="s">
        <v>268</v>
      </c>
      <c r="D25" s="95" t="s">
        <v>244</v>
      </c>
      <c r="E25" s="641">
        <v>30</v>
      </c>
      <c r="F25" s="642">
        <v>7</v>
      </c>
    </row>
    <row r="26" spans="1:6" ht="11.1" customHeight="1" x14ac:dyDescent="0.25">
      <c r="A26" s="748"/>
      <c r="B26" s="95" t="s">
        <v>269</v>
      </c>
      <c r="C26" s="95" t="s">
        <v>270</v>
      </c>
      <c r="D26" s="95" t="s">
        <v>252</v>
      </c>
      <c r="E26" s="641">
        <v>1330</v>
      </c>
      <c r="F26" s="642">
        <v>4</v>
      </c>
    </row>
    <row r="27" spans="1:6" ht="11.1" customHeight="1" x14ac:dyDescent="0.25">
      <c r="A27" s="748"/>
      <c r="B27" s="95" t="s">
        <v>246</v>
      </c>
      <c r="C27" s="95" t="s">
        <v>487</v>
      </c>
      <c r="D27" s="95" t="s">
        <v>252</v>
      </c>
      <c r="E27" s="641">
        <v>170</v>
      </c>
      <c r="F27" s="642">
        <v>5</v>
      </c>
    </row>
    <row r="28" spans="1:6" ht="11.1" customHeight="1" x14ac:dyDescent="0.25">
      <c r="A28" s="748"/>
      <c r="B28" s="95" t="s">
        <v>271</v>
      </c>
      <c r="C28" s="95" t="s">
        <v>272</v>
      </c>
      <c r="D28" s="95" t="s">
        <v>273</v>
      </c>
      <c r="E28" s="641">
        <v>338</v>
      </c>
      <c r="F28" s="642">
        <v>5.93</v>
      </c>
    </row>
    <row r="29" spans="1:6" ht="11.1" customHeight="1" x14ac:dyDescent="0.25">
      <c r="A29" s="749"/>
      <c r="B29" s="644" t="s">
        <v>271</v>
      </c>
      <c r="C29" s="644" t="s">
        <v>274</v>
      </c>
      <c r="D29" s="95" t="s">
        <v>273</v>
      </c>
      <c r="E29" s="645">
        <v>695</v>
      </c>
      <c r="F29" s="646">
        <v>5.93</v>
      </c>
    </row>
    <row r="30" spans="1:6" ht="11.1" customHeight="1" x14ac:dyDescent="0.25">
      <c r="A30" s="747" t="s">
        <v>275</v>
      </c>
      <c r="B30" s="95" t="s">
        <v>276</v>
      </c>
      <c r="C30" s="95" t="s">
        <v>277</v>
      </c>
      <c r="D30" s="647" t="s">
        <v>244</v>
      </c>
      <c r="E30" s="641">
        <v>295</v>
      </c>
      <c r="F30" s="642">
        <v>8</v>
      </c>
    </row>
    <row r="31" spans="1:6" ht="11.1" customHeight="1" x14ac:dyDescent="0.25">
      <c r="A31" s="748"/>
      <c r="B31" s="95" t="s">
        <v>276</v>
      </c>
      <c r="C31" s="95" t="s">
        <v>55</v>
      </c>
      <c r="D31" s="95" t="s">
        <v>252</v>
      </c>
      <c r="E31" s="641">
        <v>2818</v>
      </c>
      <c r="F31" s="642">
        <v>5</v>
      </c>
    </row>
    <row r="32" spans="1:6" ht="11.1" customHeight="1" x14ac:dyDescent="0.25">
      <c r="A32" s="748"/>
      <c r="B32" s="95" t="s">
        <v>276</v>
      </c>
      <c r="C32" s="95" t="s">
        <v>278</v>
      </c>
      <c r="D32" s="95" t="s">
        <v>244</v>
      </c>
      <c r="E32" s="641">
        <v>45</v>
      </c>
      <c r="F32" s="642">
        <v>8</v>
      </c>
    </row>
    <row r="33" spans="1:6" ht="11.1" customHeight="1" x14ac:dyDescent="0.25">
      <c r="A33" s="748"/>
      <c r="B33" s="95" t="s">
        <v>276</v>
      </c>
      <c r="C33" s="95" t="s">
        <v>279</v>
      </c>
      <c r="D33" s="95" t="s">
        <v>252</v>
      </c>
      <c r="E33" s="641">
        <v>2276</v>
      </c>
      <c r="F33" s="642">
        <v>5</v>
      </c>
    </row>
    <row r="34" spans="1:6" ht="11.1" customHeight="1" x14ac:dyDescent="0.25">
      <c r="A34" s="748"/>
      <c r="B34" s="95" t="s">
        <v>276</v>
      </c>
      <c r="C34" s="95" t="s">
        <v>280</v>
      </c>
      <c r="D34" s="95" t="s">
        <v>244</v>
      </c>
      <c r="E34" s="641">
        <v>146</v>
      </c>
      <c r="F34" s="642">
        <v>8</v>
      </c>
    </row>
    <row r="35" spans="1:6" ht="11.1" customHeight="1" x14ac:dyDescent="0.25">
      <c r="A35" s="749"/>
      <c r="B35" s="644" t="s">
        <v>276</v>
      </c>
      <c r="C35" s="644" t="s">
        <v>281</v>
      </c>
      <c r="D35" s="644" t="s">
        <v>252</v>
      </c>
      <c r="E35" s="645">
        <v>2830</v>
      </c>
      <c r="F35" s="646">
        <v>5</v>
      </c>
    </row>
    <row r="36" spans="1:6" ht="11.1" customHeight="1" x14ac:dyDescent="0.25">
      <c r="A36" s="648" t="s">
        <v>282</v>
      </c>
      <c r="B36" s="644" t="s">
        <v>283</v>
      </c>
      <c r="C36" s="644" t="s">
        <v>284</v>
      </c>
      <c r="D36" s="644" t="s">
        <v>239</v>
      </c>
      <c r="E36" s="645">
        <v>326</v>
      </c>
      <c r="F36" s="646">
        <v>6</v>
      </c>
    </row>
    <row r="37" spans="1:6" ht="11.1" customHeight="1" x14ac:dyDescent="0.25">
      <c r="A37" s="649" t="s">
        <v>232</v>
      </c>
      <c r="B37" s="650" t="s">
        <v>285</v>
      </c>
      <c r="C37" s="650" t="s">
        <v>286</v>
      </c>
      <c r="D37" s="644" t="s">
        <v>239</v>
      </c>
      <c r="E37" s="651">
        <v>34</v>
      </c>
      <c r="F37" s="652">
        <v>5</v>
      </c>
    </row>
    <row r="38" spans="1:6" ht="11.1" customHeight="1" x14ac:dyDescent="0.25">
      <c r="A38" s="648" t="s">
        <v>289</v>
      </c>
      <c r="B38" s="653" t="s">
        <v>290</v>
      </c>
      <c r="C38" s="653" t="s">
        <v>291</v>
      </c>
      <c r="D38" s="653" t="s">
        <v>244</v>
      </c>
      <c r="E38" s="645">
        <v>50</v>
      </c>
      <c r="F38" s="646">
        <v>4</v>
      </c>
    </row>
    <row r="39" spans="1:6" ht="11.1" customHeight="1" x14ac:dyDescent="0.25">
      <c r="A39" s="654" t="s">
        <v>233</v>
      </c>
      <c r="B39" s="655" t="s">
        <v>292</v>
      </c>
      <c r="C39" s="655" t="s">
        <v>293</v>
      </c>
      <c r="D39" s="656" t="s">
        <v>244</v>
      </c>
      <c r="E39" s="641">
        <v>168</v>
      </c>
      <c r="F39" s="642">
        <v>9</v>
      </c>
    </row>
    <row r="40" spans="1:6" ht="11.1" customHeight="1" x14ac:dyDescent="0.25">
      <c r="A40" s="747" t="s">
        <v>294</v>
      </c>
      <c r="B40" s="657" t="s">
        <v>583</v>
      </c>
      <c r="C40" s="657" t="s">
        <v>583</v>
      </c>
      <c r="D40" s="655" t="s">
        <v>239</v>
      </c>
      <c r="E40" s="658">
        <v>27</v>
      </c>
      <c r="F40" s="659">
        <v>5</v>
      </c>
    </row>
    <row r="41" spans="1:6" ht="11.1" customHeight="1" x14ac:dyDescent="0.25">
      <c r="A41" s="748"/>
      <c r="B41" s="655" t="s">
        <v>288</v>
      </c>
      <c r="C41" s="655" t="s">
        <v>309</v>
      </c>
      <c r="D41" s="655" t="s">
        <v>239</v>
      </c>
      <c r="E41" s="641">
        <v>2</v>
      </c>
      <c r="F41" s="642">
        <v>2.77</v>
      </c>
    </row>
    <row r="42" spans="1:6" ht="11.1" customHeight="1" x14ac:dyDescent="0.25">
      <c r="A42" s="748"/>
      <c r="B42" s="655" t="s">
        <v>455</v>
      </c>
      <c r="C42" s="655" t="s">
        <v>455</v>
      </c>
      <c r="D42" s="655" t="s">
        <v>239</v>
      </c>
      <c r="E42" s="641">
        <v>7</v>
      </c>
      <c r="F42" s="642">
        <v>5</v>
      </c>
    </row>
    <row r="43" spans="1:6" ht="11.1" customHeight="1" x14ac:dyDescent="0.25">
      <c r="A43" s="748"/>
      <c r="B43" s="655" t="s">
        <v>582</v>
      </c>
      <c r="C43" s="655" t="s">
        <v>582</v>
      </c>
      <c r="D43" s="655" t="s">
        <v>239</v>
      </c>
      <c r="E43" s="641">
        <v>76</v>
      </c>
      <c r="F43" s="642">
        <v>5</v>
      </c>
    </row>
    <row r="44" spans="1:6" ht="11.1" customHeight="1" x14ac:dyDescent="0.25">
      <c r="A44" s="748"/>
      <c r="B44" s="655" t="s">
        <v>295</v>
      </c>
      <c r="C44" s="655" t="s">
        <v>295</v>
      </c>
      <c r="D44" s="655" t="s">
        <v>239</v>
      </c>
      <c r="E44" s="641">
        <v>58</v>
      </c>
      <c r="F44" s="642">
        <v>1.9</v>
      </c>
    </row>
    <row r="45" spans="1:6" ht="11.1" customHeight="1" x14ac:dyDescent="0.25">
      <c r="A45" s="748"/>
      <c r="B45" s="655" t="s">
        <v>598</v>
      </c>
      <c r="C45" s="655" t="s">
        <v>598</v>
      </c>
      <c r="D45" s="655" t="s">
        <v>239</v>
      </c>
      <c r="E45" s="641">
        <v>108</v>
      </c>
      <c r="F45" s="642">
        <v>5</v>
      </c>
    </row>
    <row r="46" spans="1:6" ht="11.1" customHeight="1" x14ac:dyDescent="0.25">
      <c r="A46" s="748"/>
      <c r="B46" s="655" t="s">
        <v>480</v>
      </c>
      <c r="C46" s="655" t="s">
        <v>296</v>
      </c>
      <c r="D46" s="655" t="s">
        <v>239</v>
      </c>
      <c r="E46" s="641">
        <v>142</v>
      </c>
      <c r="F46" s="642">
        <v>5</v>
      </c>
    </row>
    <row r="47" spans="1:6" ht="11.1" customHeight="1" x14ac:dyDescent="0.25">
      <c r="A47" s="748"/>
      <c r="B47" s="655" t="s">
        <v>480</v>
      </c>
      <c r="C47" s="655" t="s">
        <v>297</v>
      </c>
      <c r="D47" s="655" t="s">
        <v>244</v>
      </c>
      <c r="E47" s="641">
        <v>168</v>
      </c>
      <c r="F47" s="642">
        <v>10</v>
      </c>
    </row>
    <row r="48" spans="1:6" ht="11.1" customHeight="1" x14ac:dyDescent="0.25">
      <c r="A48" s="748"/>
      <c r="B48" s="655" t="s">
        <v>480</v>
      </c>
      <c r="C48" s="655" t="s">
        <v>581</v>
      </c>
      <c r="D48" s="655" t="s">
        <v>244</v>
      </c>
      <c r="E48" s="641">
        <v>41</v>
      </c>
      <c r="F48" s="642">
        <v>10</v>
      </c>
    </row>
    <row r="49" spans="1:6" ht="11.1" customHeight="1" x14ac:dyDescent="0.25">
      <c r="A49" s="748"/>
      <c r="B49" s="655" t="s">
        <v>480</v>
      </c>
      <c r="C49" s="655" t="s">
        <v>481</v>
      </c>
      <c r="D49" s="655" t="s">
        <v>244</v>
      </c>
      <c r="E49" s="641">
        <v>100</v>
      </c>
      <c r="F49" s="642">
        <v>10</v>
      </c>
    </row>
    <row r="50" spans="1:6" ht="11.1" customHeight="1" x14ac:dyDescent="0.25">
      <c r="A50" s="748"/>
      <c r="B50" s="655" t="s">
        <v>269</v>
      </c>
      <c r="C50" s="655" t="s">
        <v>298</v>
      </c>
      <c r="D50" s="655" t="s">
        <v>244</v>
      </c>
      <c r="E50" s="641">
        <v>81</v>
      </c>
      <c r="F50" s="642">
        <v>10</v>
      </c>
    </row>
    <row r="51" spans="1:6" ht="11.1" customHeight="1" x14ac:dyDescent="0.25">
      <c r="A51" s="748"/>
      <c r="B51" s="655" t="s">
        <v>269</v>
      </c>
      <c r="C51" s="655" t="s">
        <v>53</v>
      </c>
      <c r="D51" s="655" t="s">
        <v>244</v>
      </c>
      <c r="E51" s="641">
        <v>307</v>
      </c>
      <c r="F51" s="642">
        <v>10</v>
      </c>
    </row>
    <row r="52" spans="1:6" ht="11.1" customHeight="1" x14ac:dyDescent="0.25">
      <c r="A52" s="748"/>
      <c r="B52" s="655" t="s">
        <v>276</v>
      </c>
      <c r="C52" s="655" t="s">
        <v>299</v>
      </c>
      <c r="D52" s="655" t="s">
        <v>244</v>
      </c>
      <c r="E52" s="641">
        <v>14</v>
      </c>
      <c r="F52" s="642">
        <v>10</v>
      </c>
    </row>
    <row r="53" spans="1:6" ht="11.1" customHeight="1" x14ac:dyDescent="0.25">
      <c r="A53" s="748"/>
      <c r="B53" s="655" t="s">
        <v>276</v>
      </c>
      <c r="C53" s="655" t="s">
        <v>300</v>
      </c>
      <c r="D53" s="655" t="s">
        <v>244</v>
      </c>
      <c r="E53" s="641">
        <v>93</v>
      </c>
      <c r="F53" s="642">
        <v>10</v>
      </c>
    </row>
    <row r="54" spans="1:6" ht="11.1" customHeight="1" x14ac:dyDescent="0.25">
      <c r="A54" s="748"/>
      <c r="B54" s="655" t="s">
        <v>276</v>
      </c>
      <c r="C54" s="655" t="s">
        <v>301</v>
      </c>
      <c r="D54" s="655" t="s">
        <v>244</v>
      </c>
      <c r="E54" s="641">
        <v>145</v>
      </c>
      <c r="F54" s="642">
        <v>10</v>
      </c>
    </row>
    <row r="55" spans="1:6" ht="11.1" customHeight="1" x14ac:dyDescent="0.25">
      <c r="A55" s="748"/>
      <c r="B55" s="655" t="s">
        <v>276</v>
      </c>
      <c r="C55" s="655" t="s">
        <v>302</v>
      </c>
      <c r="D55" s="655" t="s">
        <v>244</v>
      </c>
      <c r="E55" s="641">
        <v>163</v>
      </c>
      <c r="F55" s="642">
        <v>10</v>
      </c>
    </row>
    <row r="56" spans="1:6" ht="11.1" customHeight="1" x14ac:dyDescent="0.25">
      <c r="A56" s="748"/>
      <c r="B56" s="655" t="s">
        <v>276</v>
      </c>
      <c r="C56" s="655" t="s">
        <v>309</v>
      </c>
      <c r="D56" s="655" t="s">
        <v>239</v>
      </c>
      <c r="E56" s="641">
        <v>1689</v>
      </c>
      <c r="F56" s="642">
        <v>5</v>
      </c>
    </row>
    <row r="57" spans="1:6" ht="11.1" customHeight="1" x14ac:dyDescent="0.25">
      <c r="A57" s="748"/>
      <c r="B57" s="655" t="s">
        <v>276</v>
      </c>
      <c r="C57" s="655" t="s">
        <v>303</v>
      </c>
      <c r="D57" s="655" t="s">
        <v>244</v>
      </c>
      <c r="E57" s="641">
        <v>359</v>
      </c>
      <c r="F57" s="642">
        <v>10</v>
      </c>
    </row>
    <row r="58" spans="1:6" ht="11.1" customHeight="1" x14ac:dyDescent="0.25">
      <c r="A58" s="748"/>
      <c r="B58" s="655" t="s">
        <v>290</v>
      </c>
      <c r="C58" s="655" t="s">
        <v>304</v>
      </c>
      <c r="D58" s="655" t="s">
        <v>244</v>
      </c>
      <c r="E58" s="641">
        <v>239</v>
      </c>
      <c r="F58" s="642">
        <v>10</v>
      </c>
    </row>
    <row r="59" spans="1:6" ht="11.1" customHeight="1" x14ac:dyDescent="0.25">
      <c r="A59" s="748"/>
      <c r="B59" s="655" t="s">
        <v>290</v>
      </c>
      <c r="C59" s="655" t="s">
        <v>305</v>
      </c>
      <c r="D59" s="655" t="s">
        <v>244</v>
      </c>
      <c r="E59" s="641">
        <v>89</v>
      </c>
      <c r="F59" s="642">
        <v>10</v>
      </c>
    </row>
    <row r="60" spans="1:6" ht="11.1" customHeight="1" x14ac:dyDescent="0.25">
      <c r="A60" s="748"/>
      <c r="B60" s="655" t="s">
        <v>580</v>
      </c>
      <c r="C60" s="655" t="s">
        <v>309</v>
      </c>
      <c r="D60" s="655" t="s">
        <v>239</v>
      </c>
      <c r="E60" s="641">
        <v>2</v>
      </c>
      <c r="F60" s="642">
        <v>5</v>
      </c>
    </row>
    <row r="61" spans="1:6" ht="11.1" customHeight="1" x14ac:dyDescent="0.25">
      <c r="A61" s="748"/>
      <c r="B61" s="655" t="s">
        <v>271</v>
      </c>
      <c r="C61" s="655" t="s">
        <v>306</v>
      </c>
      <c r="D61" s="655" t="s">
        <v>273</v>
      </c>
      <c r="E61" s="641">
        <v>69</v>
      </c>
      <c r="F61" s="642">
        <v>9.17</v>
      </c>
    </row>
    <row r="62" spans="1:6" ht="11.1" customHeight="1" x14ac:dyDescent="0.25">
      <c r="A62" s="748"/>
      <c r="B62" s="655" t="s">
        <v>307</v>
      </c>
      <c r="C62" s="655" t="s">
        <v>307</v>
      </c>
      <c r="D62" s="655" t="s">
        <v>239</v>
      </c>
      <c r="E62" s="641">
        <v>37</v>
      </c>
      <c r="F62" s="642">
        <v>5</v>
      </c>
    </row>
    <row r="63" spans="1:6" ht="11.1" customHeight="1" x14ac:dyDescent="0.25">
      <c r="A63" s="749"/>
      <c r="B63" s="653" t="s">
        <v>308</v>
      </c>
      <c r="C63" s="655" t="s">
        <v>308</v>
      </c>
      <c r="D63" s="653" t="s">
        <v>239</v>
      </c>
      <c r="E63" s="641">
        <v>192</v>
      </c>
      <c r="F63" s="646">
        <v>5</v>
      </c>
    </row>
    <row r="64" spans="1:6" ht="9" customHeight="1" x14ac:dyDescent="0.2">
      <c r="A64" s="261" t="s">
        <v>238</v>
      </c>
      <c r="B64" s="261"/>
      <c r="C64" s="269"/>
      <c r="E64" s="269"/>
    </row>
    <row r="65" spans="1:2" ht="9" customHeight="1" x14ac:dyDescent="0.2">
      <c r="A65" s="546" t="s">
        <v>65</v>
      </c>
      <c r="B65" s="270"/>
    </row>
    <row r="66" spans="1:2" ht="9" customHeight="1" x14ac:dyDescent="0.2">
      <c r="A66" s="546" t="s">
        <v>66</v>
      </c>
    </row>
    <row r="67" spans="1:2" ht="12.75" x14ac:dyDescent="0.2"/>
    <row r="68" spans="1:2" ht="12.75" x14ac:dyDescent="0.2"/>
    <row r="69" spans="1:2" ht="12.75" x14ac:dyDescent="0.2"/>
    <row r="70" spans="1:2" ht="12.75" x14ac:dyDescent="0.2"/>
    <row r="71" spans="1:2" ht="12.75" x14ac:dyDescent="0.2"/>
    <row r="72" spans="1:2" ht="12.75" x14ac:dyDescent="0.2"/>
    <row r="73" spans="1:2" ht="12.75" x14ac:dyDescent="0.2"/>
    <row r="74" spans="1:2" ht="12.75" x14ac:dyDescent="0.2"/>
    <row r="75" spans="1:2" ht="12.75" x14ac:dyDescent="0.2"/>
    <row r="76" spans="1:2" ht="12.75" x14ac:dyDescent="0.2"/>
    <row r="77" spans="1:2" ht="12.75" x14ac:dyDescent="0.2"/>
    <row r="78" spans="1:2" ht="12.75" x14ac:dyDescent="0.2"/>
    <row r="79" spans="1:2" ht="12.75" x14ac:dyDescent="0.2"/>
    <row r="80" spans="1:2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</sheetData>
  <mergeCells count="7">
    <mergeCell ref="A40:A63"/>
    <mergeCell ref="A25:A29"/>
    <mergeCell ref="A2:F2"/>
    <mergeCell ref="A3:F3"/>
    <mergeCell ref="A13:A24"/>
    <mergeCell ref="A30:A35"/>
    <mergeCell ref="A8:A12"/>
  </mergeCells>
  <pageMargins left="0.27559055118110237" right="0.27559055118110237" top="0.39370078740157483" bottom="0.39370078740157483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856"/>
  <sheetViews>
    <sheetView showGridLines="0" tabSelected="1" zoomScaleNormal="100" workbookViewId="0">
      <selection activeCell="J24" sqref="J24"/>
    </sheetView>
  </sheetViews>
  <sheetFormatPr baseColWidth="10" defaultColWidth="13" defaultRowHeight="15" customHeight="1" x14ac:dyDescent="0.2"/>
  <cols>
    <col min="1" max="1" width="22.42578125" style="255" customWidth="1"/>
    <col min="2" max="2" width="10.42578125" style="255" customWidth="1"/>
    <col min="3" max="3" width="20" style="255" customWidth="1"/>
    <col min="4" max="4" width="15" style="255" customWidth="1"/>
    <col min="5" max="5" width="7.7109375" style="255" customWidth="1"/>
    <col min="6" max="6" width="7.85546875" style="255" customWidth="1"/>
    <col min="7" max="7" width="8" style="255" customWidth="1"/>
    <col min="8" max="16384" width="13" style="255"/>
  </cols>
  <sheetData>
    <row r="1" spans="1:7" ht="16.149999999999999" customHeight="1" x14ac:dyDescent="0.25">
      <c r="A1" s="253" t="s">
        <v>614</v>
      </c>
      <c r="B1" s="254"/>
      <c r="C1" s="254"/>
      <c r="D1" s="254"/>
      <c r="E1" s="254"/>
      <c r="F1" s="254"/>
      <c r="G1" s="254"/>
    </row>
    <row r="2" spans="1:7" ht="13.5" x14ac:dyDescent="0.2">
      <c r="A2" s="752" t="s">
        <v>613</v>
      </c>
      <c r="B2" s="752"/>
      <c r="C2" s="752"/>
      <c r="D2" s="752"/>
      <c r="E2" s="752"/>
      <c r="F2" s="752"/>
      <c r="G2" s="752"/>
    </row>
    <row r="3" spans="1:7" ht="4.9000000000000004" customHeight="1" x14ac:dyDescent="0.2">
      <c r="A3" s="639"/>
      <c r="B3" s="639"/>
      <c r="C3" s="639"/>
      <c r="D3" s="639"/>
      <c r="E3" s="639"/>
      <c r="F3" s="639"/>
      <c r="G3" s="639"/>
    </row>
    <row r="4" spans="1:7" ht="24" customHeight="1" x14ac:dyDescent="0.2">
      <c r="A4" s="214" t="s">
        <v>202</v>
      </c>
      <c r="B4" s="214" t="s">
        <v>203</v>
      </c>
      <c r="C4" s="214" t="s">
        <v>204</v>
      </c>
      <c r="D4" s="214" t="s">
        <v>205</v>
      </c>
      <c r="E4" s="256" t="s">
        <v>206</v>
      </c>
      <c r="F4" s="256" t="s">
        <v>207</v>
      </c>
      <c r="G4" s="257" t="s">
        <v>208</v>
      </c>
    </row>
    <row r="5" spans="1:7" ht="4.1500000000000004" customHeight="1" x14ac:dyDescent="0.2">
      <c r="A5" s="258"/>
      <c r="B5" s="258"/>
      <c r="C5" s="258"/>
      <c r="D5" s="258"/>
      <c r="E5" s="258"/>
      <c r="F5" s="258"/>
      <c r="G5" s="258"/>
    </row>
    <row r="6" spans="1:7" ht="12" customHeight="1" x14ac:dyDescent="0.2">
      <c r="A6" s="748" t="s">
        <v>50</v>
      </c>
      <c r="B6" s="518" t="s">
        <v>209</v>
      </c>
      <c r="C6" s="518" t="s">
        <v>210</v>
      </c>
      <c r="D6" s="518" t="s">
        <v>211</v>
      </c>
      <c r="E6" s="687">
        <v>2</v>
      </c>
      <c r="F6" s="687">
        <v>0</v>
      </c>
      <c r="G6" s="680">
        <v>25</v>
      </c>
    </row>
    <row r="7" spans="1:7" ht="12" customHeight="1" x14ac:dyDescent="0.2">
      <c r="A7" s="748"/>
      <c r="B7" s="518" t="s">
        <v>209</v>
      </c>
      <c r="C7" s="518" t="s">
        <v>210</v>
      </c>
      <c r="D7" s="518" t="s">
        <v>212</v>
      </c>
      <c r="E7" s="688">
        <v>1</v>
      </c>
      <c r="F7" s="688">
        <v>0</v>
      </c>
      <c r="G7" s="680">
        <v>35</v>
      </c>
    </row>
    <row r="8" spans="1:7" ht="12" customHeight="1" x14ac:dyDescent="0.2">
      <c r="A8" s="748"/>
      <c r="B8" s="518" t="s">
        <v>209</v>
      </c>
      <c r="C8" s="518" t="s">
        <v>213</v>
      </c>
      <c r="D8" s="518" t="s">
        <v>211</v>
      </c>
      <c r="E8" s="688">
        <v>1</v>
      </c>
      <c r="F8" s="688">
        <v>0</v>
      </c>
      <c r="G8" s="680">
        <v>25</v>
      </c>
    </row>
    <row r="9" spans="1:7" ht="12" customHeight="1" x14ac:dyDescent="0.2">
      <c r="A9" s="748"/>
      <c r="B9" s="518" t="s">
        <v>209</v>
      </c>
      <c r="C9" s="518" t="s">
        <v>214</v>
      </c>
      <c r="D9" s="518" t="s">
        <v>211</v>
      </c>
      <c r="E9" s="688">
        <v>15</v>
      </c>
      <c r="F9" s="688">
        <v>3</v>
      </c>
      <c r="G9" s="680">
        <v>25</v>
      </c>
    </row>
    <row r="10" spans="1:7" ht="12" customHeight="1" x14ac:dyDescent="0.2">
      <c r="A10" s="748"/>
      <c r="B10" s="518" t="s">
        <v>209</v>
      </c>
      <c r="C10" s="518" t="s">
        <v>214</v>
      </c>
      <c r="D10" s="518" t="s">
        <v>212</v>
      </c>
      <c r="E10" s="688">
        <v>5</v>
      </c>
      <c r="F10" s="688">
        <v>0</v>
      </c>
      <c r="G10" s="680">
        <v>35</v>
      </c>
    </row>
    <row r="11" spans="1:7" ht="12" customHeight="1" x14ac:dyDescent="0.2">
      <c r="A11" s="748"/>
      <c r="B11" s="518" t="s">
        <v>209</v>
      </c>
      <c r="C11" s="518" t="s">
        <v>215</v>
      </c>
      <c r="D11" s="518" t="s">
        <v>212</v>
      </c>
      <c r="E11" s="688">
        <v>2</v>
      </c>
      <c r="F11" s="688">
        <v>0</v>
      </c>
      <c r="G11" s="680">
        <v>35</v>
      </c>
    </row>
    <row r="12" spans="1:7" ht="12" customHeight="1" x14ac:dyDescent="0.2">
      <c r="A12" s="749"/>
      <c r="B12" s="681" t="s">
        <v>209</v>
      </c>
      <c r="C12" s="681" t="s">
        <v>215</v>
      </c>
      <c r="D12" s="681" t="s">
        <v>211</v>
      </c>
      <c r="E12" s="689">
        <v>8</v>
      </c>
      <c r="F12" s="689">
        <v>8</v>
      </c>
      <c r="G12" s="682">
        <v>25</v>
      </c>
    </row>
    <row r="13" spans="1:7" ht="12" customHeight="1" x14ac:dyDescent="0.2">
      <c r="A13" s="747" t="s">
        <v>216</v>
      </c>
      <c r="B13" s="518" t="s">
        <v>217</v>
      </c>
      <c r="C13" s="518" t="s">
        <v>218</v>
      </c>
      <c r="D13" s="518" t="s">
        <v>212</v>
      </c>
      <c r="E13" s="688">
        <v>0</v>
      </c>
      <c r="F13" s="688">
        <v>15</v>
      </c>
      <c r="G13" s="680">
        <v>1500</v>
      </c>
    </row>
    <row r="14" spans="1:7" ht="12" customHeight="1" x14ac:dyDescent="0.2">
      <c r="A14" s="748"/>
      <c r="B14" s="518" t="s">
        <v>217</v>
      </c>
      <c r="C14" s="518" t="s">
        <v>218</v>
      </c>
      <c r="D14" s="518" t="s">
        <v>219</v>
      </c>
      <c r="E14" s="688">
        <v>7</v>
      </c>
      <c r="F14" s="688">
        <v>13</v>
      </c>
      <c r="G14" s="680">
        <v>2500</v>
      </c>
    </row>
    <row r="15" spans="1:7" ht="12" customHeight="1" x14ac:dyDescent="0.2">
      <c r="A15" s="748"/>
      <c r="B15" s="518" t="s">
        <v>209</v>
      </c>
      <c r="C15" s="518" t="s">
        <v>210</v>
      </c>
      <c r="D15" s="518" t="s">
        <v>211</v>
      </c>
      <c r="E15" s="688">
        <v>84</v>
      </c>
      <c r="F15" s="688">
        <v>40</v>
      </c>
      <c r="G15" s="680">
        <v>20</v>
      </c>
    </row>
    <row r="16" spans="1:7" ht="12" customHeight="1" x14ac:dyDescent="0.2">
      <c r="A16" s="748"/>
      <c r="B16" s="518" t="s">
        <v>209</v>
      </c>
      <c r="C16" s="518" t="s">
        <v>210</v>
      </c>
      <c r="D16" s="518" t="s">
        <v>212</v>
      </c>
      <c r="E16" s="688">
        <v>18</v>
      </c>
      <c r="F16" s="688">
        <v>107</v>
      </c>
      <c r="G16" s="680">
        <v>30</v>
      </c>
    </row>
    <row r="17" spans="1:7" ht="12" customHeight="1" x14ac:dyDescent="0.2">
      <c r="A17" s="748"/>
      <c r="B17" s="518" t="s">
        <v>209</v>
      </c>
      <c r="C17" s="518" t="s">
        <v>213</v>
      </c>
      <c r="D17" s="518" t="s">
        <v>211</v>
      </c>
      <c r="E17" s="688">
        <v>87</v>
      </c>
      <c r="F17" s="688">
        <v>48</v>
      </c>
      <c r="G17" s="680">
        <v>20</v>
      </c>
    </row>
    <row r="18" spans="1:7" ht="12" customHeight="1" x14ac:dyDescent="0.2">
      <c r="A18" s="748"/>
      <c r="B18" s="518" t="s">
        <v>209</v>
      </c>
      <c r="C18" s="518" t="s">
        <v>213</v>
      </c>
      <c r="D18" s="518" t="s">
        <v>212</v>
      </c>
      <c r="E18" s="688">
        <v>17</v>
      </c>
      <c r="F18" s="688">
        <v>112</v>
      </c>
      <c r="G18" s="683">
        <v>30</v>
      </c>
    </row>
    <row r="19" spans="1:7" ht="12" customHeight="1" x14ac:dyDescent="0.2">
      <c r="A19" s="748"/>
      <c r="B19" s="518" t="s">
        <v>209</v>
      </c>
      <c r="C19" s="518" t="s">
        <v>215</v>
      </c>
      <c r="D19" s="518" t="s">
        <v>211</v>
      </c>
      <c r="E19" s="688">
        <v>76</v>
      </c>
      <c r="F19" s="688">
        <v>44</v>
      </c>
      <c r="G19" s="683">
        <v>20</v>
      </c>
    </row>
    <row r="20" spans="1:7" ht="12" customHeight="1" x14ac:dyDescent="0.2">
      <c r="A20" s="749"/>
      <c r="B20" s="681" t="s">
        <v>209</v>
      </c>
      <c r="C20" s="681" t="s">
        <v>215</v>
      </c>
      <c r="D20" s="681" t="s">
        <v>212</v>
      </c>
      <c r="E20" s="689">
        <v>18</v>
      </c>
      <c r="F20" s="689">
        <v>118</v>
      </c>
      <c r="G20" s="682">
        <v>30</v>
      </c>
    </row>
    <row r="21" spans="1:7" ht="12" customHeight="1" x14ac:dyDescent="0.2">
      <c r="A21" s="753" t="s">
        <v>220</v>
      </c>
      <c r="B21" s="518" t="s">
        <v>209</v>
      </c>
      <c r="C21" s="518" t="s">
        <v>210</v>
      </c>
      <c r="D21" s="518" t="s">
        <v>211</v>
      </c>
      <c r="E21" s="688">
        <v>31</v>
      </c>
      <c r="F21" s="688">
        <v>27</v>
      </c>
      <c r="G21" s="680">
        <v>30</v>
      </c>
    </row>
    <row r="22" spans="1:7" ht="12" customHeight="1" x14ac:dyDescent="0.2">
      <c r="A22" s="754"/>
      <c r="B22" s="518" t="s">
        <v>209</v>
      </c>
      <c r="C22" s="518" t="s">
        <v>213</v>
      </c>
      <c r="D22" s="518" t="s">
        <v>211</v>
      </c>
      <c r="E22" s="688">
        <v>25</v>
      </c>
      <c r="F22" s="688">
        <v>32</v>
      </c>
      <c r="G22" s="680">
        <v>30</v>
      </c>
    </row>
    <row r="23" spans="1:7" ht="12" customHeight="1" x14ac:dyDescent="0.2">
      <c r="A23" s="755"/>
      <c r="B23" s="681" t="s">
        <v>209</v>
      </c>
      <c r="C23" s="681" t="s">
        <v>215</v>
      </c>
      <c r="D23" s="681" t="s">
        <v>211</v>
      </c>
      <c r="E23" s="689">
        <v>28</v>
      </c>
      <c r="F23" s="689">
        <v>16</v>
      </c>
      <c r="G23" s="682">
        <v>30</v>
      </c>
    </row>
    <row r="24" spans="1:7" ht="12" customHeight="1" x14ac:dyDescent="0.2">
      <c r="A24" s="747" t="s">
        <v>221</v>
      </c>
      <c r="B24" s="518" t="s">
        <v>209</v>
      </c>
      <c r="C24" s="518" t="s">
        <v>210</v>
      </c>
      <c r="D24" s="518" t="s">
        <v>211</v>
      </c>
      <c r="E24" s="688">
        <v>20</v>
      </c>
      <c r="F24" s="688">
        <v>15</v>
      </c>
      <c r="G24" s="680">
        <v>25</v>
      </c>
    </row>
    <row r="25" spans="1:7" ht="12" customHeight="1" x14ac:dyDescent="0.2">
      <c r="A25" s="748"/>
      <c r="B25" s="518" t="s">
        <v>209</v>
      </c>
      <c r="C25" s="518" t="s">
        <v>213</v>
      </c>
      <c r="D25" s="518" t="s">
        <v>211</v>
      </c>
      <c r="E25" s="688">
        <v>20</v>
      </c>
      <c r="F25" s="688">
        <v>15</v>
      </c>
      <c r="G25" s="680">
        <v>25</v>
      </c>
    </row>
    <row r="26" spans="1:7" ht="12" customHeight="1" x14ac:dyDescent="0.2">
      <c r="A26" s="749"/>
      <c r="B26" s="681" t="s">
        <v>209</v>
      </c>
      <c r="C26" s="681" t="s">
        <v>215</v>
      </c>
      <c r="D26" s="681" t="s">
        <v>211</v>
      </c>
      <c r="E26" s="689">
        <v>20</v>
      </c>
      <c r="F26" s="689">
        <v>20</v>
      </c>
      <c r="G26" s="682">
        <v>25</v>
      </c>
    </row>
    <row r="27" spans="1:7" ht="15.95" customHeight="1" x14ac:dyDescent="0.2">
      <c r="A27" s="649" t="s">
        <v>222</v>
      </c>
      <c r="B27" s="684" t="s">
        <v>209</v>
      </c>
      <c r="C27" s="684" t="s">
        <v>223</v>
      </c>
      <c r="D27" s="681" t="s">
        <v>211</v>
      </c>
      <c r="E27" s="690">
        <v>349</v>
      </c>
      <c r="F27" s="690">
        <v>274</v>
      </c>
      <c r="G27" s="685">
        <v>40</v>
      </c>
    </row>
    <row r="28" spans="1:7" ht="12" customHeight="1" x14ac:dyDescent="0.2">
      <c r="A28" s="747" t="s">
        <v>224</v>
      </c>
      <c r="B28" s="518" t="s">
        <v>217</v>
      </c>
      <c r="C28" s="518" t="s">
        <v>574</v>
      </c>
      <c r="D28" s="518" t="s">
        <v>4</v>
      </c>
      <c r="E28" s="688">
        <v>2</v>
      </c>
      <c r="F28" s="688">
        <v>0</v>
      </c>
      <c r="G28" s="683">
        <v>2100</v>
      </c>
    </row>
    <row r="29" spans="1:7" ht="12" customHeight="1" x14ac:dyDescent="0.2">
      <c r="A29" s="748"/>
      <c r="B29" s="518" t="s">
        <v>209</v>
      </c>
      <c r="C29" s="518" t="s">
        <v>456</v>
      </c>
      <c r="D29" s="518" t="s">
        <v>212</v>
      </c>
      <c r="E29" s="688">
        <v>13</v>
      </c>
      <c r="F29" s="688">
        <v>0</v>
      </c>
      <c r="G29" s="680">
        <v>25</v>
      </c>
    </row>
    <row r="30" spans="1:7" ht="12" customHeight="1" x14ac:dyDescent="0.2">
      <c r="A30" s="748"/>
      <c r="B30" s="518" t="s">
        <v>209</v>
      </c>
      <c r="C30" s="518" t="s">
        <v>213</v>
      </c>
      <c r="D30" s="518" t="s">
        <v>212</v>
      </c>
      <c r="E30" s="688">
        <v>9</v>
      </c>
      <c r="F30" s="688">
        <v>0</v>
      </c>
      <c r="G30" s="680">
        <v>25</v>
      </c>
    </row>
    <row r="31" spans="1:7" ht="12" customHeight="1" x14ac:dyDescent="0.2">
      <c r="A31" s="749"/>
      <c r="B31" s="681" t="s">
        <v>209</v>
      </c>
      <c r="C31" s="681" t="s">
        <v>215</v>
      </c>
      <c r="D31" s="681" t="s">
        <v>212</v>
      </c>
      <c r="E31" s="689">
        <v>24</v>
      </c>
      <c r="F31" s="689">
        <v>0</v>
      </c>
      <c r="G31" s="682">
        <v>25</v>
      </c>
    </row>
    <row r="32" spans="1:7" ht="12" customHeight="1" x14ac:dyDescent="0.2">
      <c r="A32" s="747" t="s">
        <v>225</v>
      </c>
      <c r="B32" s="518" t="s">
        <v>209</v>
      </c>
      <c r="C32" s="518" t="s">
        <v>210</v>
      </c>
      <c r="D32" s="518" t="s">
        <v>211</v>
      </c>
      <c r="E32" s="688">
        <v>10</v>
      </c>
      <c r="F32" s="688">
        <v>0</v>
      </c>
      <c r="G32" s="683">
        <v>35</v>
      </c>
    </row>
    <row r="33" spans="1:7" ht="12" customHeight="1" x14ac:dyDescent="0.2">
      <c r="A33" s="748"/>
      <c r="B33" s="518" t="s">
        <v>209</v>
      </c>
      <c r="C33" s="518" t="s">
        <v>213</v>
      </c>
      <c r="D33" s="518" t="s">
        <v>211</v>
      </c>
      <c r="E33" s="688">
        <v>10</v>
      </c>
      <c r="F33" s="688">
        <v>0</v>
      </c>
      <c r="G33" s="683">
        <v>35</v>
      </c>
    </row>
    <row r="34" spans="1:7" ht="12" customHeight="1" x14ac:dyDescent="0.2">
      <c r="A34" s="749"/>
      <c r="B34" s="681" t="s">
        <v>209</v>
      </c>
      <c r="C34" s="681" t="s">
        <v>215</v>
      </c>
      <c r="D34" s="681" t="s">
        <v>211</v>
      </c>
      <c r="E34" s="689">
        <v>10</v>
      </c>
      <c r="F34" s="689">
        <v>0</v>
      </c>
      <c r="G34" s="682">
        <v>35</v>
      </c>
    </row>
    <row r="35" spans="1:7" ht="12" customHeight="1" x14ac:dyDescent="0.2">
      <c r="A35" s="747" t="s">
        <v>226</v>
      </c>
      <c r="B35" s="518" t="s">
        <v>217</v>
      </c>
      <c r="C35" s="518" t="s">
        <v>227</v>
      </c>
      <c r="D35" s="518" t="s">
        <v>219</v>
      </c>
      <c r="E35" s="688">
        <v>6</v>
      </c>
      <c r="F35" s="688">
        <v>4</v>
      </c>
      <c r="G35" s="683">
        <v>5000</v>
      </c>
    </row>
    <row r="36" spans="1:7" ht="12" customHeight="1" x14ac:dyDescent="0.2">
      <c r="A36" s="749"/>
      <c r="B36" s="681" t="s">
        <v>228</v>
      </c>
      <c r="C36" s="681" t="s">
        <v>229</v>
      </c>
      <c r="D36" s="681" t="s">
        <v>230</v>
      </c>
      <c r="E36" s="689">
        <v>5</v>
      </c>
      <c r="F36" s="689">
        <v>4</v>
      </c>
      <c r="G36" s="682">
        <v>500</v>
      </c>
    </row>
    <row r="37" spans="1:7" ht="12" customHeight="1" x14ac:dyDescent="0.2">
      <c r="A37" s="747" t="s">
        <v>231</v>
      </c>
      <c r="B37" s="518" t="s">
        <v>209</v>
      </c>
      <c r="C37" s="518" t="s">
        <v>215</v>
      </c>
      <c r="D37" s="518" t="s">
        <v>211</v>
      </c>
      <c r="E37" s="688">
        <v>20</v>
      </c>
      <c r="F37" s="688">
        <v>0</v>
      </c>
      <c r="G37" s="680">
        <v>30</v>
      </c>
    </row>
    <row r="38" spans="1:7" ht="12" customHeight="1" x14ac:dyDescent="0.2">
      <c r="A38" s="749"/>
      <c r="B38" s="681" t="s">
        <v>209</v>
      </c>
      <c r="C38" s="681" t="s">
        <v>215</v>
      </c>
      <c r="D38" s="681" t="s">
        <v>211</v>
      </c>
      <c r="E38" s="689">
        <v>0</v>
      </c>
      <c r="F38" s="689">
        <v>50</v>
      </c>
      <c r="G38" s="682">
        <v>25</v>
      </c>
    </row>
    <row r="39" spans="1:7" ht="15.95" customHeight="1" x14ac:dyDescent="0.2">
      <c r="A39" s="686" t="s">
        <v>232</v>
      </c>
      <c r="B39" s="684" t="s">
        <v>209</v>
      </c>
      <c r="C39" s="684" t="s">
        <v>214</v>
      </c>
      <c r="D39" s="684" t="s">
        <v>212</v>
      </c>
      <c r="E39" s="690">
        <v>25</v>
      </c>
      <c r="F39" s="690">
        <v>0</v>
      </c>
      <c r="G39" s="685">
        <v>35</v>
      </c>
    </row>
    <row r="40" spans="1:7" ht="12" customHeight="1" x14ac:dyDescent="0.2">
      <c r="A40" s="747" t="s">
        <v>294</v>
      </c>
      <c r="B40" s="518" t="s">
        <v>217</v>
      </c>
      <c r="C40" s="518" t="s">
        <v>457</v>
      </c>
      <c r="D40" s="518" t="s">
        <v>219</v>
      </c>
      <c r="E40" s="688">
        <v>1</v>
      </c>
      <c r="F40" s="688">
        <v>0</v>
      </c>
      <c r="G40" s="683">
        <v>4000</v>
      </c>
    </row>
    <row r="41" spans="1:7" ht="12" customHeight="1" x14ac:dyDescent="0.2">
      <c r="A41" s="748"/>
      <c r="B41" s="681" t="s">
        <v>217</v>
      </c>
      <c r="C41" s="681" t="s">
        <v>458</v>
      </c>
      <c r="D41" s="681" t="s">
        <v>219</v>
      </c>
      <c r="E41" s="689">
        <v>1</v>
      </c>
      <c r="F41" s="689">
        <v>0</v>
      </c>
      <c r="G41" s="682">
        <v>4000</v>
      </c>
    </row>
    <row r="42" spans="1:7" ht="12" customHeight="1" x14ac:dyDescent="0.2">
      <c r="A42" s="747" t="s">
        <v>233</v>
      </c>
      <c r="B42" s="518" t="s">
        <v>209</v>
      </c>
      <c r="C42" s="518" t="s">
        <v>210</v>
      </c>
      <c r="D42" s="518" t="s">
        <v>211</v>
      </c>
      <c r="E42" s="688">
        <v>25</v>
      </c>
      <c r="F42" s="688">
        <v>18</v>
      </c>
      <c r="G42" s="680">
        <v>45</v>
      </c>
    </row>
    <row r="43" spans="1:7" ht="12" customHeight="1" x14ac:dyDescent="0.2">
      <c r="A43" s="748"/>
      <c r="B43" s="518" t="s">
        <v>209</v>
      </c>
      <c r="C43" s="518" t="s">
        <v>213</v>
      </c>
      <c r="D43" s="518" t="s">
        <v>211</v>
      </c>
      <c r="E43" s="688">
        <v>4</v>
      </c>
      <c r="F43" s="688">
        <v>2</v>
      </c>
      <c r="G43" s="680">
        <v>45</v>
      </c>
    </row>
    <row r="44" spans="1:7" ht="12" customHeight="1" x14ac:dyDescent="0.2">
      <c r="A44" s="748"/>
      <c r="B44" s="518" t="s">
        <v>209</v>
      </c>
      <c r="C44" s="518" t="s">
        <v>234</v>
      </c>
      <c r="D44" s="518" t="s">
        <v>211</v>
      </c>
      <c r="E44" s="688">
        <v>60</v>
      </c>
      <c r="F44" s="688">
        <v>20</v>
      </c>
      <c r="G44" s="680">
        <v>45</v>
      </c>
    </row>
    <row r="45" spans="1:7" ht="12" customHeight="1" x14ac:dyDescent="0.2">
      <c r="A45" s="749"/>
      <c r="B45" s="681" t="s">
        <v>209</v>
      </c>
      <c r="C45" s="681" t="s">
        <v>215</v>
      </c>
      <c r="D45" s="681" t="s">
        <v>211</v>
      </c>
      <c r="E45" s="689">
        <v>8</v>
      </c>
      <c r="F45" s="689">
        <v>5</v>
      </c>
      <c r="G45" s="682">
        <v>45</v>
      </c>
    </row>
    <row r="46" spans="1:7" ht="12" customHeight="1" x14ac:dyDescent="0.2">
      <c r="A46" s="747" t="s">
        <v>235</v>
      </c>
      <c r="B46" s="518" t="s">
        <v>209</v>
      </c>
      <c r="C46" s="518" t="s">
        <v>236</v>
      </c>
      <c r="D46" s="518" t="s">
        <v>212</v>
      </c>
      <c r="E46" s="688">
        <v>8</v>
      </c>
      <c r="F46" s="688">
        <v>2</v>
      </c>
      <c r="G46" s="680">
        <v>30</v>
      </c>
    </row>
    <row r="47" spans="1:7" ht="12" customHeight="1" x14ac:dyDescent="0.2">
      <c r="A47" s="748"/>
      <c r="B47" s="518" t="s">
        <v>209</v>
      </c>
      <c r="C47" s="518" t="s">
        <v>223</v>
      </c>
      <c r="D47" s="518" t="s">
        <v>211</v>
      </c>
      <c r="E47" s="688">
        <v>18</v>
      </c>
      <c r="F47" s="688">
        <v>5</v>
      </c>
      <c r="G47" s="680">
        <v>30</v>
      </c>
    </row>
    <row r="48" spans="1:7" ht="12" customHeight="1" x14ac:dyDescent="0.2">
      <c r="A48" s="748"/>
      <c r="B48" s="518" t="s">
        <v>209</v>
      </c>
      <c r="C48" s="518" t="s">
        <v>215</v>
      </c>
      <c r="D48" s="518" t="s">
        <v>212</v>
      </c>
      <c r="E48" s="688">
        <v>32</v>
      </c>
      <c r="F48" s="688">
        <v>8</v>
      </c>
      <c r="G48" s="683">
        <v>30</v>
      </c>
    </row>
    <row r="49" spans="1:7" ht="12" customHeight="1" x14ac:dyDescent="0.2">
      <c r="A49" s="749"/>
      <c r="B49" s="681" t="s">
        <v>228</v>
      </c>
      <c r="C49" s="681" t="s">
        <v>237</v>
      </c>
      <c r="D49" s="681" t="s">
        <v>230</v>
      </c>
      <c r="E49" s="689">
        <v>8</v>
      </c>
      <c r="F49" s="689">
        <v>0</v>
      </c>
      <c r="G49" s="682">
        <v>300</v>
      </c>
    </row>
    <row r="50" spans="1:7" ht="9" customHeight="1" x14ac:dyDescent="0.2">
      <c r="A50" s="259" t="s">
        <v>238</v>
      </c>
      <c r="B50" s="260"/>
      <c r="C50" s="4"/>
      <c r="D50" s="4"/>
      <c r="E50" s="2"/>
      <c r="F50" s="4"/>
      <c r="G50" s="4"/>
    </row>
    <row r="51" spans="1:7" ht="9" customHeight="1" x14ac:dyDescent="0.2">
      <c r="A51" s="546" t="s">
        <v>65</v>
      </c>
      <c r="B51" s="260"/>
      <c r="C51" s="2"/>
      <c r="D51" s="2"/>
      <c r="E51" s="2"/>
      <c r="F51" s="2"/>
      <c r="G51" s="2"/>
    </row>
    <row r="52" spans="1:7" ht="9" customHeight="1" x14ac:dyDescent="0.15">
      <c r="A52" s="545" t="s">
        <v>66</v>
      </c>
    </row>
    <row r="53" spans="1:7" ht="13.5" x14ac:dyDescent="0.2"/>
    <row r="54" spans="1:7" ht="13.5" x14ac:dyDescent="0.2"/>
    <row r="55" spans="1:7" ht="13.5" x14ac:dyDescent="0.2"/>
    <row r="56" spans="1:7" ht="13.5" x14ac:dyDescent="0.2"/>
    <row r="57" spans="1:7" ht="13.5" x14ac:dyDescent="0.2"/>
    <row r="58" spans="1:7" ht="13.5" x14ac:dyDescent="0.2"/>
    <row r="59" spans="1:7" ht="13.5" x14ac:dyDescent="0.2"/>
    <row r="60" spans="1:7" ht="13.5" x14ac:dyDescent="0.2"/>
    <row r="61" spans="1:7" ht="13.5" x14ac:dyDescent="0.2"/>
    <row r="62" spans="1:7" ht="13.5" x14ac:dyDescent="0.2"/>
    <row r="63" spans="1:7" ht="13.5" x14ac:dyDescent="0.2"/>
    <row r="64" spans="1:7" ht="13.5" x14ac:dyDescent="0.2"/>
    <row r="65" s="255" customFormat="1" ht="13.5" x14ac:dyDescent="0.2"/>
    <row r="66" s="255" customFormat="1" ht="13.5" x14ac:dyDescent="0.2"/>
    <row r="67" s="255" customFormat="1" ht="13.5" x14ac:dyDescent="0.2"/>
    <row r="68" s="255" customFormat="1" ht="13.5" x14ac:dyDescent="0.2"/>
    <row r="69" s="255" customFormat="1" ht="13.5" x14ac:dyDescent="0.2"/>
    <row r="70" s="255" customFormat="1" ht="13.5" x14ac:dyDescent="0.2"/>
    <row r="71" s="255" customFormat="1" ht="13.5" x14ac:dyDescent="0.2"/>
    <row r="72" s="255" customFormat="1" ht="13.5" x14ac:dyDescent="0.2"/>
    <row r="73" s="255" customFormat="1" ht="13.5" x14ac:dyDescent="0.2"/>
    <row r="74" s="255" customFormat="1" ht="13.5" x14ac:dyDescent="0.2"/>
    <row r="75" s="255" customFormat="1" ht="13.5" x14ac:dyDescent="0.2"/>
    <row r="76" s="255" customFormat="1" ht="13.5" x14ac:dyDescent="0.2"/>
    <row r="77" s="255" customFormat="1" ht="13.5" x14ac:dyDescent="0.2"/>
    <row r="78" s="255" customFormat="1" ht="13.5" x14ac:dyDescent="0.2"/>
    <row r="79" s="255" customFormat="1" ht="13.5" x14ac:dyDescent="0.2"/>
    <row r="80" s="255" customFormat="1" ht="13.5" x14ac:dyDescent="0.2"/>
    <row r="81" s="255" customFormat="1" ht="13.5" x14ac:dyDescent="0.2"/>
    <row r="82" s="255" customFormat="1" ht="13.5" x14ac:dyDescent="0.2"/>
    <row r="83" s="255" customFormat="1" ht="13.5" x14ac:dyDescent="0.2"/>
    <row r="84" s="255" customFormat="1" ht="13.5" x14ac:dyDescent="0.2"/>
    <row r="85" s="255" customFormat="1" ht="13.5" x14ac:dyDescent="0.2"/>
    <row r="86" s="255" customFormat="1" ht="13.5" x14ac:dyDescent="0.2"/>
    <row r="87" s="255" customFormat="1" ht="13.5" x14ac:dyDescent="0.2"/>
    <row r="88" s="255" customFormat="1" ht="13.5" x14ac:dyDescent="0.2"/>
    <row r="89" s="255" customFormat="1" ht="13.5" x14ac:dyDescent="0.2"/>
    <row r="90" s="255" customFormat="1" ht="13.5" x14ac:dyDescent="0.2"/>
    <row r="91" s="255" customFormat="1" ht="13.5" x14ac:dyDescent="0.2"/>
    <row r="92" s="255" customFormat="1" ht="13.5" x14ac:dyDescent="0.2"/>
    <row r="93" s="255" customFormat="1" ht="13.5" x14ac:dyDescent="0.2"/>
    <row r="94" s="255" customFormat="1" ht="13.5" x14ac:dyDescent="0.2"/>
    <row r="95" s="255" customFormat="1" ht="13.5" x14ac:dyDescent="0.2"/>
    <row r="96" s="255" customFormat="1" ht="13.5" x14ac:dyDescent="0.2"/>
    <row r="97" s="255" customFormat="1" ht="13.5" x14ac:dyDescent="0.2"/>
    <row r="98" s="255" customFormat="1" ht="13.5" x14ac:dyDescent="0.2"/>
    <row r="99" s="255" customFormat="1" ht="13.5" x14ac:dyDescent="0.2"/>
    <row r="100" s="255" customFormat="1" ht="13.5" x14ac:dyDescent="0.2"/>
    <row r="101" s="255" customFormat="1" ht="13.5" x14ac:dyDescent="0.2"/>
    <row r="102" s="255" customFormat="1" ht="13.5" x14ac:dyDescent="0.2"/>
    <row r="103" s="255" customFormat="1" ht="13.5" x14ac:dyDescent="0.2"/>
    <row r="104" s="255" customFormat="1" ht="13.5" x14ac:dyDescent="0.2"/>
    <row r="105" s="255" customFormat="1" ht="13.5" x14ac:dyDescent="0.2"/>
    <row r="106" s="255" customFormat="1" ht="13.5" x14ac:dyDescent="0.2"/>
    <row r="107" s="255" customFormat="1" ht="13.5" x14ac:dyDescent="0.2"/>
    <row r="108" s="255" customFormat="1" ht="13.5" x14ac:dyDescent="0.2"/>
    <row r="109" s="255" customFormat="1" ht="13.5" x14ac:dyDescent="0.2"/>
    <row r="110" s="255" customFormat="1" ht="13.5" x14ac:dyDescent="0.2"/>
    <row r="111" s="255" customFormat="1" ht="13.5" x14ac:dyDescent="0.2"/>
    <row r="112" s="255" customFormat="1" ht="13.5" x14ac:dyDescent="0.2"/>
    <row r="113" s="255" customFormat="1" ht="13.5" x14ac:dyDescent="0.2"/>
    <row r="114" s="255" customFormat="1" ht="13.5" x14ac:dyDescent="0.2"/>
    <row r="115" s="255" customFormat="1" ht="13.5" x14ac:dyDescent="0.2"/>
    <row r="116" s="255" customFormat="1" ht="13.5" x14ac:dyDescent="0.2"/>
    <row r="117" s="255" customFormat="1" ht="13.5" x14ac:dyDescent="0.2"/>
    <row r="118" s="255" customFormat="1" ht="13.5" x14ac:dyDescent="0.2"/>
    <row r="119" s="255" customFormat="1" ht="13.5" x14ac:dyDescent="0.2"/>
    <row r="120" s="255" customFormat="1" ht="13.5" x14ac:dyDescent="0.2"/>
    <row r="121" s="255" customFormat="1" ht="13.5" x14ac:dyDescent="0.2"/>
    <row r="122" s="255" customFormat="1" ht="13.5" x14ac:dyDescent="0.2"/>
    <row r="123" s="255" customFormat="1" ht="13.5" x14ac:dyDescent="0.2"/>
    <row r="124" s="255" customFormat="1" ht="13.5" x14ac:dyDescent="0.2"/>
    <row r="125" s="255" customFormat="1" ht="13.5" x14ac:dyDescent="0.2"/>
    <row r="126" s="255" customFormat="1" ht="13.5" x14ac:dyDescent="0.2"/>
    <row r="127" s="255" customFormat="1" ht="13.5" x14ac:dyDescent="0.2"/>
    <row r="128" s="255" customFormat="1" ht="13.5" x14ac:dyDescent="0.2"/>
    <row r="129" s="255" customFormat="1" ht="13.5" x14ac:dyDescent="0.2"/>
    <row r="130" s="255" customFormat="1" ht="13.5" x14ac:dyDescent="0.2"/>
    <row r="131" s="255" customFormat="1" ht="13.5" x14ac:dyDescent="0.2"/>
    <row r="132" s="255" customFormat="1" ht="13.5" x14ac:dyDescent="0.2"/>
    <row r="133" s="255" customFormat="1" ht="13.5" x14ac:dyDescent="0.2"/>
    <row r="134" s="255" customFormat="1" ht="13.5" x14ac:dyDescent="0.2"/>
    <row r="135" s="255" customFormat="1" ht="13.5" x14ac:dyDescent="0.2"/>
    <row r="136" s="255" customFormat="1" ht="13.5" x14ac:dyDescent="0.2"/>
    <row r="137" s="255" customFormat="1" ht="13.5" x14ac:dyDescent="0.2"/>
    <row r="138" s="255" customFormat="1" ht="13.5" x14ac:dyDescent="0.2"/>
    <row r="139" s="255" customFormat="1" ht="13.5" x14ac:dyDescent="0.2"/>
    <row r="140" s="255" customFormat="1" ht="13.5" x14ac:dyDescent="0.2"/>
    <row r="141" s="255" customFormat="1" ht="13.5" x14ac:dyDescent="0.2"/>
    <row r="142" s="255" customFormat="1" ht="13.5" x14ac:dyDescent="0.2"/>
    <row r="143" s="255" customFormat="1" ht="13.5" x14ac:dyDescent="0.2"/>
    <row r="144" s="255" customFormat="1" ht="13.5" x14ac:dyDescent="0.2"/>
    <row r="145" s="255" customFormat="1" ht="13.5" x14ac:dyDescent="0.2"/>
    <row r="146" s="255" customFormat="1" ht="13.5" x14ac:dyDescent="0.2"/>
    <row r="147" s="255" customFormat="1" ht="13.5" x14ac:dyDescent="0.2"/>
    <row r="148" s="255" customFormat="1" ht="13.5" x14ac:dyDescent="0.2"/>
    <row r="149" s="255" customFormat="1" ht="13.5" x14ac:dyDescent="0.2"/>
    <row r="150" s="255" customFormat="1" ht="13.5" x14ac:dyDescent="0.2"/>
    <row r="151" s="255" customFormat="1" ht="13.5" x14ac:dyDescent="0.2"/>
    <row r="152" s="255" customFormat="1" ht="13.5" x14ac:dyDescent="0.2"/>
    <row r="153" s="255" customFormat="1" ht="13.5" x14ac:dyDescent="0.2"/>
    <row r="154" s="255" customFormat="1" ht="13.5" x14ac:dyDescent="0.2"/>
    <row r="155" s="255" customFormat="1" ht="13.5" x14ac:dyDescent="0.2"/>
    <row r="156" s="255" customFormat="1" ht="13.5" x14ac:dyDescent="0.2"/>
    <row r="157" s="255" customFormat="1" ht="13.5" x14ac:dyDescent="0.2"/>
    <row r="158" s="255" customFormat="1" ht="13.5" x14ac:dyDescent="0.2"/>
    <row r="159" s="255" customFormat="1" ht="13.5" x14ac:dyDescent="0.2"/>
    <row r="160" s="255" customFormat="1" ht="13.5" x14ac:dyDescent="0.2"/>
    <row r="161" s="255" customFormat="1" ht="13.5" x14ac:dyDescent="0.2"/>
    <row r="162" s="255" customFormat="1" ht="13.5" x14ac:dyDescent="0.2"/>
    <row r="163" s="255" customFormat="1" ht="13.5" x14ac:dyDescent="0.2"/>
    <row r="164" s="255" customFormat="1" ht="13.5" x14ac:dyDescent="0.2"/>
    <row r="165" s="255" customFormat="1" ht="13.5" x14ac:dyDescent="0.2"/>
    <row r="166" s="255" customFormat="1" ht="13.5" x14ac:dyDescent="0.2"/>
    <row r="167" s="255" customFormat="1" ht="13.5" x14ac:dyDescent="0.2"/>
    <row r="168" s="255" customFormat="1" ht="13.5" x14ac:dyDescent="0.2"/>
    <row r="169" s="255" customFormat="1" ht="13.5" x14ac:dyDescent="0.2"/>
    <row r="170" s="255" customFormat="1" ht="13.5" x14ac:dyDescent="0.2"/>
    <row r="171" s="255" customFormat="1" ht="13.5" x14ac:dyDescent="0.2"/>
    <row r="172" s="255" customFormat="1" ht="13.5" x14ac:dyDescent="0.2"/>
    <row r="173" s="255" customFormat="1" ht="13.5" x14ac:dyDescent="0.2"/>
    <row r="174" s="255" customFormat="1" ht="13.5" x14ac:dyDescent="0.2"/>
    <row r="175" s="255" customFormat="1" ht="13.5" x14ac:dyDescent="0.2"/>
    <row r="176" s="255" customFormat="1" ht="13.5" x14ac:dyDescent="0.2"/>
    <row r="177" s="255" customFormat="1" ht="13.5" x14ac:dyDescent="0.2"/>
    <row r="178" s="255" customFormat="1" ht="13.5" x14ac:dyDescent="0.2"/>
    <row r="179" s="255" customFormat="1" ht="13.5" x14ac:dyDescent="0.2"/>
    <row r="180" s="255" customFormat="1" ht="13.5" x14ac:dyDescent="0.2"/>
    <row r="181" s="255" customFormat="1" ht="13.5" x14ac:dyDescent="0.2"/>
    <row r="182" s="255" customFormat="1" ht="13.5" x14ac:dyDescent="0.2"/>
    <row r="183" s="255" customFormat="1" ht="13.5" x14ac:dyDescent="0.2"/>
    <row r="184" s="255" customFormat="1" ht="13.5" x14ac:dyDescent="0.2"/>
    <row r="185" s="255" customFormat="1" ht="13.5" x14ac:dyDescent="0.2"/>
    <row r="186" s="255" customFormat="1" ht="13.5" x14ac:dyDescent="0.2"/>
    <row r="187" s="255" customFormat="1" ht="13.5" x14ac:dyDescent="0.2"/>
    <row r="188" s="255" customFormat="1" ht="13.5" x14ac:dyDescent="0.2"/>
    <row r="189" s="255" customFormat="1" ht="13.5" x14ac:dyDescent="0.2"/>
    <row r="190" s="255" customFormat="1" ht="13.5" x14ac:dyDescent="0.2"/>
    <row r="191" s="255" customFormat="1" ht="13.5" x14ac:dyDescent="0.2"/>
    <row r="192" s="255" customFormat="1" ht="13.5" x14ac:dyDescent="0.2"/>
    <row r="193" s="255" customFormat="1" ht="13.5" x14ac:dyDescent="0.2"/>
    <row r="194" s="255" customFormat="1" ht="13.5" x14ac:dyDescent="0.2"/>
    <row r="195" s="255" customFormat="1" ht="13.5" x14ac:dyDescent="0.2"/>
    <row r="196" s="255" customFormat="1" ht="13.5" x14ac:dyDescent="0.2"/>
    <row r="197" s="255" customFormat="1" ht="13.5" x14ac:dyDescent="0.2"/>
    <row r="198" s="255" customFormat="1" ht="13.5" x14ac:dyDescent="0.2"/>
    <row r="199" s="255" customFormat="1" ht="13.5" x14ac:dyDescent="0.2"/>
    <row r="200" s="255" customFormat="1" ht="13.5" x14ac:dyDescent="0.2"/>
    <row r="201" s="255" customFormat="1" ht="13.5" x14ac:dyDescent="0.2"/>
    <row r="202" s="255" customFormat="1" ht="13.5" x14ac:dyDescent="0.2"/>
    <row r="203" s="255" customFormat="1" ht="13.5" x14ac:dyDescent="0.2"/>
    <row r="204" s="255" customFormat="1" ht="13.5" x14ac:dyDescent="0.2"/>
    <row r="205" s="255" customFormat="1" ht="13.5" x14ac:dyDescent="0.2"/>
    <row r="206" s="255" customFormat="1" ht="13.5" x14ac:dyDescent="0.2"/>
    <row r="207" s="255" customFormat="1" ht="13.5" x14ac:dyDescent="0.2"/>
    <row r="208" s="255" customFormat="1" ht="13.5" x14ac:dyDescent="0.2"/>
    <row r="209" s="255" customFormat="1" ht="13.5" x14ac:dyDescent="0.2"/>
    <row r="210" s="255" customFormat="1" ht="13.5" x14ac:dyDescent="0.2"/>
    <row r="211" s="255" customFormat="1" ht="13.5" x14ac:dyDescent="0.2"/>
    <row r="212" s="255" customFormat="1" ht="13.5" x14ac:dyDescent="0.2"/>
    <row r="213" s="255" customFormat="1" ht="13.5" x14ac:dyDescent="0.2"/>
    <row r="214" s="255" customFormat="1" ht="13.5" x14ac:dyDescent="0.2"/>
    <row r="215" s="255" customFormat="1" ht="13.5" x14ac:dyDescent="0.2"/>
    <row r="216" s="255" customFormat="1" ht="13.5" x14ac:dyDescent="0.2"/>
    <row r="217" s="255" customFormat="1" ht="13.5" x14ac:dyDescent="0.2"/>
    <row r="218" s="255" customFormat="1" ht="13.5" x14ac:dyDescent="0.2"/>
    <row r="219" s="255" customFormat="1" ht="13.5" x14ac:dyDescent="0.2"/>
    <row r="220" s="255" customFormat="1" ht="13.5" x14ac:dyDescent="0.2"/>
    <row r="221" s="255" customFormat="1" ht="13.5" x14ac:dyDescent="0.2"/>
    <row r="222" s="255" customFormat="1" ht="13.5" x14ac:dyDescent="0.2"/>
    <row r="223" s="255" customFormat="1" ht="13.5" x14ac:dyDescent="0.2"/>
    <row r="224" s="255" customFormat="1" ht="13.5" x14ac:dyDescent="0.2"/>
    <row r="225" s="255" customFormat="1" ht="13.5" x14ac:dyDescent="0.2"/>
    <row r="226" s="255" customFormat="1" ht="13.5" x14ac:dyDescent="0.2"/>
    <row r="227" s="255" customFormat="1" ht="13.5" x14ac:dyDescent="0.2"/>
    <row r="228" s="255" customFormat="1" ht="13.5" x14ac:dyDescent="0.2"/>
    <row r="229" s="255" customFormat="1" ht="13.5" x14ac:dyDescent="0.2"/>
    <row r="230" s="255" customFormat="1" ht="13.5" x14ac:dyDescent="0.2"/>
    <row r="231" s="255" customFormat="1" ht="13.5" x14ac:dyDescent="0.2"/>
    <row r="232" s="255" customFormat="1" ht="13.5" x14ac:dyDescent="0.2"/>
    <row r="233" s="255" customFormat="1" ht="13.5" x14ac:dyDescent="0.2"/>
    <row r="234" s="255" customFormat="1" ht="13.5" x14ac:dyDescent="0.2"/>
    <row r="235" s="255" customFormat="1" ht="13.5" x14ac:dyDescent="0.2"/>
    <row r="236" s="255" customFormat="1" ht="13.5" x14ac:dyDescent="0.2"/>
    <row r="237" s="255" customFormat="1" ht="13.5" x14ac:dyDescent="0.2"/>
    <row r="238" s="255" customFormat="1" ht="13.5" x14ac:dyDescent="0.2"/>
    <row r="239" s="255" customFormat="1" ht="13.5" x14ac:dyDescent="0.2"/>
    <row r="240" s="255" customFormat="1" ht="13.5" x14ac:dyDescent="0.2"/>
    <row r="241" s="255" customFormat="1" ht="13.5" x14ac:dyDescent="0.2"/>
    <row r="242" s="255" customFormat="1" ht="13.5" x14ac:dyDescent="0.2"/>
    <row r="243" s="255" customFormat="1" ht="13.5" x14ac:dyDescent="0.2"/>
    <row r="244" s="255" customFormat="1" ht="13.5" x14ac:dyDescent="0.2"/>
    <row r="245" s="255" customFormat="1" ht="13.5" x14ac:dyDescent="0.2"/>
    <row r="246" s="255" customFormat="1" ht="13.5" x14ac:dyDescent="0.2"/>
    <row r="247" s="255" customFormat="1" ht="13.5" x14ac:dyDescent="0.2"/>
    <row r="248" s="255" customFormat="1" ht="13.5" x14ac:dyDescent="0.2"/>
    <row r="249" s="255" customFormat="1" ht="13.5" x14ac:dyDescent="0.2"/>
    <row r="250" s="255" customFormat="1" ht="13.5" x14ac:dyDescent="0.2"/>
    <row r="251" s="255" customFormat="1" ht="13.5" x14ac:dyDescent="0.2"/>
    <row r="252" s="255" customFormat="1" ht="13.5" x14ac:dyDescent="0.2"/>
    <row r="253" s="255" customFormat="1" ht="13.5" x14ac:dyDescent="0.2"/>
    <row r="254" s="255" customFormat="1" ht="13.5" x14ac:dyDescent="0.2"/>
    <row r="255" s="255" customFormat="1" ht="13.5" x14ac:dyDescent="0.2"/>
    <row r="256" s="255" customFormat="1" ht="13.5" x14ac:dyDescent="0.2"/>
    <row r="257" s="255" customFormat="1" ht="13.5" x14ac:dyDescent="0.2"/>
    <row r="258" s="255" customFormat="1" ht="13.5" x14ac:dyDescent="0.2"/>
    <row r="259" s="255" customFormat="1" ht="13.5" x14ac:dyDescent="0.2"/>
    <row r="260" s="255" customFormat="1" ht="13.5" x14ac:dyDescent="0.2"/>
    <row r="261" s="255" customFormat="1" ht="13.5" x14ac:dyDescent="0.2"/>
    <row r="262" s="255" customFormat="1" ht="13.5" x14ac:dyDescent="0.2"/>
    <row r="263" s="255" customFormat="1" ht="13.5" x14ac:dyDescent="0.2"/>
    <row r="264" s="255" customFormat="1" ht="13.5" x14ac:dyDescent="0.2"/>
    <row r="265" s="255" customFormat="1" ht="13.5" x14ac:dyDescent="0.2"/>
    <row r="266" s="255" customFormat="1" ht="13.5" x14ac:dyDescent="0.2"/>
    <row r="267" s="255" customFormat="1" ht="13.5" x14ac:dyDescent="0.2"/>
    <row r="268" s="255" customFormat="1" ht="13.5" x14ac:dyDescent="0.2"/>
    <row r="269" s="255" customFormat="1" ht="13.5" x14ac:dyDescent="0.2"/>
    <row r="270" s="255" customFormat="1" ht="13.5" x14ac:dyDescent="0.2"/>
    <row r="271" s="255" customFormat="1" ht="13.5" x14ac:dyDescent="0.2"/>
    <row r="272" s="255" customFormat="1" ht="13.5" x14ac:dyDescent="0.2"/>
    <row r="273" s="255" customFormat="1" ht="13.5" x14ac:dyDescent="0.2"/>
    <row r="274" s="255" customFormat="1" ht="13.5" x14ac:dyDescent="0.2"/>
    <row r="275" s="255" customFormat="1" ht="13.5" x14ac:dyDescent="0.2"/>
    <row r="276" s="255" customFormat="1" ht="13.5" x14ac:dyDescent="0.2"/>
    <row r="277" s="255" customFormat="1" ht="13.5" x14ac:dyDescent="0.2"/>
    <row r="278" s="255" customFormat="1" ht="13.5" x14ac:dyDescent="0.2"/>
    <row r="279" s="255" customFormat="1" ht="13.5" x14ac:dyDescent="0.2"/>
    <row r="280" s="255" customFormat="1" ht="13.5" x14ac:dyDescent="0.2"/>
    <row r="281" s="255" customFormat="1" ht="13.5" x14ac:dyDescent="0.2"/>
    <row r="282" s="255" customFormat="1" ht="13.5" x14ac:dyDescent="0.2"/>
    <row r="283" s="255" customFormat="1" ht="13.5" x14ac:dyDescent="0.2"/>
    <row r="284" s="255" customFormat="1" ht="13.5" x14ac:dyDescent="0.2"/>
    <row r="285" s="255" customFormat="1" ht="13.5" x14ac:dyDescent="0.2"/>
    <row r="286" s="255" customFormat="1" ht="13.5" x14ac:dyDescent="0.2"/>
    <row r="287" s="255" customFormat="1" ht="13.5" x14ac:dyDescent="0.2"/>
    <row r="288" s="255" customFormat="1" ht="13.5" x14ac:dyDescent="0.2"/>
    <row r="289" s="255" customFormat="1" ht="13.5" x14ac:dyDescent="0.2"/>
    <row r="290" s="255" customFormat="1" ht="13.5" x14ac:dyDescent="0.2"/>
    <row r="291" s="255" customFormat="1" ht="13.5" x14ac:dyDescent="0.2"/>
    <row r="292" s="255" customFormat="1" ht="13.5" x14ac:dyDescent="0.2"/>
    <row r="293" s="255" customFormat="1" ht="13.5" x14ac:dyDescent="0.2"/>
    <row r="294" s="255" customFormat="1" ht="13.5" x14ac:dyDescent="0.2"/>
    <row r="295" s="255" customFormat="1" ht="13.5" x14ac:dyDescent="0.2"/>
    <row r="296" s="255" customFormat="1" ht="13.5" x14ac:dyDescent="0.2"/>
    <row r="297" s="255" customFormat="1" ht="13.5" x14ac:dyDescent="0.2"/>
    <row r="298" s="255" customFormat="1" ht="13.5" x14ac:dyDescent="0.2"/>
    <row r="299" s="255" customFormat="1" ht="13.5" x14ac:dyDescent="0.2"/>
    <row r="300" s="255" customFormat="1" ht="13.5" x14ac:dyDescent="0.2"/>
    <row r="301" s="255" customFormat="1" ht="13.5" x14ac:dyDescent="0.2"/>
    <row r="302" s="255" customFormat="1" ht="13.5" x14ac:dyDescent="0.2"/>
    <row r="303" s="255" customFormat="1" ht="13.5" x14ac:dyDescent="0.2"/>
    <row r="304" s="255" customFormat="1" ht="13.5" x14ac:dyDescent="0.2"/>
    <row r="305" s="255" customFormat="1" ht="13.5" x14ac:dyDescent="0.2"/>
    <row r="306" s="255" customFormat="1" ht="13.5" x14ac:dyDescent="0.2"/>
    <row r="307" s="255" customFormat="1" ht="13.5" x14ac:dyDescent="0.2"/>
    <row r="308" s="255" customFormat="1" ht="13.5" x14ac:dyDescent="0.2"/>
    <row r="309" s="255" customFormat="1" ht="13.5" x14ac:dyDescent="0.2"/>
    <row r="310" s="255" customFormat="1" ht="13.5" x14ac:dyDescent="0.2"/>
    <row r="311" s="255" customFormat="1" ht="13.5" x14ac:dyDescent="0.2"/>
    <row r="312" s="255" customFormat="1" ht="13.5" x14ac:dyDescent="0.2"/>
    <row r="313" s="255" customFormat="1" ht="13.5" x14ac:dyDescent="0.2"/>
    <row r="314" s="255" customFormat="1" ht="13.5" x14ac:dyDescent="0.2"/>
    <row r="315" s="255" customFormat="1" ht="13.5" x14ac:dyDescent="0.2"/>
    <row r="316" s="255" customFormat="1" ht="13.5" x14ac:dyDescent="0.2"/>
    <row r="317" s="255" customFormat="1" ht="13.5" x14ac:dyDescent="0.2"/>
    <row r="318" s="255" customFormat="1" ht="13.5" x14ac:dyDescent="0.2"/>
    <row r="319" s="255" customFormat="1" ht="13.5" x14ac:dyDescent="0.2"/>
    <row r="320" s="255" customFormat="1" ht="13.5" x14ac:dyDescent="0.2"/>
    <row r="321" s="255" customFormat="1" ht="13.5" x14ac:dyDescent="0.2"/>
    <row r="322" s="255" customFormat="1" ht="13.5" x14ac:dyDescent="0.2"/>
    <row r="323" s="255" customFormat="1" ht="13.5" x14ac:dyDescent="0.2"/>
    <row r="324" s="255" customFormat="1" ht="13.5" x14ac:dyDescent="0.2"/>
    <row r="325" s="255" customFormat="1" ht="13.5" x14ac:dyDescent="0.2"/>
    <row r="326" s="255" customFormat="1" ht="13.5" x14ac:dyDescent="0.2"/>
    <row r="327" s="255" customFormat="1" ht="13.5" x14ac:dyDescent="0.2"/>
    <row r="328" s="255" customFormat="1" ht="13.5" x14ac:dyDescent="0.2"/>
    <row r="329" s="255" customFormat="1" ht="13.5" x14ac:dyDescent="0.2"/>
    <row r="330" s="255" customFormat="1" ht="13.5" x14ac:dyDescent="0.2"/>
    <row r="331" s="255" customFormat="1" ht="13.5" x14ac:dyDescent="0.2"/>
    <row r="332" s="255" customFormat="1" ht="13.5" x14ac:dyDescent="0.2"/>
    <row r="333" s="255" customFormat="1" ht="13.5" x14ac:dyDescent="0.2"/>
    <row r="334" s="255" customFormat="1" ht="13.5" x14ac:dyDescent="0.2"/>
    <row r="335" s="255" customFormat="1" ht="13.5" x14ac:dyDescent="0.2"/>
    <row r="336" s="255" customFormat="1" ht="13.5" x14ac:dyDescent="0.2"/>
    <row r="337" s="255" customFormat="1" ht="13.5" x14ac:dyDescent="0.2"/>
    <row r="338" s="255" customFormat="1" ht="13.5" x14ac:dyDescent="0.2"/>
    <row r="339" s="255" customFormat="1" ht="13.5" x14ac:dyDescent="0.2"/>
    <row r="340" s="255" customFormat="1" ht="13.5" x14ac:dyDescent="0.2"/>
    <row r="341" s="255" customFormat="1" ht="13.5" x14ac:dyDescent="0.2"/>
    <row r="342" s="255" customFormat="1" ht="13.5" x14ac:dyDescent="0.2"/>
    <row r="343" s="255" customFormat="1" ht="13.5" x14ac:dyDescent="0.2"/>
    <row r="344" s="255" customFormat="1" ht="13.5" x14ac:dyDescent="0.2"/>
    <row r="345" s="255" customFormat="1" ht="13.5" x14ac:dyDescent="0.2"/>
    <row r="346" s="255" customFormat="1" ht="13.5" x14ac:dyDescent="0.2"/>
    <row r="347" s="255" customFormat="1" ht="13.5" x14ac:dyDescent="0.2"/>
    <row r="348" s="255" customFormat="1" ht="13.5" x14ac:dyDescent="0.2"/>
    <row r="349" s="255" customFormat="1" ht="13.5" x14ac:dyDescent="0.2"/>
    <row r="350" s="255" customFormat="1" ht="13.5" x14ac:dyDescent="0.2"/>
    <row r="351" s="255" customFormat="1" ht="13.5" x14ac:dyDescent="0.2"/>
    <row r="352" s="255" customFormat="1" ht="13.5" x14ac:dyDescent="0.2"/>
    <row r="353" s="255" customFormat="1" ht="13.5" x14ac:dyDescent="0.2"/>
    <row r="354" s="255" customFormat="1" ht="13.5" x14ac:dyDescent="0.2"/>
    <row r="355" s="255" customFormat="1" ht="13.5" x14ac:dyDescent="0.2"/>
    <row r="356" s="255" customFormat="1" ht="13.5" x14ac:dyDescent="0.2"/>
    <row r="357" s="255" customFormat="1" ht="13.5" x14ac:dyDescent="0.2"/>
    <row r="358" s="255" customFormat="1" ht="13.5" x14ac:dyDescent="0.2"/>
    <row r="359" s="255" customFormat="1" ht="13.5" x14ac:dyDescent="0.2"/>
    <row r="360" s="255" customFormat="1" ht="13.5" x14ac:dyDescent="0.2"/>
    <row r="361" s="255" customFormat="1" ht="13.5" x14ac:dyDescent="0.2"/>
    <row r="362" s="255" customFormat="1" ht="13.5" x14ac:dyDescent="0.2"/>
    <row r="363" s="255" customFormat="1" ht="13.5" x14ac:dyDescent="0.2"/>
    <row r="364" s="255" customFormat="1" ht="13.5" x14ac:dyDescent="0.2"/>
    <row r="365" s="255" customFormat="1" ht="13.5" x14ac:dyDescent="0.2"/>
    <row r="366" s="255" customFormat="1" ht="13.5" x14ac:dyDescent="0.2"/>
    <row r="367" s="255" customFormat="1" ht="13.5" x14ac:dyDescent="0.2"/>
    <row r="368" s="255" customFormat="1" ht="13.5" x14ac:dyDescent="0.2"/>
    <row r="369" s="255" customFormat="1" ht="13.5" x14ac:dyDescent="0.2"/>
    <row r="370" s="255" customFormat="1" ht="13.5" x14ac:dyDescent="0.2"/>
    <row r="371" s="255" customFormat="1" ht="13.5" x14ac:dyDescent="0.2"/>
    <row r="372" s="255" customFormat="1" ht="13.5" x14ac:dyDescent="0.2"/>
    <row r="373" s="255" customFormat="1" ht="13.5" x14ac:dyDescent="0.2"/>
    <row r="374" s="255" customFormat="1" ht="13.5" x14ac:dyDescent="0.2"/>
    <row r="375" s="255" customFormat="1" ht="13.5" x14ac:dyDescent="0.2"/>
    <row r="376" s="255" customFormat="1" ht="13.5" x14ac:dyDescent="0.2"/>
    <row r="377" s="255" customFormat="1" ht="13.5" x14ac:dyDescent="0.2"/>
    <row r="378" s="255" customFormat="1" ht="13.5" x14ac:dyDescent="0.2"/>
    <row r="379" s="255" customFormat="1" ht="13.5" x14ac:dyDescent="0.2"/>
    <row r="380" s="255" customFormat="1" ht="13.5" x14ac:dyDescent="0.2"/>
    <row r="381" s="255" customFormat="1" ht="13.5" x14ac:dyDescent="0.2"/>
    <row r="382" s="255" customFormat="1" ht="13.5" x14ac:dyDescent="0.2"/>
    <row r="383" s="255" customFormat="1" ht="13.5" x14ac:dyDescent="0.2"/>
    <row r="384" s="255" customFormat="1" ht="13.5" x14ac:dyDescent="0.2"/>
    <row r="385" s="255" customFormat="1" ht="13.5" x14ac:dyDescent="0.2"/>
    <row r="386" s="255" customFormat="1" ht="13.5" x14ac:dyDescent="0.2"/>
    <row r="387" s="255" customFormat="1" ht="13.5" x14ac:dyDescent="0.2"/>
    <row r="388" s="255" customFormat="1" ht="13.5" x14ac:dyDescent="0.2"/>
    <row r="389" s="255" customFormat="1" ht="13.5" x14ac:dyDescent="0.2"/>
    <row r="390" s="255" customFormat="1" ht="13.5" x14ac:dyDescent="0.2"/>
    <row r="391" s="255" customFormat="1" ht="13.5" x14ac:dyDescent="0.2"/>
    <row r="392" s="255" customFormat="1" ht="13.5" x14ac:dyDescent="0.2"/>
    <row r="393" s="255" customFormat="1" ht="13.5" x14ac:dyDescent="0.2"/>
    <row r="394" s="255" customFormat="1" ht="13.5" x14ac:dyDescent="0.2"/>
    <row r="395" s="255" customFormat="1" ht="13.5" x14ac:dyDescent="0.2"/>
    <row r="396" s="255" customFormat="1" ht="13.5" x14ac:dyDescent="0.2"/>
    <row r="397" s="255" customFormat="1" ht="13.5" x14ac:dyDescent="0.2"/>
    <row r="398" s="255" customFormat="1" ht="13.5" x14ac:dyDescent="0.2"/>
    <row r="399" s="255" customFormat="1" ht="13.5" x14ac:dyDescent="0.2"/>
    <row r="400" s="255" customFormat="1" ht="13.5" x14ac:dyDescent="0.2"/>
    <row r="401" s="255" customFormat="1" ht="13.5" x14ac:dyDescent="0.2"/>
    <row r="402" s="255" customFormat="1" ht="13.5" x14ac:dyDescent="0.2"/>
    <row r="403" s="255" customFormat="1" ht="13.5" x14ac:dyDescent="0.2"/>
    <row r="404" s="255" customFormat="1" ht="13.5" x14ac:dyDescent="0.2"/>
    <row r="405" s="255" customFormat="1" ht="13.5" x14ac:dyDescent="0.2"/>
    <row r="406" s="255" customFormat="1" ht="13.5" x14ac:dyDescent="0.2"/>
    <row r="407" s="255" customFormat="1" ht="13.5" x14ac:dyDescent="0.2"/>
    <row r="408" s="255" customFormat="1" ht="13.5" x14ac:dyDescent="0.2"/>
    <row r="409" s="255" customFormat="1" ht="13.5" x14ac:dyDescent="0.2"/>
    <row r="410" s="255" customFormat="1" ht="13.5" x14ac:dyDescent="0.2"/>
    <row r="411" s="255" customFormat="1" ht="13.5" x14ac:dyDescent="0.2"/>
    <row r="412" s="255" customFormat="1" ht="13.5" x14ac:dyDescent="0.2"/>
    <row r="413" s="255" customFormat="1" ht="13.5" x14ac:dyDescent="0.2"/>
    <row r="414" s="255" customFormat="1" ht="13.5" x14ac:dyDescent="0.2"/>
    <row r="415" s="255" customFormat="1" ht="13.5" x14ac:dyDescent="0.2"/>
    <row r="416" s="255" customFormat="1" ht="13.5" x14ac:dyDescent="0.2"/>
    <row r="417" s="255" customFormat="1" ht="13.5" x14ac:dyDescent="0.2"/>
    <row r="418" s="255" customFormat="1" ht="13.5" x14ac:dyDescent="0.2"/>
    <row r="419" s="255" customFormat="1" ht="13.5" x14ac:dyDescent="0.2"/>
    <row r="420" s="255" customFormat="1" ht="13.5" x14ac:dyDescent="0.2"/>
    <row r="421" s="255" customFormat="1" ht="13.5" x14ac:dyDescent="0.2"/>
    <row r="422" s="255" customFormat="1" ht="13.5" x14ac:dyDescent="0.2"/>
    <row r="423" s="255" customFormat="1" ht="13.5" x14ac:dyDescent="0.2"/>
    <row r="424" s="255" customFormat="1" ht="13.5" x14ac:dyDescent="0.2"/>
    <row r="425" s="255" customFormat="1" ht="13.5" x14ac:dyDescent="0.2"/>
    <row r="426" s="255" customFormat="1" ht="13.5" x14ac:dyDescent="0.2"/>
    <row r="427" s="255" customFormat="1" ht="13.5" x14ac:dyDescent="0.2"/>
    <row r="428" s="255" customFormat="1" ht="13.5" x14ac:dyDescent="0.2"/>
    <row r="429" s="255" customFormat="1" ht="13.5" x14ac:dyDescent="0.2"/>
    <row r="430" s="255" customFormat="1" ht="13.5" x14ac:dyDescent="0.2"/>
    <row r="431" s="255" customFormat="1" ht="13.5" x14ac:dyDescent="0.2"/>
    <row r="432" s="255" customFormat="1" ht="13.5" x14ac:dyDescent="0.2"/>
    <row r="433" s="255" customFormat="1" ht="13.5" x14ac:dyDescent="0.2"/>
    <row r="434" s="255" customFormat="1" ht="13.5" x14ac:dyDescent="0.2"/>
    <row r="435" s="255" customFormat="1" ht="13.5" x14ac:dyDescent="0.2"/>
    <row r="436" s="255" customFormat="1" ht="13.5" x14ac:dyDescent="0.2"/>
    <row r="437" s="255" customFormat="1" ht="13.5" x14ac:dyDescent="0.2"/>
    <row r="438" s="255" customFormat="1" ht="13.5" x14ac:dyDescent="0.2"/>
    <row r="439" s="255" customFormat="1" ht="13.5" x14ac:dyDescent="0.2"/>
    <row r="440" s="255" customFormat="1" ht="13.5" x14ac:dyDescent="0.2"/>
    <row r="441" s="255" customFormat="1" ht="13.5" x14ac:dyDescent="0.2"/>
    <row r="442" s="255" customFormat="1" ht="13.5" x14ac:dyDescent="0.2"/>
    <row r="443" s="255" customFormat="1" ht="13.5" x14ac:dyDescent="0.2"/>
    <row r="444" s="255" customFormat="1" ht="13.5" x14ac:dyDescent="0.2"/>
    <row r="445" s="255" customFormat="1" ht="13.5" x14ac:dyDescent="0.2"/>
    <row r="446" s="255" customFormat="1" ht="13.5" x14ac:dyDescent="0.2"/>
    <row r="447" s="255" customFormat="1" ht="13.5" x14ac:dyDescent="0.2"/>
    <row r="448" s="255" customFormat="1" ht="13.5" x14ac:dyDescent="0.2"/>
    <row r="449" s="255" customFormat="1" ht="13.5" x14ac:dyDescent="0.2"/>
    <row r="450" s="255" customFormat="1" ht="13.5" x14ac:dyDescent="0.2"/>
    <row r="451" s="255" customFormat="1" ht="13.5" x14ac:dyDescent="0.2"/>
    <row r="452" s="255" customFormat="1" ht="13.5" x14ac:dyDescent="0.2"/>
    <row r="453" s="255" customFormat="1" ht="13.5" x14ac:dyDescent="0.2"/>
    <row r="454" s="255" customFormat="1" ht="13.5" x14ac:dyDescent="0.2"/>
    <row r="455" s="255" customFormat="1" ht="13.5" x14ac:dyDescent="0.2"/>
    <row r="456" s="255" customFormat="1" ht="13.5" x14ac:dyDescent="0.2"/>
    <row r="457" s="255" customFormat="1" ht="13.5" x14ac:dyDescent="0.2"/>
    <row r="458" s="255" customFormat="1" ht="13.5" x14ac:dyDescent="0.2"/>
    <row r="459" s="255" customFormat="1" ht="13.5" x14ac:dyDescent="0.2"/>
    <row r="460" s="255" customFormat="1" ht="13.5" x14ac:dyDescent="0.2"/>
    <row r="461" s="255" customFormat="1" ht="13.5" x14ac:dyDescent="0.2"/>
    <row r="462" s="255" customFormat="1" ht="13.5" x14ac:dyDescent="0.2"/>
    <row r="463" s="255" customFormat="1" ht="13.5" x14ac:dyDescent="0.2"/>
    <row r="464" s="255" customFormat="1" ht="13.5" x14ac:dyDescent="0.2"/>
    <row r="465" s="255" customFormat="1" ht="13.5" x14ac:dyDescent="0.2"/>
    <row r="466" s="255" customFormat="1" ht="13.5" x14ac:dyDescent="0.2"/>
    <row r="467" s="255" customFormat="1" ht="13.5" x14ac:dyDescent="0.2"/>
    <row r="468" s="255" customFormat="1" ht="13.5" x14ac:dyDescent="0.2"/>
    <row r="469" s="255" customFormat="1" ht="13.5" x14ac:dyDescent="0.2"/>
    <row r="470" s="255" customFormat="1" ht="13.5" x14ac:dyDescent="0.2"/>
    <row r="471" s="255" customFormat="1" ht="13.5" x14ac:dyDescent="0.2"/>
    <row r="472" s="255" customFormat="1" ht="13.5" x14ac:dyDescent="0.2"/>
    <row r="473" s="255" customFormat="1" ht="13.5" x14ac:dyDescent="0.2"/>
    <row r="474" s="255" customFormat="1" ht="13.5" x14ac:dyDescent="0.2"/>
    <row r="475" s="255" customFormat="1" ht="13.5" x14ac:dyDescent="0.2"/>
    <row r="476" s="255" customFormat="1" ht="13.5" x14ac:dyDescent="0.2"/>
    <row r="477" s="255" customFormat="1" ht="13.5" x14ac:dyDescent="0.2"/>
    <row r="478" s="255" customFormat="1" ht="13.5" x14ac:dyDescent="0.2"/>
    <row r="479" s="255" customFormat="1" ht="13.5" x14ac:dyDescent="0.2"/>
    <row r="480" s="255" customFormat="1" ht="13.5" x14ac:dyDescent="0.2"/>
    <row r="481" s="255" customFormat="1" ht="13.5" x14ac:dyDescent="0.2"/>
    <row r="482" s="255" customFormat="1" ht="13.5" x14ac:dyDescent="0.2"/>
    <row r="483" s="255" customFormat="1" ht="13.5" x14ac:dyDescent="0.2"/>
    <row r="484" s="255" customFormat="1" ht="13.5" x14ac:dyDescent="0.2"/>
    <row r="485" s="255" customFormat="1" ht="13.5" x14ac:dyDescent="0.2"/>
    <row r="486" s="255" customFormat="1" ht="13.5" x14ac:dyDescent="0.2"/>
    <row r="487" s="255" customFormat="1" ht="13.5" x14ac:dyDescent="0.2"/>
    <row r="488" s="255" customFormat="1" ht="13.5" x14ac:dyDescent="0.2"/>
    <row r="489" s="255" customFormat="1" ht="13.5" x14ac:dyDescent="0.2"/>
    <row r="490" s="255" customFormat="1" ht="13.5" x14ac:dyDescent="0.2"/>
    <row r="491" s="255" customFormat="1" ht="13.5" x14ac:dyDescent="0.2"/>
    <row r="492" s="255" customFormat="1" ht="13.5" x14ac:dyDescent="0.2"/>
    <row r="493" s="255" customFormat="1" ht="13.5" x14ac:dyDescent="0.2"/>
    <row r="494" s="255" customFormat="1" ht="13.5" x14ac:dyDescent="0.2"/>
    <row r="495" s="255" customFormat="1" ht="13.5" x14ac:dyDescent="0.2"/>
    <row r="496" s="255" customFormat="1" ht="13.5" x14ac:dyDescent="0.2"/>
    <row r="497" s="255" customFormat="1" ht="13.5" x14ac:dyDescent="0.2"/>
    <row r="498" s="255" customFormat="1" ht="13.5" x14ac:dyDescent="0.2"/>
    <row r="499" s="255" customFormat="1" ht="13.5" x14ac:dyDescent="0.2"/>
    <row r="500" s="255" customFormat="1" ht="13.5" x14ac:dyDescent="0.2"/>
    <row r="501" s="255" customFormat="1" ht="13.5" x14ac:dyDescent="0.2"/>
    <row r="502" s="255" customFormat="1" ht="13.5" x14ac:dyDescent="0.2"/>
    <row r="503" s="255" customFormat="1" ht="13.5" x14ac:dyDescent="0.2"/>
    <row r="504" s="255" customFormat="1" ht="13.5" x14ac:dyDescent="0.2"/>
    <row r="505" s="255" customFormat="1" ht="13.5" x14ac:dyDescent="0.2"/>
    <row r="506" s="255" customFormat="1" ht="13.5" x14ac:dyDescent="0.2"/>
    <row r="507" s="255" customFormat="1" ht="13.5" x14ac:dyDescent="0.2"/>
    <row r="508" s="255" customFormat="1" ht="13.5" x14ac:dyDescent="0.2"/>
    <row r="509" s="255" customFormat="1" ht="13.5" x14ac:dyDescent="0.2"/>
    <row r="510" s="255" customFormat="1" ht="13.5" x14ac:dyDescent="0.2"/>
    <row r="511" s="255" customFormat="1" ht="13.5" x14ac:dyDescent="0.2"/>
    <row r="512" s="255" customFormat="1" ht="13.5" x14ac:dyDescent="0.2"/>
    <row r="513" s="255" customFormat="1" ht="13.5" x14ac:dyDescent="0.2"/>
    <row r="514" s="255" customFormat="1" ht="13.5" x14ac:dyDescent="0.2"/>
    <row r="515" s="255" customFormat="1" ht="13.5" x14ac:dyDescent="0.2"/>
    <row r="516" s="255" customFormat="1" ht="13.5" x14ac:dyDescent="0.2"/>
    <row r="517" s="255" customFormat="1" ht="13.5" x14ac:dyDescent="0.2"/>
    <row r="518" s="255" customFormat="1" ht="13.5" x14ac:dyDescent="0.2"/>
    <row r="519" s="255" customFormat="1" ht="13.5" x14ac:dyDescent="0.2"/>
    <row r="520" s="255" customFormat="1" ht="13.5" x14ac:dyDescent="0.2"/>
    <row r="521" s="255" customFormat="1" ht="13.5" x14ac:dyDescent="0.2"/>
    <row r="522" s="255" customFormat="1" ht="13.5" x14ac:dyDescent="0.2"/>
    <row r="523" s="255" customFormat="1" ht="13.5" x14ac:dyDescent="0.2"/>
    <row r="524" s="255" customFormat="1" ht="13.5" x14ac:dyDescent="0.2"/>
    <row r="525" s="255" customFormat="1" ht="13.5" x14ac:dyDescent="0.2"/>
    <row r="526" s="255" customFormat="1" ht="13.5" x14ac:dyDescent="0.2"/>
    <row r="527" s="255" customFormat="1" ht="13.5" x14ac:dyDescent="0.2"/>
    <row r="528" s="255" customFormat="1" ht="13.5" x14ac:dyDescent="0.2"/>
    <row r="529" s="255" customFormat="1" ht="13.5" x14ac:dyDescent="0.2"/>
    <row r="530" s="255" customFormat="1" ht="13.5" x14ac:dyDescent="0.2"/>
    <row r="531" s="255" customFormat="1" ht="13.5" x14ac:dyDescent="0.2"/>
    <row r="532" s="255" customFormat="1" ht="13.5" x14ac:dyDescent="0.2"/>
    <row r="533" s="255" customFormat="1" ht="13.5" x14ac:dyDescent="0.2"/>
    <row r="534" s="255" customFormat="1" ht="13.5" x14ac:dyDescent="0.2"/>
    <row r="535" s="255" customFormat="1" ht="13.5" x14ac:dyDescent="0.2"/>
    <row r="536" s="255" customFormat="1" ht="13.5" x14ac:dyDescent="0.2"/>
    <row r="537" s="255" customFormat="1" ht="13.5" x14ac:dyDescent="0.2"/>
    <row r="538" s="255" customFormat="1" ht="13.5" x14ac:dyDescent="0.2"/>
    <row r="539" s="255" customFormat="1" ht="13.5" x14ac:dyDescent="0.2"/>
    <row r="540" s="255" customFormat="1" ht="13.5" x14ac:dyDescent="0.2"/>
    <row r="541" s="255" customFormat="1" ht="13.5" x14ac:dyDescent="0.2"/>
    <row r="542" s="255" customFormat="1" ht="13.5" x14ac:dyDescent="0.2"/>
    <row r="543" s="255" customFormat="1" ht="13.5" x14ac:dyDescent="0.2"/>
    <row r="544" s="255" customFormat="1" ht="13.5" x14ac:dyDescent="0.2"/>
    <row r="545" s="255" customFormat="1" ht="13.5" x14ac:dyDescent="0.2"/>
    <row r="546" s="255" customFormat="1" ht="13.5" x14ac:dyDescent="0.2"/>
    <row r="547" s="255" customFormat="1" ht="13.5" x14ac:dyDescent="0.2"/>
    <row r="548" s="255" customFormat="1" ht="13.5" x14ac:dyDescent="0.2"/>
    <row r="549" s="255" customFormat="1" ht="13.5" x14ac:dyDescent="0.2"/>
    <row r="550" s="255" customFormat="1" ht="13.5" x14ac:dyDescent="0.2"/>
    <row r="551" s="255" customFormat="1" ht="13.5" x14ac:dyDescent="0.2"/>
    <row r="552" s="255" customFormat="1" ht="13.5" x14ac:dyDescent="0.2"/>
    <row r="553" s="255" customFormat="1" ht="13.5" x14ac:dyDescent="0.2"/>
    <row r="554" s="255" customFormat="1" ht="13.5" x14ac:dyDescent="0.2"/>
    <row r="555" s="255" customFormat="1" ht="13.5" x14ac:dyDescent="0.2"/>
    <row r="556" s="255" customFormat="1" ht="13.5" x14ac:dyDescent="0.2"/>
    <row r="557" s="255" customFormat="1" ht="13.5" x14ac:dyDescent="0.2"/>
    <row r="558" s="255" customFormat="1" ht="13.5" x14ac:dyDescent="0.2"/>
    <row r="559" s="255" customFormat="1" ht="13.5" x14ac:dyDescent="0.2"/>
    <row r="560" s="255" customFormat="1" ht="13.5" x14ac:dyDescent="0.2"/>
    <row r="561" s="255" customFormat="1" ht="13.5" x14ac:dyDescent="0.2"/>
    <row r="562" s="255" customFormat="1" ht="13.5" x14ac:dyDescent="0.2"/>
    <row r="563" s="255" customFormat="1" ht="13.5" x14ac:dyDescent="0.2"/>
    <row r="564" s="255" customFormat="1" ht="13.5" x14ac:dyDescent="0.2"/>
    <row r="565" s="255" customFormat="1" ht="13.5" x14ac:dyDescent="0.2"/>
    <row r="566" s="255" customFormat="1" ht="13.5" x14ac:dyDescent="0.2"/>
    <row r="567" s="255" customFormat="1" ht="13.5" x14ac:dyDescent="0.2"/>
    <row r="568" s="255" customFormat="1" ht="13.5" x14ac:dyDescent="0.2"/>
    <row r="569" s="255" customFormat="1" ht="13.5" x14ac:dyDescent="0.2"/>
    <row r="570" s="255" customFormat="1" ht="13.5" x14ac:dyDescent="0.2"/>
    <row r="571" s="255" customFormat="1" ht="13.5" x14ac:dyDescent="0.2"/>
    <row r="572" s="255" customFormat="1" ht="13.5" x14ac:dyDescent="0.2"/>
    <row r="573" s="255" customFormat="1" ht="13.5" x14ac:dyDescent="0.2"/>
    <row r="574" s="255" customFormat="1" ht="13.5" x14ac:dyDescent="0.2"/>
    <row r="575" s="255" customFormat="1" ht="13.5" x14ac:dyDescent="0.2"/>
    <row r="576" s="255" customFormat="1" ht="13.5" x14ac:dyDescent="0.2"/>
    <row r="577" s="255" customFormat="1" ht="13.5" x14ac:dyDescent="0.2"/>
    <row r="578" s="255" customFormat="1" ht="13.5" x14ac:dyDescent="0.2"/>
    <row r="579" s="255" customFormat="1" ht="13.5" x14ac:dyDescent="0.2"/>
    <row r="580" s="255" customFormat="1" ht="13.5" x14ac:dyDescent="0.2"/>
    <row r="581" s="255" customFormat="1" ht="13.5" x14ac:dyDescent="0.2"/>
    <row r="582" s="255" customFormat="1" ht="13.5" x14ac:dyDescent="0.2"/>
    <row r="583" s="255" customFormat="1" ht="13.5" x14ac:dyDescent="0.2"/>
    <row r="584" s="255" customFormat="1" ht="13.5" x14ac:dyDescent="0.2"/>
    <row r="585" s="255" customFormat="1" ht="13.5" x14ac:dyDescent="0.2"/>
    <row r="586" s="255" customFormat="1" ht="13.5" x14ac:dyDescent="0.2"/>
    <row r="587" s="255" customFormat="1" ht="13.5" x14ac:dyDescent="0.2"/>
    <row r="588" s="255" customFormat="1" ht="13.5" x14ac:dyDescent="0.2"/>
    <row r="589" s="255" customFormat="1" ht="13.5" x14ac:dyDescent="0.2"/>
    <row r="590" s="255" customFormat="1" ht="13.5" x14ac:dyDescent="0.2"/>
    <row r="591" s="255" customFormat="1" ht="13.5" x14ac:dyDescent="0.2"/>
    <row r="592" s="255" customFormat="1" ht="13.5" x14ac:dyDescent="0.2"/>
    <row r="593" s="255" customFormat="1" ht="13.5" x14ac:dyDescent="0.2"/>
    <row r="594" s="255" customFormat="1" ht="13.5" x14ac:dyDescent="0.2"/>
    <row r="595" s="255" customFormat="1" ht="13.5" x14ac:dyDescent="0.2"/>
    <row r="596" s="255" customFormat="1" ht="13.5" x14ac:dyDescent="0.2"/>
    <row r="597" s="255" customFormat="1" ht="13.5" x14ac:dyDescent="0.2"/>
    <row r="598" s="255" customFormat="1" ht="13.5" x14ac:dyDescent="0.2"/>
    <row r="599" s="255" customFormat="1" ht="13.5" x14ac:dyDescent="0.2"/>
    <row r="600" s="255" customFormat="1" ht="13.5" x14ac:dyDescent="0.2"/>
    <row r="601" s="255" customFormat="1" ht="13.5" x14ac:dyDescent="0.2"/>
    <row r="602" s="255" customFormat="1" ht="13.5" x14ac:dyDescent="0.2"/>
    <row r="603" s="255" customFormat="1" ht="13.5" x14ac:dyDescent="0.2"/>
    <row r="604" s="255" customFormat="1" ht="13.5" x14ac:dyDescent="0.2"/>
    <row r="605" s="255" customFormat="1" ht="13.5" x14ac:dyDescent="0.2"/>
    <row r="606" s="255" customFormat="1" ht="13.5" x14ac:dyDescent="0.2"/>
    <row r="607" s="255" customFormat="1" ht="13.5" x14ac:dyDescent="0.2"/>
    <row r="608" s="255" customFormat="1" ht="13.5" x14ac:dyDescent="0.2"/>
    <row r="609" s="255" customFormat="1" ht="13.5" x14ac:dyDescent="0.2"/>
    <row r="610" s="255" customFormat="1" ht="13.5" x14ac:dyDescent="0.2"/>
    <row r="611" s="255" customFormat="1" ht="13.5" x14ac:dyDescent="0.2"/>
    <row r="612" s="255" customFormat="1" ht="13.5" x14ac:dyDescent="0.2"/>
    <row r="613" s="255" customFormat="1" ht="13.5" x14ac:dyDescent="0.2"/>
    <row r="614" s="255" customFormat="1" ht="13.5" x14ac:dyDescent="0.2"/>
    <row r="615" s="255" customFormat="1" ht="13.5" x14ac:dyDescent="0.2"/>
    <row r="616" s="255" customFormat="1" ht="13.5" x14ac:dyDescent="0.2"/>
    <row r="617" s="255" customFormat="1" ht="13.5" x14ac:dyDescent="0.2"/>
    <row r="618" s="255" customFormat="1" ht="13.5" x14ac:dyDescent="0.2"/>
    <row r="619" s="255" customFormat="1" ht="13.5" x14ac:dyDescent="0.2"/>
    <row r="620" s="255" customFormat="1" ht="13.5" x14ac:dyDescent="0.2"/>
    <row r="621" s="255" customFormat="1" ht="13.5" x14ac:dyDescent="0.2"/>
    <row r="622" s="255" customFormat="1" ht="13.5" x14ac:dyDescent="0.2"/>
    <row r="623" s="255" customFormat="1" ht="13.5" x14ac:dyDescent="0.2"/>
    <row r="624" s="255" customFormat="1" ht="13.5" x14ac:dyDescent="0.2"/>
    <row r="625" s="255" customFormat="1" ht="13.5" x14ac:dyDescent="0.2"/>
    <row r="626" s="255" customFormat="1" ht="13.5" x14ac:dyDescent="0.2"/>
    <row r="627" s="255" customFormat="1" ht="13.5" x14ac:dyDescent="0.2"/>
    <row r="628" s="255" customFormat="1" ht="13.5" x14ac:dyDescent="0.2"/>
    <row r="629" s="255" customFormat="1" ht="13.5" x14ac:dyDescent="0.2"/>
    <row r="630" s="255" customFormat="1" ht="13.5" x14ac:dyDescent="0.2"/>
    <row r="631" s="255" customFormat="1" ht="13.5" x14ac:dyDescent="0.2"/>
    <row r="632" s="255" customFormat="1" ht="13.5" x14ac:dyDescent="0.2"/>
    <row r="633" s="255" customFormat="1" ht="13.5" x14ac:dyDescent="0.2"/>
    <row r="634" s="255" customFormat="1" ht="13.5" x14ac:dyDescent="0.2"/>
    <row r="635" s="255" customFormat="1" ht="13.5" x14ac:dyDescent="0.2"/>
    <row r="636" s="255" customFormat="1" ht="13.5" x14ac:dyDescent="0.2"/>
    <row r="637" s="255" customFormat="1" ht="13.5" x14ac:dyDescent="0.2"/>
    <row r="638" s="255" customFormat="1" ht="13.5" x14ac:dyDescent="0.2"/>
    <row r="639" s="255" customFormat="1" ht="13.5" x14ac:dyDescent="0.2"/>
    <row r="640" s="255" customFormat="1" ht="13.5" x14ac:dyDescent="0.2"/>
    <row r="641" s="255" customFormat="1" ht="13.5" x14ac:dyDescent="0.2"/>
    <row r="642" s="255" customFormat="1" ht="13.5" x14ac:dyDescent="0.2"/>
    <row r="643" s="255" customFormat="1" ht="13.5" x14ac:dyDescent="0.2"/>
    <row r="644" s="255" customFormat="1" ht="13.5" x14ac:dyDescent="0.2"/>
    <row r="645" s="255" customFormat="1" ht="13.5" x14ac:dyDescent="0.2"/>
    <row r="646" s="255" customFormat="1" ht="13.5" x14ac:dyDescent="0.2"/>
    <row r="647" s="255" customFormat="1" ht="13.5" x14ac:dyDescent="0.2"/>
    <row r="648" s="255" customFormat="1" ht="13.5" x14ac:dyDescent="0.2"/>
    <row r="649" s="255" customFormat="1" ht="13.5" x14ac:dyDescent="0.2"/>
    <row r="650" s="255" customFormat="1" ht="13.5" x14ac:dyDescent="0.2"/>
    <row r="651" s="255" customFormat="1" ht="13.5" x14ac:dyDescent="0.2"/>
    <row r="652" s="255" customFormat="1" ht="13.5" x14ac:dyDescent="0.2"/>
    <row r="653" s="255" customFormat="1" ht="13.5" x14ac:dyDescent="0.2"/>
    <row r="654" s="255" customFormat="1" ht="13.5" x14ac:dyDescent="0.2"/>
    <row r="655" s="255" customFormat="1" ht="13.5" x14ac:dyDescent="0.2"/>
    <row r="656" s="255" customFormat="1" ht="13.5" x14ac:dyDescent="0.2"/>
    <row r="657" s="255" customFormat="1" ht="13.5" x14ac:dyDescent="0.2"/>
    <row r="658" s="255" customFormat="1" ht="13.5" x14ac:dyDescent="0.2"/>
    <row r="659" s="255" customFormat="1" ht="13.5" x14ac:dyDescent="0.2"/>
    <row r="660" s="255" customFormat="1" ht="13.5" x14ac:dyDescent="0.2"/>
    <row r="661" s="255" customFormat="1" ht="13.5" x14ac:dyDescent="0.2"/>
    <row r="662" s="255" customFormat="1" ht="13.5" x14ac:dyDescent="0.2"/>
    <row r="663" s="255" customFormat="1" ht="13.5" x14ac:dyDescent="0.2"/>
    <row r="664" s="255" customFormat="1" ht="13.5" x14ac:dyDescent="0.2"/>
    <row r="665" s="255" customFormat="1" ht="13.5" x14ac:dyDescent="0.2"/>
    <row r="666" s="255" customFormat="1" ht="13.5" x14ac:dyDescent="0.2"/>
    <row r="667" s="255" customFormat="1" ht="13.5" x14ac:dyDescent="0.2"/>
    <row r="668" s="255" customFormat="1" ht="13.5" x14ac:dyDescent="0.2"/>
    <row r="669" s="255" customFormat="1" ht="13.5" x14ac:dyDescent="0.2"/>
    <row r="670" s="255" customFormat="1" ht="13.5" x14ac:dyDescent="0.2"/>
    <row r="671" s="255" customFormat="1" ht="13.5" x14ac:dyDescent="0.2"/>
    <row r="672" s="255" customFormat="1" ht="13.5" x14ac:dyDescent="0.2"/>
    <row r="673" s="255" customFormat="1" ht="13.5" x14ac:dyDescent="0.2"/>
    <row r="674" s="255" customFormat="1" ht="13.5" x14ac:dyDescent="0.2"/>
    <row r="675" s="255" customFormat="1" ht="13.5" x14ac:dyDescent="0.2"/>
    <row r="676" s="255" customFormat="1" ht="13.5" x14ac:dyDescent="0.2"/>
    <row r="677" s="255" customFormat="1" ht="13.5" x14ac:dyDescent="0.2"/>
    <row r="678" s="255" customFormat="1" ht="13.5" x14ac:dyDescent="0.2"/>
    <row r="679" s="255" customFormat="1" ht="13.5" x14ac:dyDescent="0.2"/>
    <row r="680" s="255" customFormat="1" ht="13.5" x14ac:dyDescent="0.2"/>
    <row r="681" s="255" customFormat="1" ht="13.5" x14ac:dyDescent="0.2"/>
    <row r="682" s="255" customFormat="1" ht="13.5" x14ac:dyDescent="0.2"/>
    <row r="683" s="255" customFormat="1" ht="13.5" x14ac:dyDescent="0.2"/>
    <row r="684" s="255" customFormat="1" ht="13.5" x14ac:dyDescent="0.2"/>
    <row r="685" s="255" customFormat="1" ht="13.5" x14ac:dyDescent="0.2"/>
    <row r="686" s="255" customFormat="1" ht="13.5" x14ac:dyDescent="0.2"/>
    <row r="687" s="255" customFormat="1" ht="13.5" x14ac:dyDescent="0.2"/>
    <row r="688" s="255" customFormat="1" ht="13.5" x14ac:dyDescent="0.2"/>
    <row r="689" s="255" customFormat="1" ht="13.5" x14ac:dyDescent="0.2"/>
    <row r="690" s="255" customFormat="1" ht="13.5" x14ac:dyDescent="0.2"/>
    <row r="691" s="255" customFormat="1" ht="13.5" x14ac:dyDescent="0.2"/>
    <row r="692" s="255" customFormat="1" ht="13.5" x14ac:dyDescent="0.2"/>
    <row r="693" s="255" customFormat="1" ht="13.5" x14ac:dyDescent="0.2"/>
    <row r="694" s="255" customFormat="1" ht="13.5" x14ac:dyDescent="0.2"/>
    <row r="695" s="255" customFormat="1" ht="13.5" x14ac:dyDescent="0.2"/>
    <row r="696" s="255" customFormat="1" ht="13.5" x14ac:dyDescent="0.2"/>
    <row r="697" s="255" customFormat="1" ht="13.5" x14ac:dyDescent="0.2"/>
    <row r="698" s="255" customFormat="1" ht="13.5" x14ac:dyDescent="0.2"/>
    <row r="699" s="255" customFormat="1" ht="13.5" x14ac:dyDescent="0.2"/>
    <row r="700" s="255" customFormat="1" ht="13.5" x14ac:dyDescent="0.2"/>
    <row r="701" s="255" customFormat="1" ht="13.5" x14ac:dyDescent="0.2"/>
    <row r="702" s="255" customFormat="1" ht="13.5" x14ac:dyDescent="0.2"/>
    <row r="703" s="255" customFormat="1" ht="13.5" x14ac:dyDescent="0.2"/>
    <row r="704" s="255" customFormat="1" ht="13.5" x14ac:dyDescent="0.2"/>
    <row r="705" s="255" customFormat="1" ht="13.5" x14ac:dyDescent="0.2"/>
    <row r="706" s="255" customFormat="1" ht="13.5" x14ac:dyDescent="0.2"/>
    <row r="707" s="255" customFormat="1" ht="13.5" x14ac:dyDescent="0.2"/>
    <row r="708" s="255" customFormat="1" ht="13.5" x14ac:dyDescent="0.2"/>
    <row r="709" s="255" customFormat="1" ht="13.5" x14ac:dyDescent="0.2"/>
    <row r="710" s="255" customFormat="1" ht="13.5" x14ac:dyDescent="0.2"/>
    <row r="711" s="255" customFormat="1" ht="13.5" x14ac:dyDescent="0.2"/>
    <row r="712" s="255" customFormat="1" ht="13.5" x14ac:dyDescent="0.2"/>
    <row r="713" s="255" customFormat="1" ht="13.5" x14ac:dyDescent="0.2"/>
    <row r="714" s="255" customFormat="1" ht="13.5" x14ac:dyDescent="0.2"/>
    <row r="715" s="255" customFormat="1" ht="13.5" x14ac:dyDescent="0.2"/>
    <row r="716" s="255" customFormat="1" ht="13.5" x14ac:dyDescent="0.2"/>
    <row r="717" s="255" customFormat="1" ht="13.5" x14ac:dyDescent="0.2"/>
    <row r="718" s="255" customFormat="1" ht="13.5" x14ac:dyDescent="0.2"/>
    <row r="719" s="255" customFormat="1" ht="13.5" x14ac:dyDescent="0.2"/>
    <row r="720" s="255" customFormat="1" ht="13.5" x14ac:dyDescent="0.2"/>
    <row r="721" s="255" customFormat="1" ht="13.5" x14ac:dyDescent="0.2"/>
    <row r="722" s="255" customFormat="1" ht="13.5" x14ac:dyDescent="0.2"/>
    <row r="723" s="255" customFormat="1" ht="13.5" x14ac:dyDescent="0.2"/>
    <row r="724" s="255" customFormat="1" ht="13.5" x14ac:dyDescent="0.2"/>
    <row r="725" s="255" customFormat="1" ht="13.5" x14ac:dyDescent="0.2"/>
    <row r="726" s="255" customFormat="1" ht="13.5" x14ac:dyDescent="0.2"/>
    <row r="727" s="255" customFormat="1" ht="13.5" x14ac:dyDescent="0.2"/>
    <row r="728" s="255" customFormat="1" ht="13.5" x14ac:dyDescent="0.2"/>
    <row r="729" s="255" customFormat="1" ht="13.5" x14ac:dyDescent="0.2"/>
    <row r="730" s="255" customFormat="1" ht="13.5" x14ac:dyDescent="0.2"/>
    <row r="731" s="255" customFormat="1" ht="13.5" x14ac:dyDescent="0.2"/>
    <row r="732" s="255" customFormat="1" ht="13.5" x14ac:dyDescent="0.2"/>
    <row r="733" s="255" customFormat="1" ht="13.5" x14ac:dyDescent="0.2"/>
    <row r="734" s="255" customFormat="1" ht="13.5" x14ac:dyDescent="0.2"/>
    <row r="735" s="255" customFormat="1" ht="13.5" x14ac:dyDescent="0.2"/>
    <row r="736" s="255" customFormat="1" ht="13.5" x14ac:dyDescent="0.2"/>
    <row r="737" s="255" customFormat="1" ht="13.5" x14ac:dyDescent="0.2"/>
    <row r="738" s="255" customFormat="1" ht="13.5" x14ac:dyDescent="0.2"/>
    <row r="739" s="255" customFormat="1" ht="13.5" x14ac:dyDescent="0.2"/>
    <row r="740" s="255" customFormat="1" ht="13.5" x14ac:dyDescent="0.2"/>
    <row r="741" s="255" customFormat="1" ht="13.5" x14ac:dyDescent="0.2"/>
    <row r="742" s="255" customFormat="1" ht="13.5" x14ac:dyDescent="0.2"/>
    <row r="743" s="255" customFormat="1" ht="13.5" x14ac:dyDescent="0.2"/>
    <row r="744" s="255" customFormat="1" ht="13.5" x14ac:dyDescent="0.2"/>
    <row r="745" s="255" customFormat="1" ht="13.5" x14ac:dyDescent="0.2"/>
    <row r="746" s="255" customFormat="1" ht="13.5" x14ac:dyDescent="0.2"/>
    <row r="747" s="255" customFormat="1" ht="13.5" x14ac:dyDescent="0.2"/>
    <row r="748" s="255" customFormat="1" ht="13.5" x14ac:dyDescent="0.2"/>
    <row r="749" s="255" customFormat="1" ht="13.5" x14ac:dyDescent="0.2"/>
    <row r="750" s="255" customFormat="1" ht="13.5" x14ac:dyDescent="0.2"/>
    <row r="751" s="255" customFormat="1" ht="13.5" x14ac:dyDescent="0.2"/>
    <row r="752" s="255" customFormat="1" ht="13.5" x14ac:dyDescent="0.2"/>
    <row r="753" s="255" customFormat="1" ht="13.5" x14ac:dyDescent="0.2"/>
    <row r="754" s="255" customFormat="1" ht="13.5" x14ac:dyDescent="0.2"/>
    <row r="755" s="255" customFormat="1" ht="13.5" x14ac:dyDescent="0.2"/>
    <row r="756" s="255" customFormat="1" ht="13.5" x14ac:dyDescent="0.2"/>
    <row r="757" s="255" customFormat="1" ht="13.5" x14ac:dyDescent="0.2"/>
    <row r="758" s="255" customFormat="1" ht="13.5" x14ac:dyDescent="0.2"/>
    <row r="759" s="255" customFormat="1" ht="13.5" x14ac:dyDescent="0.2"/>
    <row r="760" s="255" customFormat="1" ht="13.5" x14ac:dyDescent="0.2"/>
    <row r="761" s="255" customFormat="1" ht="13.5" x14ac:dyDescent="0.2"/>
    <row r="762" s="255" customFormat="1" ht="13.5" x14ac:dyDescent="0.2"/>
    <row r="763" s="255" customFormat="1" ht="13.5" x14ac:dyDescent="0.2"/>
    <row r="764" s="255" customFormat="1" ht="13.5" x14ac:dyDescent="0.2"/>
    <row r="765" s="255" customFormat="1" ht="13.5" x14ac:dyDescent="0.2"/>
    <row r="766" s="255" customFormat="1" ht="13.5" x14ac:dyDescent="0.2"/>
    <row r="767" s="255" customFormat="1" ht="13.5" x14ac:dyDescent="0.2"/>
    <row r="768" s="255" customFormat="1" ht="13.5" x14ac:dyDescent="0.2"/>
    <row r="769" s="255" customFormat="1" ht="13.5" x14ac:dyDescent="0.2"/>
    <row r="770" s="255" customFormat="1" ht="13.5" x14ac:dyDescent="0.2"/>
    <row r="771" s="255" customFormat="1" ht="13.5" x14ac:dyDescent="0.2"/>
    <row r="772" s="255" customFormat="1" ht="13.5" x14ac:dyDescent="0.2"/>
    <row r="773" s="255" customFormat="1" ht="13.5" x14ac:dyDescent="0.2"/>
    <row r="774" s="255" customFormat="1" ht="13.5" x14ac:dyDescent="0.2"/>
    <row r="775" s="255" customFormat="1" ht="13.5" x14ac:dyDescent="0.2"/>
    <row r="776" s="255" customFormat="1" ht="13.5" x14ac:dyDescent="0.2"/>
    <row r="777" s="255" customFormat="1" ht="13.5" x14ac:dyDescent="0.2"/>
    <row r="778" s="255" customFormat="1" ht="13.5" x14ac:dyDescent="0.2"/>
    <row r="779" s="255" customFormat="1" ht="13.5" x14ac:dyDescent="0.2"/>
    <row r="780" s="255" customFormat="1" ht="13.5" x14ac:dyDescent="0.2"/>
    <row r="781" s="255" customFormat="1" ht="13.5" x14ac:dyDescent="0.2"/>
    <row r="782" s="255" customFormat="1" ht="13.5" x14ac:dyDescent="0.2"/>
    <row r="783" s="255" customFormat="1" ht="13.5" x14ac:dyDescent="0.2"/>
    <row r="784" s="255" customFormat="1" ht="13.5" x14ac:dyDescent="0.2"/>
    <row r="785" s="255" customFormat="1" ht="13.5" x14ac:dyDescent="0.2"/>
    <row r="786" s="255" customFormat="1" ht="13.5" x14ac:dyDescent="0.2"/>
    <row r="787" s="255" customFormat="1" ht="13.5" x14ac:dyDescent="0.2"/>
    <row r="788" s="255" customFormat="1" ht="13.5" x14ac:dyDescent="0.2"/>
    <row r="789" s="255" customFormat="1" ht="13.5" x14ac:dyDescent="0.2"/>
    <row r="790" s="255" customFormat="1" ht="13.5" x14ac:dyDescent="0.2"/>
    <row r="791" s="255" customFormat="1" ht="13.5" x14ac:dyDescent="0.2"/>
    <row r="792" s="255" customFormat="1" ht="13.5" x14ac:dyDescent="0.2"/>
    <row r="793" s="255" customFormat="1" ht="13.5" x14ac:dyDescent="0.2"/>
    <row r="794" s="255" customFormat="1" ht="13.5" x14ac:dyDescent="0.2"/>
    <row r="795" s="255" customFormat="1" ht="13.5" x14ac:dyDescent="0.2"/>
    <row r="796" s="255" customFormat="1" ht="13.5" x14ac:dyDescent="0.2"/>
    <row r="797" s="255" customFormat="1" ht="13.5" x14ac:dyDescent="0.2"/>
    <row r="798" s="255" customFormat="1" ht="13.5" x14ac:dyDescent="0.2"/>
    <row r="799" s="255" customFormat="1" ht="13.5" x14ac:dyDescent="0.2"/>
    <row r="800" s="255" customFormat="1" ht="13.5" x14ac:dyDescent="0.2"/>
    <row r="801" s="255" customFormat="1" ht="13.5" x14ac:dyDescent="0.2"/>
    <row r="802" s="255" customFormat="1" ht="13.5" x14ac:dyDescent="0.2"/>
    <row r="803" s="255" customFormat="1" ht="13.5" x14ac:dyDescent="0.2"/>
    <row r="804" s="255" customFormat="1" ht="13.5" x14ac:dyDescent="0.2"/>
    <row r="805" s="255" customFormat="1" ht="13.5" x14ac:dyDescent="0.2"/>
    <row r="806" s="255" customFormat="1" ht="13.5" x14ac:dyDescent="0.2"/>
    <row r="807" s="255" customFormat="1" ht="13.5" x14ac:dyDescent="0.2"/>
    <row r="808" s="255" customFormat="1" ht="13.5" x14ac:dyDescent="0.2"/>
    <row r="809" s="255" customFormat="1" ht="13.5" x14ac:dyDescent="0.2"/>
    <row r="810" s="255" customFormat="1" ht="13.5" x14ac:dyDescent="0.2"/>
    <row r="811" s="255" customFormat="1" ht="13.5" x14ac:dyDescent="0.2"/>
    <row r="812" s="255" customFormat="1" ht="13.5" x14ac:dyDescent="0.2"/>
    <row r="813" s="255" customFormat="1" ht="13.5" x14ac:dyDescent="0.2"/>
    <row r="814" s="255" customFormat="1" ht="13.5" x14ac:dyDescent="0.2"/>
    <row r="815" s="255" customFormat="1" ht="13.5" x14ac:dyDescent="0.2"/>
    <row r="816" s="255" customFormat="1" ht="13.5" x14ac:dyDescent="0.2"/>
    <row r="817" s="255" customFormat="1" ht="13.5" x14ac:dyDescent="0.2"/>
    <row r="818" s="255" customFormat="1" ht="13.5" x14ac:dyDescent="0.2"/>
    <row r="819" s="255" customFormat="1" ht="13.5" x14ac:dyDescent="0.2"/>
    <row r="820" s="255" customFormat="1" ht="13.5" x14ac:dyDescent="0.2"/>
    <row r="821" s="255" customFormat="1" ht="13.5" x14ac:dyDescent="0.2"/>
    <row r="822" s="255" customFormat="1" ht="13.5" x14ac:dyDescent="0.2"/>
    <row r="823" s="255" customFormat="1" ht="13.5" x14ac:dyDescent="0.2"/>
    <row r="824" s="255" customFormat="1" ht="13.5" x14ac:dyDescent="0.2"/>
    <row r="825" s="255" customFormat="1" ht="13.5" x14ac:dyDescent="0.2"/>
    <row r="826" s="255" customFormat="1" ht="13.5" x14ac:dyDescent="0.2"/>
    <row r="827" s="255" customFormat="1" ht="13.5" x14ac:dyDescent="0.2"/>
    <row r="828" s="255" customFormat="1" ht="13.5" x14ac:dyDescent="0.2"/>
    <row r="829" s="255" customFormat="1" ht="13.5" x14ac:dyDescent="0.2"/>
    <row r="830" s="255" customFormat="1" ht="13.5" x14ac:dyDescent="0.2"/>
    <row r="831" s="255" customFormat="1" ht="13.5" x14ac:dyDescent="0.2"/>
    <row r="832" s="255" customFormat="1" ht="13.5" x14ac:dyDescent="0.2"/>
    <row r="833" s="255" customFormat="1" ht="13.5" x14ac:dyDescent="0.2"/>
    <row r="834" s="255" customFormat="1" ht="13.5" x14ac:dyDescent="0.2"/>
    <row r="835" s="255" customFormat="1" ht="13.5" x14ac:dyDescent="0.2"/>
    <row r="836" s="255" customFormat="1" ht="13.5" x14ac:dyDescent="0.2"/>
    <row r="837" s="255" customFormat="1" ht="13.5" x14ac:dyDescent="0.2"/>
    <row r="838" s="255" customFormat="1" ht="13.5" x14ac:dyDescent="0.2"/>
    <row r="839" s="255" customFormat="1" ht="13.5" x14ac:dyDescent="0.2"/>
    <row r="840" s="255" customFormat="1" ht="13.5" x14ac:dyDescent="0.2"/>
    <row r="841" s="255" customFormat="1" ht="13.5" x14ac:dyDescent="0.2"/>
    <row r="842" s="255" customFormat="1" ht="13.5" x14ac:dyDescent="0.2"/>
    <row r="843" s="255" customFormat="1" ht="13.5" x14ac:dyDescent="0.2"/>
    <row r="844" s="255" customFormat="1" ht="13.5" x14ac:dyDescent="0.2"/>
    <row r="845" s="255" customFormat="1" ht="13.5" x14ac:dyDescent="0.2"/>
    <row r="846" s="255" customFormat="1" ht="13.5" x14ac:dyDescent="0.2"/>
    <row r="847" s="255" customFormat="1" ht="13.5" x14ac:dyDescent="0.2"/>
    <row r="848" s="255" customFormat="1" ht="13.5" x14ac:dyDescent="0.2"/>
    <row r="849" s="255" customFormat="1" ht="13.5" x14ac:dyDescent="0.2"/>
    <row r="850" s="255" customFormat="1" ht="13.5" x14ac:dyDescent="0.2"/>
    <row r="851" s="255" customFormat="1" ht="13.5" x14ac:dyDescent="0.2"/>
    <row r="852" s="255" customFormat="1" ht="13.5" x14ac:dyDescent="0.2"/>
    <row r="853" s="255" customFormat="1" ht="13.5" x14ac:dyDescent="0.2"/>
    <row r="854" s="255" customFormat="1" ht="13.5" x14ac:dyDescent="0.2"/>
    <row r="855" s="255" customFormat="1" ht="13.5" x14ac:dyDescent="0.2"/>
    <row r="856" s="255" customFormat="1" ht="13.5" x14ac:dyDescent="0.2"/>
  </sheetData>
  <mergeCells count="12">
    <mergeCell ref="A6:A12"/>
    <mergeCell ref="A28:A31"/>
    <mergeCell ref="A46:A49"/>
    <mergeCell ref="A2:G2"/>
    <mergeCell ref="A13:A20"/>
    <mergeCell ref="A21:A23"/>
    <mergeCell ref="A35:A36"/>
    <mergeCell ref="A40:A41"/>
    <mergeCell ref="A42:A45"/>
    <mergeCell ref="A24:A26"/>
    <mergeCell ref="A37:A38"/>
    <mergeCell ref="A32:A34"/>
  </mergeCells>
  <pageMargins left="0.27559055118110237" right="0.27559055118110237" top="0.39370078740157483" bottom="0.3937007874015748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4</vt:i4>
      </vt:variant>
    </vt:vector>
  </HeadingPairs>
  <TitlesOfParts>
    <vt:vector size="26" baseType="lpstr">
      <vt:lpstr>Indice</vt:lpstr>
      <vt:lpstr>C.90</vt:lpstr>
      <vt:lpstr>C.91</vt:lpstr>
      <vt:lpstr>C.92 </vt:lpstr>
      <vt:lpstr>C.93</vt:lpstr>
      <vt:lpstr>C.94</vt:lpstr>
      <vt:lpstr>C.95</vt:lpstr>
      <vt:lpstr>C.96</vt:lpstr>
      <vt:lpstr>C.97</vt:lpstr>
      <vt:lpstr>C.98</vt:lpstr>
      <vt:lpstr>C.99</vt:lpstr>
      <vt:lpstr>C.100</vt:lpstr>
      <vt:lpstr>C.101</vt:lpstr>
      <vt:lpstr>C.102</vt:lpstr>
      <vt:lpstr>C.103</vt:lpstr>
      <vt:lpstr>C.104</vt:lpstr>
      <vt:lpstr>C.105</vt:lpstr>
      <vt:lpstr>C.106</vt:lpstr>
      <vt:lpstr>C.107</vt:lpstr>
      <vt:lpstr>C.108</vt:lpstr>
      <vt:lpstr>C.109 </vt:lpstr>
      <vt:lpstr>C.110</vt:lpstr>
      <vt:lpstr>C.102!Área_de_impresión</vt:lpstr>
      <vt:lpstr>C.103!Área_de_impresión</vt:lpstr>
      <vt:lpstr>C.104!Área_de_impresión</vt:lpstr>
      <vt:lpstr>C.106!Área_de_impresión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Raul Andrade</dc:creator>
  <cp:keywords/>
  <dc:description/>
  <cp:lastModifiedBy>Agueda Sihuas Meza</cp:lastModifiedBy>
  <cp:lastPrinted>2025-09-07T23:32:25Z</cp:lastPrinted>
  <dcterms:created xsi:type="dcterms:W3CDTF">2002-01-07T15:01:08Z</dcterms:created>
  <dcterms:modified xsi:type="dcterms:W3CDTF">2025-12-05T21:44:01Z</dcterms:modified>
  <cp:category/>
</cp:coreProperties>
</file>